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" sheetId="1" state="visible" r:id="rId1"/>
    <sheet name="Investment" sheetId="2" state="visible" r:id="rId2"/>
    <sheet name="CFC data" sheetId="3" state="visible" r:id="rId3"/>
    <sheet name="PWT" sheetId="4" state="visible" r:id="rId4"/>
    <sheet name="WEO_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</t>
        </is>
      </c>
    </row>
    <row r="2">
      <c r="A2" t="inlineStr">
        <is>
          <t>capital's share</t>
        </is>
      </c>
      <c r="B2" t="n">
        <v>0.35</v>
      </c>
    </row>
    <row r="3">
      <c r="A3" t="inlineStr">
        <is>
          <t>annual depreciation rate</t>
        </is>
      </c>
      <c r="B3">
        <f>AVERAGE(PWT!C28:C35)</f>
        <v/>
      </c>
    </row>
    <row r="4">
      <c r="K4" t="inlineStr">
        <is>
          <t>HP Filter</t>
        </is>
      </c>
    </row>
    <row r="5">
      <c r="C5" t="inlineStr">
        <is>
          <t>Year</t>
        </is>
      </c>
      <c r="D5" t="inlineStr">
        <is>
          <t>K</t>
        </is>
      </c>
      <c r="E5" t="inlineStr">
        <is>
          <t>Real GDP</t>
        </is>
      </c>
      <c r="F5" t="inlineStr">
        <is>
          <t>LnK</t>
        </is>
      </c>
      <c r="G5" t="inlineStr">
        <is>
          <t>LnY</t>
        </is>
      </c>
      <c r="K5" t="inlineStr">
        <is>
          <t>LnZ</t>
        </is>
      </c>
      <c r="L5" t="inlineStr">
        <is>
          <t>LnZ_HP</t>
        </is>
      </c>
      <c r="M5" t="inlineStr">
        <is>
          <t>Second-order difference</t>
        </is>
      </c>
      <c r="N5" t="inlineStr">
        <is>
          <t>LnA-Trend(Check)</t>
        </is>
      </c>
      <c r="O5">
        <f>SUMSQ(N6:N27)+100*SUMSQ(M7:M26)</f>
        <v/>
      </c>
    </row>
    <row r="6">
      <c r="C6" t="n">
        <v>2002</v>
      </c>
      <c r="D6">
        <f>PWT!B14</f>
        <v/>
      </c>
      <c r="E6">
        <f>WEO_Data!C10</f>
        <v/>
      </c>
      <c r="F6">
        <f>LN(D6)</f>
        <v/>
      </c>
      <c r="G6">
        <f>LN(E6)</f>
        <v/>
      </c>
      <c r="K6">
        <f>G6-$B$2*F6</f>
        <v/>
      </c>
      <c r="L6">
        <f>K6</f>
        <v/>
      </c>
      <c r="N6">
        <f>K6-L6</f>
        <v/>
      </c>
    </row>
    <row r="7">
      <c r="C7" t="n">
        <v>2003</v>
      </c>
      <c r="D7">
        <f>PWT!B15</f>
        <v/>
      </c>
      <c r="E7">
        <f>WEO_Data!C11</f>
        <v/>
      </c>
      <c r="F7">
        <f>LN(D7)</f>
        <v/>
      </c>
      <c r="G7">
        <f>LN(E7)</f>
        <v/>
      </c>
      <c r="K7">
        <f>G7-$B$2*F7</f>
        <v/>
      </c>
      <c r="L7">
        <f>K7</f>
        <v/>
      </c>
      <c r="M7">
        <f>L8-2*L7+L6</f>
        <v/>
      </c>
      <c r="N7">
        <f>K7-L7</f>
        <v/>
      </c>
    </row>
    <row r="8">
      <c r="C8" t="n">
        <v>2004</v>
      </c>
      <c r="D8">
        <f>PWT!B16</f>
        <v/>
      </c>
      <c r="E8">
        <f>WEO_Data!C12</f>
        <v/>
      </c>
      <c r="F8">
        <f>LN(D8)</f>
        <v/>
      </c>
      <c r="G8">
        <f>LN(E8)</f>
        <v/>
      </c>
      <c r="K8">
        <f>G8-$B$2*F8</f>
        <v/>
      </c>
      <c r="L8">
        <f>K8</f>
        <v/>
      </c>
      <c r="M8">
        <f>L9-2*L8+L7</f>
        <v/>
      </c>
      <c r="N8">
        <f>K8-L8</f>
        <v/>
      </c>
    </row>
    <row r="9">
      <c r="C9" t="n">
        <v>2005</v>
      </c>
      <c r="D9">
        <f>PWT!B17</f>
        <v/>
      </c>
      <c r="E9">
        <f>WEO_Data!C13</f>
        <v/>
      </c>
      <c r="F9">
        <f>LN(D9)</f>
        <v/>
      </c>
      <c r="G9">
        <f>LN(E9)</f>
        <v/>
      </c>
      <c r="K9">
        <f>G9-$B$2*F9</f>
        <v/>
      </c>
      <c r="L9">
        <f>K9</f>
        <v/>
      </c>
      <c r="M9">
        <f>L10-2*L9+L8</f>
        <v/>
      </c>
      <c r="N9">
        <f>K9-L9</f>
        <v/>
      </c>
    </row>
    <row r="10">
      <c r="C10" t="n">
        <v>2006</v>
      </c>
      <c r="D10">
        <f>PWT!B18</f>
        <v/>
      </c>
      <c r="E10">
        <f>WEO_Data!C14</f>
        <v/>
      </c>
      <c r="F10">
        <f>LN(D10)</f>
        <v/>
      </c>
      <c r="G10">
        <f>LN(E10)</f>
        <v/>
      </c>
      <c r="K10">
        <f>G10-$B$2*F10</f>
        <v/>
      </c>
      <c r="L10">
        <f>K10</f>
        <v/>
      </c>
      <c r="M10">
        <f>L11-2*L10+L9</f>
        <v/>
      </c>
      <c r="N10">
        <f>K10-L10</f>
        <v/>
      </c>
    </row>
    <row r="11">
      <c r="C11" t="n">
        <v>2007</v>
      </c>
      <c r="D11">
        <f>PWT!B19</f>
        <v/>
      </c>
      <c r="E11">
        <f>WEO_Data!C15</f>
        <v/>
      </c>
      <c r="F11">
        <f>LN(D11)</f>
        <v/>
      </c>
      <c r="G11">
        <f>LN(E11)</f>
        <v/>
      </c>
      <c r="K11">
        <f>G11-$B$2*F11</f>
        <v/>
      </c>
      <c r="L11">
        <f>K11</f>
        <v/>
      </c>
      <c r="M11">
        <f>L12-2*L11+L10</f>
        <v/>
      </c>
      <c r="N11">
        <f>K11-L11</f>
        <v/>
      </c>
    </row>
    <row r="12">
      <c r="C12" t="n">
        <v>2008</v>
      </c>
      <c r="D12">
        <f>PWT!B20</f>
        <v/>
      </c>
      <c r="E12">
        <f>WEO_Data!C16</f>
        <v/>
      </c>
      <c r="F12">
        <f>LN(D12)</f>
        <v/>
      </c>
      <c r="G12">
        <f>LN(E12)</f>
        <v/>
      </c>
      <c r="K12">
        <f>G12-$B$2*F12</f>
        <v/>
      </c>
      <c r="L12">
        <f>K12</f>
        <v/>
      </c>
      <c r="M12">
        <f>L13-2*L12+L11</f>
        <v/>
      </c>
      <c r="N12">
        <f>K12-L12</f>
        <v/>
      </c>
    </row>
    <row r="13">
      <c r="C13" t="n">
        <v>2009</v>
      </c>
      <c r="D13">
        <f>PWT!B21</f>
        <v/>
      </c>
      <c r="E13">
        <f>WEO_Data!C17</f>
        <v/>
      </c>
      <c r="F13">
        <f>LN(D13)</f>
        <v/>
      </c>
      <c r="G13">
        <f>LN(E13)</f>
        <v/>
      </c>
      <c r="K13">
        <f>G13-$B$2*F13</f>
        <v/>
      </c>
      <c r="L13">
        <f>K13</f>
        <v/>
      </c>
      <c r="M13">
        <f>L14-2*L13+L12</f>
        <v/>
      </c>
      <c r="N13">
        <f>K13-L13</f>
        <v/>
      </c>
    </row>
    <row r="14">
      <c r="C14" t="n">
        <v>2010</v>
      </c>
      <c r="D14">
        <f>PWT!B22</f>
        <v/>
      </c>
      <c r="E14">
        <f>WEO_Data!C18</f>
        <v/>
      </c>
      <c r="F14">
        <f>LN(D14)</f>
        <v/>
      </c>
      <c r="G14">
        <f>LN(E14)</f>
        <v/>
      </c>
      <c r="K14">
        <f>G14-$B$2*F14</f>
        <v/>
      </c>
      <c r="L14">
        <f>K14</f>
        <v/>
      </c>
      <c r="M14">
        <f>L15-2*L14+L13</f>
        <v/>
      </c>
      <c r="N14">
        <f>K14-L14</f>
        <v/>
      </c>
    </row>
    <row r="15">
      <c r="C15" t="n">
        <v>2011</v>
      </c>
      <c r="D15">
        <f>PWT!B23</f>
        <v/>
      </c>
      <c r="E15">
        <f>WEO_Data!C19</f>
        <v/>
      </c>
      <c r="F15">
        <f>LN(D15)</f>
        <v/>
      </c>
      <c r="G15">
        <f>LN(E15)</f>
        <v/>
      </c>
      <c r="K15">
        <f>G15-$B$2*F15</f>
        <v/>
      </c>
      <c r="L15">
        <f>K15</f>
        <v/>
      </c>
      <c r="M15">
        <f>L16-2*L15+L14</f>
        <v/>
      </c>
      <c r="N15">
        <f>K15-L15</f>
        <v/>
      </c>
    </row>
    <row r="16">
      <c r="C16" t="n">
        <v>2012</v>
      </c>
      <c r="D16">
        <f>PWT!B24</f>
        <v/>
      </c>
      <c r="E16">
        <f>WEO_Data!C20</f>
        <v/>
      </c>
      <c r="F16">
        <f>LN(D16)</f>
        <v/>
      </c>
      <c r="G16">
        <f>LN(E16)</f>
        <v/>
      </c>
      <c r="K16">
        <f>G16-$B$2*F16</f>
        <v/>
      </c>
      <c r="L16">
        <f>K16</f>
        <v/>
      </c>
      <c r="M16">
        <f>L17-2*L16+L15</f>
        <v/>
      </c>
      <c r="N16">
        <f>K16-L16</f>
        <v/>
      </c>
    </row>
    <row r="17">
      <c r="C17" t="n">
        <v>2013</v>
      </c>
      <c r="D17">
        <f>PWT!B25</f>
        <v/>
      </c>
      <c r="E17">
        <f>WEO_Data!C21</f>
        <v/>
      </c>
      <c r="F17">
        <f>LN(D17)</f>
        <v/>
      </c>
      <c r="G17">
        <f>LN(E17)</f>
        <v/>
      </c>
      <c r="K17">
        <f>G17-$B$2*F17</f>
        <v/>
      </c>
      <c r="L17">
        <f>K17</f>
        <v/>
      </c>
      <c r="M17">
        <f>L18-2*L17+L16</f>
        <v/>
      </c>
      <c r="N17">
        <f>K17-L17</f>
        <v/>
      </c>
    </row>
    <row r="18">
      <c r="C18" t="n">
        <v>2014</v>
      </c>
      <c r="D18">
        <f>PWT!B26</f>
        <v/>
      </c>
      <c r="E18">
        <f>WEO_Data!C22</f>
        <v/>
      </c>
      <c r="F18">
        <f>LN(D18)</f>
        <v/>
      </c>
      <c r="G18">
        <f>LN(E18)</f>
        <v/>
      </c>
      <c r="K18">
        <f>G18-$B$2*F18</f>
        <v/>
      </c>
      <c r="L18">
        <f>K18</f>
        <v/>
      </c>
      <c r="M18">
        <f>L19-2*L18+L17</f>
        <v/>
      </c>
      <c r="N18">
        <f>K18-L18</f>
        <v/>
      </c>
    </row>
    <row r="19">
      <c r="C19" t="n">
        <v>2015</v>
      </c>
      <c r="D19">
        <f>PWT!B27</f>
        <v/>
      </c>
      <c r="E19">
        <f>WEO_Data!C23</f>
        <v/>
      </c>
      <c r="F19">
        <f>LN(D19)</f>
        <v/>
      </c>
      <c r="G19">
        <f>LN(E19)</f>
        <v/>
      </c>
      <c r="K19">
        <f>G19-$B$2*F19</f>
        <v/>
      </c>
      <c r="L19">
        <f>K19</f>
        <v/>
      </c>
      <c r="M19">
        <f>L20-2*L19+L18</f>
        <v/>
      </c>
      <c r="N19">
        <f>K19-L19</f>
        <v/>
      </c>
    </row>
    <row r="20">
      <c r="C20" t="n">
        <v>2016</v>
      </c>
      <c r="D20">
        <f>PWT!B28</f>
        <v/>
      </c>
      <c r="E20">
        <f>WEO_Data!C24</f>
        <v/>
      </c>
      <c r="F20">
        <f>LN(D20)</f>
        <v/>
      </c>
      <c r="G20">
        <f>LN(E20)</f>
        <v/>
      </c>
      <c r="K20">
        <f>G20-$B$2*F20</f>
        <v/>
      </c>
      <c r="L20">
        <f>K20</f>
        <v/>
      </c>
      <c r="M20">
        <f>L21-2*L20+L19</f>
        <v/>
      </c>
      <c r="N20">
        <f>K20-L20</f>
        <v/>
      </c>
    </row>
    <row r="21">
      <c r="C21" t="n">
        <v>2017</v>
      </c>
      <c r="D21">
        <f>PWT!B29</f>
        <v/>
      </c>
      <c r="E21">
        <f>WEO_Data!C25</f>
        <v/>
      </c>
      <c r="F21">
        <f>LN(D21)</f>
        <v/>
      </c>
      <c r="G21">
        <f>LN(E21)</f>
        <v/>
      </c>
      <c r="K21">
        <f>G21-$B$2*F21</f>
        <v/>
      </c>
      <c r="L21">
        <f>K21</f>
        <v/>
      </c>
      <c r="M21">
        <f>L22-2*L21+L20</f>
        <v/>
      </c>
      <c r="N21">
        <f>K21-L21</f>
        <v/>
      </c>
    </row>
    <row r="22">
      <c r="C22" t="n">
        <v>2018</v>
      </c>
      <c r="D22">
        <f>PWT!B30</f>
        <v/>
      </c>
      <c r="E22">
        <f>WEO_Data!C26</f>
        <v/>
      </c>
      <c r="F22">
        <f>LN(D22)</f>
        <v/>
      </c>
      <c r="G22">
        <f>LN(E22)</f>
        <v/>
      </c>
      <c r="K22">
        <f>G22-$B$2*F22</f>
        <v/>
      </c>
      <c r="L22">
        <f>K22</f>
        <v/>
      </c>
      <c r="M22">
        <f>L23-2*L22+L21</f>
        <v/>
      </c>
      <c r="N22">
        <f>K22-L22</f>
        <v/>
      </c>
    </row>
    <row r="23">
      <c r="C23" t="n">
        <v>2019</v>
      </c>
      <c r="D23">
        <f>PWT!B31</f>
        <v/>
      </c>
      <c r="E23">
        <f>WEO_Data!C27</f>
        <v/>
      </c>
      <c r="F23">
        <f>LN(D23)</f>
        <v/>
      </c>
      <c r="G23">
        <f>LN(E23)</f>
        <v/>
      </c>
      <c r="K23">
        <f>G23-$B$2*F23</f>
        <v/>
      </c>
      <c r="L23">
        <f>K23</f>
        <v/>
      </c>
      <c r="M23">
        <f>L24-2*L23+L22</f>
        <v/>
      </c>
      <c r="N23">
        <f>K23-L23</f>
        <v/>
      </c>
    </row>
    <row r="24">
      <c r="C24" t="n">
        <v>2020</v>
      </c>
      <c r="D24">
        <f>PWT!B32</f>
        <v/>
      </c>
      <c r="E24">
        <f>WEO_Data!C28</f>
        <v/>
      </c>
      <c r="F24">
        <f>LN(D24)</f>
        <v/>
      </c>
      <c r="G24">
        <f>LN(E24)</f>
        <v/>
      </c>
      <c r="K24">
        <f>G24-$B$2*F24</f>
        <v/>
      </c>
      <c r="L24">
        <f>K24</f>
        <v/>
      </c>
      <c r="M24">
        <f>L25-2*L24+L23</f>
        <v/>
      </c>
      <c r="N24">
        <f>K24-L24</f>
        <v/>
      </c>
    </row>
    <row r="25">
      <c r="C25" t="n">
        <v>2021</v>
      </c>
      <c r="D25">
        <f>PWT!B33</f>
        <v/>
      </c>
      <c r="E25">
        <f>WEO_Data!C29</f>
        <v/>
      </c>
      <c r="F25">
        <f>LN(D25)</f>
        <v/>
      </c>
      <c r="G25">
        <f>LN(E25)</f>
        <v/>
      </c>
      <c r="K25">
        <f>G25-$B$2*F25</f>
        <v/>
      </c>
      <c r="L25">
        <f>K25</f>
        <v/>
      </c>
      <c r="M25">
        <f>L26-2*L25+L24</f>
        <v/>
      </c>
      <c r="N25">
        <f>K25-L25</f>
        <v/>
      </c>
    </row>
    <row r="26">
      <c r="C26" t="n">
        <v>2022</v>
      </c>
      <c r="D26">
        <f>PWT!B34</f>
        <v/>
      </c>
      <c r="E26">
        <f>WEO_Data!C30</f>
        <v/>
      </c>
      <c r="F26">
        <f>LN(D26)</f>
        <v/>
      </c>
      <c r="G26">
        <f>LN(E26)</f>
        <v/>
      </c>
      <c r="K26">
        <f>G26-$B$2*F26</f>
        <v/>
      </c>
      <c r="L26">
        <f>K26</f>
        <v/>
      </c>
      <c r="M26">
        <f>L27-2*L26+L25</f>
        <v/>
      </c>
      <c r="N26">
        <f>K26-L26</f>
        <v/>
      </c>
    </row>
    <row r="27">
      <c r="C27" t="n">
        <v>2023</v>
      </c>
      <c r="D27">
        <f>PWT!B35</f>
        <v/>
      </c>
      <c r="E27">
        <f>WEO_Data!C31</f>
        <v/>
      </c>
      <c r="F27">
        <f>LN(D27)</f>
        <v/>
      </c>
      <c r="G27">
        <f>LN(E27)</f>
        <v/>
      </c>
      <c r="K27">
        <f>G27-$B$2*F27</f>
        <v/>
      </c>
      <c r="L27">
        <f>K27</f>
        <v/>
      </c>
      <c r="N27">
        <f>K27-L27</f>
        <v/>
      </c>
    </row>
    <row r="35">
      <c r="D35" t="inlineStr">
        <is>
          <t>K/Y</t>
        </is>
      </c>
      <c r="E35" t="inlineStr">
        <is>
          <t>K</t>
        </is>
      </c>
      <c r="F35" t="inlineStr">
        <is>
          <t>Y</t>
        </is>
      </c>
      <c r="G35" t="inlineStr">
        <is>
          <t>LnZ trend</t>
        </is>
      </c>
      <c r="H35" t="inlineStr">
        <is>
          <t>Ystar_base</t>
        </is>
      </c>
      <c r="I35" t="inlineStr">
        <is>
          <t>Investment</t>
        </is>
      </c>
      <c r="J35" t="inlineStr">
        <is>
          <t>ΔK</t>
        </is>
      </c>
      <c r="K35" t="inlineStr">
        <is>
          <t>K_With</t>
        </is>
      </c>
      <c r="L35" t="inlineStr">
        <is>
          <t>Ystar_with</t>
        </is>
      </c>
      <c r="M35" t="inlineStr">
        <is>
          <t>Uplift</t>
        </is>
      </c>
      <c r="N35" t="inlineStr">
        <is>
          <t>Projected GDP</t>
        </is>
      </c>
      <c r="O35" t="inlineStr">
        <is>
          <t>Projected GDP Growth</t>
        </is>
      </c>
      <c r="P35" t="inlineStr">
        <is>
          <t>Baseline GDP Growth</t>
        </is>
      </c>
    </row>
    <row r="36">
      <c r="C36" t="n">
        <v>2002</v>
      </c>
      <c r="D36">
        <f>E36/F36</f>
        <v/>
      </c>
      <c r="E36">
        <f>PWT!B14</f>
        <v/>
      </c>
      <c r="F36">
        <f>WEO_Data!C10</f>
        <v/>
      </c>
      <c r="G36">
        <f>L6</f>
        <v/>
      </c>
      <c r="H36">
        <f>EXP(G36)*E36^$B$2</f>
        <v/>
      </c>
      <c r="I36">
        <f>IFERROR(INDEX(Investment!$C$2:$C$9,MATCH(C36,Investment!$B$2:$B$9,0)),0)</f>
        <v/>
      </c>
      <c r="J36">
        <f>K36-E36</f>
        <v/>
      </c>
      <c r="K36">
        <f>E36</f>
        <v/>
      </c>
      <c r="L36">
        <f>EXP(G36)*K36^$B$2</f>
        <v/>
      </c>
      <c r="M36">
        <f>L36-H36</f>
        <v/>
      </c>
      <c r="N36">
        <f>L36</f>
        <v/>
      </c>
    </row>
    <row r="37">
      <c r="C37" t="n">
        <v>2003</v>
      </c>
      <c r="D37">
        <f>E37/F37</f>
        <v/>
      </c>
      <c r="E37">
        <f>PWT!B15</f>
        <v/>
      </c>
      <c r="F37">
        <f>WEO_Data!C11</f>
        <v/>
      </c>
      <c r="G37">
        <f>L7</f>
        <v/>
      </c>
      <c r="H37">
        <f>EXP(G37)*E37^$B$2</f>
        <v/>
      </c>
      <c r="I37">
        <f>IFERROR(INDEX(Investment!$C$2:$C$9,MATCH(C37,Investment!$B$2:$B$9,0)),0)</f>
        <v/>
      </c>
      <c r="J37">
        <f>K37-E37</f>
        <v/>
      </c>
      <c r="K37">
        <f>E37+(K36-E36)*(1-$B$3)+I37</f>
        <v/>
      </c>
      <c r="L37">
        <f>EXP(G37)*K37^$B$2</f>
        <v/>
      </c>
      <c r="M37">
        <f>L37-H37</f>
        <v/>
      </c>
      <c r="N37">
        <f>L37</f>
        <v/>
      </c>
      <c r="O37">
        <f>(N37-N36)/N36</f>
        <v/>
      </c>
      <c r="P37">
        <f>(H37-H36)/H36</f>
        <v/>
      </c>
    </row>
    <row r="38">
      <c r="C38" t="n">
        <v>2004</v>
      </c>
      <c r="D38">
        <f>E38/F38</f>
        <v/>
      </c>
      <c r="E38">
        <f>PWT!B16</f>
        <v/>
      </c>
      <c r="F38">
        <f>WEO_Data!C12</f>
        <v/>
      </c>
      <c r="G38">
        <f>L8</f>
        <v/>
      </c>
      <c r="H38">
        <f>EXP(G38)*E38^$B$2</f>
        <v/>
      </c>
      <c r="I38">
        <f>IFERROR(INDEX(Investment!$C$2:$C$9,MATCH(C38,Investment!$B$2:$B$9,0)),0)</f>
        <v/>
      </c>
      <c r="J38">
        <f>K38-E38</f>
        <v/>
      </c>
      <c r="K38">
        <f>E38+(K37-E37)*(1-$B$3)+I38</f>
        <v/>
      </c>
      <c r="L38">
        <f>EXP(G38)*K38^$B$2</f>
        <v/>
      </c>
      <c r="M38">
        <f>L38-H38</f>
        <v/>
      </c>
      <c r="N38">
        <f>L38</f>
        <v/>
      </c>
      <c r="O38">
        <f>(N38-N37)/N37</f>
        <v/>
      </c>
      <c r="P38">
        <f>(H38-H37)/H37</f>
        <v/>
      </c>
    </row>
    <row r="39">
      <c r="C39" t="n">
        <v>2005</v>
      </c>
      <c r="D39">
        <f>E39/F39</f>
        <v/>
      </c>
      <c r="E39">
        <f>PWT!B17</f>
        <v/>
      </c>
      <c r="F39">
        <f>WEO_Data!C13</f>
        <v/>
      </c>
      <c r="G39">
        <f>L9</f>
        <v/>
      </c>
      <c r="H39">
        <f>EXP(G39)*E39^$B$2</f>
        <v/>
      </c>
      <c r="I39">
        <f>IFERROR(INDEX(Investment!$C$2:$C$9,MATCH(C39,Investment!$B$2:$B$9,0)),0)</f>
        <v/>
      </c>
      <c r="J39">
        <f>K39-E39</f>
        <v/>
      </c>
      <c r="K39">
        <f>E39+(K38-E38)*(1-$B$3)+I39</f>
        <v/>
      </c>
      <c r="L39">
        <f>EXP(G39)*K39^$B$2</f>
        <v/>
      </c>
      <c r="M39">
        <f>L39-H39</f>
        <v/>
      </c>
      <c r="N39">
        <f>L39</f>
        <v/>
      </c>
      <c r="O39">
        <f>(N39-N38)/N38</f>
        <v/>
      </c>
      <c r="P39">
        <f>(H39-H38)/H38</f>
        <v/>
      </c>
    </row>
    <row r="40">
      <c r="C40" t="n">
        <v>2006</v>
      </c>
      <c r="D40">
        <f>E40/F40</f>
        <v/>
      </c>
      <c r="E40">
        <f>PWT!B18</f>
        <v/>
      </c>
      <c r="F40">
        <f>WEO_Data!C14</f>
        <v/>
      </c>
      <c r="G40">
        <f>L10</f>
        <v/>
      </c>
      <c r="H40">
        <f>EXP(G40)*E40^$B$2</f>
        <v/>
      </c>
      <c r="I40">
        <f>IFERROR(INDEX(Investment!$C$2:$C$9,MATCH(C40,Investment!$B$2:$B$9,0)),0)</f>
        <v/>
      </c>
      <c r="J40">
        <f>K40-E40</f>
        <v/>
      </c>
      <c r="K40">
        <f>E40+(K39-E39)*(1-$B$3)+I40</f>
        <v/>
      </c>
      <c r="L40">
        <f>EXP(G40)*K40^$B$2</f>
        <v/>
      </c>
      <c r="M40">
        <f>L40-H40</f>
        <v/>
      </c>
      <c r="N40">
        <f>L40</f>
        <v/>
      </c>
      <c r="O40">
        <f>(N40-N39)/N39</f>
        <v/>
      </c>
      <c r="P40">
        <f>(H40-H39)/H39</f>
        <v/>
      </c>
    </row>
    <row r="41">
      <c r="C41" t="n">
        <v>2007</v>
      </c>
      <c r="D41">
        <f>E41/F41</f>
        <v/>
      </c>
      <c r="E41">
        <f>PWT!B19</f>
        <v/>
      </c>
      <c r="F41">
        <f>WEO_Data!C15</f>
        <v/>
      </c>
      <c r="G41">
        <f>L11</f>
        <v/>
      </c>
      <c r="H41">
        <f>EXP(G41)*E41^$B$2</f>
        <v/>
      </c>
      <c r="I41">
        <f>IFERROR(INDEX(Investment!$C$2:$C$9,MATCH(C41,Investment!$B$2:$B$9,0)),0)</f>
        <v/>
      </c>
      <c r="J41">
        <f>K41-E41</f>
        <v/>
      </c>
      <c r="K41">
        <f>E41+(K40-E40)*(1-$B$3)+I41</f>
        <v/>
      </c>
      <c r="L41">
        <f>EXP(G41)*K41^$B$2</f>
        <v/>
      </c>
      <c r="M41">
        <f>L41-H41</f>
        <v/>
      </c>
      <c r="N41">
        <f>L41</f>
        <v/>
      </c>
      <c r="O41">
        <f>(N41-N40)/N40</f>
        <v/>
      </c>
      <c r="P41">
        <f>(H41-H40)/H40</f>
        <v/>
      </c>
    </row>
    <row r="42">
      <c r="C42" t="n">
        <v>2008</v>
      </c>
      <c r="D42">
        <f>E42/F42</f>
        <v/>
      </c>
      <c r="E42">
        <f>PWT!B20</f>
        <v/>
      </c>
      <c r="F42">
        <f>WEO_Data!C16</f>
        <v/>
      </c>
      <c r="G42">
        <f>L12</f>
        <v/>
      </c>
      <c r="H42">
        <f>EXP(G42)*E42^$B$2</f>
        <v/>
      </c>
      <c r="I42">
        <f>IFERROR(INDEX(Investment!$C$2:$C$9,MATCH(C42,Investment!$B$2:$B$9,0)),0)</f>
        <v/>
      </c>
      <c r="J42">
        <f>K42-E42</f>
        <v/>
      </c>
      <c r="K42">
        <f>E42+(K41-E41)*(1-$B$3)+I42</f>
        <v/>
      </c>
      <c r="L42">
        <f>EXP(G42)*K42^$B$2</f>
        <v/>
      </c>
      <c r="M42">
        <f>L42-H42</f>
        <v/>
      </c>
      <c r="N42">
        <f>L42</f>
        <v/>
      </c>
      <c r="O42">
        <f>(N42-N41)/N41</f>
        <v/>
      </c>
      <c r="P42">
        <f>(H42-H41)/H41</f>
        <v/>
      </c>
    </row>
    <row r="43">
      <c r="C43" t="n">
        <v>2009</v>
      </c>
      <c r="D43">
        <f>E43/F43</f>
        <v/>
      </c>
      <c r="E43">
        <f>PWT!B21</f>
        <v/>
      </c>
      <c r="F43">
        <f>WEO_Data!C17</f>
        <v/>
      </c>
      <c r="G43">
        <f>L13</f>
        <v/>
      </c>
      <c r="H43">
        <f>EXP(G43)*E43^$B$2</f>
        <v/>
      </c>
      <c r="I43">
        <f>IFERROR(INDEX(Investment!$C$2:$C$9,MATCH(C43,Investment!$B$2:$B$9,0)),0)</f>
        <v/>
      </c>
      <c r="J43">
        <f>K43-E43</f>
        <v/>
      </c>
      <c r="K43">
        <f>E43+(K42-E42)*(1-$B$3)+I43</f>
        <v/>
      </c>
      <c r="L43">
        <f>EXP(G43)*K43^$B$2</f>
        <v/>
      </c>
      <c r="M43">
        <f>L43-H43</f>
        <v/>
      </c>
      <c r="N43">
        <f>L43</f>
        <v/>
      </c>
      <c r="O43">
        <f>(N43-N42)/N42</f>
        <v/>
      </c>
      <c r="P43">
        <f>(H43-H42)/H42</f>
        <v/>
      </c>
    </row>
    <row r="44">
      <c r="C44" t="n">
        <v>2010</v>
      </c>
      <c r="D44">
        <f>E44/F44</f>
        <v/>
      </c>
      <c r="E44">
        <f>PWT!B22</f>
        <v/>
      </c>
      <c r="F44">
        <f>WEO_Data!C18</f>
        <v/>
      </c>
      <c r="G44">
        <f>L14</f>
        <v/>
      </c>
      <c r="H44">
        <f>EXP(G44)*E44^$B$2</f>
        <v/>
      </c>
      <c r="I44">
        <f>IFERROR(INDEX(Investment!$C$2:$C$9,MATCH(C44,Investment!$B$2:$B$9,0)),0)</f>
        <v/>
      </c>
      <c r="J44">
        <f>K44-E44</f>
        <v/>
      </c>
      <c r="K44">
        <f>E44+(K43-E43)*(1-$B$3)+I44</f>
        <v/>
      </c>
      <c r="L44">
        <f>EXP(G44)*K44^$B$2</f>
        <v/>
      </c>
      <c r="M44">
        <f>L44-H44</f>
        <v/>
      </c>
      <c r="N44">
        <f>L44</f>
        <v/>
      </c>
      <c r="O44">
        <f>(N44-N43)/N43</f>
        <v/>
      </c>
      <c r="P44">
        <f>(H44-H43)/H43</f>
        <v/>
      </c>
    </row>
    <row r="45">
      <c r="C45" t="n">
        <v>2011</v>
      </c>
      <c r="D45">
        <f>E45/F45</f>
        <v/>
      </c>
      <c r="E45">
        <f>PWT!B23</f>
        <v/>
      </c>
      <c r="F45">
        <f>WEO_Data!C19</f>
        <v/>
      </c>
      <c r="G45">
        <f>L15</f>
        <v/>
      </c>
      <c r="H45">
        <f>EXP(G45)*E45^$B$2</f>
        <v/>
      </c>
      <c r="I45">
        <f>IFERROR(INDEX(Investment!$C$2:$C$9,MATCH(C45,Investment!$B$2:$B$9,0)),0)</f>
        <v/>
      </c>
      <c r="J45">
        <f>K45-E45</f>
        <v/>
      </c>
      <c r="K45">
        <f>E45+(K44-E44)*(1-$B$3)+I45</f>
        <v/>
      </c>
      <c r="L45">
        <f>EXP(G45)*K45^$B$2</f>
        <v/>
      </c>
      <c r="M45">
        <f>L45-H45</f>
        <v/>
      </c>
      <c r="N45">
        <f>L45</f>
        <v/>
      </c>
      <c r="O45">
        <f>(N45-N44)/N44</f>
        <v/>
      </c>
      <c r="P45">
        <f>(H45-H44)/H44</f>
        <v/>
      </c>
    </row>
    <row r="46">
      <c r="C46" t="n">
        <v>2012</v>
      </c>
      <c r="D46">
        <f>E46/F46</f>
        <v/>
      </c>
      <c r="E46">
        <f>PWT!B24</f>
        <v/>
      </c>
      <c r="F46">
        <f>WEO_Data!C20</f>
        <v/>
      </c>
      <c r="G46">
        <f>L16</f>
        <v/>
      </c>
      <c r="H46">
        <f>EXP(G46)*E46^$B$2</f>
        <v/>
      </c>
      <c r="I46">
        <f>IFERROR(INDEX(Investment!$C$2:$C$9,MATCH(C46,Investment!$B$2:$B$9,0)),0)</f>
        <v/>
      </c>
      <c r="J46">
        <f>K46-E46</f>
        <v/>
      </c>
      <c r="K46">
        <f>E46+(K45-E45)*(1-$B$3)+I46</f>
        <v/>
      </c>
      <c r="L46">
        <f>EXP(G46)*K46^$B$2</f>
        <v/>
      </c>
      <c r="M46">
        <f>L46-H46</f>
        <v/>
      </c>
      <c r="N46">
        <f>L46</f>
        <v/>
      </c>
      <c r="O46">
        <f>(N46-N45)/N45</f>
        <v/>
      </c>
      <c r="P46">
        <f>(H46-H45)/H45</f>
        <v/>
      </c>
    </row>
    <row r="47">
      <c r="C47" t="n">
        <v>2013</v>
      </c>
      <c r="D47">
        <f>E47/F47</f>
        <v/>
      </c>
      <c r="E47">
        <f>PWT!B25</f>
        <v/>
      </c>
      <c r="F47">
        <f>WEO_Data!C21</f>
        <v/>
      </c>
      <c r="G47">
        <f>L17</f>
        <v/>
      </c>
      <c r="H47">
        <f>EXP(G47)*E47^$B$2</f>
        <v/>
      </c>
      <c r="I47">
        <f>IFERROR(INDEX(Investment!$C$2:$C$9,MATCH(C47,Investment!$B$2:$B$9,0)),0)</f>
        <v/>
      </c>
      <c r="J47">
        <f>K47-E47</f>
        <v/>
      </c>
      <c r="K47">
        <f>E47+(K46-E46)*(1-$B$3)+I47</f>
        <v/>
      </c>
      <c r="L47">
        <f>EXP(G47)*K47^$B$2</f>
        <v/>
      </c>
      <c r="M47">
        <f>L47-H47</f>
        <v/>
      </c>
      <c r="N47">
        <f>L47</f>
        <v/>
      </c>
      <c r="O47">
        <f>(N47-N46)/N46</f>
        <v/>
      </c>
      <c r="P47">
        <f>(H47-H46)/H46</f>
        <v/>
      </c>
    </row>
    <row r="48">
      <c r="C48" t="n">
        <v>2014</v>
      </c>
      <c r="D48">
        <f>E48/F48</f>
        <v/>
      </c>
      <c r="E48">
        <f>PWT!B26</f>
        <v/>
      </c>
      <c r="F48">
        <f>WEO_Data!C22</f>
        <v/>
      </c>
      <c r="G48">
        <f>L18</f>
        <v/>
      </c>
      <c r="H48">
        <f>EXP(G48)*E48^$B$2</f>
        <v/>
      </c>
      <c r="I48">
        <f>IFERROR(INDEX(Investment!$C$2:$C$9,MATCH(C48,Investment!$B$2:$B$9,0)),0)</f>
        <v/>
      </c>
      <c r="J48">
        <f>K48-E48</f>
        <v/>
      </c>
      <c r="K48">
        <f>E48+(K47-E47)*(1-$B$3)+I48</f>
        <v/>
      </c>
      <c r="L48">
        <f>EXP(G48)*K48^$B$2</f>
        <v/>
      </c>
      <c r="M48">
        <f>L48-H48</f>
        <v/>
      </c>
      <c r="N48">
        <f>L48</f>
        <v/>
      </c>
      <c r="O48">
        <f>(N48-N47)/N47</f>
        <v/>
      </c>
      <c r="P48">
        <f>(H48-H47)/H47</f>
        <v/>
      </c>
    </row>
    <row r="49">
      <c r="C49" t="n">
        <v>2015</v>
      </c>
      <c r="D49">
        <f>E49/F49</f>
        <v/>
      </c>
      <c r="E49">
        <f>PWT!B27</f>
        <v/>
      </c>
      <c r="F49">
        <f>WEO_Data!C23</f>
        <v/>
      </c>
      <c r="G49">
        <f>L19</f>
        <v/>
      </c>
      <c r="H49">
        <f>EXP(G49)*E49^$B$2</f>
        <v/>
      </c>
      <c r="I49">
        <f>IFERROR(INDEX(Investment!$C$2:$C$9,MATCH(C49,Investment!$B$2:$B$9,0)),0)</f>
        <v/>
      </c>
      <c r="J49">
        <f>K49-E49</f>
        <v/>
      </c>
      <c r="K49">
        <f>E49+(K48-E48)*(1-$B$3)+I49</f>
        <v/>
      </c>
      <c r="L49">
        <f>EXP(G49)*K49^$B$2</f>
        <v/>
      </c>
      <c r="M49">
        <f>L49-H49</f>
        <v/>
      </c>
      <c r="N49">
        <f>L49</f>
        <v/>
      </c>
      <c r="O49">
        <f>(N49-N48)/N48</f>
        <v/>
      </c>
      <c r="P49">
        <f>(H49-H48)/H48</f>
        <v/>
      </c>
    </row>
    <row r="50">
      <c r="C50" t="n">
        <v>2016</v>
      </c>
      <c r="D50">
        <f>E50/F50</f>
        <v/>
      </c>
      <c r="E50">
        <f>PWT!B28</f>
        <v/>
      </c>
      <c r="F50">
        <f>WEO_Data!C24</f>
        <v/>
      </c>
      <c r="G50">
        <f>L20</f>
        <v/>
      </c>
      <c r="H50">
        <f>EXP(G50)*E50^$B$2</f>
        <v/>
      </c>
      <c r="I50">
        <f>IFERROR(INDEX(Investment!$C$2:$C$9,MATCH(C50,Investment!$B$2:$B$9,0)),0)</f>
        <v/>
      </c>
      <c r="J50">
        <f>K50-E50</f>
        <v/>
      </c>
      <c r="K50">
        <f>E50+(K49-E49)*(1-$B$3)+I50</f>
        <v/>
      </c>
      <c r="L50">
        <f>EXP(G50)*K50^$B$2</f>
        <v/>
      </c>
      <c r="M50">
        <f>L50-H50</f>
        <v/>
      </c>
      <c r="N50">
        <f>L50</f>
        <v/>
      </c>
      <c r="O50">
        <f>(N50-N49)/N49</f>
        <v/>
      </c>
      <c r="P50">
        <f>(H50-H49)/H49</f>
        <v/>
      </c>
    </row>
    <row r="51">
      <c r="C51" t="n">
        <v>2017</v>
      </c>
      <c r="D51">
        <f>E51/F51</f>
        <v/>
      </c>
      <c r="E51">
        <f>PWT!B29</f>
        <v/>
      </c>
      <c r="F51">
        <f>WEO_Data!C25</f>
        <v/>
      </c>
      <c r="G51">
        <f>L21</f>
        <v/>
      </c>
      <c r="H51">
        <f>EXP(G51)*E51^$B$2</f>
        <v/>
      </c>
      <c r="I51">
        <f>IFERROR(INDEX(Investment!$C$2:$C$9,MATCH(C51,Investment!$B$2:$B$9,0)),0)</f>
        <v/>
      </c>
      <c r="J51">
        <f>K51-E51</f>
        <v/>
      </c>
      <c r="K51">
        <f>E51+(K50-E50)*(1-$B$3)+I51</f>
        <v/>
      </c>
      <c r="L51">
        <f>EXP(G51)*K51^$B$2</f>
        <v/>
      </c>
      <c r="M51">
        <f>L51-H51</f>
        <v/>
      </c>
      <c r="N51">
        <f>L51</f>
        <v/>
      </c>
      <c r="O51">
        <f>(N51-N50)/N50</f>
        <v/>
      </c>
      <c r="P51">
        <f>(H51-H50)/H50</f>
        <v/>
      </c>
    </row>
    <row r="52">
      <c r="C52" t="n">
        <v>2018</v>
      </c>
      <c r="D52">
        <f>E52/F52</f>
        <v/>
      </c>
      <c r="E52">
        <f>PWT!B30</f>
        <v/>
      </c>
      <c r="F52">
        <f>WEO_Data!C26</f>
        <v/>
      </c>
      <c r="G52">
        <f>L22</f>
        <v/>
      </c>
      <c r="H52">
        <f>EXP(G52)*E52^$B$2</f>
        <v/>
      </c>
      <c r="I52">
        <f>IFERROR(INDEX(Investment!$C$2:$C$9,MATCH(C52,Investment!$B$2:$B$9,0)),0)</f>
        <v/>
      </c>
      <c r="J52">
        <f>K52-E52</f>
        <v/>
      </c>
      <c r="K52">
        <f>E52+(K51-E51)*(1-$B$3)+I52</f>
        <v/>
      </c>
      <c r="L52">
        <f>EXP(G52)*K52^$B$2</f>
        <v/>
      </c>
      <c r="M52">
        <f>L52-H52</f>
        <v/>
      </c>
      <c r="N52">
        <f>L52</f>
        <v/>
      </c>
      <c r="O52">
        <f>(N52-N51)/N51</f>
        <v/>
      </c>
      <c r="P52">
        <f>(H52-H51)/H51</f>
        <v/>
      </c>
    </row>
    <row r="53">
      <c r="C53" t="n">
        <v>2019</v>
      </c>
      <c r="D53">
        <f>E53/F53</f>
        <v/>
      </c>
      <c r="E53">
        <f>PWT!B31</f>
        <v/>
      </c>
      <c r="F53">
        <f>WEO_Data!C27</f>
        <v/>
      </c>
      <c r="G53">
        <f>L23</f>
        <v/>
      </c>
      <c r="H53">
        <f>EXP(G53)*E53^$B$2</f>
        <v/>
      </c>
      <c r="I53">
        <f>IFERROR(INDEX(Investment!$C$2:$C$9,MATCH(C53,Investment!$B$2:$B$9,0)),0)</f>
        <v/>
      </c>
      <c r="J53">
        <f>K53-E53</f>
        <v/>
      </c>
      <c r="K53">
        <f>E53+(K52-E52)*(1-$B$3)+I53</f>
        <v/>
      </c>
      <c r="L53">
        <f>EXP(G53)*K53^$B$2</f>
        <v/>
      </c>
      <c r="M53">
        <f>L53-H53</f>
        <v/>
      </c>
      <c r="N53">
        <f>L53</f>
        <v/>
      </c>
      <c r="O53">
        <f>(N53-N52)/N52</f>
        <v/>
      </c>
      <c r="P53">
        <f>(H53-H52)/H52</f>
        <v/>
      </c>
    </row>
    <row r="54">
      <c r="C54" t="n">
        <v>2020</v>
      </c>
      <c r="D54">
        <f>E54/F54</f>
        <v/>
      </c>
      <c r="E54">
        <f>PWT!B32</f>
        <v/>
      </c>
      <c r="F54">
        <f>WEO_Data!C28</f>
        <v/>
      </c>
      <c r="G54">
        <f>L24</f>
        <v/>
      </c>
      <c r="H54">
        <f>EXP(G54)*E54^$B$2</f>
        <v/>
      </c>
      <c r="I54">
        <f>IFERROR(INDEX(Investment!$C$2:$C$9,MATCH(C54,Investment!$B$2:$B$9,0)),0)</f>
        <v/>
      </c>
      <c r="J54">
        <f>K54-E54</f>
        <v/>
      </c>
      <c r="K54">
        <f>E54+(K53-E53)*(1-$B$3)+I54</f>
        <v/>
      </c>
      <c r="L54">
        <f>EXP(G54)*K54^$B$2</f>
        <v/>
      </c>
      <c r="M54">
        <f>L54-H54</f>
        <v/>
      </c>
      <c r="N54">
        <f>L54</f>
        <v/>
      </c>
      <c r="O54">
        <f>(N54-N53)/N53</f>
        <v/>
      </c>
      <c r="P54">
        <f>(H54-H53)/H53</f>
        <v/>
      </c>
    </row>
    <row r="55">
      <c r="C55" t="n">
        <v>2021</v>
      </c>
      <c r="D55">
        <f>E55/F55</f>
        <v/>
      </c>
      <c r="E55">
        <f>PWT!B33</f>
        <v/>
      </c>
      <c r="F55">
        <f>WEO_Data!C29</f>
        <v/>
      </c>
      <c r="G55">
        <f>L25</f>
        <v/>
      </c>
      <c r="H55">
        <f>EXP(G55)*E55^$B$2</f>
        <v/>
      </c>
      <c r="I55">
        <f>IFERROR(INDEX(Investment!$C$2:$C$9,MATCH(C55,Investment!$B$2:$B$9,0)),0)</f>
        <v/>
      </c>
      <c r="J55">
        <f>K55-E55</f>
        <v/>
      </c>
      <c r="K55">
        <f>E55+(K54-E54)*(1-$B$3)+I55</f>
        <v/>
      </c>
      <c r="L55">
        <f>EXP(G55)*K55^$B$2</f>
        <v/>
      </c>
      <c r="M55">
        <f>L55-H55</f>
        <v/>
      </c>
      <c r="N55">
        <f>L55</f>
        <v/>
      </c>
      <c r="O55">
        <f>(N55-N54)/N54</f>
        <v/>
      </c>
      <c r="P55">
        <f>(H55-H54)/H54</f>
        <v/>
      </c>
    </row>
    <row r="56">
      <c r="C56" t="n">
        <v>2022</v>
      </c>
      <c r="D56">
        <f>E56/F56</f>
        <v/>
      </c>
      <c r="E56">
        <f>PWT!B34</f>
        <v/>
      </c>
      <c r="F56">
        <f>WEO_Data!C30</f>
        <v/>
      </c>
      <c r="G56">
        <f>L26</f>
        <v/>
      </c>
      <c r="H56">
        <f>EXP(G56)*E56^$B$2</f>
        <v/>
      </c>
      <c r="I56">
        <f>IFERROR(INDEX(Investment!$C$2:$C$9,MATCH(C56,Investment!$B$2:$B$9,0)),0)</f>
        <v/>
      </c>
      <c r="J56">
        <f>K56-E56</f>
        <v/>
      </c>
      <c r="K56">
        <f>E56+(K55-E55)*(1-$B$3)+I56</f>
        <v/>
      </c>
      <c r="L56">
        <f>EXP(G56)*K56^$B$2</f>
        <v/>
      </c>
      <c r="M56">
        <f>L56-H56</f>
        <v/>
      </c>
      <c r="N56">
        <f>L56</f>
        <v/>
      </c>
      <c r="O56">
        <f>(N56-N55)/N55</f>
        <v/>
      </c>
      <c r="P56">
        <f>(H56-H55)/H55</f>
        <v/>
      </c>
    </row>
    <row r="57">
      <c r="C57" t="n">
        <v>2023</v>
      </c>
      <c r="D57">
        <f>E57/F57</f>
        <v/>
      </c>
      <c r="E57">
        <f>PWT!B35</f>
        <v/>
      </c>
      <c r="F57">
        <f>WEO_Data!C31</f>
        <v/>
      </c>
      <c r="G57">
        <f>L27</f>
        <v/>
      </c>
      <c r="H57">
        <f>EXP(G57)*E57^$B$2</f>
        <v/>
      </c>
      <c r="I57">
        <f>IFERROR(INDEX(Investment!$C$2:$C$9,MATCH(C57,Investment!$B$2:$B$9,0)),0)</f>
        <v/>
      </c>
      <c r="J57">
        <f>K57-E57</f>
        <v/>
      </c>
      <c r="K57">
        <f>E57+(K56-E56)*(1-$B$3)+I57</f>
        <v/>
      </c>
      <c r="L57">
        <f>EXP(G57)*K57^$B$2</f>
        <v/>
      </c>
      <c r="M57">
        <f>L57-H57</f>
        <v/>
      </c>
      <c r="N57">
        <f>L57</f>
        <v/>
      </c>
      <c r="O57">
        <f>(N57-N56)/N56</f>
        <v/>
      </c>
      <c r="P57">
        <f>(H57-H56)/H56</f>
        <v/>
      </c>
    </row>
    <row r="58">
      <c r="C58" t="n">
        <v>2024</v>
      </c>
      <c r="D58">
        <f>E58/F58</f>
        <v/>
      </c>
      <c r="E58">
        <f>F58*AVERAGE($D$49:$D$57)</f>
        <v/>
      </c>
      <c r="F58">
        <f>WEO_Data!C32</f>
        <v/>
      </c>
      <c r="G58">
        <f>TREND($L$6:$L$27,$C$6:$C$27,C58)</f>
        <v/>
      </c>
      <c r="H58">
        <f>EXP(G58)*E58^$B$2</f>
        <v/>
      </c>
      <c r="I58">
        <f>IFERROR(INDEX(Investment!$C$2:$C$9,MATCH(C58,Investment!$B$2:$B$9,0)),0)</f>
        <v/>
      </c>
      <c r="J58">
        <f>K58-E58</f>
        <v/>
      </c>
      <c r="K58">
        <f>E58+(K57-E57)*(1-$B$3)+I58</f>
        <v/>
      </c>
      <c r="L58">
        <f>EXP(G58)*K58^$B$2</f>
        <v/>
      </c>
      <c r="M58">
        <f>L58-H58</f>
        <v/>
      </c>
      <c r="N58">
        <f>L58</f>
        <v/>
      </c>
      <c r="O58">
        <f>(N58-N57)/N57</f>
        <v/>
      </c>
      <c r="P58">
        <f>(H58-H57)/H57</f>
        <v/>
      </c>
    </row>
    <row r="59">
      <c r="C59" t="n">
        <v>2025</v>
      </c>
      <c r="D59">
        <f>E59/F59</f>
        <v/>
      </c>
      <c r="E59">
        <f>F59*AVERAGE($D$49:$D$57)</f>
        <v/>
      </c>
      <c r="F59">
        <f>WEO_Data!C33</f>
        <v/>
      </c>
      <c r="G59">
        <f>TREND($L$6:$L$27,$C$6:$C$27,C59)</f>
        <v/>
      </c>
      <c r="H59">
        <f>EXP(G59)*E59^$B$2</f>
        <v/>
      </c>
      <c r="I59">
        <f>IFERROR(INDEX(Investment!$C$2:$C$9,MATCH(C59,Investment!$B$2:$B$9,0)),0)</f>
        <v/>
      </c>
      <c r="J59">
        <f>K59-E59</f>
        <v/>
      </c>
      <c r="K59">
        <f>E59+(K58-E58)*(1-$B$3)+I59</f>
        <v/>
      </c>
      <c r="L59">
        <f>EXP(G59)*K59^$B$2</f>
        <v/>
      </c>
      <c r="M59">
        <f>L59-H59</f>
        <v/>
      </c>
      <c r="N59">
        <f>L59</f>
        <v/>
      </c>
      <c r="O59">
        <f>(N59-N58)/N58</f>
        <v/>
      </c>
      <c r="P59">
        <f>(H59-H58)/H58</f>
        <v/>
      </c>
    </row>
    <row r="60">
      <c r="C60" t="n">
        <v>2026</v>
      </c>
      <c r="D60">
        <f>E60/F60</f>
        <v/>
      </c>
      <c r="E60">
        <f>F60*AVERAGE($D$49:$D$57)</f>
        <v/>
      </c>
      <c r="F60">
        <f>WEO_Data!C34</f>
        <v/>
      </c>
      <c r="G60">
        <f>TREND($L$6:$L$27,$C$6:$C$27,C60)</f>
        <v/>
      </c>
      <c r="H60">
        <f>EXP(G60)*E60^$B$2</f>
        <v/>
      </c>
      <c r="I60">
        <f>IFERROR(INDEX(Investment!$C$2:$C$9,MATCH(C60,Investment!$B$2:$B$9,0)),0)</f>
        <v/>
      </c>
      <c r="J60">
        <f>K60-E60</f>
        <v/>
      </c>
      <c r="K60">
        <f>E60+(K59-E59)*(1-$B$3)+I60</f>
        <v/>
      </c>
      <c r="L60">
        <f>EXP(G60)*K60^$B$2</f>
        <v/>
      </c>
      <c r="M60">
        <f>L60-H60</f>
        <v/>
      </c>
      <c r="N60">
        <f>L60</f>
        <v/>
      </c>
      <c r="O60">
        <f>(N60-N59)/N59</f>
        <v/>
      </c>
      <c r="P60">
        <f>(H60-H59)/H59</f>
        <v/>
      </c>
    </row>
    <row r="61">
      <c r="C61" t="n">
        <v>2027</v>
      </c>
      <c r="D61">
        <f>E61/F61</f>
        <v/>
      </c>
      <c r="E61">
        <f>F61*AVERAGE($D$49:$D$57)</f>
        <v/>
      </c>
      <c r="F61">
        <f>WEO_Data!C35</f>
        <v/>
      </c>
      <c r="G61">
        <f>TREND($L$6:$L$27,$C$6:$C$27,C61)</f>
        <v/>
      </c>
      <c r="H61">
        <f>EXP(G61)*E61^$B$2</f>
        <v/>
      </c>
      <c r="I61">
        <f>IFERROR(INDEX(Investment!$C$2:$C$9,MATCH(C61,Investment!$B$2:$B$9,0)),0)</f>
        <v/>
      </c>
      <c r="J61">
        <f>K61-E61</f>
        <v/>
      </c>
      <c r="K61">
        <f>E61+(K60-E60)*(1-$B$3)+I61</f>
        <v/>
      </c>
      <c r="L61">
        <f>EXP(G61)*K61^$B$2</f>
        <v/>
      </c>
      <c r="M61">
        <f>L61-H61</f>
        <v/>
      </c>
      <c r="N61">
        <f>L61</f>
        <v/>
      </c>
      <c r="O61">
        <f>(N61-N60)/N60</f>
        <v/>
      </c>
      <c r="P61">
        <f>(H61-H60)/H60</f>
        <v/>
      </c>
    </row>
    <row r="62">
      <c r="C62" t="n">
        <v>2028</v>
      </c>
      <c r="D62">
        <f>E62/F62</f>
        <v/>
      </c>
      <c r="E62">
        <f>F62*AVERAGE($D$49:$D$57)</f>
        <v/>
      </c>
      <c r="F62">
        <f>WEO_Data!C36</f>
        <v/>
      </c>
      <c r="G62">
        <f>TREND($L$6:$L$27,$C$6:$C$27,C62)</f>
        <v/>
      </c>
      <c r="H62">
        <f>EXP(G62)*E62^$B$2</f>
        <v/>
      </c>
      <c r="I62">
        <f>IFERROR(INDEX(Investment!$C$2:$C$9,MATCH(C62,Investment!$B$2:$B$9,0)),0)</f>
        <v/>
      </c>
      <c r="J62">
        <f>K62-E62</f>
        <v/>
      </c>
      <c r="K62">
        <f>E62+(K61-E61)*(1-$B$3)+I62</f>
        <v/>
      </c>
      <c r="L62">
        <f>EXP(G62)*K62^$B$2</f>
        <v/>
      </c>
      <c r="M62">
        <f>L62-H62</f>
        <v/>
      </c>
      <c r="N62">
        <f>L62</f>
        <v/>
      </c>
      <c r="O62">
        <f>(N62-N61)/N61</f>
        <v/>
      </c>
      <c r="P62">
        <f>(H62-H61)/H61</f>
        <v/>
      </c>
    </row>
    <row r="63">
      <c r="C63" t="n">
        <v>2029</v>
      </c>
      <c r="D63">
        <f>E63/F63</f>
        <v/>
      </c>
      <c r="E63">
        <f>F63*AVERAGE($D$49:$D$57)</f>
        <v/>
      </c>
      <c r="F63">
        <f>WEO_Data!C37</f>
        <v/>
      </c>
      <c r="G63">
        <f>TREND($L$6:$L$27,$C$6:$C$27,C63)</f>
        <v/>
      </c>
      <c r="H63">
        <f>EXP(G63)*E63^$B$2</f>
        <v/>
      </c>
      <c r="I63">
        <f>IFERROR(INDEX(Investment!$C$2:$C$9,MATCH(C63,Investment!$B$2:$B$9,0)),0)</f>
        <v/>
      </c>
      <c r="J63">
        <f>K63-E63</f>
        <v/>
      </c>
      <c r="K63">
        <f>E63+(K62-E62)*(1-$B$3)+I63</f>
        <v/>
      </c>
      <c r="L63">
        <f>EXP(G63)*K63^$B$2</f>
        <v/>
      </c>
      <c r="M63">
        <f>L63-H63</f>
        <v/>
      </c>
      <c r="N63">
        <f>L63</f>
        <v/>
      </c>
      <c r="O63">
        <f>(N63-N62)/N62</f>
        <v/>
      </c>
      <c r="P63">
        <f>(H63-H62)/H62</f>
        <v/>
      </c>
    </row>
    <row r="64">
      <c r="C64" t="n">
        <v>2030</v>
      </c>
      <c r="D64">
        <f>E64/F64</f>
        <v/>
      </c>
      <c r="E64">
        <f>F64*AVERAGE($D$49:$D$57)</f>
        <v/>
      </c>
      <c r="F64">
        <f>WEO_Data!C38</f>
        <v/>
      </c>
      <c r="G64">
        <f>TREND($L$6:$L$27,$C$6:$C$27,C64)</f>
        <v/>
      </c>
      <c r="H64">
        <f>EXP(G64)*E64^$B$2</f>
        <v/>
      </c>
      <c r="I64">
        <f>IFERROR(INDEX(Investment!$C$2:$C$9,MATCH(C64,Investment!$B$2:$B$9,0)),0)</f>
        <v/>
      </c>
      <c r="J64">
        <f>K64-E64</f>
        <v/>
      </c>
      <c r="K64">
        <f>E64+(K63-E63)*(1-$B$3)+I64</f>
        <v/>
      </c>
      <c r="L64">
        <f>EXP(G64)*K64^$B$2</f>
        <v/>
      </c>
      <c r="M64">
        <f>L64-H64</f>
        <v/>
      </c>
      <c r="N64">
        <f>L64</f>
        <v/>
      </c>
      <c r="O64">
        <f>(N64-N63)/N63</f>
        <v/>
      </c>
      <c r="P64">
        <f>(H64-H63)/H63</f>
        <v/>
      </c>
    </row>
    <row r="65">
      <c r="C65" t="n">
        <v>2031</v>
      </c>
      <c r="D65">
        <f>E65/F65</f>
        <v/>
      </c>
      <c r="E65">
        <f>F65*AVERAGE($D$49:$D$57)</f>
        <v/>
      </c>
      <c r="F65">
        <f>WEO_Data!C39</f>
        <v/>
      </c>
      <c r="G65">
        <f>TREND($L$6:$L$27,$C$6:$C$27,C65)</f>
        <v/>
      </c>
      <c r="H65">
        <f>EXP(G65)*E65^$B$2</f>
        <v/>
      </c>
      <c r="I65">
        <f>IFERROR(INDEX(Investment!$C$2:$C$9,MATCH(C65,Investment!$B$2:$B$9,0)),0)</f>
        <v/>
      </c>
      <c r="J65">
        <f>K65-E65</f>
        <v/>
      </c>
      <c r="K65">
        <f>E65+(K64-E64)*(1-$B$3)+I65</f>
        <v/>
      </c>
      <c r="L65">
        <f>EXP(G65)*K65^$B$2</f>
        <v/>
      </c>
      <c r="M65">
        <f>L65-H65</f>
        <v/>
      </c>
      <c r="N65">
        <f>L65</f>
        <v/>
      </c>
      <c r="O65">
        <f>(N65-N64)/N64</f>
        <v/>
      </c>
      <c r="P65">
        <f>(H65-H64)/H64</f>
        <v/>
      </c>
    </row>
    <row r="66">
      <c r="C66" t="n">
        <v>2032</v>
      </c>
      <c r="D66">
        <f>E66/F66</f>
        <v/>
      </c>
      <c r="E66">
        <f>F66*AVERAGE($D$49:$D$57)</f>
        <v/>
      </c>
      <c r="F66">
        <f>WEO_Data!C40</f>
        <v/>
      </c>
      <c r="G66">
        <f>TREND($L$6:$L$27,$C$6:$C$27,C66)</f>
        <v/>
      </c>
      <c r="H66">
        <f>EXP(G66)*E66^$B$2</f>
        <v/>
      </c>
      <c r="I66">
        <f>IFERROR(INDEX(Investment!$C$2:$C$9,MATCH(C66,Investment!$B$2:$B$9,0)),0)</f>
        <v/>
      </c>
      <c r="J66">
        <f>K66-E66</f>
        <v/>
      </c>
      <c r="K66">
        <f>E66+(K65-E65)*(1-$B$3)+I66</f>
        <v/>
      </c>
      <c r="L66">
        <f>EXP(G66)*K66^$B$2</f>
        <v/>
      </c>
      <c r="M66">
        <f>L66-H66</f>
        <v/>
      </c>
      <c r="N66">
        <f>L66</f>
        <v/>
      </c>
      <c r="O66">
        <f>(N66-N65)/N65</f>
        <v/>
      </c>
      <c r="P66">
        <f>(H66-H65)/H65</f>
        <v/>
      </c>
    </row>
    <row r="67">
      <c r="C67" t="n">
        <v>2033</v>
      </c>
      <c r="D67">
        <f>E67/F67</f>
        <v/>
      </c>
      <c r="E67">
        <f>F67*AVERAGE($D$49:$D$57)</f>
        <v/>
      </c>
      <c r="F67">
        <f>WEO_Data!C41</f>
        <v/>
      </c>
      <c r="G67">
        <f>TREND($L$6:$L$27,$C$6:$C$27,C67)</f>
        <v/>
      </c>
      <c r="H67">
        <f>EXP(G67)*E67^$B$2</f>
        <v/>
      </c>
      <c r="I67">
        <f>IFERROR(INDEX(Investment!$C$2:$C$9,MATCH(C67,Investment!$B$2:$B$9,0)),0)</f>
        <v/>
      </c>
      <c r="J67">
        <f>K67-E67</f>
        <v/>
      </c>
      <c r="K67">
        <f>E67+(K66-E66)*(1-$B$3)+I67</f>
        <v/>
      </c>
      <c r="L67">
        <f>EXP(G67)*K67^$B$2</f>
        <v/>
      </c>
      <c r="M67">
        <f>L67-H67</f>
        <v/>
      </c>
      <c r="N67">
        <f>L67</f>
        <v/>
      </c>
      <c r="O67">
        <f>(N67-N66)/N66</f>
        <v/>
      </c>
      <c r="P67">
        <f>(H67-H66)/H66</f>
        <v/>
      </c>
    </row>
    <row r="68">
      <c r="C68" t="n">
        <v>2034</v>
      </c>
      <c r="D68">
        <f>E68/F68</f>
        <v/>
      </c>
      <c r="E68">
        <f>F68*AVERAGE($D$49:$D$57)</f>
        <v/>
      </c>
      <c r="F68">
        <f>WEO_Data!C42</f>
        <v/>
      </c>
      <c r="G68">
        <f>TREND($L$6:$L$27,$C$6:$C$27,C68)</f>
        <v/>
      </c>
      <c r="H68">
        <f>EXP(G68)*E68^$B$2</f>
        <v/>
      </c>
      <c r="I68">
        <f>IFERROR(INDEX(Investment!$C$2:$C$9,MATCH(C68,Investment!$B$2:$B$9,0)),0)</f>
        <v/>
      </c>
      <c r="J68">
        <f>K68-E68</f>
        <v/>
      </c>
      <c r="K68">
        <f>E68+(K67-E67)*(1-$B$3)+I68</f>
        <v/>
      </c>
      <c r="L68">
        <f>EXP(G68)*K68^$B$2</f>
        <v/>
      </c>
      <c r="M68">
        <f>L68-H68</f>
        <v/>
      </c>
      <c r="N68">
        <f>L68</f>
        <v/>
      </c>
      <c r="O68">
        <f>(N68-N67)/N67</f>
        <v/>
      </c>
      <c r="P68">
        <f>(H68-H67)/H67</f>
        <v/>
      </c>
    </row>
    <row r="69">
      <c r="C69" t="n">
        <v>2035</v>
      </c>
      <c r="D69">
        <f>E69/F69</f>
        <v/>
      </c>
      <c r="E69">
        <f>F69*AVERAGE($D$49:$D$57)</f>
        <v/>
      </c>
      <c r="F69">
        <f>WEO_Data!C43</f>
        <v/>
      </c>
      <c r="G69">
        <f>TREND($L$6:$L$27,$C$6:$C$27,C69)</f>
        <v/>
      </c>
      <c r="H69">
        <f>EXP(G69)*E69^$B$2</f>
        <v/>
      </c>
      <c r="I69">
        <f>IFERROR(INDEX(Investment!$C$2:$C$9,MATCH(C69,Investment!$B$2:$B$9,0)),0)</f>
        <v/>
      </c>
      <c r="J69">
        <f>K69-E69</f>
        <v/>
      </c>
      <c r="K69">
        <f>E69+(K68-E68)*(1-$B$3)+I69</f>
        <v/>
      </c>
      <c r="L69">
        <f>EXP(G69)*K69^$B$2</f>
        <v/>
      </c>
      <c r="M69">
        <f>L69-H69</f>
        <v/>
      </c>
      <c r="N69">
        <f>L69</f>
        <v/>
      </c>
      <c r="O69">
        <f>(N69-N68)/N68</f>
        <v/>
      </c>
      <c r="P69">
        <f>(H69-H68)/H68</f>
        <v/>
      </c>
    </row>
    <row r="70">
      <c r="C70" t="n">
        <v>2036</v>
      </c>
      <c r="D70">
        <f>E70/F70</f>
        <v/>
      </c>
      <c r="E70">
        <f>F70*AVERAGE($D$49:$D$57)</f>
        <v/>
      </c>
      <c r="F70">
        <f>WEO_Data!C44</f>
        <v/>
      </c>
      <c r="G70">
        <f>TREND($L$6:$L$27,$C$6:$C$27,C70)</f>
        <v/>
      </c>
      <c r="H70">
        <f>EXP(G70)*E70^$B$2</f>
        <v/>
      </c>
      <c r="I70">
        <f>IFERROR(INDEX(Investment!$C$2:$C$9,MATCH(C70,Investment!$B$2:$B$9,0)),0)</f>
        <v/>
      </c>
      <c r="J70">
        <f>K70-E70</f>
        <v/>
      </c>
      <c r="K70">
        <f>E70+(K69-E69)*(1-$B$3)+I70</f>
        <v/>
      </c>
      <c r="L70">
        <f>EXP(G70)*K70^$B$2</f>
        <v/>
      </c>
      <c r="M70">
        <f>L70-H70</f>
        <v/>
      </c>
      <c r="N70">
        <f>L70</f>
        <v/>
      </c>
      <c r="O70">
        <f>(N70-N69)/N69</f>
        <v/>
      </c>
      <c r="P70">
        <f>(H70-H69)/H69</f>
        <v/>
      </c>
    </row>
    <row r="71">
      <c r="C71" t="n">
        <v>2037</v>
      </c>
      <c r="D71">
        <f>E71/F71</f>
        <v/>
      </c>
      <c r="E71">
        <f>F71*AVERAGE($D$49:$D$57)</f>
        <v/>
      </c>
      <c r="F71">
        <f>WEO_Data!C45</f>
        <v/>
      </c>
      <c r="G71">
        <f>TREND($L$6:$L$27,$C$6:$C$27,C71)</f>
        <v/>
      </c>
      <c r="H71">
        <f>EXP(G71)*E71^$B$2</f>
        <v/>
      </c>
      <c r="I71">
        <f>IFERROR(INDEX(Investment!$C$2:$C$9,MATCH(C71,Investment!$B$2:$B$9,0)),0)</f>
        <v/>
      </c>
      <c r="J71">
        <f>K71-E71</f>
        <v/>
      </c>
      <c r="K71">
        <f>E71+(K70-E70)*(1-$B$3)+I71</f>
        <v/>
      </c>
      <c r="L71">
        <f>EXP(G71)*K71^$B$2</f>
        <v/>
      </c>
      <c r="M71">
        <f>L71-H71</f>
        <v/>
      </c>
      <c r="N71">
        <f>L71</f>
        <v/>
      </c>
      <c r="O71">
        <f>(N71-N70)/N70</f>
        <v/>
      </c>
      <c r="P71">
        <f>(H71-H70)/H70</f>
        <v/>
      </c>
    </row>
    <row r="72">
      <c r="C72" t="n">
        <v>2038</v>
      </c>
      <c r="D72">
        <f>E72/F72</f>
        <v/>
      </c>
      <c r="E72">
        <f>F72*AVERAGE($D$49:$D$57)</f>
        <v/>
      </c>
      <c r="F72">
        <f>WEO_Data!C46</f>
        <v/>
      </c>
      <c r="G72">
        <f>TREND($L$6:$L$27,$C$6:$C$27,C72)</f>
        <v/>
      </c>
      <c r="H72">
        <f>EXP(G72)*E72^$B$2</f>
        <v/>
      </c>
      <c r="I72">
        <f>IFERROR(INDEX(Investment!$C$2:$C$9,MATCH(C72,Investment!$B$2:$B$9,0)),0)</f>
        <v/>
      </c>
      <c r="J72">
        <f>K72-E72</f>
        <v/>
      </c>
      <c r="K72">
        <f>E72+(K71-E71)*(1-$B$3)+I72</f>
        <v/>
      </c>
      <c r="L72">
        <f>EXP(G72)*K72^$B$2</f>
        <v/>
      </c>
      <c r="M72">
        <f>L72-H72</f>
        <v/>
      </c>
      <c r="N72">
        <f>L72</f>
        <v/>
      </c>
      <c r="O72">
        <f>(N72-N71)/N71</f>
        <v/>
      </c>
      <c r="P72">
        <f>(H72-H71)/H71</f>
        <v/>
      </c>
    </row>
    <row r="73">
      <c r="C73" t="n">
        <v>2039</v>
      </c>
      <c r="D73">
        <f>E73/F73</f>
        <v/>
      </c>
      <c r="E73">
        <f>F73*AVERAGE($D$49:$D$57)</f>
        <v/>
      </c>
      <c r="F73">
        <f>WEO_Data!C47</f>
        <v/>
      </c>
      <c r="G73">
        <f>TREND($L$6:$L$27,$C$6:$C$27,C73)</f>
        <v/>
      </c>
      <c r="H73">
        <f>EXP(G73)*E73^$B$2</f>
        <v/>
      </c>
      <c r="I73">
        <f>IFERROR(INDEX(Investment!$C$2:$C$9,MATCH(C73,Investment!$B$2:$B$9,0)),0)</f>
        <v/>
      </c>
      <c r="J73">
        <f>K73-E73</f>
        <v/>
      </c>
      <c r="K73">
        <f>E73+(K72-E72)*(1-$B$3)+I73</f>
        <v/>
      </c>
      <c r="L73">
        <f>EXP(G73)*K73^$B$2</f>
        <v/>
      </c>
      <c r="M73">
        <f>L73-H73</f>
        <v/>
      </c>
      <c r="N73">
        <f>L73</f>
        <v/>
      </c>
      <c r="O73">
        <f>(N73-N72)/N72</f>
        <v/>
      </c>
      <c r="P73">
        <f>(H73-H72)/H72</f>
        <v/>
      </c>
    </row>
    <row r="74">
      <c r="C74" t="n">
        <v>2040</v>
      </c>
      <c r="D74">
        <f>E74/F74</f>
        <v/>
      </c>
      <c r="E74">
        <f>F74*AVERAGE($D$49:$D$57)</f>
        <v/>
      </c>
      <c r="F74">
        <f>WEO_Data!C48</f>
        <v/>
      </c>
      <c r="G74">
        <f>TREND($L$6:$L$27,$C$6:$C$27,C74)</f>
        <v/>
      </c>
      <c r="H74">
        <f>EXP(G74)*E74^$B$2</f>
        <v/>
      </c>
      <c r="I74">
        <f>IFERROR(INDEX(Investment!$C$2:$C$9,MATCH(C74,Investment!$B$2:$B$9,0)),0)</f>
        <v/>
      </c>
      <c r="J74">
        <f>K74-E74</f>
        <v/>
      </c>
      <c r="K74">
        <f>E74+(K73-E73)*(1-$B$3)+I74</f>
        <v/>
      </c>
      <c r="L74">
        <f>EXP(G74)*K74^$B$2</f>
        <v/>
      </c>
      <c r="M74">
        <f>L74-H74</f>
        <v/>
      </c>
      <c r="N74">
        <f>L74</f>
        <v/>
      </c>
      <c r="O74">
        <f>(N74-N73)/N73</f>
        <v/>
      </c>
      <c r="P74">
        <f>(H74-H73)/H73</f>
        <v/>
      </c>
    </row>
    <row r="75">
      <c r="C75" t="n">
        <v>2041</v>
      </c>
      <c r="D75">
        <f>E75/F75</f>
        <v/>
      </c>
      <c r="E75">
        <f>F75*AVERAGE($D$49:$D$57)</f>
        <v/>
      </c>
      <c r="F75">
        <f>WEO_Data!C49</f>
        <v/>
      </c>
      <c r="G75">
        <f>TREND($L$6:$L$27,$C$6:$C$27,C75)</f>
        <v/>
      </c>
      <c r="H75">
        <f>EXP(G75)*E75^$B$2</f>
        <v/>
      </c>
      <c r="I75">
        <f>IFERROR(INDEX(Investment!$C$2:$C$9,MATCH(C75,Investment!$B$2:$B$9,0)),0)</f>
        <v/>
      </c>
      <c r="J75">
        <f>K75-E75</f>
        <v/>
      </c>
      <c r="K75">
        <f>E75+(K74-E74)*(1-$B$3)+I75</f>
        <v/>
      </c>
      <c r="L75">
        <f>EXP(G75)*K75^$B$2</f>
        <v/>
      </c>
      <c r="M75">
        <f>L75-H75</f>
        <v/>
      </c>
      <c r="N75">
        <f>L75</f>
        <v/>
      </c>
      <c r="O75">
        <f>(N75-N74)/N74</f>
        <v/>
      </c>
      <c r="P75">
        <f>(H75-H74)/H74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9"/>
  <sheetViews>
    <sheetView workbookViewId="0">
      <selection activeCell="A1" sqref="A1"/>
    </sheetView>
  </sheetViews>
  <sheetFormatPr baseColWidth="8" defaultRowHeight="15"/>
  <sheetData>
    <row r="1">
      <c r="B1" t="inlineStr">
        <is>
          <t>Year</t>
        </is>
      </c>
      <c r="C1" t="inlineStr">
        <is>
          <t>Project Investment (Deflated)</t>
        </is>
      </c>
    </row>
    <row r="2">
      <c r="B2" t="n">
        <v>2026</v>
      </c>
      <c r="C2" t="n">
        <v>648.5893139999999</v>
      </c>
    </row>
    <row r="3">
      <c r="B3" t="n">
        <v>2027</v>
      </c>
      <c r="C3" t="n">
        <v>1220.080197</v>
      </c>
    </row>
    <row r="4">
      <c r="B4" t="n">
        <v>2028</v>
      </c>
      <c r="C4" t="n">
        <v>1756.17368</v>
      </c>
    </row>
    <row r="5">
      <c r="B5" t="n">
        <v>2029</v>
      </c>
      <c r="C5" t="n">
        <v>2221.194701</v>
      </c>
    </row>
    <row r="6">
      <c r="B6" t="n">
        <v>2030</v>
      </c>
      <c r="C6" t="n">
        <v>2122.467876</v>
      </c>
    </row>
    <row r="7">
      <c r="B7" t="n">
        <v>2031</v>
      </c>
      <c r="C7" t="n">
        <v>1524.524585</v>
      </c>
    </row>
    <row r="8">
      <c r="B8" t="n">
        <v>2032</v>
      </c>
      <c r="C8" t="n">
        <v>738.1763110000001</v>
      </c>
    </row>
    <row r="9">
      <c r="B9" t="n">
        <v>2033</v>
      </c>
      <c r="C9" t="n">
        <v>352.605977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 PERIOD</t>
        </is>
      </c>
      <c r="C1" t="inlineStr">
        <is>
          <t>Consumption of fixed capital (IDCM.A.N.GE.W2.S1.S1.D.P51C.N1G._T._Z.XDC.V.N)</t>
        </is>
      </c>
      <c r="D1" t="inlineStr">
        <is>
          <t>Capital Stock</t>
        </is>
      </c>
      <c r="E1" t="inlineStr">
        <is>
          <t>Depreciation rate</t>
        </is>
      </c>
    </row>
    <row r="2">
      <c r="B2" t="n">
        <v>1996</v>
      </c>
      <c r="C2" t="n">
        <v>304515091.76</v>
      </c>
      <c r="D2">
        <f>PWT!B8</f>
        <v/>
      </c>
      <c r="E2">
        <f>PWT!C8</f>
        <v/>
      </c>
    </row>
    <row r="3">
      <c r="B3" t="n">
        <v>1997</v>
      </c>
      <c r="C3" t="n">
        <v>383641663.61</v>
      </c>
      <c r="D3">
        <f>PWT!B9</f>
        <v/>
      </c>
      <c r="E3">
        <f>PWT!C9</f>
        <v/>
      </c>
    </row>
    <row r="4">
      <c r="B4" t="n">
        <v>1998</v>
      </c>
      <c r="C4" t="n">
        <v>516397121.22</v>
      </c>
      <c r="D4">
        <f>PWT!B10</f>
        <v/>
      </c>
      <c r="E4">
        <f>PWT!C10</f>
        <v/>
      </c>
    </row>
    <row r="5">
      <c r="B5" t="n">
        <v>1999</v>
      </c>
      <c r="C5" t="n">
        <v>661603834.4299999</v>
      </c>
      <c r="D5">
        <f>PWT!B11</f>
        <v/>
      </c>
      <c r="E5">
        <f>PWT!C11</f>
        <v/>
      </c>
    </row>
    <row r="6">
      <c r="B6" t="n">
        <v>2000</v>
      </c>
      <c r="C6" t="n">
        <v>631701000.89</v>
      </c>
      <c r="D6">
        <f>PWT!B12</f>
        <v/>
      </c>
      <c r="E6">
        <f>PWT!C12</f>
        <v/>
      </c>
    </row>
    <row r="7">
      <c r="B7" t="n">
        <v>2001</v>
      </c>
      <c r="C7" t="n">
        <v>706983726.79</v>
      </c>
      <c r="D7">
        <f>PWT!B13</f>
        <v/>
      </c>
      <c r="E7">
        <f>PWT!C13</f>
        <v/>
      </c>
    </row>
    <row r="8">
      <c r="B8" t="n">
        <v>2002</v>
      </c>
      <c r="C8" t="n">
        <v>790112565.2</v>
      </c>
      <c r="D8">
        <f>PWT!B14</f>
        <v/>
      </c>
      <c r="E8">
        <f>PWT!C14</f>
        <v/>
      </c>
    </row>
    <row r="9">
      <c r="B9" t="n">
        <v>2003</v>
      </c>
      <c r="C9" t="n">
        <v>932916219.67</v>
      </c>
      <c r="D9">
        <f>PWT!B15</f>
        <v/>
      </c>
      <c r="E9">
        <f>PWT!C15</f>
        <v/>
      </c>
    </row>
    <row r="10">
      <c r="B10" t="n">
        <v>2004</v>
      </c>
      <c r="C10" t="n">
        <v>976818537.8</v>
      </c>
      <c r="D10">
        <f>PWT!B16</f>
        <v/>
      </c>
      <c r="E10">
        <f>PWT!C16</f>
        <v/>
      </c>
    </row>
    <row r="11">
      <c r="B11" t="n">
        <v>2005</v>
      </c>
      <c r="C11" t="n">
        <v>1113450058.59</v>
      </c>
      <c r="D11">
        <f>PWT!B17</f>
        <v/>
      </c>
      <c r="E11">
        <f>PWT!C17</f>
        <v/>
      </c>
    </row>
    <row r="12">
      <c r="B12" t="n">
        <v>2006</v>
      </c>
      <c r="C12" t="n">
        <v>1306373084.13</v>
      </c>
      <c r="D12">
        <f>PWT!B18</f>
        <v/>
      </c>
      <c r="E12">
        <f>PWT!C18</f>
        <v/>
      </c>
    </row>
    <row r="13">
      <c r="B13" t="n">
        <v>2007</v>
      </c>
      <c r="C13" t="n">
        <v>1617029966.26</v>
      </c>
      <c r="D13">
        <f>PWT!B19</f>
        <v/>
      </c>
      <c r="E13">
        <f>PWT!C19</f>
        <v/>
      </c>
    </row>
    <row r="14">
      <c r="B14" t="n">
        <v>2008</v>
      </c>
      <c r="C14" t="n">
        <v>1758049267.67</v>
      </c>
      <c r="D14">
        <f>PWT!B20</f>
        <v/>
      </c>
      <c r="E14">
        <f>PWT!C20</f>
        <v/>
      </c>
    </row>
    <row r="15">
      <c r="B15" t="n">
        <v>2009</v>
      </c>
      <c r="C15" t="n">
        <v>1751366684.88</v>
      </c>
      <c r="D15">
        <f>PWT!B21</f>
        <v/>
      </c>
      <c r="E15">
        <f>PWT!C21</f>
        <v/>
      </c>
    </row>
    <row r="16">
      <c r="B16" t="n">
        <v>2010</v>
      </c>
      <c r="C16" t="n">
        <v>2046413234.67</v>
      </c>
      <c r="D16">
        <f>PWT!B22</f>
        <v/>
      </c>
      <c r="E16">
        <f>PWT!C22</f>
        <v/>
      </c>
    </row>
    <row r="17">
      <c r="B17" t="n">
        <v>2011</v>
      </c>
      <c r="C17" t="n">
        <v>2350512405.91</v>
      </c>
      <c r="D17">
        <f>PWT!B23</f>
        <v/>
      </c>
      <c r="E17">
        <f>PWT!C23</f>
        <v/>
      </c>
    </row>
    <row r="18">
      <c r="B18" t="n">
        <v>2012</v>
      </c>
      <c r="C18" t="n">
        <v>2643602887.97</v>
      </c>
      <c r="D18">
        <f>PWT!B24</f>
        <v/>
      </c>
      <c r="E18">
        <f>PWT!C24</f>
        <v/>
      </c>
    </row>
    <row r="19">
      <c r="B19" t="n">
        <v>2013</v>
      </c>
      <c r="C19" t="n">
        <v>1555932152.32</v>
      </c>
      <c r="D19">
        <f>PWT!B25</f>
        <v/>
      </c>
      <c r="E19">
        <f>PWT!C25</f>
        <v/>
      </c>
    </row>
    <row r="20">
      <c r="B20" t="n">
        <v>2014</v>
      </c>
      <c r="C20" t="n">
        <v>2984890468.69</v>
      </c>
      <c r="D20">
        <f>PWT!B26</f>
        <v/>
      </c>
      <c r="E20">
        <f>PWT!C26</f>
        <v/>
      </c>
    </row>
    <row r="21">
      <c r="B21" t="n">
        <v>2015</v>
      </c>
      <c r="C21" t="n">
        <v>3657280672.54</v>
      </c>
      <c r="D21">
        <f>PWT!B27</f>
        <v/>
      </c>
      <c r="E21">
        <f>PWT!C27</f>
        <v/>
      </c>
    </row>
    <row r="22">
      <c r="B22" t="n">
        <v>2016</v>
      </c>
      <c r="C22" t="n">
        <v>4004828719.85</v>
      </c>
      <c r="D22">
        <f>PWT!B28</f>
        <v/>
      </c>
      <c r="E22">
        <f>PWT!C28</f>
        <v/>
      </c>
    </row>
    <row r="23">
      <c r="B23" t="n">
        <v>2017</v>
      </c>
      <c r="C23" t="n">
        <v>4492921334.91</v>
      </c>
      <c r="D23">
        <f>PWT!B29</f>
        <v/>
      </c>
      <c r="E23">
        <f>PWT!C29</f>
        <v/>
      </c>
    </row>
    <row r="24">
      <c r="B24" t="n">
        <v>2018</v>
      </c>
      <c r="C24" t="n">
        <v>4843616440.29</v>
      </c>
      <c r="D24">
        <f>PWT!B30</f>
        <v/>
      </c>
      <c r="E24">
        <f>PWT!C30</f>
        <v/>
      </c>
    </row>
    <row r="25">
      <c r="B25" t="n">
        <v>2019</v>
      </c>
      <c r="C25" t="n">
        <v>5452957379.35</v>
      </c>
      <c r="D25">
        <f>PWT!B31</f>
        <v/>
      </c>
      <c r="E25">
        <f>PWT!C31</f>
        <v/>
      </c>
    </row>
    <row r="26">
      <c r="B26" t="n">
        <v>2020</v>
      </c>
      <c r="C26" t="n">
        <v>6152769261.62</v>
      </c>
      <c r="D26">
        <f>PWT!B32</f>
        <v/>
      </c>
      <c r="E26">
        <f>PWT!C32</f>
        <v/>
      </c>
    </row>
    <row r="27">
      <c r="B27" t="n">
        <v>2021</v>
      </c>
      <c r="C27" t="n">
        <v>7072625348.9</v>
      </c>
      <c r="D27">
        <f>PWT!B33</f>
        <v/>
      </c>
      <c r="E27">
        <f>PWT!C33</f>
        <v/>
      </c>
    </row>
    <row r="28">
      <c r="B28" t="n">
        <v>2022</v>
      </c>
      <c r="C28" t="n">
        <v>7661448474.88</v>
      </c>
      <c r="D28">
        <f>PWT!B34</f>
        <v/>
      </c>
      <c r="E28">
        <f>PWT!C34</f>
        <v/>
      </c>
    </row>
    <row r="29">
      <c r="B29" t="n">
        <v>2023</v>
      </c>
      <c r="C29" t="n">
        <v>9410657843.709999</v>
      </c>
      <c r="D29">
        <f>PWT!B35</f>
        <v/>
      </c>
      <c r="E29">
        <f>PWT!C35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rnna</t>
        </is>
      </c>
      <c r="C1" t="inlineStr">
        <is>
          <t>delta</t>
        </is>
      </c>
    </row>
    <row r="2">
      <c r="A2" t="n">
        <v>1990</v>
      </c>
      <c r="B2" t="n">
        <v>333953.90625</v>
      </c>
      <c r="C2" t="n">
        <v>0.0409929528832436</v>
      </c>
    </row>
    <row r="3">
      <c r="A3" t="n">
        <v>1991</v>
      </c>
      <c r="B3" t="n">
        <v>336800.125</v>
      </c>
      <c r="C3" t="n">
        <v>0.0411235168576241</v>
      </c>
    </row>
    <row r="4">
      <c r="A4" t="n">
        <v>1992</v>
      </c>
      <c r="B4" t="n">
        <v>331575.34375</v>
      </c>
      <c r="C4" t="n">
        <v>0.0402376800775528</v>
      </c>
    </row>
    <row r="5">
      <c r="A5" t="n">
        <v>1993</v>
      </c>
      <c r="B5" t="n">
        <v>318977.5625</v>
      </c>
      <c r="C5" t="n">
        <v>0.0383953675627708</v>
      </c>
    </row>
    <row r="6">
      <c r="A6" t="n">
        <v>1994</v>
      </c>
      <c r="B6" t="n">
        <v>310557.21875</v>
      </c>
      <c r="C6" t="n">
        <v>0.0363418571650982</v>
      </c>
    </row>
    <row r="7">
      <c r="A7" t="n">
        <v>1995</v>
      </c>
      <c r="B7" t="n">
        <v>305633.28125</v>
      </c>
      <c r="C7" t="n">
        <v>0.0346032343804836</v>
      </c>
    </row>
    <row r="8">
      <c r="A8" t="n">
        <v>1996</v>
      </c>
      <c r="B8" t="n">
        <v>301706.46875</v>
      </c>
      <c r="C8" t="n">
        <v>0.0332826301455498</v>
      </c>
    </row>
    <row r="9">
      <c r="A9" t="n">
        <v>1997</v>
      </c>
      <c r="B9" t="n">
        <v>298764.625</v>
      </c>
      <c r="C9" t="n">
        <v>0.0324222669005394</v>
      </c>
    </row>
    <row r="10">
      <c r="A10" t="n">
        <v>1998</v>
      </c>
      <c r="B10" t="n">
        <v>298990.5</v>
      </c>
      <c r="C10" t="n">
        <v>0.0320810526609421</v>
      </c>
    </row>
    <row r="11">
      <c r="A11" t="n">
        <v>1999</v>
      </c>
      <c r="B11" t="n">
        <v>299754.78125</v>
      </c>
      <c r="C11" t="n">
        <v>0.0320445038378239</v>
      </c>
    </row>
    <row r="12">
      <c r="A12" t="n">
        <v>2000</v>
      </c>
      <c r="B12" t="n">
        <v>300383.3125</v>
      </c>
      <c r="C12" t="n">
        <v>0.031913548707962</v>
      </c>
    </row>
    <row r="13">
      <c r="A13" t="n">
        <v>2001</v>
      </c>
      <c r="B13" t="n">
        <v>302284.0625</v>
      </c>
      <c r="C13" t="n">
        <v>0.0318191163241863</v>
      </c>
    </row>
    <row r="14">
      <c r="A14" t="n">
        <v>2002</v>
      </c>
      <c r="B14" t="n">
        <v>303592.625</v>
      </c>
      <c r="C14" t="n">
        <v>0.0315976105630398</v>
      </c>
    </row>
    <row r="15">
      <c r="A15" t="n">
        <v>2003</v>
      </c>
      <c r="B15" t="n">
        <v>307310.28125</v>
      </c>
      <c r="C15" t="n">
        <v>0.0312637500464916</v>
      </c>
    </row>
    <row r="16">
      <c r="A16" t="n">
        <v>2004</v>
      </c>
      <c r="B16" t="n">
        <v>311984.28125</v>
      </c>
      <c r="C16" t="n">
        <v>0.0316877923905849</v>
      </c>
    </row>
    <row r="17">
      <c r="A17" t="n">
        <v>2005</v>
      </c>
      <c r="B17" t="n">
        <v>317837.8125</v>
      </c>
      <c r="C17" t="n">
        <v>0.0329389497637749</v>
      </c>
    </row>
    <row r="18">
      <c r="A18" t="n">
        <v>2006</v>
      </c>
      <c r="B18" t="n">
        <v>322943.65625</v>
      </c>
      <c r="C18" t="n">
        <v>0.0344443172216415</v>
      </c>
    </row>
    <row r="19">
      <c r="A19" t="n">
        <v>2007</v>
      </c>
      <c r="B19" t="n">
        <v>329445.875</v>
      </c>
      <c r="C19" t="n">
        <v>0.0360632352530956</v>
      </c>
    </row>
    <row r="20">
      <c r="A20" t="n">
        <v>2008</v>
      </c>
      <c r="B20" t="n">
        <v>332604.46875</v>
      </c>
      <c r="C20" t="n">
        <v>0.0373382940888405</v>
      </c>
    </row>
    <row r="21">
      <c r="A21" t="n">
        <v>2009</v>
      </c>
      <c r="B21" t="n">
        <v>330608.28125</v>
      </c>
      <c r="C21" t="n">
        <v>0.0375244617462158</v>
      </c>
    </row>
    <row r="22">
      <c r="A22" t="n">
        <v>2010</v>
      </c>
      <c r="B22" t="n">
        <v>332551.53125</v>
      </c>
      <c r="C22" t="n">
        <v>0.0372243337333202</v>
      </c>
    </row>
    <row r="23">
      <c r="A23" t="n">
        <v>2011</v>
      </c>
      <c r="B23" t="n">
        <v>336560.28125</v>
      </c>
      <c r="C23" t="n">
        <v>0.037186823785305</v>
      </c>
    </row>
    <row r="24">
      <c r="A24" t="n">
        <v>2012</v>
      </c>
      <c r="B24" t="n">
        <v>341471.1875</v>
      </c>
      <c r="C24" t="n">
        <v>0.0371892042458057</v>
      </c>
    </row>
    <row r="25">
      <c r="A25" t="n">
        <v>2013</v>
      </c>
      <c r="B25" t="n">
        <v>344239.03125</v>
      </c>
      <c r="C25" t="n">
        <v>0.0372365638613701</v>
      </c>
    </row>
    <row r="26">
      <c r="A26" t="n">
        <v>2014</v>
      </c>
      <c r="B26" t="n">
        <v>350962.15625</v>
      </c>
      <c r="C26" t="n">
        <v>0.03755883872509</v>
      </c>
    </row>
    <row r="27">
      <c r="A27" t="n">
        <v>2015</v>
      </c>
      <c r="B27" t="n">
        <v>360259.8125</v>
      </c>
      <c r="C27" t="n">
        <v>0.0383267849683762</v>
      </c>
    </row>
    <row r="28">
      <c r="A28" t="n">
        <v>2016</v>
      </c>
      <c r="B28" t="n">
        <v>370547.65625</v>
      </c>
      <c r="C28" t="n">
        <v>0.0393099114298821</v>
      </c>
    </row>
    <row r="29">
      <c r="A29" t="n">
        <v>2017</v>
      </c>
      <c r="B29" t="n">
        <v>380655.78125</v>
      </c>
      <c r="C29" t="n">
        <v>0.0404252856969833</v>
      </c>
    </row>
    <row r="30">
      <c r="A30" t="n">
        <v>2018</v>
      </c>
      <c r="B30" t="n">
        <v>390625.1875</v>
      </c>
      <c r="C30" t="n">
        <v>0.0412590205669403</v>
      </c>
    </row>
    <row r="31">
      <c r="A31" t="n">
        <v>2019</v>
      </c>
      <c r="B31" t="n">
        <v>399934.28125</v>
      </c>
      <c r="C31" t="n">
        <v>0.0420626476407051</v>
      </c>
    </row>
    <row r="32">
      <c r="A32" t="n">
        <v>2020</v>
      </c>
      <c r="B32" t="n">
        <v>405156.15625</v>
      </c>
      <c r="C32" t="n">
        <v>0.0429592169821262</v>
      </c>
    </row>
    <row r="33">
      <c r="A33" t="n">
        <v>2021</v>
      </c>
      <c r="B33" t="n">
        <v>409189.75</v>
      </c>
      <c r="C33" t="n">
        <v>0.0433573126792908</v>
      </c>
    </row>
    <row r="34">
      <c r="A34" t="n">
        <v>2022</v>
      </c>
      <c r="B34" t="n">
        <v>415085.84375</v>
      </c>
      <c r="C34" t="n">
        <v>0.0436077080667019</v>
      </c>
    </row>
    <row r="35">
      <c r="A35" t="n">
        <v>2023</v>
      </c>
      <c r="B35" t="n">
        <v>426190.5</v>
      </c>
      <c r="C35" t="n">
        <v>0.0444894470274448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D51"/>
  <sheetViews>
    <sheetView workbookViewId="0">
      <selection activeCell="A1" sqref="A1"/>
    </sheetView>
  </sheetViews>
  <sheetFormatPr baseColWidth="8" defaultRowHeight="15"/>
  <sheetData>
    <row r="1">
      <c r="B1" t="inlineStr">
        <is>
          <t>WEO Country Code</t>
        </is>
      </c>
      <c r="C1" t="inlineStr">
        <is>
          <t>915</t>
        </is>
      </c>
      <c r="D1" t="inlineStr">
        <is>
          <t>915</t>
        </is>
      </c>
    </row>
    <row r="2">
      <c r="B2" t="inlineStr">
        <is>
          <t>WEO Subject Code</t>
        </is>
      </c>
      <c r="C2" t="inlineStr">
        <is>
          <t>NGDP_R</t>
        </is>
      </c>
      <c r="D2" t="inlineStr">
        <is>
          <t>NGDP_RPCH</t>
        </is>
      </c>
    </row>
    <row r="3">
      <c r="B3" t="inlineStr">
        <is>
          <t>Country</t>
        </is>
      </c>
      <c r="C3" t="inlineStr">
        <is>
          <t>Georgia</t>
        </is>
      </c>
      <c r="D3" t="inlineStr">
        <is>
          <t>Georgia</t>
        </is>
      </c>
    </row>
    <row r="4">
      <c r="B4" t="inlineStr">
        <is>
          <t>Subject Descriptor</t>
        </is>
      </c>
      <c r="C4" t="inlineStr">
        <is>
          <t>Gross domestic product, constant prices</t>
        </is>
      </c>
      <c r="D4" t="inlineStr">
        <is>
          <t>Gross domestic product, constant prices</t>
        </is>
      </c>
    </row>
    <row r="5">
      <c r="B5" t="inlineStr">
        <is>
          <t>Units</t>
        </is>
      </c>
      <c r="C5" t="inlineStr">
        <is>
          <t>National currency</t>
        </is>
      </c>
      <c r="D5" t="inlineStr">
        <is>
          <t>Percent change</t>
        </is>
      </c>
    </row>
    <row r="6">
      <c r="B6" t="inlineStr">
        <is>
          <t>Scale</t>
        </is>
      </c>
      <c r="C6" t="inlineStr">
        <is>
          <t>Billions</t>
        </is>
      </c>
      <c r="D6" t="inlineStr">
        <is>
          <t>Units</t>
        </is>
      </c>
    </row>
    <row r="7">
      <c r="B7" t="inlineStr">
        <is>
          <t>Country/Series-specific Notes</t>
        </is>
      </c>
    </row>
    <row r="8">
      <c r="B8" t="n">
        <v>2000</v>
      </c>
      <c r="C8" t="n">
        <v>25425.16796875</v>
      </c>
      <c r="D8" t="n">
        <v>1.9</v>
      </c>
    </row>
    <row r="9">
      <c r="B9" t="n">
        <v>2001</v>
      </c>
      <c r="C9" t="n">
        <v>26646.9609375</v>
      </c>
      <c r="D9" t="n">
        <v>4.8</v>
      </c>
    </row>
    <row r="10">
      <c r="B10" t="n">
        <v>2002</v>
      </c>
      <c r="C10" t="n">
        <v>28105.572265625</v>
      </c>
      <c r="D10" t="n">
        <v>5.5</v>
      </c>
    </row>
    <row r="11">
      <c r="B11" t="n">
        <v>2003</v>
      </c>
      <c r="C11" t="n">
        <v>31213.515625</v>
      </c>
      <c r="D11" t="n">
        <v>11.2</v>
      </c>
    </row>
    <row r="12">
      <c r="B12" t="n">
        <v>2004</v>
      </c>
      <c r="C12" t="n">
        <v>33022.64453125</v>
      </c>
      <c r="D12" t="n">
        <v>5.8</v>
      </c>
    </row>
    <row r="13">
      <c r="B13" t="n">
        <v>2005</v>
      </c>
      <c r="C13" t="n">
        <v>36188.953125</v>
      </c>
      <c r="D13" t="n">
        <v>9.6</v>
      </c>
    </row>
    <row r="14">
      <c r="B14" t="n">
        <v>2006</v>
      </c>
      <c r="C14" t="n">
        <v>39598.22265625</v>
      </c>
      <c r="D14" t="n">
        <v>9.4</v>
      </c>
    </row>
    <row r="15">
      <c r="B15" t="n">
        <v>2007</v>
      </c>
      <c r="C15" t="n">
        <v>44579.19140625</v>
      </c>
      <c r="D15" t="n">
        <v>12.6</v>
      </c>
    </row>
    <row r="16">
      <c r="B16" t="n">
        <v>2008</v>
      </c>
      <c r="C16" t="n">
        <v>45657.16015625</v>
      </c>
      <c r="D16" t="n">
        <v>2.4</v>
      </c>
    </row>
    <row r="17">
      <c r="B17" t="n">
        <v>2009</v>
      </c>
      <c r="C17" t="n">
        <v>43990.6328125</v>
      </c>
      <c r="D17" t="n">
        <v>-3.7</v>
      </c>
    </row>
    <row r="18">
      <c r="B18" t="n">
        <v>2010</v>
      </c>
      <c r="C18" t="n">
        <v>46739.7890625</v>
      </c>
      <c r="D18" t="n">
        <v>6.9</v>
      </c>
    </row>
    <row r="19">
      <c r="B19" t="n">
        <v>2011</v>
      </c>
      <c r="C19" t="n">
        <v>50455.2109375</v>
      </c>
      <c r="D19" t="n">
        <v>7.9</v>
      </c>
    </row>
    <row r="20">
      <c r="B20" t="n">
        <v>2012</v>
      </c>
      <c r="C20" t="n">
        <v>53774.6796875</v>
      </c>
      <c r="D20" t="n">
        <v>6.6</v>
      </c>
    </row>
    <row r="21">
      <c r="B21" t="n">
        <v>2013</v>
      </c>
      <c r="C21" t="n">
        <v>56535.23046875</v>
      </c>
      <c r="D21" t="n">
        <v>5.1</v>
      </c>
    </row>
    <row r="22">
      <c r="B22" t="n">
        <v>2014</v>
      </c>
      <c r="C22" t="n">
        <v>58847.86328125</v>
      </c>
      <c r="D22" t="n">
        <v>4.1</v>
      </c>
    </row>
    <row r="23">
      <c r="B23" t="n">
        <v>2015</v>
      </c>
      <c r="C23" t="n">
        <v>60819.7421875</v>
      </c>
      <c r="D23" t="n">
        <v>3.4</v>
      </c>
    </row>
    <row r="24">
      <c r="B24" t="n">
        <v>2016</v>
      </c>
      <c r="C24" t="n">
        <v>62917.9765625</v>
      </c>
      <c r="D24" t="n">
        <v>3.4</v>
      </c>
    </row>
    <row r="25">
      <c r="B25" t="n">
        <v>2017</v>
      </c>
      <c r="C25" t="n">
        <v>66165.234375</v>
      </c>
      <c r="D25" t="n">
        <v>5.2</v>
      </c>
    </row>
    <row r="26">
      <c r="B26" t="n">
        <v>2018</v>
      </c>
      <c r="C26" t="n">
        <v>70176.296875</v>
      </c>
      <c r="D26" t="n">
        <v>6.1</v>
      </c>
    </row>
    <row r="27">
      <c r="B27" t="n">
        <v>2019</v>
      </c>
      <c r="C27" t="n">
        <v>73951.9765625</v>
      </c>
      <c r="D27" t="n">
        <v>5.4</v>
      </c>
    </row>
    <row r="28">
      <c r="B28" t="n">
        <v>2020</v>
      </c>
      <c r="C28" t="n">
        <v>69299.46875</v>
      </c>
      <c r="D28" t="n">
        <v>-6.3</v>
      </c>
    </row>
    <row r="29">
      <c r="B29" t="n">
        <v>2021</v>
      </c>
      <c r="C29" t="n">
        <v>76675.71875</v>
      </c>
      <c r="D29" t="n">
        <v>10.6</v>
      </c>
    </row>
    <row r="30">
      <c r="B30" t="n">
        <v>2022</v>
      </c>
      <c r="C30" t="n">
        <v>85079.0234375</v>
      </c>
      <c r="D30" t="n">
        <v>11</v>
      </c>
    </row>
    <row r="31">
      <c r="B31" t="n">
        <v>2023</v>
      </c>
      <c r="C31" t="n">
        <v>91437.8125</v>
      </c>
      <c r="D31" t="n">
        <v>7.8</v>
      </c>
    </row>
    <row r="32">
      <c r="B32" t="n">
        <v>2024</v>
      </c>
      <c r="C32">
        <f>C31*(1+D32/100)</f>
        <v/>
      </c>
      <c r="D32" t="n">
        <v>9.4</v>
      </c>
    </row>
    <row r="33">
      <c r="B33" t="n">
        <v>2025</v>
      </c>
      <c r="C33">
        <f>C32*(1+D33/100)</f>
        <v/>
      </c>
      <c r="D33" t="n">
        <v>7.2</v>
      </c>
    </row>
    <row r="34">
      <c r="B34" t="n">
        <v>2026</v>
      </c>
      <c r="C34">
        <f>C33*(1+D34/100)</f>
        <v/>
      </c>
      <c r="D34" t="n">
        <v>5.3</v>
      </c>
    </row>
    <row r="35">
      <c r="B35" t="n">
        <v>2027</v>
      </c>
      <c r="C35">
        <f>C34*(1+D35/100)</f>
        <v/>
      </c>
      <c r="D35" t="n">
        <v>5</v>
      </c>
    </row>
    <row r="36">
      <c r="B36" t="n">
        <v>2028</v>
      </c>
      <c r="C36">
        <f>C35*(1+D36/100)</f>
        <v/>
      </c>
      <c r="D36" t="n">
        <v>5</v>
      </c>
    </row>
    <row r="37">
      <c r="B37" t="n">
        <v>2029</v>
      </c>
      <c r="C37">
        <f>C36*(1+D37/100)</f>
        <v/>
      </c>
      <c r="D37" t="n">
        <v>5</v>
      </c>
    </row>
    <row r="38">
      <c r="B38" t="n">
        <v>2030</v>
      </c>
      <c r="C38">
        <f>C37*(1+D38/100)</f>
        <v/>
      </c>
      <c r="D38" t="n">
        <v>5</v>
      </c>
    </row>
    <row r="39">
      <c r="B39" t="n">
        <v>2031</v>
      </c>
      <c r="C39">
        <f>C38*(1+D39/100)</f>
        <v/>
      </c>
      <c r="D39" t="n">
        <v>5</v>
      </c>
    </row>
    <row r="40">
      <c r="B40" t="n">
        <v>2032</v>
      </c>
      <c r="C40">
        <f>C39*(1+D40/100)</f>
        <v/>
      </c>
      <c r="D40" t="n">
        <v>5</v>
      </c>
    </row>
    <row r="41">
      <c r="B41" t="n">
        <v>2033</v>
      </c>
      <c r="C41">
        <f>C40*(1+D41/100)</f>
        <v/>
      </c>
      <c r="D41" t="n">
        <v>5</v>
      </c>
    </row>
    <row r="42">
      <c r="B42" t="n">
        <v>2034</v>
      </c>
      <c r="C42">
        <f>C41*(1+D42/100)</f>
        <v/>
      </c>
      <c r="D42" t="n">
        <v>5</v>
      </c>
    </row>
    <row r="43">
      <c r="B43" t="n">
        <v>2035</v>
      </c>
      <c r="C43">
        <f>C42*(1+D43/100)</f>
        <v/>
      </c>
      <c r="D43" t="n">
        <v>5</v>
      </c>
    </row>
    <row r="44">
      <c r="B44" t="n">
        <v>2036</v>
      </c>
      <c r="C44">
        <f>C43*(1+D44/100)</f>
        <v/>
      </c>
      <c r="D44" t="n">
        <v>5</v>
      </c>
    </row>
    <row r="45">
      <c r="B45" t="n">
        <v>2037</v>
      </c>
      <c r="C45">
        <f>C44*(1+D45/100)</f>
        <v/>
      </c>
      <c r="D45" t="n">
        <v>5</v>
      </c>
    </row>
    <row r="46">
      <c r="B46" t="n">
        <v>2038</v>
      </c>
      <c r="C46">
        <f>C45*(1+D46/100)</f>
        <v/>
      </c>
      <c r="D46" t="n">
        <v>5</v>
      </c>
    </row>
    <row r="47">
      <c r="B47" t="n">
        <v>2039</v>
      </c>
      <c r="C47">
        <f>C46*(1+D47/100)</f>
        <v/>
      </c>
      <c r="D47" t="n">
        <v>5</v>
      </c>
    </row>
    <row r="48">
      <c r="B48" t="n">
        <v>2040</v>
      </c>
      <c r="C48">
        <f>C47*(1+D48/100)</f>
        <v/>
      </c>
      <c r="D48" t="n">
        <v>5</v>
      </c>
    </row>
    <row r="49">
      <c r="B49" t="n">
        <v>2041</v>
      </c>
      <c r="C49">
        <f>C48*(1+D49/100)</f>
        <v/>
      </c>
      <c r="D49" t="n">
        <v>5</v>
      </c>
    </row>
    <row r="50">
      <c r="B50" t="n">
        <v>2042</v>
      </c>
      <c r="C50">
        <f>C49*(1+D50/100)</f>
        <v/>
      </c>
      <c r="D50" t="n">
        <v>5</v>
      </c>
    </row>
    <row r="51">
      <c r="B51" t="n">
        <v>2043</v>
      </c>
      <c r="C51">
        <f>C50*(1+D51/100)</f>
        <v/>
      </c>
      <c r="D5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2026-01-29T06:18:29Z</dcterms:created>
  <dcterms:modified xsi:type="dcterms:W3CDTF">2026-01-29T06:22:06Z</dcterms:modified>
</cp:coreProperties>
</file>