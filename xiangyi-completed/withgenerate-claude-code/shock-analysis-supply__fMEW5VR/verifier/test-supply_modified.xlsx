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WT" sheetId="2" state="visible" r:id="rId2"/>
    <sheet name="WEO_Data" sheetId="3" state="visible" r:id="rId3"/>
    <sheet name="CFC data" sheetId="4" state="visible" r:id="rId4"/>
    <sheet name="Production" sheetId="5" state="visible" r:id="rId5"/>
    <sheet name="Inves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99"/>
        <bgColor rgb="00FFE699"/>
      </patternFill>
    </fill>
    <fill>
      <patternFill patternType="solid">
        <fgColor rgb="00C5D9F1"/>
        <bgColor rgb="00C5D9F1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Investment Shock Analysis for Georgia - User Instructions</t>
        </is>
      </c>
    </row>
    <row r="3">
      <c r="A3" s="7" t="inlineStr">
        <is>
          <t>Overview</t>
        </is>
      </c>
    </row>
    <row r="4">
      <c r="A4" s="8" t="inlineStr">
        <is>
          <t>This workbook estimates the impact of a $6.5 billion USD investment (2026-2033)</t>
        </is>
      </c>
    </row>
    <row r="5">
      <c r="A5" s="8" t="inlineStr">
        <is>
          <t>on Georgia's potential GDP using a Cobb-Douglas production function.</t>
        </is>
      </c>
    </row>
    <row r="6">
      <c r="A6" s="8" t="inlineStr"/>
    </row>
    <row r="8">
      <c r="A8" s="7" t="inlineStr">
        <is>
          <t>Data Sources</t>
        </is>
      </c>
    </row>
    <row r="9">
      <c r="A9" s="8" t="inlineStr">
        <is>
          <t>PWT sheet: Penn World Table 11.0 - Capital stock, labor share, GDP (2000-2023)</t>
        </is>
      </c>
    </row>
    <row r="10">
      <c r="A10" s="8" t="inlineStr">
        <is>
          <t>WEO_Data sheet: IMF World Economic Outlook - GDP and growth projections (2000-2043)</t>
        </is>
      </c>
    </row>
    <row r="11">
      <c r="A11" s="8" t="inlineStr">
        <is>
          <t>CFC data sheet: ECB - Consumption of Fixed Capital data (2000-2023)</t>
        </is>
      </c>
    </row>
    <row r="12">
      <c r="A12" s="8" t="inlineStr">
        <is>
          <t>Investment sheet: Investment shock schedule ($812.5M/year, 2026-2033)</t>
        </is>
      </c>
    </row>
    <row r="13">
      <c r="A13" s="8" t="inlineStr"/>
    </row>
    <row r="15">
      <c r="A15" s="7" t="inlineStr">
        <is>
          <t>Key Parameters (Production sheet)</t>
        </is>
      </c>
    </row>
    <row r="16">
      <c r="A16" s="8" t="inlineStr">
        <is>
          <t>B2: Capital's share (alpha) = 1 - average labor share (2015-2023)</t>
        </is>
      </c>
    </row>
    <row r="17">
      <c r="A17" s="8" t="inlineStr">
        <is>
          <t>B3: Annual depreciation rate = average of last 8 years (2016-2023)</t>
        </is>
      </c>
    </row>
    <row r="18">
      <c r="A18" s="8" t="inlineStr"/>
    </row>
    <row r="20">
      <c r="A20" s="7" t="inlineStr">
        <is>
          <t>CRITICAL: HP Filter Setup with Solver</t>
        </is>
      </c>
    </row>
    <row r="21">
      <c r="A21" s="8" t="inlineStr">
        <is>
          <t>The HP filter must be run using Excel Solver to estimate TFP trend.</t>
        </is>
      </c>
    </row>
    <row r="22">
      <c r="A22" s="8" t="inlineStr"/>
    </row>
    <row r="23">
      <c r="A23" s="8" t="inlineStr">
        <is>
          <t>Steps to run Solver:</t>
        </is>
      </c>
    </row>
    <row r="24">
      <c r="A24" s="8" t="inlineStr">
        <is>
          <t>1. Go to Production sheet</t>
        </is>
      </c>
    </row>
    <row r="25">
      <c r="A25" s="8" t="inlineStr">
        <is>
          <t>2. Open Solver (Data tab &gt; Solver)</t>
        </is>
      </c>
    </row>
    <row r="26">
      <c r="A26" s="8" t="inlineStr">
        <is>
          <t>3. Set Objective: Cell P5</t>
        </is>
      </c>
    </row>
    <row r="27">
      <c r="A27" s="8" t="inlineStr">
        <is>
          <t>4. To: Min</t>
        </is>
      </c>
    </row>
    <row r="28">
      <c r="A28" s="8" t="inlineStr">
        <is>
          <t>5. By Changing Variable Cells: G7:G28</t>
        </is>
      </c>
    </row>
    <row r="29">
      <c r="A29" s="8" t="inlineStr">
        <is>
          <t>6. Solving Method: GRG Nonlinear</t>
        </is>
      </c>
    </row>
    <row r="30">
      <c r="A30" s="8" t="inlineStr">
        <is>
          <t>7. Click Solve</t>
        </is>
      </c>
    </row>
    <row r="31">
      <c r="A31" s="8" t="inlineStr"/>
    </row>
    <row r="32">
      <c r="A32" s="8" t="inlineStr">
        <is>
          <t>Note: Initial values in G7:G28 are set equal to F7:F28 (LnZ)</t>
        </is>
      </c>
    </row>
    <row r="33">
      <c r="A33" s="8" t="inlineStr">
        <is>
          <t>After Solver runs, G7:G28 will contain the smoothed TFP trend.</t>
        </is>
      </c>
    </row>
    <row r="34">
      <c r="A34" s="8" t="inlineStr"/>
    </row>
    <row r="36">
      <c r="A36" s="7" t="inlineStr">
        <is>
          <t>Sheet Structure</t>
        </is>
      </c>
    </row>
    <row r="37">
      <c r="A37" s="8" t="inlineStr">
        <is>
          <t>PWT: Raw data from Penn World Table</t>
        </is>
      </c>
    </row>
    <row r="38">
      <c r="A38" s="8" t="inlineStr">
        <is>
          <t>WEO_Data: GDP levels and growth rates (formulas extend to 2043)</t>
        </is>
      </c>
    </row>
    <row r="39">
      <c r="A39" s="8" t="inlineStr">
        <is>
          <t>CFC data: Consumption of Fixed Capital and depreciation calculation</t>
        </is>
      </c>
    </row>
    <row r="40">
      <c r="A40" s="8" t="inlineStr">
        <is>
          <t>Production: Main analysis sheet with three sections:</t>
        </is>
      </c>
    </row>
    <row r="41">
      <c r="A41" s="8" t="inlineStr">
        <is>
          <t xml:space="preserve">  - Rows 1-3: Parameters</t>
        </is>
      </c>
    </row>
    <row r="42">
      <c r="A42" s="8" t="inlineStr">
        <is>
          <t xml:space="preserve">  - Rows 6-28: Historical TFP calculation and HP filter</t>
        </is>
      </c>
    </row>
    <row r="43">
      <c r="A43" s="8" t="inlineStr">
        <is>
          <t xml:space="preserve">  - Rows 31-71: Production function projections (2002-2041)</t>
        </is>
      </c>
    </row>
    <row r="44">
      <c r="A44" s="8" t="inlineStr">
        <is>
          <t>Investment: Investment shock schedule</t>
        </is>
      </c>
    </row>
    <row r="45">
      <c r="A45" s="8" t="inlineStr"/>
    </row>
    <row r="47">
      <c r="A47" s="7" t="inlineStr">
        <is>
          <t>Production Sheet Columns Explained</t>
        </is>
      </c>
    </row>
    <row r="48">
      <c r="A48" s="8" t="inlineStr">
        <is>
          <t>Columns A-G (rows 6-28): Historical TFP</t>
        </is>
      </c>
    </row>
    <row r="49">
      <c r="A49" s="8" t="inlineStr">
        <is>
          <t xml:space="preserve">  F (LnZ): Raw TFP from residual = LnY - alpha*LnK</t>
        </is>
      </c>
    </row>
    <row r="50">
      <c r="A50" s="8" t="inlineStr">
        <is>
          <t xml:space="preserve">  G (LnZ_HP): Smoothed TFP trend (Solver changes these)</t>
        </is>
      </c>
    </row>
    <row r="51">
      <c r="A51" s="8" t="inlineStr"/>
    </row>
    <row r="52">
      <c r="A52" s="8" t="inlineStr">
        <is>
          <t>Columns K-P (rows 6-28): HP Filter solver area</t>
        </is>
      </c>
    </row>
    <row r="53">
      <c r="A53" s="8" t="inlineStr">
        <is>
          <t xml:space="preserve">  L: Links to column G (changing cells)</t>
        </is>
      </c>
    </row>
    <row r="54">
      <c r="A54" s="8" t="inlineStr">
        <is>
          <t xml:space="preserve">  M: First difference of trend</t>
        </is>
      </c>
    </row>
    <row r="55">
      <c r="A55" s="8" t="inlineStr">
        <is>
          <t xml:space="preserve">  N: Second difference of trend</t>
        </is>
      </c>
    </row>
    <row r="56">
      <c r="A56" s="8" t="inlineStr">
        <is>
          <t xml:space="preserve">  O: Deviation from trend</t>
        </is>
      </c>
    </row>
    <row r="57">
      <c r="A57" s="8" t="inlineStr">
        <is>
          <t xml:space="preserve">  P: Squared deviation</t>
        </is>
      </c>
    </row>
    <row r="58">
      <c r="A58" s="8" t="inlineStr">
        <is>
          <t xml:space="preserve">  P5: Objective function to minimize</t>
        </is>
      </c>
    </row>
    <row r="59">
      <c r="A59" s="8" t="inlineStr"/>
    </row>
    <row r="60">
      <c r="A60" s="8" t="inlineStr">
        <is>
          <t>Columns A-O (rows 31-71): Projections</t>
        </is>
      </c>
    </row>
    <row r="61">
      <c r="A61" s="8" t="inlineStr">
        <is>
          <t xml:space="preserve">  C (K): Capital stock, extended using K/Y ratio</t>
        </is>
      </c>
    </row>
    <row r="62">
      <c r="A62" s="8" t="inlineStr">
        <is>
          <t xml:space="preserve">  G (lnZ_trend): Uses TREND() to extrapolate</t>
        </is>
      </c>
    </row>
    <row r="63">
      <c r="A63" s="8" t="inlineStr">
        <is>
          <t xml:space="preserve">  H (Ystar_base): Potential GDP without investment shock</t>
        </is>
      </c>
    </row>
    <row r="64">
      <c r="A64" s="8" t="inlineStr">
        <is>
          <t xml:space="preserve">  K (K_with): Capital stock with investment shock</t>
        </is>
      </c>
    </row>
    <row r="65">
      <c r="A65" s="8" t="inlineStr">
        <is>
          <t xml:space="preserve">  M (Ystar_with): Potential GDP with investment shock</t>
        </is>
      </c>
    </row>
    <row r="66">
      <c r="A66" s="8" t="inlineStr">
        <is>
          <t xml:space="preserve">  N, O: Impact in levels and percentage</t>
        </is>
      </c>
    </row>
    <row r="67">
      <c r="A67" s="8" t="inlineStr"/>
    </row>
    <row r="69">
      <c r="A69" s="7" t="inlineStr">
        <is>
          <t>Important Notes</t>
        </is>
      </c>
    </row>
    <row r="70">
      <c r="A70" s="8" t="inlineStr">
        <is>
          <t>All formulas are preserved - no hardcoded numbers except raw data</t>
        </is>
      </c>
    </row>
    <row r="71">
      <c r="A71" s="8" t="inlineStr">
        <is>
          <t>GDP projections auto-calculate based on WEO growth rates</t>
        </is>
      </c>
    </row>
    <row r="72">
      <c r="A72" s="8" t="inlineStr">
        <is>
          <t>Capital stock projection uses average K/Y of 2015-2023</t>
        </is>
      </c>
    </row>
    <row r="73">
      <c r="A73" s="8" t="inlineStr">
        <is>
          <t>TFP trend extrapolation uses Excel TREND() function</t>
        </is>
      </c>
    </row>
    <row r="74">
      <c r="A74" s="8" t="inlineStr">
        <is>
          <t>Investment shock: $6.5B total / 8 years = $812.5M/year</t>
        </is>
      </c>
    </row>
    <row r="75">
      <c r="A75" s="8" t="inlineStr"/>
    </row>
    <row r="77">
      <c r="A77" s="7" t="inlineStr">
        <is>
          <t>Expected Results</t>
        </is>
      </c>
    </row>
    <row r="78">
      <c r="A78" s="8" t="inlineStr">
        <is>
          <t>After running Solver, the Production sheet will show:</t>
        </is>
      </c>
    </row>
    <row r="79">
      <c r="A79" s="8" t="inlineStr">
        <is>
          <t>- Smoothed TFP trend in column G</t>
        </is>
      </c>
    </row>
    <row r="80">
      <c r="A80" s="8" t="inlineStr">
        <is>
          <t>- Baseline potential GDP projection (no shock)</t>
        </is>
      </c>
    </row>
    <row r="81">
      <c r="A81" s="8" t="inlineStr">
        <is>
          <t>- Potential GDP with investment shock (2026-2033)</t>
        </is>
      </c>
    </row>
    <row r="82">
      <c r="A82" s="8" t="inlineStr">
        <is>
          <t>- GDP impact in levels and percentages</t>
        </is>
      </c>
    </row>
    <row r="83">
      <c r="A83" s="8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Capital Stock (cn)</t>
        </is>
      </c>
      <c r="C1" s="1" t="inlineStr">
        <is>
          <t>Labor Share</t>
        </is>
      </c>
      <c r="D1" s="1" t="inlineStr">
        <is>
          <t>Real GDP (rgdpo)</t>
        </is>
      </c>
    </row>
    <row r="2">
      <c r="A2" t="n">
        <v>2000</v>
      </c>
      <c r="B2" t="n">
        <v>91999.4453125</v>
      </c>
      <c r="C2" t="n">
        <v>0.426979333162308</v>
      </c>
      <c r="D2" t="n">
        <v>18512.81640625</v>
      </c>
    </row>
    <row r="3">
      <c r="A3" t="n">
        <v>2001</v>
      </c>
      <c r="B3" t="n">
        <v>95152.6484375</v>
      </c>
      <c r="C3" t="n">
        <v>0.389131993055344</v>
      </c>
      <c r="D3" t="n">
        <v>19680.328125</v>
      </c>
    </row>
    <row r="4">
      <c r="A4" t="n">
        <v>2002</v>
      </c>
      <c r="B4" t="n">
        <v>98435.8515625</v>
      </c>
      <c r="C4" t="n">
        <v>0.317676365375519</v>
      </c>
      <c r="D4" t="n">
        <v>21079.18359375</v>
      </c>
    </row>
    <row r="5">
      <c r="A5" t="n">
        <v>2003</v>
      </c>
      <c r="B5" t="n">
        <v>102583.25</v>
      </c>
      <c r="C5" t="n">
        <v>0.236238181591034</v>
      </c>
      <c r="D5" t="n">
        <v>23441.427734375</v>
      </c>
    </row>
    <row r="6">
      <c r="A6" t="n">
        <v>2004</v>
      </c>
      <c r="B6" t="n">
        <v>106668.1953125</v>
      </c>
      <c r="C6" t="n">
        <v>0.216802850365639</v>
      </c>
      <c r="D6" t="n">
        <v>25503.87109375</v>
      </c>
    </row>
    <row r="7">
      <c r="A7" t="n">
        <v>2005</v>
      </c>
      <c r="B7" t="n">
        <v>110235.0546875</v>
      </c>
      <c r="C7" t="n">
        <v>0.222547188401222</v>
      </c>
      <c r="D7" t="n">
        <v>28468.697265625</v>
      </c>
    </row>
    <row r="8">
      <c r="A8" t="n">
        <v>2006</v>
      </c>
      <c r="B8" t="n">
        <v>110246.640625</v>
      </c>
      <c r="C8" t="n">
        <v>0.20620222389698</v>
      </c>
      <c r="D8" t="n">
        <v>32787.30078125</v>
      </c>
    </row>
    <row r="9">
      <c r="A9" t="n">
        <v>2007</v>
      </c>
      <c r="B9" t="n">
        <v>107438.515625</v>
      </c>
      <c r="C9" t="n">
        <v>0.236618474125862</v>
      </c>
      <c r="D9" t="n">
        <v>36834.5078125</v>
      </c>
    </row>
    <row r="10">
      <c r="A10" t="n">
        <v>2008</v>
      </c>
      <c r="B10" t="n">
        <v>102823.7109375</v>
      </c>
      <c r="C10" t="n">
        <v>0.28689768910408</v>
      </c>
      <c r="D10" t="n">
        <v>38690.1953125</v>
      </c>
    </row>
    <row r="11">
      <c r="A11" t="n">
        <v>2009</v>
      </c>
      <c r="B11" t="n">
        <v>97313.8046875</v>
      </c>
      <c r="C11" t="n">
        <v>0.362254530191422</v>
      </c>
      <c r="D11" t="n">
        <v>39545.60546875</v>
      </c>
    </row>
    <row r="12">
      <c r="A12" t="n">
        <v>2010</v>
      </c>
      <c r="B12" t="n">
        <v>94742.8359375</v>
      </c>
      <c r="C12" t="n">
        <v>0.321065455675125</v>
      </c>
      <c r="D12" t="n">
        <v>41721.6640625</v>
      </c>
    </row>
    <row r="13">
      <c r="A13" t="n">
        <v>2011</v>
      </c>
      <c r="B13" t="n">
        <v>95178.96875</v>
      </c>
      <c r="C13" t="n">
        <v>0.34080171585083</v>
      </c>
      <c r="D13" t="n">
        <v>45209.57421875</v>
      </c>
    </row>
    <row r="14">
      <c r="A14" t="n">
        <v>2012</v>
      </c>
      <c r="B14" t="n">
        <v>122805.171875</v>
      </c>
      <c r="C14" t="n">
        <v>0.364897519350052</v>
      </c>
      <c r="D14" t="n">
        <v>47117.47265625</v>
      </c>
    </row>
    <row r="15">
      <c r="A15" t="n">
        <v>2013</v>
      </c>
      <c r="B15" t="n">
        <v>142415.125</v>
      </c>
      <c r="C15" t="n">
        <v>0.385636419057846</v>
      </c>
      <c r="D15" t="n">
        <v>47669.796875</v>
      </c>
    </row>
    <row r="16">
      <c r="A16" t="n">
        <v>2014</v>
      </c>
      <c r="B16" t="n">
        <v>161007.875</v>
      </c>
      <c r="C16" t="n">
        <v>0.381861984729767</v>
      </c>
      <c r="D16" t="n">
        <v>50903.140625</v>
      </c>
    </row>
    <row r="17">
      <c r="A17" t="n">
        <v>2015</v>
      </c>
      <c r="B17" t="n">
        <v>193743.34375</v>
      </c>
      <c r="C17" t="n">
        <v>0.393652886152267</v>
      </c>
      <c r="D17" t="n">
        <v>55063.16015625</v>
      </c>
    </row>
    <row r="18">
      <c r="A18" t="n">
        <v>2016</v>
      </c>
      <c r="B18" t="n">
        <v>241737.28125</v>
      </c>
      <c r="C18" t="n">
        <v>0.422906786203384</v>
      </c>
      <c r="D18" t="n">
        <v>58296.7578125</v>
      </c>
    </row>
    <row r="19">
      <c r="A19" t="n">
        <v>2017</v>
      </c>
      <c r="B19" t="n">
        <v>285515.21875</v>
      </c>
      <c r="C19" t="n">
        <v>0.426571011543274</v>
      </c>
      <c r="D19" t="n">
        <v>64103.95703125</v>
      </c>
    </row>
    <row r="20">
      <c r="A20" t="n">
        <v>2018</v>
      </c>
      <c r="B20" t="n">
        <v>311516.28125</v>
      </c>
      <c r="C20" t="n">
        <v>0.43255540728569</v>
      </c>
      <c r="D20" t="n">
        <v>66790.4921875</v>
      </c>
    </row>
    <row r="21">
      <c r="A21" t="n">
        <v>2019</v>
      </c>
      <c r="B21" t="n">
        <v>376275.3125</v>
      </c>
      <c r="C21" t="n">
        <v>0.448765248060226</v>
      </c>
      <c r="D21" t="n">
        <v>73780.0859375</v>
      </c>
    </row>
    <row r="22">
      <c r="A22" t="n">
        <v>2020</v>
      </c>
      <c r="B22" t="n">
        <v>399646.25</v>
      </c>
      <c r="C22" t="n">
        <v>0.442575424909592</v>
      </c>
      <c r="D22" t="n">
        <v>71206.9609375</v>
      </c>
    </row>
    <row r="23">
      <c r="A23" t="n">
        <v>2021</v>
      </c>
      <c r="B23" t="n">
        <v>409189.75</v>
      </c>
      <c r="C23" t="n">
        <v>0.432893872261047</v>
      </c>
      <c r="D23" t="n">
        <v>76675.71875</v>
      </c>
    </row>
    <row r="24">
      <c r="A24" t="n">
        <v>2022</v>
      </c>
      <c r="B24" t="n">
        <v>416818.125</v>
      </c>
      <c r="C24" t="n">
        <v>0.437597304582596</v>
      </c>
      <c r="D24" t="n">
        <v>84065.4140625</v>
      </c>
    </row>
    <row r="25">
      <c r="A25" t="n">
        <v>2023</v>
      </c>
      <c r="B25" t="n">
        <v>426327.34375</v>
      </c>
      <c r="C25" t="n">
        <v>0.466998279094696</v>
      </c>
      <c r="D25" t="n">
        <v>89425.9765625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Growth Rate (%)</t>
        </is>
      </c>
      <c r="C1" s="1" t="inlineStr">
        <is>
          <t>Real GDP Level</t>
        </is>
      </c>
    </row>
    <row r="2">
      <c r="A2" t="n">
        <v>2000</v>
      </c>
      <c r="B2" t="n">
        <v>1.9</v>
      </c>
      <c r="C2" t="n">
        <v>18512.81640625</v>
      </c>
    </row>
    <row r="3">
      <c r="A3" t="n">
        <v>2001</v>
      </c>
      <c r="B3" t="n">
        <v>4.8</v>
      </c>
      <c r="C3" t="n">
        <v>19401.43159375</v>
      </c>
    </row>
    <row r="4">
      <c r="A4" t="n">
        <v>2002</v>
      </c>
      <c r="B4" t="n">
        <v>5.5</v>
      </c>
      <c r="C4" t="n">
        <v>20468.51033140625</v>
      </c>
    </row>
    <row r="5">
      <c r="A5" t="n">
        <v>2003</v>
      </c>
      <c r="B5" t="n">
        <v>11.2</v>
      </c>
      <c r="C5" t="n">
        <v>22760.98348852375</v>
      </c>
    </row>
    <row r="6">
      <c r="A6" t="n">
        <v>2004</v>
      </c>
      <c r="B6" t="n">
        <v>5.8</v>
      </c>
      <c r="C6" t="n">
        <v>24081.12053085813</v>
      </c>
    </row>
    <row r="7">
      <c r="A7" t="n">
        <v>2005</v>
      </c>
      <c r="B7" t="n">
        <v>9.6</v>
      </c>
      <c r="C7" t="n">
        <v>26392.90810182051</v>
      </c>
    </row>
    <row r="8">
      <c r="A8" t="n">
        <v>2006</v>
      </c>
      <c r="B8" t="n">
        <v>9.4</v>
      </c>
      <c r="C8" t="n">
        <v>28873.84146339164</v>
      </c>
    </row>
    <row r="9">
      <c r="A9" t="n">
        <v>2007</v>
      </c>
      <c r="B9" t="n">
        <v>12.6</v>
      </c>
      <c r="C9" t="n">
        <v>32511.94548777899</v>
      </c>
    </row>
    <row r="10">
      <c r="A10" t="n">
        <v>2008</v>
      </c>
      <c r="B10" t="n">
        <v>2.4</v>
      </c>
      <c r="C10" t="n">
        <v>33292.23217948568</v>
      </c>
    </row>
    <row r="11">
      <c r="A11" t="n">
        <v>2009</v>
      </c>
      <c r="B11" t="n">
        <v>-3.7</v>
      </c>
      <c r="C11" t="n">
        <v>32060.41958884471</v>
      </c>
    </row>
    <row r="12">
      <c r="A12" t="n">
        <v>2010</v>
      </c>
      <c r="B12" t="n">
        <v>6.9</v>
      </c>
      <c r="C12" t="n">
        <v>34272.588540475</v>
      </c>
    </row>
    <row r="13">
      <c r="A13" t="n">
        <v>2011</v>
      </c>
      <c r="B13" t="n">
        <v>7.9</v>
      </c>
      <c r="C13" t="n">
        <v>36980.12303517252</v>
      </c>
    </row>
    <row r="14">
      <c r="A14" t="n">
        <v>2012</v>
      </c>
      <c r="B14" t="n">
        <v>6.6</v>
      </c>
      <c r="C14" t="n">
        <v>39420.81115549391</v>
      </c>
    </row>
    <row r="15">
      <c r="A15" t="n">
        <v>2013</v>
      </c>
      <c r="B15" t="n">
        <v>5.1</v>
      </c>
      <c r="C15" t="n">
        <v>41431.27252442409</v>
      </c>
    </row>
    <row r="16">
      <c r="A16" t="n">
        <v>2014</v>
      </c>
      <c r="B16" t="n">
        <v>4.1</v>
      </c>
      <c r="C16" t="n">
        <v>43129.95469792548</v>
      </c>
    </row>
    <row r="17">
      <c r="A17" t="n">
        <v>2015</v>
      </c>
      <c r="B17" t="n">
        <v>3.4</v>
      </c>
      <c r="C17" t="n">
        <v>44596.37315765495</v>
      </c>
    </row>
    <row r="18">
      <c r="A18" t="n">
        <v>2016</v>
      </c>
      <c r="B18" t="n">
        <v>3.4</v>
      </c>
      <c r="C18" t="n">
        <v>46112.64984501521</v>
      </c>
    </row>
    <row r="19">
      <c r="A19" t="n">
        <v>2017</v>
      </c>
      <c r="B19" t="n">
        <v>5.2</v>
      </c>
      <c r="C19" t="n">
        <v>48510.507636956</v>
      </c>
    </row>
    <row r="20">
      <c r="A20" t="n">
        <v>2018</v>
      </c>
      <c r="B20" t="n">
        <v>6.1</v>
      </c>
      <c r="C20" t="n">
        <v>51469.64860281032</v>
      </c>
    </row>
    <row r="21">
      <c r="A21" t="n">
        <v>2019</v>
      </c>
      <c r="B21" t="n">
        <v>5.4</v>
      </c>
      <c r="C21" t="n">
        <v>54249.00962736208</v>
      </c>
    </row>
    <row r="22">
      <c r="A22" t="n">
        <v>2020</v>
      </c>
      <c r="B22" t="n">
        <v>-6.3</v>
      </c>
      <c r="C22" t="n">
        <v>50831.32202083827</v>
      </c>
    </row>
    <row r="23">
      <c r="A23" t="n">
        <v>2021</v>
      </c>
      <c r="B23" t="n">
        <v>10.6</v>
      </c>
      <c r="C23" t="n">
        <v>56219.44215504713</v>
      </c>
    </row>
    <row r="24">
      <c r="A24" t="n">
        <v>2022</v>
      </c>
      <c r="B24" t="n">
        <v>11</v>
      </c>
      <c r="C24" t="n">
        <v>62403.58079210232</v>
      </c>
    </row>
    <row r="25">
      <c r="A25" t="n">
        <v>2023</v>
      </c>
      <c r="B25" t="n">
        <v>7.8</v>
      </c>
      <c r="C25" t="n">
        <v>67271.06009388631</v>
      </c>
    </row>
    <row r="26">
      <c r="A26" t="n">
        <v>2024</v>
      </c>
      <c r="B26" t="n">
        <v>9.4</v>
      </c>
      <c r="C26" t="n">
        <v>73594.53974271163</v>
      </c>
    </row>
    <row r="27">
      <c r="A27" t="n">
        <v>2025</v>
      </c>
      <c r="B27" t="n">
        <v>7.2</v>
      </c>
      <c r="C27" t="n">
        <v>78893.34660418687</v>
      </c>
    </row>
    <row r="28">
      <c r="A28" t="n">
        <v>2026</v>
      </c>
      <c r="B28" t="n">
        <v>5.3</v>
      </c>
      <c r="C28" t="n">
        <v>83074.69397420877</v>
      </c>
    </row>
    <row r="29">
      <c r="A29" t="n">
        <v>2027</v>
      </c>
      <c r="B29" t="n">
        <v>5</v>
      </c>
      <c r="C29" t="n">
        <v>87228.42867291921</v>
      </c>
    </row>
    <row r="30">
      <c r="A30" t="n">
        <v>2028</v>
      </c>
      <c r="B30" t="n">
        <v>5</v>
      </c>
      <c r="C30">
        <f>C29*(1+B30/100)</f>
        <v/>
      </c>
    </row>
    <row r="31">
      <c r="A31" t="n">
        <v>2029</v>
      </c>
      <c r="B31" t="n">
        <v>5</v>
      </c>
      <c r="C31">
        <f>C30*(1+B31/100)</f>
        <v/>
      </c>
    </row>
    <row r="32">
      <c r="A32" t="n">
        <v>2030</v>
      </c>
      <c r="B32" t="n">
        <v>5</v>
      </c>
      <c r="C32">
        <f>C31*(1+B32/100)</f>
        <v/>
      </c>
    </row>
    <row r="33">
      <c r="A33" t="n">
        <v>2031</v>
      </c>
      <c r="B33" t="n">
        <v>5</v>
      </c>
      <c r="C33">
        <f>C32*(1+B33/100)</f>
        <v/>
      </c>
    </row>
    <row r="34">
      <c r="A34" t="n">
        <v>2032</v>
      </c>
      <c r="B34" t="n">
        <v>5</v>
      </c>
      <c r="C34">
        <f>C33*(1+B34/100)</f>
        <v/>
      </c>
    </row>
    <row r="35">
      <c r="A35" t="n">
        <v>2033</v>
      </c>
      <c r="B35" t="n">
        <v>5</v>
      </c>
      <c r="C35">
        <f>C34*(1+B35/100)</f>
        <v/>
      </c>
    </row>
    <row r="36">
      <c r="A36" t="n">
        <v>2034</v>
      </c>
      <c r="B36" t="n">
        <v>5</v>
      </c>
      <c r="C36">
        <f>C35*(1+B36/100)</f>
        <v/>
      </c>
    </row>
    <row r="37">
      <c r="A37" t="n">
        <v>2035</v>
      </c>
      <c r="B37" t="n">
        <v>5</v>
      </c>
      <c r="C37">
        <f>C36*(1+B37/100)</f>
        <v/>
      </c>
    </row>
    <row r="38">
      <c r="A38" t="n">
        <v>2036</v>
      </c>
      <c r="B38" t="n">
        <v>5</v>
      </c>
      <c r="C38">
        <f>C37*(1+B38/100)</f>
        <v/>
      </c>
    </row>
    <row r="39">
      <c r="A39" t="n">
        <v>2037</v>
      </c>
      <c r="B39" t="n">
        <v>5</v>
      </c>
      <c r="C39">
        <f>C38*(1+B39/100)</f>
        <v/>
      </c>
    </row>
    <row r="40">
      <c r="A40" t="n">
        <v>2038</v>
      </c>
      <c r="B40" t="n">
        <v>5</v>
      </c>
      <c r="C40">
        <f>C39*(1+B40/100)</f>
        <v/>
      </c>
    </row>
    <row r="41">
      <c r="A41" t="n">
        <v>2039</v>
      </c>
      <c r="B41" t="n">
        <v>5</v>
      </c>
      <c r="C41">
        <f>C40*(1+B41/100)</f>
        <v/>
      </c>
    </row>
    <row r="42">
      <c r="A42" t="n">
        <v>2040</v>
      </c>
      <c r="B42" t="n">
        <v>5</v>
      </c>
      <c r="C42">
        <f>C41*(1+B42/100)</f>
        <v/>
      </c>
    </row>
    <row r="43">
      <c r="A43" t="n">
        <v>2041</v>
      </c>
      <c r="B43" t="n">
        <v>5</v>
      </c>
      <c r="C43">
        <f>C42*(1+B43/100)</f>
        <v/>
      </c>
    </row>
    <row r="44">
      <c r="A44" t="n">
        <v>2042</v>
      </c>
      <c r="B44" t="n">
        <v>5</v>
      </c>
      <c r="C44">
        <f>C43*(1+B44/100)</f>
        <v/>
      </c>
    </row>
    <row r="45">
      <c r="A45" t="n">
        <v>2043</v>
      </c>
      <c r="B45" t="n">
        <v>5</v>
      </c>
      <c r="C45">
        <f>C44*(1+B45/100)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Note</t>
        </is>
      </c>
      <c r="C1" s="1" t="inlineStr">
        <is>
          <t>CFC (Millions GEL)</t>
        </is>
      </c>
      <c r="D1" s="1" t="inlineStr">
        <is>
          <t>Capital Stock (from PWT)</t>
        </is>
      </c>
      <c r="E1" s="1" t="inlineStr">
        <is>
          <t>Depreciation Rate</t>
        </is>
      </c>
    </row>
    <row r="2">
      <c r="A2" t="n">
        <v>2000</v>
      </c>
      <c r="B2" t="inlineStr">
        <is>
          <t>CFC data from ECB; Capital stock from PWT</t>
        </is>
      </c>
      <c r="C2" t="n">
        <v>631.70100088782</v>
      </c>
      <c r="D2">
        <f>PWT!B2</f>
        <v/>
      </c>
      <c r="E2">
        <f>C2/D2</f>
        <v/>
      </c>
    </row>
    <row r="3">
      <c r="A3" t="n">
        <v>2001</v>
      </c>
      <c r="C3" t="n">
        <v>706.983726789065</v>
      </c>
      <c r="D3">
        <f>PWT!B3</f>
        <v/>
      </c>
      <c r="E3">
        <f>C3/D3</f>
        <v/>
      </c>
    </row>
    <row r="4">
      <c r="A4" t="n">
        <v>2002</v>
      </c>
      <c r="C4" t="n">
        <v>790.112565198609</v>
      </c>
      <c r="D4">
        <f>PWT!B4</f>
        <v/>
      </c>
      <c r="E4">
        <f>C4/D4</f>
        <v/>
      </c>
    </row>
    <row r="5">
      <c r="A5" t="n">
        <v>2003</v>
      </c>
      <c r="C5" t="n">
        <v>932.9162196711591</v>
      </c>
      <c r="D5">
        <f>PWT!B5</f>
        <v/>
      </c>
      <c r="E5">
        <f>C5/D5</f>
        <v/>
      </c>
    </row>
    <row r="6">
      <c r="A6" t="n">
        <v>2004</v>
      </c>
      <c r="C6" t="n">
        <v>976.818537799271</v>
      </c>
      <c r="D6">
        <f>PWT!B6</f>
        <v/>
      </c>
      <c r="E6">
        <f>C6/D6</f>
        <v/>
      </c>
    </row>
    <row r="7">
      <c r="A7" t="n">
        <v>2005</v>
      </c>
      <c r="C7" t="n">
        <v>1113.45005859263</v>
      </c>
      <c r="D7">
        <f>PWT!B7</f>
        <v/>
      </c>
      <c r="E7">
        <f>C7/D7</f>
        <v/>
      </c>
    </row>
    <row r="8">
      <c r="A8" t="n">
        <v>2006</v>
      </c>
      <c r="C8" t="n">
        <v>1306.37308413224</v>
      </c>
      <c r="D8">
        <f>PWT!B8</f>
        <v/>
      </c>
      <c r="E8">
        <f>C8/D8</f>
        <v/>
      </c>
    </row>
    <row r="9">
      <c r="A9" t="n">
        <v>2007</v>
      </c>
      <c r="C9" t="n">
        <v>1617.02996625711</v>
      </c>
      <c r="D9">
        <f>PWT!B9</f>
        <v/>
      </c>
      <c r="E9">
        <f>C9/D9</f>
        <v/>
      </c>
    </row>
    <row r="10">
      <c r="A10" t="n">
        <v>2008</v>
      </c>
      <c r="C10" t="n">
        <v>1758.0492676717</v>
      </c>
      <c r="D10">
        <f>PWT!B10</f>
        <v/>
      </c>
      <c r="E10">
        <f>C10/D10</f>
        <v/>
      </c>
    </row>
    <row r="11">
      <c r="A11" t="n">
        <v>2009</v>
      </c>
      <c r="C11" t="n">
        <v>1751.36668488131</v>
      </c>
      <c r="D11">
        <f>PWT!B11</f>
        <v/>
      </c>
      <c r="E11">
        <f>C11/D11</f>
        <v/>
      </c>
    </row>
    <row r="12">
      <c r="A12" t="n">
        <v>2010</v>
      </c>
      <c r="C12" t="n">
        <v>2046.41323466733</v>
      </c>
      <c r="D12">
        <f>PWT!B12</f>
        <v/>
      </c>
      <c r="E12">
        <f>C12/D12</f>
        <v/>
      </c>
    </row>
    <row r="13">
      <c r="A13" t="n">
        <v>2011</v>
      </c>
      <c r="C13" t="n">
        <v>2350.51240590543</v>
      </c>
      <c r="D13">
        <f>PWT!B13</f>
        <v/>
      </c>
      <c r="E13">
        <f>C13/D13</f>
        <v/>
      </c>
    </row>
    <row r="14">
      <c r="A14" t="n">
        <v>2012</v>
      </c>
      <c r="C14" t="n">
        <v>2643.60288796874</v>
      </c>
      <c r="D14">
        <f>PWT!B14</f>
        <v/>
      </c>
      <c r="E14">
        <f>C14/D14</f>
        <v/>
      </c>
    </row>
    <row r="15">
      <c r="A15" t="n">
        <v>2013</v>
      </c>
      <c r="C15" t="n">
        <v>1555.93215231816</v>
      </c>
      <c r="D15">
        <f>PWT!B15</f>
        <v/>
      </c>
      <c r="E15">
        <f>C15/D15</f>
        <v/>
      </c>
    </row>
    <row r="16">
      <c r="A16" t="n">
        <v>2014</v>
      </c>
      <c r="C16" t="n">
        <v>2984.8904686878</v>
      </c>
      <c r="D16">
        <f>PWT!B16</f>
        <v/>
      </c>
      <c r="E16">
        <f>C16/D16</f>
        <v/>
      </c>
    </row>
    <row r="17">
      <c r="A17" t="n">
        <v>2015</v>
      </c>
      <c r="C17" t="n">
        <v>3657.28067254249</v>
      </c>
      <c r="D17">
        <f>PWT!B17</f>
        <v/>
      </c>
      <c r="E17">
        <f>C17/D17</f>
        <v/>
      </c>
    </row>
    <row r="18">
      <c r="A18" t="n">
        <v>2016</v>
      </c>
      <c r="C18" t="n">
        <v>4004.82871985304</v>
      </c>
      <c r="D18">
        <f>PWT!B18</f>
        <v/>
      </c>
      <c r="E18">
        <f>C18/D18</f>
        <v/>
      </c>
    </row>
    <row r="19">
      <c r="A19" t="n">
        <v>2017</v>
      </c>
      <c r="C19" t="n">
        <v>4492.92133490825</v>
      </c>
      <c r="D19">
        <f>PWT!B19</f>
        <v/>
      </c>
      <c r="E19">
        <f>C19/D19</f>
        <v/>
      </c>
    </row>
    <row r="20">
      <c r="A20" t="n">
        <v>2018</v>
      </c>
      <c r="C20" t="n">
        <v>4843.616440286271</v>
      </c>
      <c r="D20">
        <f>PWT!B20</f>
        <v/>
      </c>
      <c r="E20">
        <f>C20/D20</f>
        <v/>
      </c>
    </row>
    <row r="21">
      <c r="A21" t="n">
        <v>2019</v>
      </c>
      <c r="C21" t="n">
        <v>5452.95737935004</v>
      </c>
      <c r="D21">
        <f>PWT!B21</f>
        <v/>
      </c>
      <c r="E21">
        <f>C21/D21</f>
        <v/>
      </c>
    </row>
    <row r="22">
      <c r="A22" t="n">
        <v>2020</v>
      </c>
      <c r="C22" t="n">
        <v>6152.769261618049</v>
      </c>
      <c r="D22">
        <f>PWT!B22</f>
        <v/>
      </c>
      <c r="E22">
        <f>C22/D22</f>
        <v/>
      </c>
    </row>
    <row r="23">
      <c r="A23" t="n">
        <v>2021</v>
      </c>
      <c r="C23" t="n">
        <v>7072.625348898229</v>
      </c>
      <c r="D23">
        <f>PWT!B23</f>
        <v/>
      </c>
      <c r="E23">
        <f>C23/D23</f>
        <v/>
      </c>
    </row>
    <row r="24">
      <c r="A24" t="n">
        <v>2022</v>
      </c>
      <c r="C24" t="n">
        <v>7661.44847488107</v>
      </c>
      <c r="D24">
        <f>PWT!B24</f>
        <v/>
      </c>
      <c r="E24">
        <f>C24/D24</f>
        <v/>
      </c>
    </row>
    <row r="25">
      <c r="A25" t="n">
        <v>2023</v>
      </c>
      <c r="C25" t="n">
        <v>9410.657843710351</v>
      </c>
      <c r="D25">
        <f>PWT!B25</f>
        <v/>
      </c>
      <c r="E25">
        <f>C25/D25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Parameters</t>
        </is>
      </c>
    </row>
    <row r="2">
      <c r="A2" t="inlineStr">
        <is>
          <t>Capital's share (alpha)</t>
        </is>
      </c>
      <c r="B2">
        <f>1-AVERAGE(PWT!C17:C25)</f>
        <v/>
      </c>
    </row>
    <row r="3">
      <c r="A3" t="inlineStr">
        <is>
          <t>Annual depreciation rate</t>
        </is>
      </c>
      <c r="B3">
        <f>AVERAGE('CFC data'!E18:E25)</f>
        <v/>
      </c>
    </row>
    <row r="5">
      <c r="A5" s="2" t="inlineStr">
        <is>
          <t>Historical TFP Calculation</t>
        </is>
      </c>
      <c r="K5" s="2" t="inlineStr">
        <is>
          <t>HP Filter Solver Area</t>
        </is>
      </c>
      <c r="O5" s="3" t="inlineStr">
        <is>
          <t>Objective:</t>
        </is>
      </c>
      <c r="P5">
        <f>SUM(P7:P28)+100*SUMPRODUCT(N9:N28,N9:N28)</f>
        <v/>
      </c>
    </row>
    <row r="6">
      <c r="A6" s="1" t="inlineStr">
        <is>
          <t>Year</t>
        </is>
      </c>
      <c r="B6" s="1" t="inlineStr">
        <is>
          <t>K</t>
        </is>
      </c>
      <c r="C6" s="1" t="inlineStr">
        <is>
          <t>Y</t>
        </is>
      </c>
      <c r="D6" s="1" t="inlineStr">
        <is>
          <t>LnK</t>
        </is>
      </c>
      <c r="E6" s="1" t="inlineStr">
        <is>
          <t>LnY</t>
        </is>
      </c>
      <c r="F6" s="1" t="inlineStr">
        <is>
          <t>LnZ</t>
        </is>
      </c>
      <c r="G6" s="1" t="inlineStr">
        <is>
          <t>LnZ_HP</t>
        </is>
      </c>
      <c r="K6" s="4" t="inlineStr">
        <is>
          <t>Year</t>
        </is>
      </c>
      <c r="L6" s="4" t="inlineStr">
        <is>
          <t>LnZ_HP</t>
        </is>
      </c>
      <c r="M6" s="4" t="inlineStr">
        <is>
          <t>1st Diff</t>
        </is>
      </c>
      <c r="N6" s="4" t="inlineStr">
        <is>
          <t>2nd Diff</t>
        </is>
      </c>
      <c r="O6" s="4" t="inlineStr">
        <is>
          <t>LnZ - Trend</t>
        </is>
      </c>
      <c r="P6" s="4" t="inlineStr">
        <is>
          <t>Squared Dev</t>
        </is>
      </c>
    </row>
    <row r="7">
      <c r="A7" t="n">
        <v>2002</v>
      </c>
      <c r="B7">
        <f>PWT!B4</f>
        <v/>
      </c>
      <c r="C7">
        <f>WEO_Data!C4</f>
        <v/>
      </c>
      <c r="D7">
        <f>LN(B7)</f>
        <v/>
      </c>
      <c r="E7">
        <f>LN(C7)</f>
        <v/>
      </c>
      <c r="F7">
        <f>E7-$B$2*D7</f>
        <v/>
      </c>
      <c r="G7">
        <f>F7</f>
        <v/>
      </c>
      <c r="K7">
        <f>A7</f>
        <v/>
      </c>
      <c r="L7">
        <f>G7</f>
        <v/>
      </c>
      <c r="O7">
        <f>F7-L7</f>
        <v/>
      </c>
      <c r="P7">
        <f>O7^2</f>
        <v/>
      </c>
    </row>
    <row r="8">
      <c r="A8" t="n">
        <v>2003</v>
      </c>
      <c r="B8">
        <f>PWT!B5</f>
        <v/>
      </c>
      <c r="C8">
        <f>WEO_Data!C5</f>
        <v/>
      </c>
      <c r="D8">
        <f>LN(B8)</f>
        <v/>
      </c>
      <c r="E8">
        <f>LN(C8)</f>
        <v/>
      </c>
      <c r="F8">
        <f>E8-$B$2*D8</f>
        <v/>
      </c>
      <c r="G8">
        <f>F8</f>
        <v/>
      </c>
      <c r="K8">
        <f>A8</f>
        <v/>
      </c>
      <c r="L8">
        <f>G8</f>
        <v/>
      </c>
      <c r="M8">
        <f>L8-L7</f>
        <v/>
      </c>
      <c r="O8">
        <f>F8-L8</f>
        <v/>
      </c>
      <c r="P8">
        <f>O8^2</f>
        <v/>
      </c>
    </row>
    <row r="9">
      <c r="A9" t="n">
        <v>2004</v>
      </c>
      <c r="B9">
        <f>PWT!B6</f>
        <v/>
      </c>
      <c r="C9">
        <f>WEO_Data!C6</f>
        <v/>
      </c>
      <c r="D9">
        <f>LN(B9)</f>
        <v/>
      </c>
      <c r="E9">
        <f>LN(C9)</f>
        <v/>
      </c>
      <c r="F9">
        <f>E9-$B$2*D9</f>
        <v/>
      </c>
      <c r="G9">
        <f>F9</f>
        <v/>
      </c>
      <c r="K9">
        <f>A9</f>
        <v/>
      </c>
      <c r="L9">
        <f>G9</f>
        <v/>
      </c>
      <c r="M9">
        <f>L9-L8</f>
        <v/>
      </c>
      <c r="N9">
        <f>M9-M8</f>
        <v/>
      </c>
      <c r="O9">
        <f>F9-L9</f>
        <v/>
      </c>
      <c r="P9">
        <f>O9^2</f>
        <v/>
      </c>
    </row>
    <row r="10">
      <c r="A10" t="n">
        <v>2005</v>
      </c>
      <c r="B10">
        <f>PWT!B7</f>
        <v/>
      </c>
      <c r="C10">
        <f>WEO_Data!C7</f>
        <v/>
      </c>
      <c r="D10">
        <f>LN(B10)</f>
        <v/>
      </c>
      <c r="E10">
        <f>LN(C10)</f>
        <v/>
      </c>
      <c r="F10">
        <f>E10-$B$2*D10</f>
        <v/>
      </c>
      <c r="G10">
        <f>F10</f>
        <v/>
      </c>
      <c r="K10">
        <f>A10</f>
        <v/>
      </c>
      <c r="L10">
        <f>G10</f>
        <v/>
      </c>
      <c r="M10">
        <f>L10-L9</f>
        <v/>
      </c>
      <c r="N10">
        <f>M10-M9</f>
        <v/>
      </c>
      <c r="O10">
        <f>F10-L10</f>
        <v/>
      </c>
      <c r="P10">
        <f>O10^2</f>
        <v/>
      </c>
    </row>
    <row r="11">
      <c r="A11" t="n">
        <v>2006</v>
      </c>
      <c r="B11">
        <f>PWT!B8</f>
        <v/>
      </c>
      <c r="C11">
        <f>WEO_Data!C8</f>
        <v/>
      </c>
      <c r="D11">
        <f>LN(B11)</f>
        <v/>
      </c>
      <c r="E11">
        <f>LN(C11)</f>
        <v/>
      </c>
      <c r="F11">
        <f>E11-$B$2*D11</f>
        <v/>
      </c>
      <c r="G11">
        <f>F11</f>
        <v/>
      </c>
      <c r="K11">
        <f>A11</f>
        <v/>
      </c>
      <c r="L11">
        <f>G11</f>
        <v/>
      </c>
      <c r="M11">
        <f>L11-L10</f>
        <v/>
      </c>
      <c r="N11">
        <f>M11-M10</f>
        <v/>
      </c>
      <c r="O11">
        <f>F11-L11</f>
        <v/>
      </c>
      <c r="P11">
        <f>O11^2</f>
        <v/>
      </c>
    </row>
    <row r="12">
      <c r="A12" t="n">
        <v>2007</v>
      </c>
      <c r="B12">
        <f>PWT!B9</f>
        <v/>
      </c>
      <c r="C12">
        <f>WEO_Data!C9</f>
        <v/>
      </c>
      <c r="D12">
        <f>LN(B12)</f>
        <v/>
      </c>
      <c r="E12">
        <f>LN(C12)</f>
        <v/>
      </c>
      <c r="F12">
        <f>E12-$B$2*D12</f>
        <v/>
      </c>
      <c r="G12">
        <f>F12</f>
        <v/>
      </c>
      <c r="K12">
        <f>A12</f>
        <v/>
      </c>
      <c r="L12">
        <f>G12</f>
        <v/>
      </c>
      <c r="M12">
        <f>L12-L11</f>
        <v/>
      </c>
      <c r="N12">
        <f>M12-M11</f>
        <v/>
      </c>
      <c r="O12">
        <f>F12-L12</f>
        <v/>
      </c>
      <c r="P12">
        <f>O12^2</f>
        <v/>
      </c>
    </row>
    <row r="13">
      <c r="A13" t="n">
        <v>2008</v>
      </c>
      <c r="B13">
        <f>PWT!B10</f>
        <v/>
      </c>
      <c r="C13">
        <f>WEO_Data!C10</f>
        <v/>
      </c>
      <c r="D13">
        <f>LN(B13)</f>
        <v/>
      </c>
      <c r="E13">
        <f>LN(C13)</f>
        <v/>
      </c>
      <c r="F13">
        <f>E13-$B$2*D13</f>
        <v/>
      </c>
      <c r="G13">
        <f>F13</f>
        <v/>
      </c>
      <c r="K13">
        <f>A13</f>
        <v/>
      </c>
      <c r="L13">
        <f>G13</f>
        <v/>
      </c>
      <c r="M13">
        <f>L13-L12</f>
        <v/>
      </c>
      <c r="N13">
        <f>M13-M12</f>
        <v/>
      </c>
      <c r="O13">
        <f>F13-L13</f>
        <v/>
      </c>
      <c r="P13">
        <f>O13^2</f>
        <v/>
      </c>
    </row>
    <row r="14">
      <c r="A14" t="n">
        <v>2009</v>
      </c>
      <c r="B14">
        <f>PWT!B11</f>
        <v/>
      </c>
      <c r="C14">
        <f>WEO_Data!C11</f>
        <v/>
      </c>
      <c r="D14">
        <f>LN(B14)</f>
        <v/>
      </c>
      <c r="E14">
        <f>LN(C14)</f>
        <v/>
      </c>
      <c r="F14">
        <f>E14-$B$2*D14</f>
        <v/>
      </c>
      <c r="G14">
        <f>F14</f>
        <v/>
      </c>
      <c r="K14">
        <f>A14</f>
        <v/>
      </c>
      <c r="L14">
        <f>G14</f>
        <v/>
      </c>
      <c r="M14">
        <f>L14-L13</f>
        <v/>
      </c>
      <c r="N14">
        <f>M14-M13</f>
        <v/>
      </c>
      <c r="O14">
        <f>F14-L14</f>
        <v/>
      </c>
      <c r="P14">
        <f>O14^2</f>
        <v/>
      </c>
    </row>
    <row r="15">
      <c r="A15" t="n">
        <v>2010</v>
      </c>
      <c r="B15">
        <f>PWT!B12</f>
        <v/>
      </c>
      <c r="C15">
        <f>WEO_Data!C12</f>
        <v/>
      </c>
      <c r="D15">
        <f>LN(B15)</f>
        <v/>
      </c>
      <c r="E15">
        <f>LN(C15)</f>
        <v/>
      </c>
      <c r="F15">
        <f>E15-$B$2*D15</f>
        <v/>
      </c>
      <c r="G15">
        <f>F15</f>
        <v/>
      </c>
      <c r="K15">
        <f>A15</f>
        <v/>
      </c>
      <c r="L15">
        <f>G15</f>
        <v/>
      </c>
      <c r="M15">
        <f>L15-L14</f>
        <v/>
      </c>
      <c r="N15">
        <f>M15-M14</f>
        <v/>
      </c>
      <c r="O15">
        <f>F15-L15</f>
        <v/>
      </c>
      <c r="P15">
        <f>O15^2</f>
        <v/>
      </c>
    </row>
    <row r="16">
      <c r="A16" t="n">
        <v>2011</v>
      </c>
      <c r="B16">
        <f>PWT!B13</f>
        <v/>
      </c>
      <c r="C16">
        <f>WEO_Data!C13</f>
        <v/>
      </c>
      <c r="D16">
        <f>LN(B16)</f>
        <v/>
      </c>
      <c r="E16">
        <f>LN(C16)</f>
        <v/>
      </c>
      <c r="F16">
        <f>E16-$B$2*D16</f>
        <v/>
      </c>
      <c r="G16">
        <f>F16</f>
        <v/>
      </c>
      <c r="K16">
        <f>A16</f>
        <v/>
      </c>
      <c r="L16">
        <f>G16</f>
        <v/>
      </c>
      <c r="M16">
        <f>L16-L15</f>
        <v/>
      </c>
      <c r="N16">
        <f>M16-M15</f>
        <v/>
      </c>
      <c r="O16">
        <f>F16-L16</f>
        <v/>
      </c>
      <c r="P16">
        <f>O16^2</f>
        <v/>
      </c>
    </row>
    <row r="17">
      <c r="A17" t="n">
        <v>2012</v>
      </c>
      <c r="B17">
        <f>PWT!B14</f>
        <v/>
      </c>
      <c r="C17">
        <f>WEO_Data!C14</f>
        <v/>
      </c>
      <c r="D17">
        <f>LN(B17)</f>
        <v/>
      </c>
      <c r="E17">
        <f>LN(C17)</f>
        <v/>
      </c>
      <c r="F17">
        <f>E17-$B$2*D17</f>
        <v/>
      </c>
      <c r="G17">
        <f>F17</f>
        <v/>
      </c>
      <c r="K17">
        <f>A17</f>
        <v/>
      </c>
      <c r="L17">
        <f>G17</f>
        <v/>
      </c>
      <c r="M17">
        <f>L17-L16</f>
        <v/>
      </c>
      <c r="N17">
        <f>M17-M16</f>
        <v/>
      </c>
      <c r="O17">
        <f>F17-L17</f>
        <v/>
      </c>
      <c r="P17">
        <f>O17^2</f>
        <v/>
      </c>
    </row>
    <row r="18">
      <c r="A18" t="n">
        <v>2013</v>
      </c>
      <c r="B18">
        <f>PWT!B15</f>
        <v/>
      </c>
      <c r="C18">
        <f>WEO_Data!C15</f>
        <v/>
      </c>
      <c r="D18">
        <f>LN(B18)</f>
        <v/>
      </c>
      <c r="E18">
        <f>LN(C18)</f>
        <v/>
      </c>
      <c r="F18">
        <f>E18-$B$2*D18</f>
        <v/>
      </c>
      <c r="G18">
        <f>F18</f>
        <v/>
      </c>
      <c r="K18">
        <f>A18</f>
        <v/>
      </c>
      <c r="L18">
        <f>G18</f>
        <v/>
      </c>
      <c r="M18">
        <f>L18-L17</f>
        <v/>
      </c>
      <c r="N18">
        <f>M18-M17</f>
        <v/>
      </c>
      <c r="O18">
        <f>F18-L18</f>
        <v/>
      </c>
      <c r="P18">
        <f>O18^2</f>
        <v/>
      </c>
    </row>
    <row r="19">
      <c r="A19" t="n">
        <v>2014</v>
      </c>
      <c r="B19">
        <f>PWT!B16</f>
        <v/>
      </c>
      <c r="C19">
        <f>WEO_Data!C16</f>
        <v/>
      </c>
      <c r="D19">
        <f>LN(B19)</f>
        <v/>
      </c>
      <c r="E19">
        <f>LN(C19)</f>
        <v/>
      </c>
      <c r="F19">
        <f>E19-$B$2*D19</f>
        <v/>
      </c>
      <c r="G19">
        <f>F19</f>
        <v/>
      </c>
      <c r="K19">
        <f>A19</f>
        <v/>
      </c>
      <c r="L19">
        <f>G19</f>
        <v/>
      </c>
      <c r="M19">
        <f>L19-L18</f>
        <v/>
      </c>
      <c r="N19">
        <f>M19-M18</f>
        <v/>
      </c>
      <c r="O19">
        <f>F19-L19</f>
        <v/>
      </c>
      <c r="P19">
        <f>O19^2</f>
        <v/>
      </c>
    </row>
    <row r="20">
      <c r="A20" t="n">
        <v>2015</v>
      </c>
      <c r="B20">
        <f>PWT!B17</f>
        <v/>
      </c>
      <c r="C20">
        <f>WEO_Data!C17</f>
        <v/>
      </c>
      <c r="D20">
        <f>LN(B20)</f>
        <v/>
      </c>
      <c r="E20">
        <f>LN(C20)</f>
        <v/>
      </c>
      <c r="F20">
        <f>E20-$B$2*D20</f>
        <v/>
      </c>
      <c r="G20">
        <f>F20</f>
        <v/>
      </c>
      <c r="K20">
        <f>A20</f>
        <v/>
      </c>
      <c r="L20">
        <f>G20</f>
        <v/>
      </c>
      <c r="M20">
        <f>L20-L19</f>
        <v/>
      </c>
      <c r="N20">
        <f>M20-M19</f>
        <v/>
      </c>
      <c r="O20">
        <f>F20-L20</f>
        <v/>
      </c>
      <c r="P20">
        <f>O20^2</f>
        <v/>
      </c>
    </row>
    <row r="21">
      <c r="A21" t="n">
        <v>2016</v>
      </c>
      <c r="B21">
        <f>PWT!B18</f>
        <v/>
      </c>
      <c r="C21">
        <f>WEO_Data!C18</f>
        <v/>
      </c>
      <c r="D21">
        <f>LN(B21)</f>
        <v/>
      </c>
      <c r="E21">
        <f>LN(C21)</f>
        <v/>
      </c>
      <c r="F21">
        <f>E21-$B$2*D21</f>
        <v/>
      </c>
      <c r="G21">
        <f>F21</f>
        <v/>
      </c>
      <c r="K21">
        <f>A21</f>
        <v/>
      </c>
      <c r="L21">
        <f>G21</f>
        <v/>
      </c>
      <c r="M21">
        <f>L21-L20</f>
        <v/>
      </c>
      <c r="N21">
        <f>M21-M20</f>
        <v/>
      </c>
      <c r="O21">
        <f>F21-L21</f>
        <v/>
      </c>
      <c r="P21">
        <f>O21^2</f>
        <v/>
      </c>
    </row>
    <row r="22">
      <c r="A22" t="n">
        <v>2017</v>
      </c>
      <c r="B22">
        <f>PWT!B19</f>
        <v/>
      </c>
      <c r="C22">
        <f>WEO_Data!C19</f>
        <v/>
      </c>
      <c r="D22">
        <f>LN(B22)</f>
        <v/>
      </c>
      <c r="E22">
        <f>LN(C22)</f>
        <v/>
      </c>
      <c r="F22">
        <f>E22-$B$2*D22</f>
        <v/>
      </c>
      <c r="G22">
        <f>F22</f>
        <v/>
      </c>
      <c r="K22">
        <f>A22</f>
        <v/>
      </c>
      <c r="L22">
        <f>G22</f>
        <v/>
      </c>
      <c r="M22">
        <f>L22-L21</f>
        <v/>
      </c>
      <c r="N22">
        <f>M22-M21</f>
        <v/>
      </c>
      <c r="O22">
        <f>F22-L22</f>
        <v/>
      </c>
      <c r="P22">
        <f>O22^2</f>
        <v/>
      </c>
    </row>
    <row r="23">
      <c r="A23" t="n">
        <v>2018</v>
      </c>
      <c r="B23">
        <f>PWT!B20</f>
        <v/>
      </c>
      <c r="C23">
        <f>WEO_Data!C20</f>
        <v/>
      </c>
      <c r="D23">
        <f>LN(B23)</f>
        <v/>
      </c>
      <c r="E23">
        <f>LN(C23)</f>
        <v/>
      </c>
      <c r="F23">
        <f>E23-$B$2*D23</f>
        <v/>
      </c>
      <c r="G23">
        <f>F23</f>
        <v/>
      </c>
      <c r="K23">
        <f>A23</f>
        <v/>
      </c>
      <c r="L23">
        <f>G23</f>
        <v/>
      </c>
      <c r="M23">
        <f>L23-L22</f>
        <v/>
      </c>
      <c r="N23">
        <f>M23-M22</f>
        <v/>
      </c>
      <c r="O23">
        <f>F23-L23</f>
        <v/>
      </c>
      <c r="P23">
        <f>O23^2</f>
        <v/>
      </c>
    </row>
    <row r="24">
      <c r="A24" t="n">
        <v>2019</v>
      </c>
      <c r="B24">
        <f>PWT!B21</f>
        <v/>
      </c>
      <c r="C24">
        <f>WEO_Data!C21</f>
        <v/>
      </c>
      <c r="D24">
        <f>LN(B24)</f>
        <v/>
      </c>
      <c r="E24">
        <f>LN(C24)</f>
        <v/>
      </c>
      <c r="F24">
        <f>E24-$B$2*D24</f>
        <v/>
      </c>
      <c r="G24">
        <f>F24</f>
        <v/>
      </c>
      <c r="K24">
        <f>A24</f>
        <v/>
      </c>
      <c r="L24">
        <f>G24</f>
        <v/>
      </c>
      <c r="M24">
        <f>L24-L23</f>
        <v/>
      </c>
      <c r="N24">
        <f>M24-M23</f>
        <v/>
      </c>
      <c r="O24">
        <f>F24-L24</f>
        <v/>
      </c>
      <c r="P24">
        <f>O24^2</f>
        <v/>
      </c>
    </row>
    <row r="25">
      <c r="A25" t="n">
        <v>2020</v>
      </c>
      <c r="B25">
        <f>PWT!B22</f>
        <v/>
      </c>
      <c r="C25">
        <f>WEO_Data!C22</f>
        <v/>
      </c>
      <c r="D25">
        <f>LN(B25)</f>
        <v/>
      </c>
      <c r="E25">
        <f>LN(C25)</f>
        <v/>
      </c>
      <c r="F25">
        <f>E25-$B$2*D25</f>
        <v/>
      </c>
      <c r="G25">
        <f>F25</f>
        <v/>
      </c>
      <c r="K25">
        <f>A25</f>
        <v/>
      </c>
      <c r="L25">
        <f>G25</f>
        <v/>
      </c>
      <c r="M25">
        <f>L25-L24</f>
        <v/>
      </c>
      <c r="N25">
        <f>M25-M24</f>
        <v/>
      </c>
      <c r="O25">
        <f>F25-L25</f>
        <v/>
      </c>
      <c r="P25">
        <f>O25^2</f>
        <v/>
      </c>
    </row>
    <row r="26">
      <c r="A26" t="n">
        <v>2021</v>
      </c>
      <c r="B26">
        <f>PWT!B23</f>
        <v/>
      </c>
      <c r="C26">
        <f>WEO_Data!C23</f>
        <v/>
      </c>
      <c r="D26">
        <f>LN(B26)</f>
        <v/>
      </c>
      <c r="E26">
        <f>LN(C26)</f>
        <v/>
      </c>
      <c r="F26">
        <f>E26-$B$2*D26</f>
        <v/>
      </c>
      <c r="G26">
        <f>F26</f>
        <v/>
      </c>
      <c r="K26">
        <f>A26</f>
        <v/>
      </c>
      <c r="L26">
        <f>G26</f>
        <v/>
      </c>
      <c r="M26">
        <f>L26-L25</f>
        <v/>
      </c>
      <c r="N26">
        <f>M26-M25</f>
        <v/>
      </c>
      <c r="O26">
        <f>F26-L26</f>
        <v/>
      </c>
      <c r="P26">
        <f>O26^2</f>
        <v/>
      </c>
    </row>
    <row r="27">
      <c r="A27" t="n">
        <v>2022</v>
      </c>
      <c r="B27">
        <f>PWT!B24</f>
        <v/>
      </c>
      <c r="C27">
        <f>WEO_Data!C24</f>
        <v/>
      </c>
      <c r="D27">
        <f>LN(B27)</f>
        <v/>
      </c>
      <c r="E27">
        <f>LN(C27)</f>
        <v/>
      </c>
      <c r="F27">
        <f>E27-$B$2*D27</f>
        <v/>
      </c>
      <c r="G27">
        <f>F27</f>
        <v/>
      </c>
      <c r="K27">
        <f>A27</f>
        <v/>
      </c>
      <c r="L27">
        <f>G27</f>
        <v/>
      </c>
      <c r="M27">
        <f>L27-L26</f>
        <v/>
      </c>
      <c r="N27">
        <f>M27-M26</f>
        <v/>
      </c>
      <c r="O27">
        <f>F27-L27</f>
        <v/>
      </c>
      <c r="P27">
        <f>O27^2</f>
        <v/>
      </c>
    </row>
    <row r="28">
      <c r="A28" t="n">
        <v>2023</v>
      </c>
      <c r="B28">
        <f>PWT!B25</f>
        <v/>
      </c>
      <c r="C28">
        <f>WEO_Data!C25</f>
        <v/>
      </c>
      <c r="D28">
        <f>LN(B28)</f>
        <v/>
      </c>
      <c r="E28">
        <f>LN(C28)</f>
        <v/>
      </c>
      <c r="F28">
        <f>E28-$B$2*D28</f>
        <v/>
      </c>
      <c r="G28">
        <f>F28</f>
        <v/>
      </c>
      <c r="K28">
        <f>A28</f>
        <v/>
      </c>
      <c r="L28">
        <f>G28</f>
        <v/>
      </c>
      <c r="M28">
        <f>L28-L27</f>
        <v/>
      </c>
      <c r="N28">
        <f>M28-M27</f>
        <v/>
      </c>
      <c r="O28">
        <f>F28-L28</f>
        <v/>
      </c>
      <c r="P28">
        <f>O28^2</f>
        <v/>
      </c>
    </row>
    <row r="29">
      <c r="A29" t="n">
        <v>2024</v>
      </c>
      <c r="C29">
        <f>WEO_Data!C26</f>
        <v/>
      </c>
      <c r="D29">
        <f>LN(B29)</f>
        <v/>
      </c>
      <c r="E29">
        <f>LN(C29)</f>
        <v/>
      </c>
      <c r="F29">
        <f>E29-$B$2*D29</f>
        <v/>
      </c>
      <c r="G29">
        <f>F29</f>
        <v/>
      </c>
    </row>
    <row r="30">
      <c r="A30" s="2" t="inlineStr">
        <is>
          <t>Production Function and Projections</t>
        </is>
      </c>
    </row>
    <row r="31">
      <c r="A31" s="5" t="inlineStr">
        <is>
          <t>Year</t>
        </is>
      </c>
      <c r="B31" s="5" t="inlineStr">
        <is>
          <t>Y</t>
        </is>
      </c>
      <c r="C31" s="5" t="inlineStr">
        <is>
          <t>K</t>
        </is>
      </c>
      <c r="D31" s="5" t="inlineStr">
        <is>
          <t>K/Y</t>
        </is>
      </c>
      <c r="E31" s="5" t="inlineStr">
        <is>
          <t>lnK</t>
        </is>
      </c>
      <c r="F31" s="5" t="inlineStr">
        <is>
          <t>lnY</t>
        </is>
      </c>
      <c r="G31" s="5" t="inlineStr">
        <is>
          <t>lnZ_trend</t>
        </is>
      </c>
      <c r="H31" s="5" t="inlineStr">
        <is>
          <t>Ystar_base</t>
        </is>
      </c>
      <c r="I31" s="5" t="inlineStr">
        <is>
          <t>Investment</t>
        </is>
      </c>
      <c r="J31" s="5" t="inlineStr">
        <is>
          <t>deltaK</t>
        </is>
      </c>
      <c r="K31" s="5" t="inlineStr">
        <is>
          <t>K_with</t>
        </is>
      </c>
      <c r="L31" s="5" t="inlineStr">
        <is>
          <t>lnK_with</t>
        </is>
      </c>
      <c r="M31" s="5" t="inlineStr">
        <is>
          <t>Ystar_with</t>
        </is>
      </c>
      <c r="N31" s="5" t="inlineStr">
        <is>
          <t>Ystar_with-Ystar_base</t>
        </is>
      </c>
      <c r="O31" s="5" t="inlineStr">
        <is>
          <t>Impact %</t>
        </is>
      </c>
    </row>
    <row r="32">
      <c r="A32" t="n">
        <v>2002</v>
      </c>
      <c r="B32">
        <f>WEO_Data!C4</f>
        <v/>
      </c>
      <c r="C32">
        <f>PWT!B4</f>
        <v/>
      </c>
      <c r="D32">
        <f>C32/B32</f>
        <v/>
      </c>
      <c r="E32">
        <f>LN(C32)</f>
        <v/>
      </c>
      <c r="F32">
        <f>LN(B32)</f>
        <v/>
      </c>
      <c r="G32">
        <f>G7</f>
        <v/>
      </c>
      <c r="H32">
        <f>EXP(G32+$B$2*E32)</f>
        <v/>
      </c>
      <c r="I32">
        <f>Investment!B32</f>
        <v/>
      </c>
      <c r="J32">
        <f>$B$3*C32</f>
        <v/>
      </c>
      <c r="K32">
        <f>C32</f>
        <v/>
      </c>
      <c r="L32">
        <f>LN(K32)</f>
        <v/>
      </c>
      <c r="M32">
        <f>EXP(G32+$B$2*L32)</f>
        <v/>
      </c>
      <c r="N32">
        <f>M32-H32</f>
        <v/>
      </c>
      <c r="O32">
        <f>(M32/H32-1)*100</f>
        <v/>
      </c>
    </row>
    <row r="33">
      <c r="A33" t="n">
        <v>2003</v>
      </c>
      <c r="B33">
        <f>WEO_Data!C5</f>
        <v/>
      </c>
      <c r="C33">
        <f>PWT!B5</f>
        <v/>
      </c>
      <c r="D33">
        <f>C33/B33</f>
        <v/>
      </c>
      <c r="E33">
        <f>LN(C33)</f>
        <v/>
      </c>
      <c r="F33">
        <f>LN(B33)</f>
        <v/>
      </c>
      <c r="G33">
        <f>G8</f>
        <v/>
      </c>
      <c r="H33">
        <f>EXP(G33+$B$2*E33)</f>
        <v/>
      </c>
      <c r="I33">
        <f>Investment!B33</f>
        <v/>
      </c>
      <c r="J33">
        <f>$B$3*C33</f>
        <v/>
      </c>
      <c r="K33">
        <f>K32+I32-J32</f>
        <v/>
      </c>
      <c r="L33">
        <f>LN(K33)</f>
        <v/>
      </c>
      <c r="M33">
        <f>EXP(G33+$B$2*L33)</f>
        <v/>
      </c>
      <c r="N33">
        <f>M33-H33</f>
        <v/>
      </c>
      <c r="O33">
        <f>(M33/H33-1)*100</f>
        <v/>
      </c>
    </row>
    <row r="34">
      <c r="A34" t="n">
        <v>2004</v>
      </c>
      <c r="B34">
        <f>WEO_Data!C6</f>
        <v/>
      </c>
      <c r="C34">
        <f>PWT!B6</f>
        <v/>
      </c>
      <c r="D34">
        <f>C34/B34</f>
        <v/>
      </c>
      <c r="E34">
        <f>LN(C34)</f>
        <v/>
      </c>
      <c r="F34">
        <f>LN(B34)</f>
        <v/>
      </c>
      <c r="G34">
        <f>G9</f>
        <v/>
      </c>
      <c r="H34">
        <f>EXP(G34+$B$2*E34)</f>
        <v/>
      </c>
      <c r="I34">
        <f>Investment!B34</f>
        <v/>
      </c>
      <c r="J34">
        <f>$B$3*C34</f>
        <v/>
      </c>
      <c r="K34">
        <f>K33+I33-J33</f>
        <v/>
      </c>
      <c r="L34">
        <f>LN(K34)</f>
        <v/>
      </c>
      <c r="M34">
        <f>EXP(G34+$B$2*L34)</f>
        <v/>
      </c>
      <c r="N34">
        <f>M34-H34</f>
        <v/>
      </c>
      <c r="O34">
        <f>(M34/H34-1)*100</f>
        <v/>
      </c>
    </row>
    <row r="35">
      <c r="A35" t="n">
        <v>2005</v>
      </c>
      <c r="B35">
        <f>WEO_Data!C7</f>
        <v/>
      </c>
      <c r="C35">
        <f>PWT!B7</f>
        <v/>
      </c>
      <c r="D35">
        <f>C35/B35</f>
        <v/>
      </c>
      <c r="E35">
        <f>LN(C35)</f>
        <v/>
      </c>
      <c r="F35">
        <f>LN(B35)</f>
        <v/>
      </c>
      <c r="G35">
        <f>G10</f>
        <v/>
      </c>
      <c r="H35">
        <f>EXP(G35+$B$2*E35)</f>
        <v/>
      </c>
      <c r="I35">
        <f>Investment!B35</f>
        <v/>
      </c>
      <c r="J35">
        <f>$B$3*C35</f>
        <v/>
      </c>
      <c r="K35">
        <f>K34+I34-J34</f>
        <v/>
      </c>
      <c r="L35">
        <f>LN(K35)</f>
        <v/>
      </c>
      <c r="M35">
        <f>EXP(G35+$B$2*L35)</f>
        <v/>
      </c>
      <c r="N35">
        <f>M35-H35</f>
        <v/>
      </c>
      <c r="O35">
        <f>(M35/H35-1)*100</f>
        <v/>
      </c>
    </row>
    <row r="36">
      <c r="A36" t="n">
        <v>2006</v>
      </c>
      <c r="B36">
        <f>WEO_Data!C8</f>
        <v/>
      </c>
      <c r="C36">
        <f>PWT!B8</f>
        <v/>
      </c>
      <c r="D36">
        <f>C36/B36</f>
        <v/>
      </c>
      <c r="E36">
        <f>LN(C36)</f>
        <v/>
      </c>
      <c r="F36">
        <f>LN(B36)</f>
        <v/>
      </c>
      <c r="G36">
        <f>G11</f>
        <v/>
      </c>
      <c r="H36">
        <f>EXP(G36+$B$2*E36)</f>
        <v/>
      </c>
      <c r="I36">
        <f>Investment!B36</f>
        <v/>
      </c>
      <c r="J36">
        <f>$B$3*C36</f>
        <v/>
      </c>
      <c r="K36">
        <f>K35+I35-J35</f>
        <v/>
      </c>
      <c r="L36">
        <f>LN(K36)</f>
        <v/>
      </c>
      <c r="M36">
        <f>EXP(G36+$B$2*L36)</f>
        <v/>
      </c>
      <c r="N36">
        <f>M36-H36</f>
        <v/>
      </c>
      <c r="O36">
        <f>(M36/H36-1)*100</f>
        <v/>
      </c>
    </row>
    <row r="37">
      <c r="A37" t="n">
        <v>2007</v>
      </c>
      <c r="B37">
        <f>WEO_Data!C9</f>
        <v/>
      </c>
      <c r="C37">
        <f>PWT!B9</f>
        <v/>
      </c>
      <c r="D37">
        <f>C37/B37</f>
        <v/>
      </c>
      <c r="E37">
        <f>LN(C37)</f>
        <v/>
      </c>
      <c r="F37">
        <f>LN(B37)</f>
        <v/>
      </c>
      <c r="G37">
        <f>G12</f>
        <v/>
      </c>
      <c r="H37">
        <f>EXP(G37+$B$2*E37)</f>
        <v/>
      </c>
      <c r="I37">
        <f>Investment!B37</f>
        <v/>
      </c>
      <c r="J37">
        <f>$B$3*C37</f>
        <v/>
      </c>
      <c r="K37">
        <f>K36+I36-J36</f>
        <v/>
      </c>
      <c r="L37">
        <f>LN(K37)</f>
        <v/>
      </c>
      <c r="M37">
        <f>EXP(G37+$B$2*L37)</f>
        <v/>
      </c>
      <c r="N37">
        <f>M37-H37</f>
        <v/>
      </c>
      <c r="O37">
        <f>(M37/H37-1)*100</f>
        <v/>
      </c>
    </row>
    <row r="38">
      <c r="A38" t="n">
        <v>2008</v>
      </c>
      <c r="B38">
        <f>WEO_Data!C10</f>
        <v/>
      </c>
      <c r="C38">
        <f>PWT!B10</f>
        <v/>
      </c>
      <c r="D38">
        <f>C38/B38</f>
        <v/>
      </c>
      <c r="E38">
        <f>LN(C38)</f>
        <v/>
      </c>
      <c r="F38">
        <f>LN(B38)</f>
        <v/>
      </c>
      <c r="G38">
        <f>G13</f>
        <v/>
      </c>
      <c r="H38">
        <f>EXP(G38+$B$2*E38)</f>
        <v/>
      </c>
      <c r="I38">
        <f>Investment!B38</f>
        <v/>
      </c>
      <c r="J38">
        <f>$B$3*C38</f>
        <v/>
      </c>
      <c r="K38">
        <f>K37+I37-J37</f>
        <v/>
      </c>
      <c r="L38">
        <f>LN(K38)</f>
        <v/>
      </c>
      <c r="M38">
        <f>EXP(G38+$B$2*L38)</f>
        <v/>
      </c>
      <c r="N38">
        <f>M38-H38</f>
        <v/>
      </c>
      <c r="O38">
        <f>(M38/H38-1)*100</f>
        <v/>
      </c>
    </row>
    <row r="39">
      <c r="A39" t="n">
        <v>2009</v>
      </c>
      <c r="B39">
        <f>WEO_Data!C11</f>
        <v/>
      </c>
      <c r="C39">
        <f>PWT!B11</f>
        <v/>
      </c>
      <c r="D39">
        <f>C39/B39</f>
        <v/>
      </c>
      <c r="E39">
        <f>LN(C39)</f>
        <v/>
      </c>
      <c r="F39">
        <f>LN(B39)</f>
        <v/>
      </c>
      <c r="G39">
        <f>G14</f>
        <v/>
      </c>
      <c r="H39">
        <f>EXP(G39+$B$2*E39)</f>
        <v/>
      </c>
      <c r="I39">
        <f>Investment!B39</f>
        <v/>
      </c>
      <c r="J39">
        <f>$B$3*C39</f>
        <v/>
      </c>
      <c r="K39">
        <f>K38+I38-J38</f>
        <v/>
      </c>
      <c r="L39">
        <f>LN(K39)</f>
        <v/>
      </c>
      <c r="M39">
        <f>EXP(G39+$B$2*L39)</f>
        <v/>
      </c>
      <c r="N39">
        <f>M39-H39</f>
        <v/>
      </c>
      <c r="O39">
        <f>(M39/H39-1)*100</f>
        <v/>
      </c>
    </row>
    <row r="40">
      <c r="A40" t="n">
        <v>2010</v>
      </c>
      <c r="B40">
        <f>WEO_Data!C12</f>
        <v/>
      </c>
      <c r="C40">
        <f>PWT!B12</f>
        <v/>
      </c>
      <c r="D40">
        <f>C40/B40</f>
        <v/>
      </c>
      <c r="E40">
        <f>LN(C40)</f>
        <v/>
      </c>
      <c r="F40">
        <f>LN(B40)</f>
        <v/>
      </c>
      <c r="G40">
        <f>G15</f>
        <v/>
      </c>
      <c r="H40">
        <f>EXP(G40+$B$2*E40)</f>
        <v/>
      </c>
      <c r="I40">
        <f>Investment!B40</f>
        <v/>
      </c>
      <c r="J40">
        <f>$B$3*C40</f>
        <v/>
      </c>
      <c r="K40">
        <f>K39+I39-J39</f>
        <v/>
      </c>
      <c r="L40">
        <f>LN(K40)</f>
        <v/>
      </c>
      <c r="M40">
        <f>EXP(G40+$B$2*L40)</f>
        <v/>
      </c>
      <c r="N40">
        <f>M40-H40</f>
        <v/>
      </c>
      <c r="O40">
        <f>(M40/H40-1)*100</f>
        <v/>
      </c>
    </row>
    <row r="41">
      <c r="A41" t="n">
        <v>2011</v>
      </c>
      <c r="B41">
        <f>WEO_Data!C13</f>
        <v/>
      </c>
      <c r="C41">
        <f>PWT!B13</f>
        <v/>
      </c>
      <c r="D41">
        <f>C41/B41</f>
        <v/>
      </c>
      <c r="E41">
        <f>LN(C41)</f>
        <v/>
      </c>
      <c r="F41">
        <f>LN(B41)</f>
        <v/>
      </c>
      <c r="G41">
        <f>G16</f>
        <v/>
      </c>
      <c r="H41">
        <f>EXP(G41+$B$2*E41)</f>
        <v/>
      </c>
      <c r="I41">
        <f>Investment!B41</f>
        <v/>
      </c>
      <c r="J41">
        <f>$B$3*C41</f>
        <v/>
      </c>
      <c r="K41">
        <f>K40+I40-J40</f>
        <v/>
      </c>
      <c r="L41">
        <f>LN(K41)</f>
        <v/>
      </c>
      <c r="M41">
        <f>EXP(G41+$B$2*L41)</f>
        <v/>
      </c>
      <c r="N41">
        <f>M41-H41</f>
        <v/>
      </c>
      <c r="O41">
        <f>(M41/H41-1)*100</f>
        <v/>
      </c>
    </row>
    <row r="42">
      <c r="A42" t="n">
        <v>2012</v>
      </c>
      <c r="B42">
        <f>WEO_Data!C14</f>
        <v/>
      </c>
      <c r="C42">
        <f>PWT!B14</f>
        <v/>
      </c>
      <c r="D42">
        <f>C42/B42</f>
        <v/>
      </c>
      <c r="E42">
        <f>LN(C42)</f>
        <v/>
      </c>
      <c r="F42">
        <f>LN(B42)</f>
        <v/>
      </c>
      <c r="G42">
        <f>G17</f>
        <v/>
      </c>
      <c r="H42">
        <f>EXP(G42+$B$2*E42)</f>
        <v/>
      </c>
      <c r="I42">
        <f>Investment!B42</f>
        <v/>
      </c>
      <c r="J42">
        <f>$B$3*C42</f>
        <v/>
      </c>
      <c r="K42">
        <f>K41+I41-J41</f>
        <v/>
      </c>
      <c r="L42">
        <f>LN(K42)</f>
        <v/>
      </c>
      <c r="M42">
        <f>EXP(G42+$B$2*L42)</f>
        <v/>
      </c>
      <c r="N42">
        <f>M42-H42</f>
        <v/>
      </c>
      <c r="O42">
        <f>(M42/H42-1)*100</f>
        <v/>
      </c>
    </row>
    <row r="43">
      <c r="A43" t="n">
        <v>2013</v>
      </c>
      <c r="B43">
        <f>WEO_Data!C15</f>
        <v/>
      </c>
      <c r="C43">
        <f>PWT!B15</f>
        <v/>
      </c>
      <c r="D43">
        <f>C43/B43</f>
        <v/>
      </c>
      <c r="E43">
        <f>LN(C43)</f>
        <v/>
      </c>
      <c r="F43">
        <f>LN(B43)</f>
        <v/>
      </c>
      <c r="G43">
        <f>G18</f>
        <v/>
      </c>
      <c r="H43">
        <f>EXP(G43+$B$2*E43)</f>
        <v/>
      </c>
      <c r="I43">
        <f>Investment!B43</f>
        <v/>
      </c>
      <c r="J43">
        <f>$B$3*C43</f>
        <v/>
      </c>
      <c r="K43">
        <f>K42+I42-J42</f>
        <v/>
      </c>
      <c r="L43">
        <f>LN(K43)</f>
        <v/>
      </c>
      <c r="M43">
        <f>EXP(G43+$B$2*L43)</f>
        <v/>
      </c>
      <c r="N43">
        <f>M43-H43</f>
        <v/>
      </c>
      <c r="O43">
        <f>(M43/H43-1)*100</f>
        <v/>
      </c>
    </row>
    <row r="44">
      <c r="A44" t="n">
        <v>2014</v>
      </c>
      <c r="B44">
        <f>WEO_Data!C16</f>
        <v/>
      </c>
      <c r="C44">
        <f>PWT!B16</f>
        <v/>
      </c>
      <c r="D44">
        <f>C44/B44</f>
        <v/>
      </c>
      <c r="E44">
        <f>LN(C44)</f>
        <v/>
      </c>
      <c r="F44">
        <f>LN(B44)</f>
        <v/>
      </c>
      <c r="G44">
        <f>G19</f>
        <v/>
      </c>
      <c r="H44">
        <f>EXP(G44+$B$2*E44)</f>
        <v/>
      </c>
      <c r="I44">
        <f>Investment!B44</f>
        <v/>
      </c>
      <c r="J44">
        <f>$B$3*C44</f>
        <v/>
      </c>
      <c r="K44">
        <f>K43+I43-J43</f>
        <v/>
      </c>
      <c r="L44">
        <f>LN(K44)</f>
        <v/>
      </c>
      <c r="M44">
        <f>EXP(G44+$B$2*L44)</f>
        <v/>
      </c>
      <c r="N44">
        <f>M44-H44</f>
        <v/>
      </c>
      <c r="O44">
        <f>(M44/H44-1)*100</f>
        <v/>
      </c>
    </row>
    <row r="45">
      <c r="A45" t="n">
        <v>2015</v>
      </c>
      <c r="B45">
        <f>WEO_Data!C17</f>
        <v/>
      </c>
      <c r="C45">
        <f>PWT!B17</f>
        <v/>
      </c>
      <c r="D45">
        <f>C45/B45</f>
        <v/>
      </c>
      <c r="E45">
        <f>LN(C45)</f>
        <v/>
      </c>
      <c r="F45">
        <f>LN(B45)</f>
        <v/>
      </c>
      <c r="G45">
        <f>G20</f>
        <v/>
      </c>
      <c r="H45">
        <f>EXP(G45+$B$2*E45)</f>
        <v/>
      </c>
      <c r="I45">
        <f>Investment!B45</f>
        <v/>
      </c>
      <c r="J45">
        <f>$B$3*C45</f>
        <v/>
      </c>
      <c r="K45">
        <f>K44+I44-J44</f>
        <v/>
      </c>
      <c r="L45">
        <f>LN(K45)</f>
        <v/>
      </c>
      <c r="M45">
        <f>EXP(G45+$B$2*L45)</f>
        <v/>
      </c>
      <c r="N45">
        <f>M45-H45</f>
        <v/>
      </c>
      <c r="O45">
        <f>(M45/H45-1)*100</f>
        <v/>
      </c>
    </row>
    <row r="46">
      <c r="A46" t="n">
        <v>2016</v>
      </c>
      <c r="B46">
        <f>WEO_Data!C18</f>
        <v/>
      </c>
      <c r="C46">
        <f>PWT!B18</f>
        <v/>
      </c>
      <c r="D46">
        <f>C46/B46</f>
        <v/>
      </c>
      <c r="E46">
        <f>LN(C46)</f>
        <v/>
      </c>
      <c r="F46">
        <f>LN(B46)</f>
        <v/>
      </c>
      <c r="G46">
        <f>G21</f>
        <v/>
      </c>
      <c r="H46">
        <f>EXP(G46+$B$2*E46)</f>
        <v/>
      </c>
      <c r="I46">
        <f>Investment!B46</f>
        <v/>
      </c>
      <c r="J46">
        <f>$B$3*C46</f>
        <v/>
      </c>
      <c r="K46">
        <f>K45+I45-J45</f>
        <v/>
      </c>
      <c r="L46">
        <f>LN(K46)</f>
        <v/>
      </c>
      <c r="M46">
        <f>EXP(G46+$B$2*L46)</f>
        <v/>
      </c>
      <c r="N46">
        <f>M46-H46</f>
        <v/>
      </c>
      <c r="O46">
        <f>(M46/H46-1)*100</f>
        <v/>
      </c>
    </row>
    <row r="47">
      <c r="A47" t="n">
        <v>2017</v>
      </c>
      <c r="B47">
        <f>WEO_Data!C19</f>
        <v/>
      </c>
      <c r="C47">
        <f>PWT!B19</f>
        <v/>
      </c>
      <c r="D47">
        <f>C47/B47</f>
        <v/>
      </c>
      <c r="E47">
        <f>LN(C47)</f>
        <v/>
      </c>
      <c r="F47">
        <f>LN(B47)</f>
        <v/>
      </c>
      <c r="G47">
        <f>G22</f>
        <v/>
      </c>
      <c r="H47">
        <f>EXP(G47+$B$2*E47)</f>
        <v/>
      </c>
      <c r="I47">
        <f>Investment!B47</f>
        <v/>
      </c>
      <c r="J47">
        <f>$B$3*C47</f>
        <v/>
      </c>
      <c r="K47">
        <f>K46+I46-J46</f>
        <v/>
      </c>
      <c r="L47">
        <f>LN(K47)</f>
        <v/>
      </c>
      <c r="M47">
        <f>EXP(G47+$B$2*L47)</f>
        <v/>
      </c>
      <c r="N47">
        <f>M47-H47</f>
        <v/>
      </c>
      <c r="O47">
        <f>(M47/H47-1)*100</f>
        <v/>
      </c>
    </row>
    <row r="48">
      <c r="A48" t="n">
        <v>2018</v>
      </c>
      <c r="B48">
        <f>WEO_Data!C20</f>
        <v/>
      </c>
      <c r="C48">
        <f>PWT!B20</f>
        <v/>
      </c>
      <c r="D48">
        <f>C48/B48</f>
        <v/>
      </c>
      <c r="E48">
        <f>LN(C48)</f>
        <v/>
      </c>
      <c r="F48">
        <f>LN(B48)</f>
        <v/>
      </c>
      <c r="G48">
        <f>G23</f>
        <v/>
      </c>
      <c r="H48">
        <f>EXP(G48+$B$2*E48)</f>
        <v/>
      </c>
      <c r="I48">
        <f>Investment!B48</f>
        <v/>
      </c>
      <c r="J48">
        <f>$B$3*C48</f>
        <v/>
      </c>
      <c r="K48">
        <f>K47+I47-J47</f>
        <v/>
      </c>
      <c r="L48">
        <f>LN(K48)</f>
        <v/>
      </c>
      <c r="M48">
        <f>EXP(G48+$B$2*L48)</f>
        <v/>
      </c>
      <c r="N48">
        <f>M48-H48</f>
        <v/>
      </c>
      <c r="O48">
        <f>(M48/H48-1)*100</f>
        <v/>
      </c>
    </row>
    <row r="49">
      <c r="A49" t="n">
        <v>2019</v>
      </c>
      <c r="B49">
        <f>WEO_Data!C21</f>
        <v/>
      </c>
      <c r="C49">
        <f>PWT!B21</f>
        <v/>
      </c>
      <c r="D49">
        <f>C49/B49</f>
        <v/>
      </c>
      <c r="E49">
        <f>LN(C49)</f>
        <v/>
      </c>
      <c r="F49">
        <f>LN(B49)</f>
        <v/>
      </c>
      <c r="G49">
        <f>G24</f>
        <v/>
      </c>
      <c r="H49">
        <f>EXP(G49+$B$2*E49)</f>
        <v/>
      </c>
      <c r="I49">
        <f>Investment!B49</f>
        <v/>
      </c>
      <c r="J49">
        <f>$B$3*C49</f>
        <v/>
      </c>
      <c r="K49">
        <f>K48+I48-J48</f>
        <v/>
      </c>
      <c r="L49">
        <f>LN(K49)</f>
        <v/>
      </c>
      <c r="M49">
        <f>EXP(G49+$B$2*L49)</f>
        <v/>
      </c>
      <c r="N49">
        <f>M49-H49</f>
        <v/>
      </c>
      <c r="O49">
        <f>(M49/H49-1)*100</f>
        <v/>
      </c>
    </row>
    <row r="50">
      <c r="A50" t="n">
        <v>2020</v>
      </c>
      <c r="B50">
        <f>WEO_Data!C22</f>
        <v/>
      </c>
      <c r="C50">
        <f>PWT!B22</f>
        <v/>
      </c>
      <c r="D50">
        <f>C50/B50</f>
        <v/>
      </c>
      <c r="E50">
        <f>LN(C50)</f>
        <v/>
      </c>
      <c r="F50">
        <f>LN(B50)</f>
        <v/>
      </c>
      <c r="G50">
        <f>G25</f>
        <v/>
      </c>
      <c r="H50">
        <f>EXP(G50+$B$2*E50)</f>
        <v/>
      </c>
      <c r="I50">
        <f>Investment!B50</f>
        <v/>
      </c>
      <c r="J50">
        <f>$B$3*C50</f>
        <v/>
      </c>
      <c r="K50">
        <f>K49+I49-J49</f>
        <v/>
      </c>
      <c r="L50">
        <f>LN(K50)</f>
        <v/>
      </c>
      <c r="M50">
        <f>EXP(G50+$B$2*L50)</f>
        <v/>
      </c>
      <c r="N50">
        <f>M50-H50</f>
        <v/>
      </c>
      <c r="O50">
        <f>(M50/H50-1)*100</f>
        <v/>
      </c>
    </row>
    <row r="51">
      <c r="A51" t="n">
        <v>2021</v>
      </c>
      <c r="B51">
        <f>WEO_Data!C23</f>
        <v/>
      </c>
      <c r="C51">
        <f>PWT!B23</f>
        <v/>
      </c>
      <c r="D51">
        <f>C51/B51</f>
        <v/>
      </c>
      <c r="E51">
        <f>LN(C51)</f>
        <v/>
      </c>
      <c r="F51">
        <f>LN(B51)</f>
        <v/>
      </c>
      <c r="G51">
        <f>G26</f>
        <v/>
      </c>
      <c r="H51">
        <f>EXP(G51+$B$2*E51)</f>
        <v/>
      </c>
      <c r="I51">
        <f>Investment!B51</f>
        <v/>
      </c>
      <c r="J51">
        <f>$B$3*C51</f>
        <v/>
      </c>
      <c r="K51">
        <f>K50+I50-J50</f>
        <v/>
      </c>
      <c r="L51">
        <f>LN(K51)</f>
        <v/>
      </c>
      <c r="M51">
        <f>EXP(G51+$B$2*L51)</f>
        <v/>
      </c>
      <c r="N51">
        <f>M51-H51</f>
        <v/>
      </c>
      <c r="O51">
        <f>(M51/H51-1)*100</f>
        <v/>
      </c>
    </row>
    <row r="52">
      <c r="A52" t="n">
        <v>2022</v>
      </c>
      <c r="B52">
        <f>WEO_Data!C24</f>
        <v/>
      </c>
      <c r="C52">
        <f>PWT!B24</f>
        <v/>
      </c>
      <c r="D52">
        <f>C52/B52</f>
        <v/>
      </c>
      <c r="E52">
        <f>LN(C52)</f>
        <v/>
      </c>
      <c r="F52">
        <f>LN(B52)</f>
        <v/>
      </c>
      <c r="G52">
        <f>G27</f>
        <v/>
      </c>
      <c r="H52">
        <f>EXP(G52+$B$2*E52)</f>
        <v/>
      </c>
      <c r="I52">
        <f>Investment!B52</f>
        <v/>
      </c>
      <c r="J52">
        <f>$B$3*C52</f>
        <v/>
      </c>
      <c r="K52">
        <f>K51+I51-J51</f>
        <v/>
      </c>
      <c r="L52">
        <f>LN(K52)</f>
        <v/>
      </c>
      <c r="M52">
        <f>EXP(G52+$B$2*L52)</f>
        <v/>
      </c>
      <c r="N52">
        <f>M52-H52</f>
        <v/>
      </c>
      <c r="O52">
        <f>(M52/H52-1)*100</f>
        <v/>
      </c>
    </row>
    <row r="53">
      <c r="A53" t="n">
        <v>2023</v>
      </c>
      <c r="B53">
        <f>WEO_Data!C25</f>
        <v/>
      </c>
      <c r="C53">
        <f>PWT!B25</f>
        <v/>
      </c>
      <c r="D53">
        <f>C53/B53</f>
        <v/>
      </c>
      <c r="E53">
        <f>LN(C53)</f>
        <v/>
      </c>
      <c r="F53">
        <f>LN(B53)</f>
        <v/>
      </c>
      <c r="G53">
        <f>G28</f>
        <v/>
      </c>
      <c r="H53">
        <f>EXP(G53+$B$2*E53)</f>
        <v/>
      </c>
      <c r="I53">
        <f>Investment!B53</f>
        <v/>
      </c>
      <c r="J53">
        <f>$B$3*C53</f>
        <v/>
      </c>
      <c r="K53">
        <f>K52+I52-J52</f>
        <v/>
      </c>
      <c r="L53">
        <f>LN(K53)</f>
        <v/>
      </c>
      <c r="M53">
        <f>EXP(G53+$B$2*L53)</f>
        <v/>
      </c>
      <c r="N53">
        <f>M53-H53</f>
        <v/>
      </c>
      <c r="O53">
        <f>(M53/H53-1)*100</f>
        <v/>
      </c>
    </row>
    <row r="54">
      <c r="A54" t="n">
        <v>2024</v>
      </c>
      <c r="B54">
        <f>WEO_Data!C26</f>
        <v/>
      </c>
      <c r="C54">
        <f>AVERAGE($D$47:$D$55)*B54</f>
        <v/>
      </c>
      <c r="D54">
        <f>C54/B54</f>
        <v/>
      </c>
      <c r="E54">
        <f>LN(C54)</f>
        <v/>
      </c>
      <c r="F54">
        <f>LN(B54)</f>
        <v/>
      </c>
      <c r="G54">
        <f>G29</f>
        <v/>
      </c>
      <c r="H54">
        <f>EXP(G54+$B$2*E54)</f>
        <v/>
      </c>
      <c r="I54">
        <f>Investment!B54</f>
        <v/>
      </c>
      <c r="J54">
        <f>$B$3*C54</f>
        <v/>
      </c>
      <c r="K54">
        <f>K53+I53-J53</f>
        <v/>
      </c>
      <c r="L54">
        <f>LN(K54)</f>
        <v/>
      </c>
      <c r="M54">
        <f>EXP(G54+$B$2*L54)</f>
        <v/>
      </c>
      <c r="N54">
        <f>M54-H54</f>
        <v/>
      </c>
      <c r="O54">
        <f>(M54/H54-1)*100</f>
        <v/>
      </c>
    </row>
    <row r="55">
      <c r="A55" t="n">
        <v>2025</v>
      </c>
      <c r="B55">
        <f>WEO_Data!C27</f>
        <v/>
      </c>
      <c r="C55">
        <f>AVERAGE($D$47:$D$55)*B55</f>
        <v/>
      </c>
      <c r="D55">
        <f>C55/B55</f>
        <v/>
      </c>
      <c r="E55">
        <f>LN(C55)</f>
        <v/>
      </c>
      <c r="F55">
        <f>LN(B55)</f>
        <v/>
      </c>
      <c r="G55">
        <f>TREND($G$7:$G$28,$A$7:$A$28,A55)</f>
        <v/>
      </c>
      <c r="H55">
        <f>EXP(G55+$B$2*E55)</f>
        <v/>
      </c>
      <c r="I55">
        <f>Investment!B55</f>
        <v/>
      </c>
      <c r="J55">
        <f>$B$3*C55</f>
        <v/>
      </c>
      <c r="K55">
        <f>K54+I54-J54</f>
        <v/>
      </c>
      <c r="L55">
        <f>LN(K55)</f>
        <v/>
      </c>
      <c r="M55">
        <f>EXP(G55+$B$2*L55)</f>
        <v/>
      </c>
      <c r="N55">
        <f>M55-H55</f>
        <v/>
      </c>
      <c r="O55">
        <f>(M55/H55-1)*100</f>
        <v/>
      </c>
    </row>
    <row r="56">
      <c r="A56" t="n">
        <v>2026</v>
      </c>
      <c r="B56">
        <f>WEO_Data!C28</f>
        <v/>
      </c>
      <c r="C56">
        <f>AVERAGE($D$47:$D$55)*B56</f>
        <v/>
      </c>
      <c r="D56">
        <f>C56/B56</f>
        <v/>
      </c>
      <c r="E56">
        <f>LN(C56)</f>
        <v/>
      </c>
      <c r="F56">
        <f>LN(B56)</f>
        <v/>
      </c>
      <c r="G56">
        <f>TREND($G$7:$G$28,$A$7:$A$28,A56)</f>
        <v/>
      </c>
      <c r="H56">
        <f>EXP(G56+$B$2*E56)</f>
        <v/>
      </c>
      <c r="I56">
        <f>Investment!B56</f>
        <v/>
      </c>
      <c r="J56">
        <f>$B$3*C56</f>
        <v/>
      </c>
      <c r="K56">
        <f>K55+I55-J55</f>
        <v/>
      </c>
      <c r="L56">
        <f>LN(K56)</f>
        <v/>
      </c>
      <c r="M56">
        <f>EXP(G56+$B$2*L56)</f>
        <v/>
      </c>
      <c r="N56">
        <f>M56-H56</f>
        <v/>
      </c>
      <c r="O56">
        <f>(M56/H56-1)*100</f>
        <v/>
      </c>
    </row>
    <row r="57">
      <c r="A57" t="n">
        <v>2027</v>
      </c>
      <c r="B57">
        <f>WEO_Data!C29</f>
        <v/>
      </c>
      <c r="C57">
        <f>AVERAGE($D$47:$D$55)*B57</f>
        <v/>
      </c>
      <c r="D57">
        <f>C57/B57</f>
        <v/>
      </c>
      <c r="E57">
        <f>LN(C57)</f>
        <v/>
      </c>
      <c r="F57">
        <f>LN(B57)</f>
        <v/>
      </c>
      <c r="G57">
        <f>TREND($G$7:$G$28,$A$7:$A$28,A57)</f>
        <v/>
      </c>
      <c r="H57">
        <f>EXP(G57+$B$2*E57)</f>
        <v/>
      </c>
      <c r="I57">
        <f>Investment!B57</f>
        <v/>
      </c>
      <c r="J57">
        <f>$B$3*C57</f>
        <v/>
      </c>
      <c r="K57">
        <f>K56+I56-J56</f>
        <v/>
      </c>
      <c r="L57">
        <f>LN(K57)</f>
        <v/>
      </c>
      <c r="M57">
        <f>EXP(G57+$B$2*L57)</f>
        <v/>
      </c>
      <c r="N57">
        <f>M57-H57</f>
        <v/>
      </c>
      <c r="O57">
        <f>(M57/H57-1)*100</f>
        <v/>
      </c>
    </row>
    <row r="58">
      <c r="A58" t="n">
        <v>2028</v>
      </c>
      <c r="B58">
        <f>WEO_Data!C30</f>
        <v/>
      </c>
      <c r="C58">
        <f>AVERAGE($D$47:$D$55)*B58</f>
        <v/>
      </c>
      <c r="D58">
        <f>C58/B58</f>
        <v/>
      </c>
      <c r="E58">
        <f>LN(C58)</f>
        <v/>
      </c>
      <c r="F58">
        <f>LN(B58)</f>
        <v/>
      </c>
      <c r="G58">
        <f>TREND($G$7:$G$28,$A$7:$A$28,A58)</f>
        <v/>
      </c>
      <c r="H58">
        <f>EXP(G58+$B$2*E58)</f>
        <v/>
      </c>
      <c r="I58">
        <f>Investment!B58</f>
        <v/>
      </c>
      <c r="J58">
        <f>$B$3*C58</f>
        <v/>
      </c>
      <c r="K58">
        <f>K57+I57-J57</f>
        <v/>
      </c>
      <c r="L58">
        <f>LN(K58)</f>
        <v/>
      </c>
      <c r="M58">
        <f>EXP(G58+$B$2*L58)</f>
        <v/>
      </c>
      <c r="N58">
        <f>M58-H58</f>
        <v/>
      </c>
      <c r="O58">
        <f>(M58/H58-1)*100</f>
        <v/>
      </c>
    </row>
    <row r="59">
      <c r="A59" t="n">
        <v>2029</v>
      </c>
      <c r="B59">
        <f>WEO_Data!C31</f>
        <v/>
      </c>
      <c r="C59">
        <f>AVERAGE($D$47:$D$55)*B59</f>
        <v/>
      </c>
      <c r="D59">
        <f>C59/B59</f>
        <v/>
      </c>
      <c r="E59">
        <f>LN(C59)</f>
        <v/>
      </c>
      <c r="F59">
        <f>LN(B59)</f>
        <v/>
      </c>
      <c r="G59">
        <f>TREND($G$7:$G$28,$A$7:$A$28,A59)</f>
        <v/>
      </c>
      <c r="H59">
        <f>EXP(G59+$B$2*E59)</f>
        <v/>
      </c>
      <c r="I59">
        <f>Investment!B59</f>
        <v/>
      </c>
      <c r="J59">
        <f>$B$3*C59</f>
        <v/>
      </c>
      <c r="K59">
        <f>K58+I58-J58</f>
        <v/>
      </c>
      <c r="L59">
        <f>LN(K59)</f>
        <v/>
      </c>
      <c r="M59">
        <f>EXP(G59+$B$2*L59)</f>
        <v/>
      </c>
      <c r="N59">
        <f>M59-H59</f>
        <v/>
      </c>
      <c r="O59">
        <f>(M59/H59-1)*100</f>
        <v/>
      </c>
    </row>
    <row r="60">
      <c r="A60" t="n">
        <v>2030</v>
      </c>
      <c r="B60">
        <f>WEO_Data!C32</f>
        <v/>
      </c>
      <c r="C60">
        <f>AVERAGE($D$47:$D$55)*B60</f>
        <v/>
      </c>
      <c r="D60">
        <f>C60/B60</f>
        <v/>
      </c>
      <c r="E60">
        <f>LN(C60)</f>
        <v/>
      </c>
      <c r="F60">
        <f>LN(B60)</f>
        <v/>
      </c>
      <c r="G60">
        <f>TREND($G$7:$G$28,$A$7:$A$28,A60)</f>
        <v/>
      </c>
      <c r="H60">
        <f>EXP(G60+$B$2*E60)</f>
        <v/>
      </c>
      <c r="I60">
        <f>Investment!B60</f>
        <v/>
      </c>
      <c r="J60">
        <f>$B$3*C60</f>
        <v/>
      </c>
      <c r="K60">
        <f>K59+I59-J59</f>
        <v/>
      </c>
      <c r="L60">
        <f>LN(K60)</f>
        <v/>
      </c>
      <c r="M60">
        <f>EXP(G60+$B$2*L60)</f>
        <v/>
      </c>
      <c r="N60">
        <f>M60-H60</f>
        <v/>
      </c>
      <c r="O60">
        <f>(M60/H60-1)*100</f>
        <v/>
      </c>
    </row>
    <row r="61">
      <c r="A61" t="n">
        <v>2031</v>
      </c>
      <c r="B61">
        <f>WEO_Data!C33</f>
        <v/>
      </c>
      <c r="C61">
        <f>AVERAGE($D$47:$D$55)*B61</f>
        <v/>
      </c>
      <c r="D61">
        <f>C61/B61</f>
        <v/>
      </c>
      <c r="E61">
        <f>LN(C61)</f>
        <v/>
      </c>
      <c r="F61">
        <f>LN(B61)</f>
        <v/>
      </c>
      <c r="G61">
        <f>TREND($G$7:$G$28,$A$7:$A$28,A61)</f>
        <v/>
      </c>
      <c r="H61">
        <f>EXP(G61+$B$2*E61)</f>
        <v/>
      </c>
      <c r="I61">
        <f>Investment!B61</f>
        <v/>
      </c>
      <c r="J61">
        <f>$B$3*C61</f>
        <v/>
      </c>
      <c r="K61">
        <f>K60+I60-J60</f>
        <v/>
      </c>
      <c r="L61">
        <f>LN(K61)</f>
        <v/>
      </c>
      <c r="M61">
        <f>EXP(G61+$B$2*L61)</f>
        <v/>
      </c>
      <c r="N61">
        <f>M61-H61</f>
        <v/>
      </c>
      <c r="O61">
        <f>(M61/H61-1)*100</f>
        <v/>
      </c>
    </row>
    <row r="62">
      <c r="A62" t="n">
        <v>2032</v>
      </c>
      <c r="B62">
        <f>WEO_Data!C34</f>
        <v/>
      </c>
      <c r="C62">
        <f>AVERAGE($D$47:$D$55)*B62</f>
        <v/>
      </c>
      <c r="D62">
        <f>C62/B62</f>
        <v/>
      </c>
      <c r="E62">
        <f>LN(C62)</f>
        <v/>
      </c>
      <c r="F62">
        <f>LN(B62)</f>
        <v/>
      </c>
      <c r="G62">
        <f>TREND($G$7:$G$28,$A$7:$A$28,A62)</f>
        <v/>
      </c>
      <c r="H62">
        <f>EXP(G62+$B$2*E62)</f>
        <v/>
      </c>
      <c r="I62">
        <f>Investment!B62</f>
        <v/>
      </c>
      <c r="J62">
        <f>$B$3*C62</f>
        <v/>
      </c>
      <c r="K62">
        <f>K61+I61-J61</f>
        <v/>
      </c>
      <c r="L62">
        <f>LN(K62)</f>
        <v/>
      </c>
      <c r="M62">
        <f>EXP(G62+$B$2*L62)</f>
        <v/>
      </c>
      <c r="N62">
        <f>M62-H62</f>
        <v/>
      </c>
      <c r="O62">
        <f>(M62/H62-1)*100</f>
        <v/>
      </c>
    </row>
    <row r="63">
      <c r="A63" t="n">
        <v>2033</v>
      </c>
      <c r="B63">
        <f>WEO_Data!C35</f>
        <v/>
      </c>
      <c r="C63">
        <f>AVERAGE($D$47:$D$55)*B63</f>
        <v/>
      </c>
      <c r="D63">
        <f>C63/B63</f>
        <v/>
      </c>
      <c r="E63">
        <f>LN(C63)</f>
        <v/>
      </c>
      <c r="F63">
        <f>LN(B63)</f>
        <v/>
      </c>
      <c r="G63">
        <f>TREND($G$7:$G$28,$A$7:$A$28,A63)</f>
        <v/>
      </c>
      <c r="H63">
        <f>EXP(G63+$B$2*E63)</f>
        <v/>
      </c>
      <c r="I63">
        <f>Investment!B63</f>
        <v/>
      </c>
      <c r="J63">
        <f>$B$3*C63</f>
        <v/>
      </c>
      <c r="K63">
        <f>K62+I62-J62</f>
        <v/>
      </c>
      <c r="L63">
        <f>LN(K63)</f>
        <v/>
      </c>
      <c r="M63">
        <f>EXP(G63+$B$2*L63)</f>
        <v/>
      </c>
      <c r="N63">
        <f>M63-H63</f>
        <v/>
      </c>
      <c r="O63">
        <f>(M63/H63-1)*100</f>
        <v/>
      </c>
    </row>
    <row r="64">
      <c r="A64" t="n">
        <v>2034</v>
      </c>
      <c r="B64">
        <f>WEO_Data!C36</f>
        <v/>
      </c>
      <c r="C64">
        <f>AVERAGE($D$47:$D$55)*B64</f>
        <v/>
      </c>
      <c r="D64">
        <f>C64/B64</f>
        <v/>
      </c>
      <c r="E64">
        <f>LN(C64)</f>
        <v/>
      </c>
      <c r="F64">
        <f>LN(B64)</f>
        <v/>
      </c>
      <c r="G64">
        <f>TREND($G$7:$G$28,$A$7:$A$28,A64)</f>
        <v/>
      </c>
      <c r="H64">
        <f>EXP(G64+$B$2*E64)</f>
        <v/>
      </c>
      <c r="I64">
        <f>Investment!B64</f>
        <v/>
      </c>
      <c r="J64">
        <f>$B$3*C64</f>
        <v/>
      </c>
      <c r="K64">
        <f>K63+I63-J63</f>
        <v/>
      </c>
      <c r="L64">
        <f>LN(K64)</f>
        <v/>
      </c>
      <c r="M64">
        <f>EXP(G64+$B$2*L64)</f>
        <v/>
      </c>
      <c r="N64">
        <f>M64-H64</f>
        <v/>
      </c>
      <c r="O64">
        <f>(M64/H64-1)*100</f>
        <v/>
      </c>
    </row>
    <row r="65">
      <c r="A65" t="n">
        <v>2035</v>
      </c>
      <c r="B65">
        <f>WEO_Data!C37</f>
        <v/>
      </c>
      <c r="C65">
        <f>AVERAGE($D$47:$D$55)*B65</f>
        <v/>
      </c>
      <c r="D65">
        <f>C65/B65</f>
        <v/>
      </c>
      <c r="E65">
        <f>LN(C65)</f>
        <v/>
      </c>
      <c r="F65">
        <f>LN(B65)</f>
        <v/>
      </c>
      <c r="G65">
        <f>TREND($G$7:$G$28,$A$7:$A$28,A65)</f>
        <v/>
      </c>
      <c r="H65">
        <f>EXP(G65+$B$2*E65)</f>
        <v/>
      </c>
      <c r="I65">
        <f>Investment!B65</f>
        <v/>
      </c>
      <c r="J65">
        <f>$B$3*C65</f>
        <v/>
      </c>
      <c r="K65">
        <f>K64+I64-J64</f>
        <v/>
      </c>
      <c r="L65">
        <f>LN(K65)</f>
        <v/>
      </c>
      <c r="M65">
        <f>EXP(G65+$B$2*L65)</f>
        <v/>
      </c>
      <c r="N65">
        <f>M65-H65</f>
        <v/>
      </c>
      <c r="O65">
        <f>(M65/H65-1)*100</f>
        <v/>
      </c>
    </row>
    <row r="66">
      <c r="A66" t="n">
        <v>2036</v>
      </c>
      <c r="B66">
        <f>WEO_Data!C38</f>
        <v/>
      </c>
      <c r="C66">
        <f>AVERAGE($D$47:$D$55)*B66</f>
        <v/>
      </c>
      <c r="D66">
        <f>C66/B66</f>
        <v/>
      </c>
      <c r="E66">
        <f>LN(C66)</f>
        <v/>
      </c>
      <c r="F66">
        <f>LN(B66)</f>
        <v/>
      </c>
      <c r="G66">
        <f>TREND($G$7:$G$28,$A$7:$A$28,A66)</f>
        <v/>
      </c>
      <c r="H66">
        <f>EXP(G66+$B$2*E66)</f>
        <v/>
      </c>
      <c r="I66">
        <f>Investment!B66</f>
        <v/>
      </c>
      <c r="J66">
        <f>$B$3*C66</f>
        <v/>
      </c>
      <c r="K66">
        <f>K65+I65-J65</f>
        <v/>
      </c>
      <c r="L66">
        <f>LN(K66)</f>
        <v/>
      </c>
      <c r="M66">
        <f>EXP(G66+$B$2*L66)</f>
        <v/>
      </c>
      <c r="N66">
        <f>M66-H66</f>
        <v/>
      </c>
      <c r="O66">
        <f>(M66/H66-1)*100</f>
        <v/>
      </c>
    </row>
    <row r="67">
      <c r="A67" t="n">
        <v>2037</v>
      </c>
      <c r="B67">
        <f>WEO_Data!C39</f>
        <v/>
      </c>
      <c r="C67">
        <f>AVERAGE($D$47:$D$55)*B67</f>
        <v/>
      </c>
      <c r="D67">
        <f>C67/B67</f>
        <v/>
      </c>
      <c r="E67">
        <f>LN(C67)</f>
        <v/>
      </c>
      <c r="F67">
        <f>LN(B67)</f>
        <v/>
      </c>
      <c r="G67">
        <f>TREND($G$7:$G$28,$A$7:$A$28,A67)</f>
        <v/>
      </c>
      <c r="H67">
        <f>EXP(G67+$B$2*E67)</f>
        <v/>
      </c>
      <c r="I67">
        <f>Investment!B67</f>
        <v/>
      </c>
      <c r="J67">
        <f>$B$3*C67</f>
        <v/>
      </c>
      <c r="K67">
        <f>K66+I66-J66</f>
        <v/>
      </c>
      <c r="L67">
        <f>LN(K67)</f>
        <v/>
      </c>
      <c r="M67">
        <f>EXP(G67+$B$2*L67)</f>
        <v/>
      </c>
      <c r="N67">
        <f>M67-H67</f>
        <v/>
      </c>
      <c r="O67">
        <f>(M67/H67-1)*100</f>
        <v/>
      </c>
    </row>
    <row r="68">
      <c r="A68" t="n">
        <v>2038</v>
      </c>
      <c r="B68">
        <f>WEO_Data!C40</f>
        <v/>
      </c>
      <c r="C68">
        <f>AVERAGE($D$47:$D$55)*B68</f>
        <v/>
      </c>
      <c r="D68">
        <f>C68/B68</f>
        <v/>
      </c>
      <c r="E68">
        <f>LN(C68)</f>
        <v/>
      </c>
      <c r="F68">
        <f>LN(B68)</f>
        <v/>
      </c>
      <c r="G68">
        <f>TREND($G$7:$G$28,$A$7:$A$28,A68)</f>
        <v/>
      </c>
      <c r="H68">
        <f>EXP(G68+$B$2*E68)</f>
        <v/>
      </c>
      <c r="I68">
        <f>Investment!B68</f>
        <v/>
      </c>
      <c r="J68">
        <f>$B$3*C68</f>
        <v/>
      </c>
      <c r="K68">
        <f>K67+I67-J67</f>
        <v/>
      </c>
      <c r="L68">
        <f>LN(K68)</f>
        <v/>
      </c>
      <c r="M68">
        <f>EXP(G68+$B$2*L68)</f>
        <v/>
      </c>
      <c r="N68">
        <f>M68-H68</f>
        <v/>
      </c>
      <c r="O68">
        <f>(M68/H68-1)*100</f>
        <v/>
      </c>
    </row>
    <row r="69">
      <c r="A69" t="n">
        <v>2039</v>
      </c>
      <c r="B69">
        <f>WEO_Data!C41</f>
        <v/>
      </c>
      <c r="C69">
        <f>AVERAGE($D$47:$D$55)*B69</f>
        <v/>
      </c>
      <c r="D69">
        <f>C69/B69</f>
        <v/>
      </c>
      <c r="E69">
        <f>LN(C69)</f>
        <v/>
      </c>
      <c r="F69">
        <f>LN(B69)</f>
        <v/>
      </c>
      <c r="G69">
        <f>TREND($G$7:$G$28,$A$7:$A$28,A69)</f>
        <v/>
      </c>
      <c r="H69">
        <f>EXP(G69+$B$2*E69)</f>
        <v/>
      </c>
      <c r="I69">
        <f>Investment!B69</f>
        <v/>
      </c>
      <c r="J69">
        <f>$B$3*C69</f>
        <v/>
      </c>
      <c r="K69">
        <f>K68+I68-J68</f>
        <v/>
      </c>
      <c r="L69">
        <f>LN(K69)</f>
        <v/>
      </c>
      <c r="M69">
        <f>EXP(G69+$B$2*L69)</f>
        <v/>
      </c>
      <c r="N69">
        <f>M69-H69</f>
        <v/>
      </c>
      <c r="O69">
        <f>(M69/H69-1)*100</f>
        <v/>
      </c>
    </row>
    <row r="70">
      <c r="A70" t="n">
        <v>2040</v>
      </c>
      <c r="B70">
        <f>WEO_Data!C42</f>
        <v/>
      </c>
      <c r="C70">
        <f>AVERAGE($D$47:$D$55)*B70</f>
        <v/>
      </c>
      <c r="D70">
        <f>C70/B70</f>
        <v/>
      </c>
      <c r="E70">
        <f>LN(C70)</f>
        <v/>
      </c>
      <c r="F70">
        <f>LN(B70)</f>
        <v/>
      </c>
      <c r="G70">
        <f>TREND($G$7:$G$28,$A$7:$A$28,A70)</f>
        <v/>
      </c>
      <c r="H70">
        <f>EXP(G70+$B$2*E70)</f>
        <v/>
      </c>
      <c r="I70">
        <f>Investment!B70</f>
        <v/>
      </c>
      <c r="J70">
        <f>$B$3*C70</f>
        <v/>
      </c>
      <c r="K70">
        <f>K69+I69-J69</f>
        <v/>
      </c>
      <c r="L70">
        <f>LN(K70)</f>
        <v/>
      </c>
      <c r="M70">
        <f>EXP(G70+$B$2*L70)</f>
        <v/>
      </c>
      <c r="N70">
        <f>M70-H70</f>
        <v/>
      </c>
      <c r="O70">
        <f>(M70/H70-1)*100</f>
        <v/>
      </c>
    </row>
    <row r="71">
      <c r="A71" t="n">
        <v>2041</v>
      </c>
      <c r="B71">
        <f>WEO_Data!C43</f>
        <v/>
      </c>
      <c r="C71">
        <f>AVERAGE($D$47:$D$55)*B71</f>
        <v/>
      </c>
      <c r="D71">
        <f>C71/B71</f>
        <v/>
      </c>
      <c r="E71">
        <f>LN(C71)</f>
        <v/>
      </c>
      <c r="F71">
        <f>LN(B71)</f>
        <v/>
      </c>
      <c r="G71">
        <f>TREND($G$7:$G$28,$A$7:$A$28,A71)</f>
        <v/>
      </c>
      <c r="H71">
        <f>EXP(G71+$B$2*E71)</f>
        <v/>
      </c>
      <c r="I71">
        <f>Investment!B71</f>
        <v/>
      </c>
      <c r="J71">
        <f>$B$3*C71</f>
        <v/>
      </c>
      <c r="K71">
        <f>K70+I70-J70</f>
        <v/>
      </c>
      <c r="L71">
        <f>LN(K71)</f>
        <v/>
      </c>
      <c r="M71">
        <f>EXP(G71+$B$2*L71)</f>
        <v/>
      </c>
      <c r="N71">
        <f>M71-H71</f>
        <v/>
      </c>
      <c r="O71">
        <f>(M71/H71-1)*100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Investment Shock Schedule</t>
        </is>
      </c>
    </row>
    <row r="2">
      <c r="A2" t="inlineStr">
        <is>
          <t>Total investment:</t>
        </is>
      </c>
      <c r="B2" t="n">
        <v>6500</v>
      </c>
      <c r="C2" t="inlineStr">
        <is>
          <t>Million USD</t>
        </is>
      </c>
    </row>
    <row r="3">
      <c r="A3" t="inlineStr">
        <is>
          <t>Period:</t>
        </is>
      </c>
      <c r="B3" t="inlineStr">
        <is>
          <t>2026-2033 (8 years)</t>
        </is>
      </c>
    </row>
    <row r="4">
      <c r="A4" t="inlineStr">
        <is>
          <t>Annual amount:</t>
        </is>
      </c>
      <c r="B4">
        <f>B2/8</f>
        <v/>
      </c>
      <c r="C4" t="inlineStr">
        <is>
          <t>Million USD per year</t>
        </is>
      </c>
    </row>
    <row r="6">
      <c r="A6" s="1" t="inlineStr">
        <is>
          <t>Year</t>
        </is>
      </c>
      <c r="B6" s="1" t="inlineStr">
        <is>
          <t>Investment Shock</t>
        </is>
      </c>
    </row>
    <row r="7">
      <c r="A7" t="n">
        <v>2002</v>
      </c>
      <c r="B7" t="n">
        <v>0</v>
      </c>
    </row>
    <row r="8">
      <c r="A8" t="n">
        <v>2003</v>
      </c>
      <c r="B8" t="n">
        <v>0</v>
      </c>
    </row>
    <row r="9">
      <c r="A9" t="n">
        <v>2004</v>
      </c>
      <c r="B9" t="n">
        <v>0</v>
      </c>
    </row>
    <row r="10">
      <c r="A10" t="n">
        <v>2005</v>
      </c>
      <c r="B10" t="n">
        <v>0</v>
      </c>
    </row>
    <row r="11">
      <c r="A11" t="n">
        <v>2006</v>
      </c>
      <c r="B11" t="n">
        <v>0</v>
      </c>
    </row>
    <row r="12">
      <c r="A12" t="n">
        <v>2007</v>
      </c>
      <c r="B12" t="n">
        <v>0</v>
      </c>
    </row>
    <row r="13">
      <c r="A13" t="n">
        <v>2008</v>
      </c>
      <c r="B13" t="n">
        <v>0</v>
      </c>
    </row>
    <row r="14">
      <c r="A14" t="n">
        <v>2009</v>
      </c>
      <c r="B14" t="n">
        <v>0</v>
      </c>
    </row>
    <row r="15">
      <c r="A15" t="n">
        <v>2010</v>
      </c>
      <c r="B15" t="n">
        <v>0</v>
      </c>
    </row>
    <row r="16">
      <c r="A16" t="n">
        <v>2011</v>
      </c>
      <c r="B16" t="n">
        <v>0</v>
      </c>
    </row>
    <row r="17">
      <c r="A17" t="n">
        <v>2012</v>
      </c>
      <c r="B17" t="n">
        <v>0</v>
      </c>
    </row>
    <row r="18">
      <c r="A18" t="n">
        <v>2013</v>
      </c>
      <c r="B18" t="n">
        <v>0</v>
      </c>
    </row>
    <row r="19">
      <c r="A19" t="n">
        <v>2014</v>
      </c>
      <c r="B19" t="n">
        <v>0</v>
      </c>
    </row>
    <row r="20">
      <c r="A20" t="n">
        <v>2015</v>
      </c>
      <c r="B20" t="n">
        <v>0</v>
      </c>
    </row>
    <row r="21">
      <c r="A21" t="n">
        <v>2016</v>
      </c>
      <c r="B21" t="n">
        <v>0</v>
      </c>
    </row>
    <row r="22">
      <c r="A22" t="n">
        <v>2017</v>
      </c>
      <c r="B22" t="n">
        <v>0</v>
      </c>
    </row>
    <row r="23">
      <c r="A23" t="n">
        <v>2018</v>
      </c>
      <c r="B23" t="n">
        <v>0</v>
      </c>
    </row>
    <row r="24">
      <c r="A24" t="n">
        <v>2019</v>
      </c>
      <c r="B24" t="n">
        <v>0</v>
      </c>
    </row>
    <row r="25">
      <c r="A25" t="n">
        <v>2020</v>
      </c>
      <c r="B25" t="n">
        <v>0</v>
      </c>
    </row>
    <row r="26">
      <c r="A26" t="n">
        <v>2021</v>
      </c>
      <c r="B26" t="n">
        <v>0</v>
      </c>
    </row>
    <row r="27">
      <c r="A27" t="n">
        <v>2022</v>
      </c>
      <c r="B27" t="n">
        <v>0</v>
      </c>
    </row>
    <row r="28">
      <c r="A28" t="n">
        <v>2023</v>
      </c>
      <c r="B28" t="n">
        <v>0</v>
      </c>
    </row>
    <row r="29">
      <c r="A29" t="n">
        <v>2024</v>
      </c>
      <c r="B29" t="n">
        <v>0</v>
      </c>
    </row>
    <row r="30">
      <c r="A30" t="n">
        <v>2025</v>
      </c>
      <c r="B30" t="n">
        <v>0</v>
      </c>
    </row>
    <row r="31">
      <c r="A31" t="n">
        <v>2026</v>
      </c>
      <c r="B31">
        <f>$B$4</f>
        <v/>
      </c>
    </row>
    <row r="32">
      <c r="A32" t="n">
        <v>2027</v>
      </c>
      <c r="B32">
        <f>$B$4</f>
        <v/>
      </c>
    </row>
    <row r="33">
      <c r="A33" t="n">
        <v>2028</v>
      </c>
      <c r="B33">
        <f>$B$4</f>
        <v/>
      </c>
    </row>
    <row r="34">
      <c r="A34" t="n">
        <v>2029</v>
      </c>
      <c r="B34">
        <f>$B$4</f>
        <v/>
      </c>
    </row>
    <row r="35">
      <c r="A35" t="n">
        <v>2030</v>
      </c>
      <c r="B35">
        <f>$B$4</f>
        <v/>
      </c>
    </row>
    <row r="36">
      <c r="A36" t="n">
        <v>2031</v>
      </c>
      <c r="B36">
        <f>$B$4</f>
        <v/>
      </c>
    </row>
    <row r="37">
      <c r="A37" t="n">
        <v>2032</v>
      </c>
      <c r="B37">
        <f>$B$4</f>
        <v/>
      </c>
    </row>
    <row r="38">
      <c r="A38" t="n">
        <v>2033</v>
      </c>
      <c r="B38">
        <f>$B$4</f>
        <v/>
      </c>
    </row>
    <row r="39">
      <c r="A39" t="n">
        <v>2034</v>
      </c>
      <c r="B39" t="n">
        <v>0</v>
      </c>
    </row>
    <row r="40">
      <c r="A40" t="n">
        <v>2035</v>
      </c>
      <c r="B40" t="n">
        <v>0</v>
      </c>
    </row>
    <row r="41">
      <c r="A41" t="n">
        <v>2036</v>
      </c>
      <c r="B41" t="n">
        <v>0</v>
      </c>
    </row>
    <row r="42">
      <c r="A42" t="n">
        <v>2037</v>
      </c>
      <c r="B42" t="n">
        <v>0</v>
      </c>
    </row>
    <row r="43">
      <c r="A43" t="n">
        <v>2038</v>
      </c>
      <c r="B43" t="n">
        <v>0</v>
      </c>
    </row>
    <row r="44">
      <c r="A44" t="n">
        <v>2039</v>
      </c>
      <c r="B44" t="n">
        <v>0</v>
      </c>
    </row>
    <row r="45">
      <c r="A45" t="n">
        <v>2040</v>
      </c>
      <c r="B45" t="n">
        <v>0</v>
      </c>
    </row>
    <row r="46">
      <c r="A46" t="n">
        <v>2041</v>
      </c>
      <c r="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2026-01-29T06:16:15Z</dcterms:created>
  <dcterms:modified xsi:type="dcterms:W3CDTF">2026-01-29T06:18:14Z</dcterms:modified>
</cp:coreProperties>
</file>