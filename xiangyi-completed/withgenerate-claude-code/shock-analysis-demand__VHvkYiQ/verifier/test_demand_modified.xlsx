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O_Data" sheetId="1" state="visible" r:id="rId1"/>
    <sheet xmlns:r="http://schemas.openxmlformats.org/officeDocument/2006/relationships" name="SUPPLY" sheetId="2" state="visible" r:id="rId2"/>
    <sheet xmlns:r="http://schemas.openxmlformats.org/officeDocument/2006/relationships" name="USE" sheetId="3" state="visible" r:id="rId3"/>
    <sheet xmlns:r="http://schemas.openxmlformats.org/officeDocument/2006/relationships" name="SUT Calc" sheetId="4" state="visible" r:id="rId4"/>
    <sheet xmlns:r="http://schemas.openxmlformats.org/officeDocument/2006/relationships"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3"/>
    </font>
    <font>
      <b val="1"/>
      <u val="single"/>
    </font>
    <font>
      <b val="1"/>
      <sz val="9"/>
    </font>
    <font>
      <b val="1"/>
      <color rgb="00FFFFFF"/>
      <sz val="9"/>
    </font>
    <font>
      <b val="1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8CCE4"/>
        <bgColor rgb="00B8CCE4"/>
      </patternFill>
    </fill>
    <fill>
      <patternFill patternType="solid">
        <fgColor rgb="00C4D79B"/>
        <bgColor rgb="00C4D79B"/>
      </patternFill>
    </fill>
    <fill>
      <patternFill patternType="solid">
        <fgColor rgb="00FDE9D9"/>
        <bgColor rgb="00FDE9D9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164" fontId="0" fillId="0" borderId="0" pivotButton="0" quotePrefix="0" xfId="0"/>
    <xf numFmtId="164" fontId="2" fillId="6" borderId="0" pivotButton="0" quotePrefix="0" xfId="0"/>
    <xf numFmtId="164" fontId="0" fillId="7" borderId="0" pivotButton="0" quotePrefix="0" xfId="0"/>
    <xf numFmtId="0" fontId="4" fillId="8" borderId="0" pivotButton="0" quotePrefix="0" xfId="0"/>
    <xf numFmtId="0" fontId="5" fillId="0" borderId="0" pivotButton="0" quotePrefix="0" xfId="0"/>
    <xf numFmtId="0" fontId="0" fillId="9" borderId="0" pivotButton="0" quotePrefix="0" xfId="0"/>
    <xf numFmtId="0" fontId="7" fillId="10" borderId="0" applyAlignment="1" pivotButton="0" quotePrefix="0" xfId="0">
      <alignment horizontal="center" vertical="center" wrapText="1"/>
    </xf>
    <xf numFmtId="10" fontId="0" fillId="0" borderId="0" pivotButton="0" quotePrefix="0" xfId="0"/>
    <xf numFmtId="0" fontId="4" fillId="11" borderId="0" pivotButton="0" quotePrefix="0" xfId="0"/>
    <xf numFmtId="0" fontId="0" fillId="12" borderId="0" pivotButton="0" quotePrefix="0" xfId="0"/>
    <xf numFmtId="0" fontId="7" fillId="11" borderId="0" applyAlignment="1" pivotButton="0" quotePrefix="0" xfId="0">
      <alignment horizontal="center" vertical="center" wrapText="1"/>
    </xf>
    <xf numFmtId="0" fontId="4" fillId="13" borderId="0" pivotButton="0" quotePrefix="0" xfId="0"/>
    <xf numFmtId="0" fontId="8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25" customWidth="1" min="4" max="4"/>
    <col width="20" customWidth="1" min="5" max="5"/>
    <col width="28" customWidth="1" min="6" max="6"/>
  </cols>
  <sheetData>
    <row r="1">
      <c r="A1" s="1" t="inlineStr">
        <is>
          <t>Georgia - WEO Data</t>
        </is>
      </c>
    </row>
    <row r="3">
      <c r="A3" s="2" t="inlineStr">
        <is>
          <t>Year</t>
        </is>
      </c>
      <c r="B3" s="2" t="inlineStr">
        <is>
          <t>Real GDP (billion GEL, 2015 prices)</t>
        </is>
      </c>
      <c r="C3" s="2" t="inlineStr">
        <is>
          <t>Real GDP Growth (%)</t>
        </is>
      </c>
      <c r="D3" s="2" t="inlineStr">
        <is>
          <t>GDP Deflator (2015=100)</t>
        </is>
      </c>
      <c r="E3" s="2" t="inlineStr">
        <is>
          <t>Deflator Growth (%)</t>
        </is>
      </c>
      <c r="F3" s="2" t="inlineStr">
        <is>
          <t>Nominal GDP (billion GEL)</t>
        </is>
      </c>
    </row>
    <row r="4">
      <c r="A4" t="n">
        <v>2020</v>
      </c>
      <c r="B4" t="n">
        <v>51.5</v>
      </c>
      <c r="C4" t="n">
        <v>-6.8</v>
      </c>
      <c r="D4" t="n">
        <v>111</v>
      </c>
      <c r="E4" t="n">
        <v>4.5</v>
      </c>
      <c r="F4">
        <f>B4*(D4/100)</f>
        <v/>
      </c>
    </row>
    <row r="5">
      <c r="A5" t="n">
        <v>2021</v>
      </c>
      <c r="B5">
        <f>B4*(1+C4/100)</f>
        <v/>
      </c>
      <c r="C5" t="n">
        <v>10.5</v>
      </c>
      <c r="D5">
        <f>D4*(1+E4/100)</f>
        <v/>
      </c>
      <c r="E5" t="n">
        <v>8.199999999999999</v>
      </c>
      <c r="F5">
        <f>B5*(D5/100)</f>
        <v/>
      </c>
    </row>
    <row r="6">
      <c r="A6" t="n">
        <v>2022</v>
      </c>
      <c r="B6">
        <f>B5*(1+C5/100)</f>
        <v/>
      </c>
      <c r="C6" t="n">
        <v>10.1</v>
      </c>
      <c r="D6">
        <f>D5*(1+E5/100)</f>
        <v/>
      </c>
      <c r="E6" t="n">
        <v>11.5</v>
      </c>
      <c r="F6">
        <f>B6*(D6/100)</f>
        <v/>
      </c>
    </row>
    <row r="7">
      <c r="A7" t="n">
        <v>2023</v>
      </c>
      <c r="B7">
        <f>B6*(1+C6/100)</f>
        <v/>
      </c>
      <c r="C7" t="n">
        <v>7.5</v>
      </c>
      <c r="D7">
        <f>D6*(1+E6/100)</f>
        <v/>
      </c>
      <c r="E7" t="n">
        <v>3</v>
      </c>
      <c r="F7">
        <f>B7*(D7/100)</f>
        <v/>
      </c>
    </row>
    <row r="8">
      <c r="A8" t="n">
        <v>2024</v>
      </c>
      <c r="B8">
        <f>B7*(1+C7/100)</f>
        <v/>
      </c>
      <c r="C8" t="n">
        <v>9.4</v>
      </c>
      <c r="D8">
        <f>D7*(1+E7/100)</f>
        <v/>
      </c>
      <c r="E8" t="n">
        <v>3</v>
      </c>
      <c r="F8">
        <f>B8*(D8/100)</f>
        <v/>
      </c>
    </row>
    <row r="9">
      <c r="A9" t="n">
        <v>2025</v>
      </c>
      <c r="B9">
        <f>B8*(1+C8/100)</f>
        <v/>
      </c>
      <c r="C9" t="n">
        <v>7.2</v>
      </c>
      <c r="D9">
        <f>D8*(1+E8/100)</f>
        <v/>
      </c>
      <c r="E9" t="n">
        <v>3.4</v>
      </c>
      <c r="F9">
        <f>B9*(D9/100)</f>
        <v/>
      </c>
    </row>
    <row r="10">
      <c r="A10" t="n">
        <v>2026</v>
      </c>
      <c r="B10">
        <f>B9*(1+C9/100)</f>
        <v/>
      </c>
      <c r="C10" t="n">
        <v>5.3</v>
      </c>
      <c r="D10">
        <f>D9*(1+E9/100)</f>
        <v/>
      </c>
      <c r="E10" t="n">
        <v>3.4</v>
      </c>
      <c r="F10">
        <f>B10*(D10/100)</f>
        <v/>
      </c>
    </row>
    <row r="11">
      <c r="A11" t="n">
        <v>2027</v>
      </c>
      <c r="B11">
        <f>B10*(1+C10/100)</f>
        <v/>
      </c>
      <c r="C11" t="n">
        <v>5.3</v>
      </c>
      <c r="D11">
        <f>D10*(1+E10/100)</f>
        <v/>
      </c>
      <c r="E11" t="n">
        <v>3.2</v>
      </c>
      <c r="F11">
        <f>B11*(D11/100)</f>
        <v/>
      </c>
    </row>
    <row r="12">
      <c r="A12" t="n">
        <v>2028</v>
      </c>
      <c r="B12">
        <f>B11*(1+C11/100)</f>
        <v/>
      </c>
      <c r="C12" t="n">
        <v>5.3</v>
      </c>
      <c r="D12">
        <f>D11*(1+E11/100)</f>
        <v/>
      </c>
      <c r="E12" t="n">
        <v>3.2</v>
      </c>
      <c r="F12">
        <f>B12*(D12/100)</f>
        <v/>
      </c>
    </row>
    <row r="13">
      <c r="A13" t="n">
        <v>2029</v>
      </c>
      <c r="B13">
        <f>B12*(1+C12/100)</f>
        <v/>
      </c>
      <c r="C13" t="n">
        <v>5.3</v>
      </c>
      <c r="D13">
        <f>D12*(1+E12/100)</f>
        <v/>
      </c>
      <c r="E13" t="n">
        <v>3.2</v>
      </c>
      <c r="F13">
        <f>B13*(D13/100)</f>
        <v/>
      </c>
    </row>
    <row r="14">
      <c r="A14" t="n">
        <v>2030</v>
      </c>
      <c r="B14">
        <f>B13*(1+C13/100)</f>
        <v/>
      </c>
      <c r="C14" t="n">
        <v>5.3</v>
      </c>
      <c r="D14">
        <f>D13*(1+E13/100)</f>
        <v/>
      </c>
      <c r="E14" t="n">
        <v>3.2</v>
      </c>
      <c r="F14">
        <f>B14*(D14/100)</f>
        <v/>
      </c>
    </row>
    <row r="15">
      <c r="A15" t="n">
        <v>2031</v>
      </c>
      <c r="B15">
        <f>B14*(1+C14/100)</f>
        <v/>
      </c>
      <c r="C15" t="n">
        <v>5.3</v>
      </c>
      <c r="D15">
        <f>D14*(1+E14/100)</f>
        <v/>
      </c>
      <c r="E15" t="n">
        <v>3.2</v>
      </c>
      <c r="F15">
        <f>B15*(D15/100)</f>
        <v/>
      </c>
    </row>
    <row r="16">
      <c r="A16" t="n">
        <v>2032</v>
      </c>
      <c r="B16">
        <f>B15*(1+C15/100)</f>
        <v/>
      </c>
      <c r="C16" t="n">
        <v>5.3</v>
      </c>
      <c r="D16">
        <f>D15*(1+E15/100)</f>
        <v/>
      </c>
      <c r="E16" t="n">
        <v>3.2</v>
      </c>
      <c r="F16">
        <f>B16*(D16/100)</f>
        <v/>
      </c>
    </row>
    <row r="17">
      <c r="A17" t="n">
        <v>2033</v>
      </c>
      <c r="B17">
        <f>B16*(1+C16/100)</f>
        <v/>
      </c>
      <c r="C17" t="n">
        <v>5.3</v>
      </c>
      <c r="D17">
        <f>D16*(1+E16/100)</f>
        <v/>
      </c>
      <c r="E17" t="n">
        <v>3.2</v>
      </c>
      <c r="F17">
        <f>B17*(D17/100)</f>
        <v/>
      </c>
    </row>
    <row r="18">
      <c r="A18" t="n">
        <v>2034</v>
      </c>
      <c r="B18">
        <f>B17*(1+C17/100)</f>
        <v/>
      </c>
      <c r="C18" t="n">
        <v>5.3</v>
      </c>
      <c r="D18">
        <f>D17*(1+E17/100)</f>
        <v/>
      </c>
      <c r="E18" t="n">
        <v>3.2</v>
      </c>
      <c r="F18">
        <f>B18*(D18/100)</f>
        <v/>
      </c>
    </row>
    <row r="19">
      <c r="A19" t="n">
        <v>2035</v>
      </c>
      <c r="B19">
        <f>B18*(1+C18/100)</f>
        <v/>
      </c>
      <c r="C19" t="n">
        <v>5.3</v>
      </c>
      <c r="D19">
        <f>D18*(1+E18/100)</f>
        <v/>
      </c>
      <c r="E19" t="n">
        <v>3.2</v>
      </c>
      <c r="F19">
        <f>B19*(D19/100)</f>
        <v/>
      </c>
    </row>
    <row r="20">
      <c r="A20" t="n">
        <v>2036</v>
      </c>
      <c r="B20">
        <f>B19*(1+C19/100)</f>
        <v/>
      </c>
      <c r="C20" t="n">
        <v>5.3</v>
      </c>
      <c r="D20">
        <f>D19*(1+E19/100)</f>
        <v/>
      </c>
      <c r="E20" t="n">
        <v>3.2</v>
      </c>
      <c r="F20">
        <f>B20*(D20/100)</f>
        <v/>
      </c>
    </row>
    <row r="21">
      <c r="A21" t="n">
        <v>2037</v>
      </c>
      <c r="B21">
        <f>B20*(1+C20/100)</f>
        <v/>
      </c>
      <c r="C21" t="n">
        <v>5.3</v>
      </c>
      <c r="D21">
        <f>D20*(1+E20/100)</f>
        <v/>
      </c>
      <c r="E21" t="n">
        <v>3.2</v>
      </c>
      <c r="F21">
        <f>B21*(D21/100)</f>
        <v/>
      </c>
    </row>
    <row r="22">
      <c r="A22" t="n">
        <v>2038</v>
      </c>
      <c r="B22">
        <f>B21*(1+C21/100)</f>
        <v/>
      </c>
      <c r="C22" t="n">
        <v>5.3</v>
      </c>
      <c r="D22">
        <f>D21*(1+E21/100)</f>
        <v/>
      </c>
      <c r="E22" t="n">
        <v>3.2</v>
      </c>
      <c r="F22">
        <f>B22*(D22/100)</f>
        <v/>
      </c>
    </row>
    <row r="23">
      <c r="A23" t="n">
        <v>2039</v>
      </c>
      <c r="B23">
        <f>B22*(1+C22/100)</f>
        <v/>
      </c>
      <c r="C23" t="n">
        <v>5.3</v>
      </c>
      <c r="D23">
        <f>D22*(1+E22/100)</f>
        <v/>
      </c>
      <c r="E23" t="n">
        <v>3.2</v>
      </c>
      <c r="F23">
        <f>B23*(D23/100)</f>
        <v/>
      </c>
    </row>
    <row r="24">
      <c r="A24" t="n">
        <v>2040</v>
      </c>
      <c r="B24">
        <f>B23*(1+C23/100)</f>
        <v/>
      </c>
      <c r="C24" t="n">
        <v>5.3</v>
      </c>
      <c r="D24">
        <f>D23*(1+E23/100)</f>
        <v/>
      </c>
      <c r="E24" t="n">
        <v>3.2</v>
      </c>
      <c r="F24">
        <f>B24*(D24/100)</f>
        <v/>
      </c>
    </row>
    <row r="25">
      <c r="A25" t="n">
        <v>2041</v>
      </c>
      <c r="B25">
        <f>B24*(1+C24/100)</f>
        <v/>
      </c>
      <c r="C25" t="n">
        <v>5.3</v>
      </c>
      <c r="D25">
        <f>D24*(1+E24/100)</f>
        <v/>
      </c>
      <c r="E25" t="n">
        <v>3.2</v>
      </c>
      <c r="F25">
        <f>B25*(D25/100)</f>
        <v/>
      </c>
    </row>
    <row r="26">
      <c r="A26" t="n">
        <v>2042</v>
      </c>
      <c r="B26">
        <f>B25*(1+C25/100)</f>
        <v/>
      </c>
      <c r="C26" t="n">
        <v>5.3</v>
      </c>
      <c r="D26">
        <f>D25*(1+E25/100)</f>
        <v/>
      </c>
      <c r="E26" t="n">
        <v>3.2</v>
      </c>
      <c r="F26">
        <f>B26*(D26/100)</f>
        <v/>
      </c>
    </row>
    <row r="27">
      <c r="A27" t="n">
        <v>2043</v>
      </c>
      <c r="B27">
        <f>B26*(1+C26/100)</f>
        <v/>
      </c>
      <c r="C27" t="n">
        <v>5.3</v>
      </c>
      <c r="D27">
        <f>D26*(1+E26/100)</f>
        <v/>
      </c>
      <c r="E27" t="n">
        <v>3.2</v>
      </c>
      <c r="F27">
        <f>B27*(D27/100)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Supply Table (38-38) - Latest Year 2022</t>
        </is>
      </c>
    </row>
    <row r="2">
      <c r="A2" t="inlineStr">
        <is>
          <t>Million GEL</t>
        </is>
      </c>
    </row>
    <row r="4">
      <c r="A4" s="4" t="inlineStr">
        <is>
          <t>Product</t>
        </is>
      </c>
      <c r="B4" s="4" t="inlineStr">
        <is>
          <t>Domestic Production</t>
        </is>
      </c>
      <c r="C4" s="4" t="inlineStr">
        <is>
          <t>Imports</t>
        </is>
      </c>
      <c r="D4" s="4" t="inlineStr">
        <is>
          <t>Trade Margins</t>
        </is>
      </c>
      <c r="E4" s="4" t="inlineStr">
        <is>
          <t>Taxes less subsidies</t>
        </is>
      </c>
      <c r="F4" s="4" t="inlineStr">
        <is>
          <t>Total Supply</t>
        </is>
      </c>
    </row>
    <row r="5">
      <c r="A5" t="inlineStr">
        <is>
          <t>Agriculture, forestry and fishing</t>
        </is>
      </c>
      <c r="B5" t="n">
        <v>4850</v>
      </c>
      <c r="C5" t="n">
        <v>580</v>
      </c>
      <c r="D5" t="n">
        <v>120</v>
      </c>
      <c r="E5" t="n">
        <v>-50</v>
      </c>
      <c r="F5" t="n">
        <v>5500</v>
      </c>
    </row>
    <row r="6">
      <c r="A6" t="inlineStr">
        <is>
          <t>Mining and quarrying</t>
        </is>
      </c>
      <c r="B6" t="n">
        <v>820</v>
      </c>
      <c r="C6" t="n">
        <v>450</v>
      </c>
      <c r="D6" t="n">
        <v>35</v>
      </c>
      <c r="E6" t="n">
        <v>25</v>
      </c>
      <c r="F6" t="n">
        <v>1330</v>
      </c>
    </row>
    <row r="7">
      <c r="A7" t="inlineStr">
        <is>
          <t>Food products, beverages and tobacco</t>
        </is>
      </c>
      <c r="B7" t="n">
        <v>3200</v>
      </c>
      <c r="C7" t="n">
        <v>1850</v>
      </c>
      <c r="D7" t="n">
        <v>450</v>
      </c>
      <c r="E7" t="n">
        <v>180</v>
      </c>
      <c r="F7" t="n">
        <v>5680</v>
      </c>
    </row>
    <row r="8">
      <c r="A8" t="inlineStr">
        <is>
          <t>Textiles, wearing apparel and leather</t>
        </is>
      </c>
      <c r="B8" t="n">
        <v>890</v>
      </c>
      <c r="C8" t="n">
        <v>2100</v>
      </c>
      <c r="D8" t="n">
        <v>180</v>
      </c>
      <c r="E8" t="n">
        <v>95</v>
      </c>
      <c r="F8" t="n">
        <v>3265</v>
      </c>
    </row>
    <row r="9">
      <c r="A9" t="inlineStr">
        <is>
          <t>Wood and paper products</t>
        </is>
      </c>
      <c r="B9" t="n">
        <v>650</v>
      </c>
      <c r="C9" t="n">
        <v>780</v>
      </c>
      <c r="D9" t="n">
        <v>85</v>
      </c>
      <c r="E9" t="n">
        <v>45</v>
      </c>
      <c r="F9" t="n">
        <v>1560</v>
      </c>
    </row>
    <row r="10">
      <c r="A10" t="inlineStr">
        <is>
          <t>Coke and refined petroleum</t>
        </is>
      </c>
      <c r="B10" t="n">
        <v>450</v>
      </c>
      <c r="C10" t="n">
        <v>1200</v>
      </c>
      <c r="D10" t="n">
        <v>95</v>
      </c>
      <c r="E10" t="n">
        <v>380</v>
      </c>
      <c r="F10" t="n">
        <v>2125</v>
      </c>
    </row>
    <row r="11">
      <c r="A11" t="inlineStr">
        <is>
          <t>Chemicals and chemical products</t>
        </is>
      </c>
      <c r="B11" t="n">
        <v>380</v>
      </c>
      <c r="C11" t="n">
        <v>890</v>
      </c>
      <c r="D11" t="n">
        <v>45</v>
      </c>
      <c r="E11" t="n">
        <v>55</v>
      </c>
      <c r="F11" t="n">
        <v>1370</v>
      </c>
    </row>
    <row r="12">
      <c r="A12" t="inlineStr">
        <is>
          <t>Pharmaceutical products</t>
        </is>
      </c>
      <c r="B12" t="n">
        <v>120</v>
      </c>
      <c r="C12" t="n">
        <v>650</v>
      </c>
      <c r="D12" t="n">
        <v>15</v>
      </c>
      <c r="E12" t="n">
        <v>12</v>
      </c>
      <c r="F12" t="n">
        <v>797</v>
      </c>
    </row>
    <row r="13">
      <c r="A13" t="inlineStr">
        <is>
          <t>Rubber, plastic and other non-metallic</t>
        </is>
      </c>
      <c r="B13" t="n">
        <v>980</v>
      </c>
      <c r="C13" t="n">
        <v>1450</v>
      </c>
      <c r="D13" t="n">
        <v>125</v>
      </c>
      <c r="E13" t="n">
        <v>88</v>
      </c>
      <c r="F13" t="n">
        <v>2643</v>
      </c>
    </row>
    <row r="14">
      <c r="A14" t="inlineStr">
        <is>
          <t>Basic metals</t>
        </is>
      </c>
      <c r="B14" t="n">
        <v>420</v>
      </c>
      <c r="C14" t="n">
        <v>980</v>
      </c>
      <c r="D14" t="n">
        <v>45</v>
      </c>
      <c r="E14" t="n">
        <v>38</v>
      </c>
      <c r="F14" t="n">
        <v>1483</v>
      </c>
    </row>
    <row r="15">
      <c r="A15" t="inlineStr">
        <is>
          <t>Fabricated metal products</t>
        </is>
      </c>
      <c r="B15" t="n">
        <v>580</v>
      </c>
      <c r="C15" t="n">
        <v>650</v>
      </c>
      <c r="D15" t="n">
        <v>75</v>
      </c>
      <c r="E15" t="n">
        <v>52</v>
      </c>
      <c r="F15" t="n">
        <v>1357</v>
      </c>
    </row>
    <row r="16">
      <c r="A16" t="inlineStr">
        <is>
          <t>Computer, electronic and optical products</t>
        </is>
      </c>
      <c r="B16" t="n">
        <v>150</v>
      </c>
      <c r="C16" t="n">
        <v>890</v>
      </c>
      <c r="D16" t="n">
        <v>25</v>
      </c>
      <c r="E16" t="n">
        <v>18</v>
      </c>
      <c r="F16" t="n">
        <v>1083</v>
      </c>
    </row>
    <row r="17">
      <c r="A17" t="inlineStr">
        <is>
          <t>Electrical equipment</t>
        </is>
      </c>
      <c r="B17" t="n">
        <v>95</v>
      </c>
      <c r="C17" t="n">
        <v>450</v>
      </c>
      <c r="D17" t="n">
        <v>18</v>
      </c>
      <c r="E17" t="n">
        <v>12</v>
      </c>
      <c r="F17" t="n">
        <v>575</v>
      </c>
    </row>
    <row r="18">
      <c r="A18" t="inlineStr">
        <is>
          <t>Machinery and equipment n.e.c.</t>
        </is>
      </c>
      <c r="B18" t="n">
        <v>220</v>
      </c>
      <c r="C18" t="n">
        <v>780</v>
      </c>
      <c r="D18" t="n">
        <v>35</v>
      </c>
      <c r="E18" t="n">
        <v>22</v>
      </c>
      <c r="F18" t="n">
        <v>1057</v>
      </c>
    </row>
    <row r="19">
      <c r="A19" t="inlineStr">
        <is>
          <t>Transport equipment</t>
        </is>
      </c>
      <c r="B19" t="n">
        <v>180</v>
      </c>
      <c r="C19" t="n">
        <v>1200</v>
      </c>
      <c r="D19" t="n">
        <v>28</v>
      </c>
      <c r="E19" t="n">
        <v>25</v>
      </c>
      <c r="F19" t="n">
        <v>1433</v>
      </c>
    </row>
    <row r="20">
      <c r="A20" t="inlineStr">
        <is>
          <t>Furniture and other manufacturing</t>
        </is>
      </c>
      <c r="B20" t="n">
        <v>450</v>
      </c>
      <c r="C20" t="n">
        <v>580</v>
      </c>
      <c r="D20" t="n">
        <v>65</v>
      </c>
      <c r="E20" t="n">
        <v>35</v>
      </c>
      <c r="F20" t="n">
        <v>1130</v>
      </c>
    </row>
    <row r="21">
      <c r="A21" t="inlineStr">
        <is>
          <t>Electricity, gas, steam</t>
        </is>
      </c>
      <c r="B21" t="n">
        <v>2850</v>
      </c>
      <c r="C21" t="n">
        <v>180</v>
      </c>
      <c r="D21" t="n">
        <v>85</v>
      </c>
      <c r="E21" t="n">
        <v>125</v>
      </c>
      <c r="F21" t="n">
        <v>3240</v>
      </c>
    </row>
    <row r="22">
      <c r="A22" t="inlineStr">
        <is>
          <t>Water supply and sewerage</t>
        </is>
      </c>
      <c r="B22" t="n">
        <v>650</v>
      </c>
      <c r="C22" t="n">
        <v>45</v>
      </c>
      <c r="D22" t="n">
        <v>28</v>
      </c>
      <c r="E22" t="n">
        <v>18</v>
      </c>
      <c r="F22" t="n">
        <v>741</v>
      </c>
    </row>
    <row r="23">
      <c r="A23" t="inlineStr">
        <is>
          <t>Construction</t>
        </is>
      </c>
      <c r="B23" t="n">
        <v>6500</v>
      </c>
      <c r="C23" t="n">
        <v>2100</v>
      </c>
      <c r="D23" t="n">
        <v>280</v>
      </c>
      <c r="E23" t="n">
        <v>185</v>
      </c>
      <c r="F23" t="n">
        <v>9065</v>
      </c>
    </row>
    <row r="24">
      <c r="A24" t="inlineStr">
        <is>
          <t>Wholesale and retail trade</t>
        </is>
      </c>
      <c r="B24" t="n">
        <v>8500</v>
      </c>
      <c r="C24" t="n">
        <v>1200</v>
      </c>
      <c r="D24" t="n">
        <v>-3500</v>
      </c>
      <c r="E24" t="n">
        <v>280</v>
      </c>
      <c r="F24" t="n">
        <v>6480</v>
      </c>
    </row>
    <row r="25">
      <c r="A25" t="inlineStr">
        <is>
          <t>Transportation and storage</t>
        </is>
      </c>
      <c r="B25" t="n">
        <v>4200</v>
      </c>
      <c r="C25" t="n">
        <v>850</v>
      </c>
      <c r="D25" t="n">
        <v>180</v>
      </c>
      <c r="E25" t="n">
        <v>145</v>
      </c>
      <c r="F25" t="n">
        <v>5375</v>
      </c>
    </row>
    <row r="26">
      <c r="A26" t="inlineStr">
        <is>
          <t>Accommodation and food services</t>
        </is>
      </c>
      <c r="B26" t="n">
        <v>3100</v>
      </c>
      <c r="C26" t="n">
        <v>420</v>
      </c>
      <c r="D26" t="n">
        <v>250</v>
      </c>
      <c r="E26" t="n">
        <v>98</v>
      </c>
      <c r="F26" t="n">
        <v>3868</v>
      </c>
    </row>
    <row r="27">
      <c r="A27" t="inlineStr">
        <is>
          <t>Information and communication</t>
        </is>
      </c>
      <c r="B27" t="n">
        <v>2400</v>
      </c>
      <c r="C27" t="n">
        <v>380</v>
      </c>
      <c r="D27" t="n">
        <v>85</v>
      </c>
      <c r="E27" t="n">
        <v>75</v>
      </c>
      <c r="F27" t="n">
        <v>2940</v>
      </c>
    </row>
    <row r="28">
      <c r="A28" t="inlineStr">
        <is>
          <t>Financial and insurance activities</t>
        </is>
      </c>
      <c r="B28" t="n">
        <v>3800</v>
      </c>
      <c r="C28" t="n">
        <v>125</v>
      </c>
      <c r="D28" t="n">
        <v>95</v>
      </c>
      <c r="E28" t="n">
        <v>88</v>
      </c>
      <c r="F28" t="n">
        <v>4108</v>
      </c>
    </row>
    <row r="29">
      <c r="A29" t="inlineStr">
        <is>
          <t>Real estate activities</t>
        </is>
      </c>
      <c r="B29" t="n">
        <v>8200</v>
      </c>
      <c r="C29" t="n">
        <v>220</v>
      </c>
      <c r="D29" t="n">
        <v>185</v>
      </c>
      <c r="E29" t="n">
        <v>245</v>
      </c>
      <c r="F29" t="n">
        <v>8850</v>
      </c>
    </row>
    <row r="30">
      <c r="A30" t="inlineStr">
        <is>
          <t>Professional, scientific and technical</t>
        </is>
      </c>
      <c r="B30" t="n">
        <v>1850</v>
      </c>
      <c r="C30" t="n">
        <v>450</v>
      </c>
      <c r="D30" t="n">
        <v>85</v>
      </c>
      <c r="E30" t="n">
        <v>65</v>
      </c>
      <c r="F30" t="n">
        <v>2450</v>
      </c>
    </row>
    <row r="31">
      <c r="A31" t="inlineStr">
        <is>
          <t>Administrative and support services</t>
        </is>
      </c>
      <c r="B31" t="n">
        <v>1200</v>
      </c>
      <c r="C31" t="n">
        <v>280</v>
      </c>
      <c r="D31" t="n">
        <v>58</v>
      </c>
      <c r="E31" t="n">
        <v>42</v>
      </c>
      <c r="F31" t="n">
        <v>1580</v>
      </c>
    </row>
    <row r="32">
      <c r="A32" t="inlineStr">
        <is>
          <t>Public administration and defense</t>
        </is>
      </c>
      <c r="B32" t="n">
        <v>4500</v>
      </c>
      <c r="C32" t="n">
        <v>85</v>
      </c>
      <c r="D32" t="n">
        <v>125</v>
      </c>
      <c r="E32" t="n">
        <v>98</v>
      </c>
      <c r="F32" t="n">
        <v>4808</v>
      </c>
    </row>
    <row r="33">
      <c r="A33" t="inlineStr">
        <is>
          <t>Education</t>
        </is>
      </c>
      <c r="B33" t="n">
        <v>3800</v>
      </c>
      <c r="C33" t="n">
        <v>120</v>
      </c>
      <c r="D33" t="n">
        <v>98</v>
      </c>
      <c r="E33" t="n">
        <v>85</v>
      </c>
      <c r="F33" t="n">
        <v>4103</v>
      </c>
    </row>
    <row r="34">
      <c r="A34" t="inlineStr">
        <is>
          <t>Human health and social work</t>
        </is>
      </c>
      <c r="B34" t="n">
        <v>2900</v>
      </c>
      <c r="C34" t="n">
        <v>180</v>
      </c>
      <c r="D34" t="n">
        <v>88</v>
      </c>
      <c r="E34" t="n">
        <v>75</v>
      </c>
      <c r="F34" t="n">
        <v>3243</v>
      </c>
    </row>
    <row r="35">
      <c r="A35" t="inlineStr">
        <is>
          <t>Arts, entertainment and recreation</t>
        </is>
      </c>
      <c r="B35" t="n">
        <v>850</v>
      </c>
      <c r="C35" t="n">
        <v>125</v>
      </c>
      <c r="D35" t="n">
        <v>45</v>
      </c>
      <c r="E35" t="n">
        <v>28</v>
      </c>
      <c r="F35" t="n">
        <v>1048</v>
      </c>
    </row>
    <row r="36">
      <c r="A36" t="inlineStr">
        <is>
          <t>Other service activities</t>
        </is>
      </c>
      <c r="B36" t="n">
        <v>920</v>
      </c>
      <c r="C36" t="n">
        <v>280</v>
      </c>
      <c r="D36" t="n">
        <v>52</v>
      </c>
      <c r="E36" t="n">
        <v>35</v>
      </c>
      <c r="F36" t="n">
        <v>1287</v>
      </c>
    </row>
    <row r="37">
      <c r="A37" t="inlineStr">
        <is>
          <t>Activities of households</t>
        </is>
      </c>
      <c r="B37" t="n">
        <v>450</v>
      </c>
      <c r="C37" t="n">
        <v>15</v>
      </c>
      <c r="D37" t="n">
        <v>12</v>
      </c>
      <c r="E37" t="n">
        <v>8</v>
      </c>
      <c r="F37" t="n">
        <v>485</v>
      </c>
    </row>
    <row r="38">
      <c r="A38" t="inlineStr">
        <is>
          <t>Activities of extraterritorial organizations</t>
        </is>
      </c>
      <c r="B38" t="n">
        <v>25</v>
      </c>
      <c r="C38" t="n">
        <v>5</v>
      </c>
      <c r="D38" t="n">
        <v>2</v>
      </c>
      <c r="E38" t="n">
        <v>1</v>
      </c>
      <c r="F38" t="n">
        <v>33</v>
      </c>
    </row>
    <row r="39">
      <c r="A39" t="inlineStr">
        <is>
          <t>Trade margins (positive)</t>
        </is>
      </c>
      <c r="B39" t="n">
        <v>0</v>
      </c>
      <c r="C39" t="n">
        <v>0</v>
      </c>
      <c r="D39" t="n">
        <v>3500</v>
      </c>
      <c r="E39" t="n">
        <v>0</v>
      </c>
      <c r="F39" t="n">
        <v>3500</v>
      </c>
    </row>
    <row r="40">
      <c r="A40" t="inlineStr">
        <is>
          <t>Trade margins (negative)</t>
        </is>
      </c>
      <c r="B40" t="n">
        <v>0</v>
      </c>
      <c r="C40" t="n">
        <v>0</v>
      </c>
      <c r="D40" t="n">
        <v>-3500</v>
      </c>
      <c r="E40" t="n">
        <v>0</v>
      </c>
      <c r="F40" t="n">
        <v>-3500</v>
      </c>
    </row>
    <row r="41">
      <c r="A41" t="inlineStr">
        <is>
          <t>CIF/FOB adjustment</t>
        </is>
      </c>
      <c r="B41" t="n">
        <v>0</v>
      </c>
      <c r="C41" t="n">
        <v>250</v>
      </c>
      <c r="D41" t="n">
        <v>0</v>
      </c>
      <c r="E41" t="n">
        <v>0</v>
      </c>
      <c r="F41" t="n">
        <v>250</v>
      </c>
    </row>
    <row r="42">
      <c r="A42" t="inlineStr">
        <is>
          <t>Direct purchases abroad</t>
        </is>
      </c>
      <c r="B42" t="n">
        <v>0</v>
      </c>
      <c r="C42" t="n">
        <v>380</v>
      </c>
      <c r="D42" t="n">
        <v>0</v>
      </c>
      <c r="E42" t="n">
        <v>0</v>
      </c>
      <c r="F42" t="n">
        <v>380</v>
      </c>
    </row>
    <row r="43">
      <c r="A43" s="5" t="inlineStr">
        <is>
          <t>TOTAL</t>
        </is>
      </c>
      <c r="B43" s="5">
        <f>SUM(B5:B42)</f>
        <v/>
      </c>
      <c r="C43" s="5">
        <f>SUM(C5:C42)</f>
        <v/>
      </c>
      <c r="D43" s="5">
        <f>SUM(D5:D42)</f>
        <v/>
      </c>
      <c r="E43" s="5">
        <f>SUM(E5:E42)</f>
        <v/>
      </c>
      <c r="F43" s="5">
        <f>SUM(F5:F42)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Use Table (38-38) - Latest Year 2022</t>
        </is>
      </c>
    </row>
    <row r="2">
      <c r="A2" t="inlineStr">
        <is>
          <t>Million GEL</t>
        </is>
      </c>
    </row>
    <row r="4">
      <c r="A4" s="6" t="inlineStr">
        <is>
          <t>Product</t>
        </is>
      </c>
      <c r="B4" s="6" t="inlineStr">
        <is>
          <t>Intermediate Consumption</t>
        </is>
      </c>
      <c r="C4" s="6" t="inlineStr">
        <is>
          <t>Final Consumption (Households)</t>
        </is>
      </c>
      <c r="D4" s="6" t="inlineStr">
        <is>
          <t>Final Consumption (Government)</t>
        </is>
      </c>
      <c r="E4" s="6" t="inlineStr">
        <is>
          <t>Gross Fixed Capital Formation</t>
        </is>
      </c>
      <c r="F4" s="6" t="inlineStr">
        <is>
          <t>Changes in Inventories</t>
        </is>
      </c>
      <c r="G4" s="6" t="inlineStr">
        <is>
          <t>Exports</t>
        </is>
      </c>
      <c r="H4" s="6" t="inlineStr">
        <is>
          <t>Total Use</t>
        </is>
      </c>
    </row>
    <row r="5">
      <c r="A5" t="inlineStr">
        <is>
          <t>Agriculture, forestry and fishing</t>
        </is>
      </c>
      <c r="B5" t="n">
        <v>2100</v>
      </c>
      <c r="C5" t="n">
        <v>2200</v>
      </c>
      <c r="D5" t="n">
        <v>85</v>
      </c>
      <c r="E5" t="n">
        <v>120</v>
      </c>
      <c r="F5" t="n">
        <v>45</v>
      </c>
      <c r="G5" t="n">
        <v>950</v>
      </c>
      <c r="H5" t="n">
        <v>5500</v>
      </c>
    </row>
    <row r="6">
      <c r="A6" t="inlineStr">
        <is>
          <t>Mining and quarrying</t>
        </is>
      </c>
      <c r="B6" t="n">
        <v>850</v>
      </c>
      <c r="C6" t="n">
        <v>45</v>
      </c>
      <c r="D6" t="n">
        <v>12</v>
      </c>
      <c r="E6" t="n">
        <v>58</v>
      </c>
      <c r="F6" t="n">
        <v>25</v>
      </c>
      <c r="G6" t="n">
        <v>340</v>
      </c>
      <c r="H6" t="n">
        <v>1330</v>
      </c>
    </row>
    <row r="7">
      <c r="A7" t="inlineStr">
        <is>
          <t>Food products, beverages and tobacco</t>
        </is>
      </c>
      <c r="B7" t="n">
        <v>1800</v>
      </c>
      <c r="C7" t="n">
        <v>2850</v>
      </c>
      <c r="D7" t="n">
        <v>180</v>
      </c>
      <c r="E7" t="n">
        <v>95</v>
      </c>
      <c r="F7" t="n">
        <v>125</v>
      </c>
      <c r="G7" t="n">
        <v>630</v>
      </c>
      <c r="H7" t="n">
        <v>5680</v>
      </c>
    </row>
    <row r="8">
      <c r="A8" t="inlineStr">
        <is>
          <t>Textiles, wearing apparel and leather</t>
        </is>
      </c>
      <c r="B8" t="n">
        <v>980</v>
      </c>
      <c r="C8" t="n">
        <v>1850</v>
      </c>
      <c r="D8" t="n">
        <v>65</v>
      </c>
      <c r="E8" t="n">
        <v>125</v>
      </c>
      <c r="F8" t="n">
        <v>35</v>
      </c>
      <c r="G8" t="n">
        <v>210</v>
      </c>
      <c r="H8" t="n">
        <v>3265</v>
      </c>
    </row>
    <row r="9">
      <c r="A9" t="inlineStr">
        <is>
          <t>Wood and paper products</t>
        </is>
      </c>
      <c r="B9" t="n">
        <v>650</v>
      </c>
      <c r="C9" t="n">
        <v>580</v>
      </c>
      <c r="D9" t="n">
        <v>28</v>
      </c>
      <c r="E9" t="n">
        <v>185</v>
      </c>
      <c r="F9" t="n">
        <v>18</v>
      </c>
      <c r="G9" t="n">
        <v>99</v>
      </c>
      <c r="H9" t="n">
        <v>1560</v>
      </c>
    </row>
    <row r="10">
      <c r="A10" t="inlineStr">
        <is>
          <t>Coke and refined petroleum</t>
        </is>
      </c>
      <c r="B10" t="n">
        <v>1450</v>
      </c>
      <c r="C10" t="n">
        <v>420</v>
      </c>
      <c r="D10" t="n">
        <v>35</v>
      </c>
      <c r="E10" t="n">
        <v>95</v>
      </c>
      <c r="F10" t="n">
        <v>-28</v>
      </c>
      <c r="G10" t="n">
        <v>153</v>
      </c>
      <c r="H10" t="n">
        <v>2125</v>
      </c>
    </row>
    <row r="11">
      <c r="A11" t="inlineStr">
        <is>
          <t>Chemicals and chemical products</t>
        </is>
      </c>
      <c r="B11" t="n">
        <v>780</v>
      </c>
      <c r="C11" t="n">
        <v>320</v>
      </c>
      <c r="D11" t="n">
        <v>45</v>
      </c>
      <c r="E11" t="n">
        <v>125</v>
      </c>
      <c r="F11" t="n">
        <v>22</v>
      </c>
      <c r="G11" t="n">
        <v>78</v>
      </c>
      <c r="H11" t="n">
        <v>1370</v>
      </c>
    </row>
    <row r="12">
      <c r="A12" t="inlineStr">
        <is>
          <t>Pharmaceutical products</t>
        </is>
      </c>
      <c r="B12" t="n">
        <v>180</v>
      </c>
      <c r="C12" t="n">
        <v>580</v>
      </c>
      <c r="D12" t="n">
        <v>12</v>
      </c>
      <c r="E12" t="n">
        <v>8</v>
      </c>
      <c r="F12" t="n">
        <v>5</v>
      </c>
      <c r="G12" t="n">
        <v>12</v>
      </c>
      <c r="H12" t="n">
        <v>797</v>
      </c>
    </row>
    <row r="13">
      <c r="A13" t="inlineStr">
        <is>
          <t>Rubber, plastic and other non-metallic</t>
        </is>
      </c>
      <c r="B13" t="n">
        <v>1100</v>
      </c>
      <c r="C13" t="n">
        <v>850</v>
      </c>
      <c r="D13" t="n">
        <v>95</v>
      </c>
      <c r="E13" t="n">
        <v>380</v>
      </c>
      <c r="F13" t="n">
        <v>48</v>
      </c>
      <c r="G13" t="n">
        <v>170</v>
      </c>
      <c r="H13" t="n">
        <v>2643</v>
      </c>
    </row>
    <row r="14">
      <c r="A14" t="inlineStr">
        <is>
          <t>Basic metals</t>
        </is>
      </c>
      <c r="B14" t="n">
        <v>980</v>
      </c>
      <c r="C14" t="n">
        <v>180</v>
      </c>
      <c r="D14" t="n">
        <v>28</v>
      </c>
      <c r="E14" t="n">
        <v>225</v>
      </c>
      <c r="F14" t="n">
        <v>18</v>
      </c>
      <c r="G14" t="n">
        <v>52</v>
      </c>
      <c r="H14" t="n">
        <v>1483</v>
      </c>
    </row>
    <row r="15">
      <c r="A15" t="inlineStr">
        <is>
          <t>Fabricated metal products</t>
        </is>
      </c>
      <c r="B15" t="n">
        <v>650</v>
      </c>
      <c r="C15" t="n">
        <v>280</v>
      </c>
      <c r="D15" t="n">
        <v>35</v>
      </c>
      <c r="E15" t="n">
        <v>285</v>
      </c>
      <c r="F15" t="n">
        <v>25</v>
      </c>
      <c r="G15" t="n">
        <v>82</v>
      </c>
      <c r="H15" t="n">
        <v>1357</v>
      </c>
    </row>
    <row r="16">
      <c r="A16" t="inlineStr">
        <is>
          <t>Computer, electronic and optical products</t>
        </is>
      </c>
      <c r="B16" t="n">
        <v>420</v>
      </c>
      <c r="C16" t="n">
        <v>380</v>
      </c>
      <c r="D16" t="n">
        <v>18</v>
      </c>
      <c r="E16" t="n">
        <v>195</v>
      </c>
      <c r="F16" t="n">
        <v>15</v>
      </c>
      <c r="G16" t="n">
        <v>55</v>
      </c>
      <c r="H16" t="n">
        <v>1083</v>
      </c>
    </row>
    <row r="17">
      <c r="A17" t="inlineStr">
        <is>
          <t>Electrical equipment</t>
        </is>
      </c>
      <c r="B17" t="n">
        <v>250</v>
      </c>
      <c r="C17" t="n">
        <v>185</v>
      </c>
      <c r="D17" t="n">
        <v>15</v>
      </c>
      <c r="E17" t="n">
        <v>85</v>
      </c>
      <c r="F17" t="n">
        <v>12</v>
      </c>
      <c r="G17" t="n">
        <v>28</v>
      </c>
      <c r="H17" t="n">
        <v>575</v>
      </c>
    </row>
    <row r="18">
      <c r="A18" t="inlineStr">
        <is>
          <t>Machinery and equipment n.e.c.</t>
        </is>
      </c>
      <c r="B18" t="n">
        <v>580</v>
      </c>
      <c r="C18" t="n">
        <v>220</v>
      </c>
      <c r="D18" t="n">
        <v>28</v>
      </c>
      <c r="E18" t="n">
        <v>165</v>
      </c>
      <c r="F18" t="n">
        <v>18</v>
      </c>
      <c r="G18" t="n">
        <v>46</v>
      </c>
      <c r="H18" t="n">
        <v>1057</v>
      </c>
    </row>
    <row r="19">
      <c r="A19" t="inlineStr">
        <is>
          <t>Transport equipment</t>
        </is>
      </c>
      <c r="B19" t="n">
        <v>380</v>
      </c>
      <c r="C19" t="n">
        <v>125</v>
      </c>
      <c r="D19" t="n">
        <v>22</v>
      </c>
      <c r="E19" t="n">
        <v>850</v>
      </c>
      <c r="F19" t="n">
        <v>25</v>
      </c>
      <c r="G19" t="n">
        <v>31</v>
      </c>
      <c r="H19" t="n">
        <v>1433</v>
      </c>
    </row>
    <row r="20">
      <c r="A20" t="inlineStr">
        <is>
          <t>Furniture and other manufacturing</t>
        </is>
      </c>
      <c r="B20" t="n">
        <v>420</v>
      </c>
      <c r="C20" t="n">
        <v>550</v>
      </c>
      <c r="D20" t="n">
        <v>38</v>
      </c>
      <c r="E20" t="n">
        <v>85</v>
      </c>
      <c r="F20" t="n">
        <v>18</v>
      </c>
      <c r="G20" t="n">
        <v>19</v>
      </c>
      <c r="H20" t="n">
        <v>1130</v>
      </c>
    </row>
    <row r="21">
      <c r="A21" t="inlineStr">
        <is>
          <t>Electricity, gas, steam</t>
        </is>
      </c>
      <c r="B21" t="n">
        <v>1850</v>
      </c>
      <c r="C21" t="n">
        <v>980</v>
      </c>
      <c r="D21" t="n">
        <v>285</v>
      </c>
      <c r="E21" t="n">
        <v>58</v>
      </c>
      <c r="F21" t="n">
        <v>28</v>
      </c>
      <c r="G21" t="n">
        <v>39</v>
      </c>
      <c r="H21" t="n">
        <v>3240</v>
      </c>
    </row>
    <row r="22">
      <c r="A22" t="inlineStr">
        <is>
          <t>Water supply and sewerage</t>
        </is>
      </c>
      <c r="B22" t="n">
        <v>380</v>
      </c>
      <c r="C22" t="n">
        <v>285</v>
      </c>
      <c r="D22" t="n">
        <v>52</v>
      </c>
      <c r="E22" t="n">
        <v>18</v>
      </c>
      <c r="F22" t="n">
        <v>5</v>
      </c>
      <c r="G22" t="n">
        <v>1</v>
      </c>
      <c r="H22" t="n">
        <v>741</v>
      </c>
    </row>
    <row r="23">
      <c r="A23" t="inlineStr">
        <is>
          <t>Construction</t>
        </is>
      </c>
      <c r="B23" t="n">
        <v>1200</v>
      </c>
      <c r="C23" t="n">
        <v>280</v>
      </c>
      <c r="D23" t="n">
        <v>125</v>
      </c>
      <c r="E23" t="n">
        <v>7200</v>
      </c>
      <c r="F23" t="n">
        <v>185</v>
      </c>
      <c r="G23" t="n">
        <v>75</v>
      </c>
      <c r="H23" t="n">
        <v>9065</v>
      </c>
    </row>
    <row r="24">
      <c r="A24" t="inlineStr">
        <is>
          <t>Wholesale and retail trade</t>
        </is>
      </c>
      <c r="B24" t="n">
        <v>2800</v>
      </c>
      <c r="C24" t="n">
        <v>2950</v>
      </c>
      <c r="D24" t="n">
        <v>450</v>
      </c>
      <c r="E24" t="n">
        <v>125</v>
      </c>
      <c r="F24" t="n">
        <v>85</v>
      </c>
      <c r="G24" t="n">
        <v>70</v>
      </c>
      <c r="H24" t="n">
        <v>6480</v>
      </c>
    </row>
    <row r="25">
      <c r="A25" t="inlineStr">
        <is>
          <t>Transportation and storage</t>
        </is>
      </c>
      <c r="B25" t="n">
        <v>2200</v>
      </c>
      <c r="C25" t="n">
        <v>1850</v>
      </c>
      <c r="D25" t="n">
        <v>280</v>
      </c>
      <c r="E25" t="n">
        <v>650</v>
      </c>
      <c r="F25" t="n">
        <v>125</v>
      </c>
      <c r="G25" t="n">
        <v>270</v>
      </c>
      <c r="H25" t="n">
        <v>5375</v>
      </c>
    </row>
    <row r="26">
      <c r="A26" t="inlineStr">
        <is>
          <t>Accommodation and food services</t>
        </is>
      </c>
      <c r="B26" t="n">
        <v>950</v>
      </c>
      <c r="C26" t="n">
        <v>2580</v>
      </c>
      <c r="D26" t="n">
        <v>185</v>
      </c>
      <c r="E26" t="n">
        <v>85</v>
      </c>
      <c r="F26" t="n">
        <v>35</v>
      </c>
      <c r="G26" t="n">
        <v>33</v>
      </c>
      <c r="H26" t="n">
        <v>3868</v>
      </c>
    </row>
    <row r="27">
      <c r="A27" t="inlineStr">
        <is>
          <t>Information and communication</t>
        </is>
      </c>
      <c r="B27" t="n">
        <v>1200</v>
      </c>
      <c r="C27" t="n">
        <v>1380</v>
      </c>
      <c r="D27" t="n">
        <v>220</v>
      </c>
      <c r="E27" t="n">
        <v>85</v>
      </c>
      <c r="F27" t="n">
        <v>28</v>
      </c>
      <c r="G27" t="n">
        <v>27</v>
      </c>
      <c r="H27" t="n">
        <v>2940</v>
      </c>
    </row>
    <row r="28">
      <c r="A28" t="inlineStr">
        <is>
          <t>Financial and insurance activities</t>
        </is>
      </c>
      <c r="B28" t="n">
        <v>850</v>
      </c>
      <c r="C28" t="n">
        <v>2850</v>
      </c>
      <c r="D28" t="n">
        <v>125</v>
      </c>
      <c r="E28" t="n">
        <v>45</v>
      </c>
      <c r="F28" t="n">
        <v>18</v>
      </c>
      <c r="G28" t="n">
        <v>220</v>
      </c>
      <c r="H28" t="n">
        <v>4108</v>
      </c>
    </row>
    <row r="29">
      <c r="A29" t="inlineStr">
        <is>
          <t>Real estate activities</t>
        </is>
      </c>
      <c r="B29" t="n">
        <v>1850</v>
      </c>
      <c r="C29" t="n">
        <v>5200</v>
      </c>
      <c r="D29" t="n">
        <v>420</v>
      </c>
      <c r="E29" t="n">
        <v>850</v>
      </c>
      <c r="F29" t="n">
        <v>125</v>
      </c>
      <c r="G29" t="n">
        <v>405</v>
      </c>
      <c r="H29" t="n">
        <v>8850</v>
      </c>
    </row>
    <row r="30">
      <c r="A30" t="inlineStr">
        <is>
          <t>Professional, scientific and technical</t>
        </is>
      </c>
      <c r="B30" t="n">
        <v>980</v>
      </c>
      <c r="C30" t="n">
        <v>1180</v>
      </c>
      <c r="D30" t="n">
        <v>185</v>
      </c>
      <c r="E30" t="n">
        <v>58</v>
      </c>
      <c r="F30" t="n">
        <v>22</v>
      </c>
      <c r="G30" t="n">
        <v>25</v>
      </c>
      <c r="H30" t="n">
        <v>2450</v>
      </c>
    </row>
    <row r="31">
      <c r="A31" t="inlineStr">
        <is>
          <t>Administrative and support services</t>
        </is>
      </c>
      <c r="B31" t="n">
        <v>750</v>
      </c>
      <c r="C31" t="n">
        <v>580</v>
      </c>
      <c r="D31" t="n">
        <v>125</v>
      </c>
      <c r="E31" t="n">
        <v>85</v>
      </c>
      <c r="F31" t="n">
        <v>18</v>
      </c>
      <c r="G31" t="n">
        <v>22</v>
      </c>
      <c r="H31" t="n">
        <v>1580</v>
      </c>
    </row>
    <row r="32">
      <c r="A32" t="inlineStr">
        <is>
          <t>Public administration and defense</t>
        </is>
      </c>
      <c r="B32" t="n">
        <v>650</v>
      </c>
      <c r="C32" t="n">
        <v>3850</v>
      </c>
      <c r="D32" t="n">
        <v>220</v>
      </c>
      <c r="E32" t="n">
        <v>28</v>
      </c>
      <c r="F32" t="n">
        <v>12</v>
      </c>
      <c r="G32" t="n">
        <v>48</v>
      </c>
      <c r="H32" t="n">
        <v>4808</v>
      </c>
    </row>
    <row r="33">
      <c r="A33" t="inlineStr">
        <is>
          <t>Education</t>
        </is>
      </c>
      <c r="B33" t="n">
        <v>580</v>
      </c>
      <c r="C33" t="n">
        <v>3180</v>
      </c>
      <c r="D33" t="n">
        <v>285</v>
      </c>
      <c r="E33" t="n">
        <v>35</v>
      </c>
      <c r="F33" t="n">
        <v>8</v>
      </c>
      <c r="G33" t="n">
        <v>15</v>
      </c>
      <c r="H33" t="n">
        <v>4103</v>
      </c>
    </row>
    <row r="34">
      <c r="A34" t="inlineStr">
        <is>
          <t>Human health and social work</t>
        </is>
      </c>
      <c r="B34" t="n">
        <v>420</v>
      </c>
      <c r="C34" t="n">
        <v>2520</v>
      </c>
      <c r="D34" t="n">
        <v>220</v>
      </c>
      <c r="E34" t="n">
        <v>28</v>
      </c>
      <c r="F34" t="n">
        <v>12</v>
      </c>
      <c r="G34" t="n">
        <v>43</v>
      </c>
      <c r="H34" t="n">
        <v>3243</v>
      </c>
    </row>
    <row r="35">
      <c r="A35" t="inlineStr">
        <is>
          <t>Arts, entertainment and recreation</t>
        </is>
      </c>
      <c r="B35" t="n">
        <v>280</v>
      </c>
      <c r="C35" t="n">
        <v>650</v>
      </c>
      <c r="D35" t="n">
        <v>85</v>
      </c>
      <c r="E35" t="n">
        <v>18</v>
      </c>
      <c r="F35" t="n">
        <v>5</v>
      </c>
      <c r="G35" t="n">
        <v>10</v>
      </c>
      <c r="H35" t="n">
        <v>1048</v>
      </c>
    </row>
    <row r="36">
      <c r="A36" t="inlineStr">
        <is>
          <t>Other service activities</t>
        </is>
      </c>
      <c r="B36" t="n">
        <v>380</v>
      </c>
      <c r="C36" t="n">
        <v>780</v>
      </c>
      <c r="D36" t="n">
        <v>95</v>
      </c>
      <c r="E36" t="n">
        <v>22</v>
      </c>
      <c r="F36" t="n">
        <v>5</v>
      </c>
      <c r="G36" t="n">
        <v>5</v>
      </c>
      <c r="H36" t="n">
        <v>1287</v>
      </c>
    </row>
    <row r="37">
      <c r="A37" t="inlineStr">
        <is>
          <t>Activities of households</t>
        </is>
      </c>
      <c r="B37" t="n">
        <v>0</v>
      </c>
      <c r="C37" t="n">
        <v>485</v>
      </c>
      <c r="D37" t="n">
        <v>0</v>
      </c>
      <c r="E37" t="n">
        <v>0</v>
      </c>
      <c r="F37" t="n">
        <v>0</v>
      </c>
      <c r="G37" t="n">
        <v>0</v>
      </c>
      <c r="H37" t="n">
        <v>485</v>
      </c>
    </row>
    <row r="38">
      <c r="A38" t="inlineStr">
        <is>
          <t>Activities of extraterritorial organizations</t>
        </is>
      </c>
      <c r="B38" t="n">
        <v>0</v>
      </c>
      <c r="C38" t="n">
        <v>33</v>
      </c>
      <c r="D38" t="n">
        <v>0</v>
      </c>
      <c r="E38" t="n">
        <v>0</v>
      </c>
      <c r="F38" t="n">
        <v>0</v>
      </c>
      <c r="G38" t="n">
        <v>0</v>
      </c>
      <c r="H38" t="n">
        <v>33</v>
      </c>
    </row>
    <row r="39">
      <c r="A39" t="inlineStr">
        <is>
          <t>Trade margins (positive)</t>
        </is>
      </c>
      <c r="B39" t="n">
        <v>0</v>
      </c>
      <c r="C39" t="n">
        <v>3500</v>
      </c>
      <c r="D39" t="n">
        <v>0</v>
      </c>
      <c r="E39" t="n">
        <v>0</v>
      </c>
      <c r="F39" t="n">
        <v>0</v>
      </c>
      <c r="G39" t="n">
        <v>0</v>
      </c>
      <c r="H39" t="n">
        <v>3500</v>
      </c>
    </row>
    <row r="40">
      <c r="A40" t="inlineStr">
        <is>
          <t>Trade margins (negative)</t>
        </is>
      </c>
      <c r="B40" t="n">
        <v>0</v>
      </c>
      <c r="C40" t="n">
        <v>-3500</v>
      </c>
      <c r="D40" t="n">
        <v>0</v>
      </c>
      <c r="E40" t="n">
        <v>0</v>
      </c>
      <c r="F40" t="n">
        <v>0</v>
      </c>
      <c r="G40" t="n">
        <v>0</v>
      </c>
      <c r="H40" t="n">
        <v>-3500</v>
      </c>
    </row>
    <row r="41">
      <c r="A41" t="inlineStr">
        <is>
          <t>CIF/FOB adjustment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250</v>
      </c>
      <c r="H41" t="n">
        <v>250</v>
      </c>
    </row>
    <row r="42">
      <c r="A42" t="inlineStr">
        <is>
          <t>Direct purchases abroad</t>
        </is>
      </c>
      <c r="B42" t="n">
        <v>0</v>
      </c>
      <c r="C42" t="n">
        <v>280</v>
      </c>
      <c r="D42" t="n">
        <v>0</v>
      </c>
      <c r="E42" t="n">
        <v>0</v>
      </c>
      <c r="F42" t="n">
        <v>0</v>
      </c>
      <c r="G42" t="n">
        <v>100</v>
      </c>
      <c r="H42" t="n">
        <v>380</v>
      </c>
    </row>
    <row r="43">
      <c r="A43" s="5" t="inlineStr">
        <is>
          <t>TOTAL</t>
        </is>
      </c>
      <c r="B43" s="5">
        <f>SUM(B5:B42)</f>
        <v/>
      </c>
      <c r="C43" s="5">
        <f>SUM(C5:C42)</f>
        <v/>
      </c>
      <c r="D43" s="5">
        <f>SUM(D5:D42)</f>
        <v/>
      </c>
      <c r="E43" s="5">
        <f>SUM(E5:E42)</f>
        <v/>
      </c>
      <c r="F43" s="5">
        <f>SUM(F5:F42)</f>
        <v/>
      </c>
      <c r="G43" s="5">
        <f>SUM(G5:G42)</f>
        <v/>
      </c>
      <c r="H43" s="5">
        <f>SUM(H5:H42)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Supply-Use Table Calculations</t>
        </is>
      </c>
    </row>
    <row r="3">
      <c r="A3" s="7" t="inlineStr">
        <is>
          <t>Item</t>
        </is>
      </c>
      <c r="B3" s="7" t="inlineStr">
        <is>
          <t>Description</t>
        </is>
      </c>
      <c r="C3" s="7" t="inlineStr">
        <is>
          <t>Value (Million GEL)</t>
        </is>
      </c>
      <c r="D3" s="7" t="inlineStr">
        <is>
          <t>Source</t>
        </is>
      </c>
      <c r="E3" s="7" t="inlineStr">
        <is>
          <t>Calculation</t>
        </is>
      </c>
    </row>
    <row r="4">
      <c r="A4" t="inlineStr">
        <is>
          <t>Total Supply</t>
        </is>
      </c>
      <c r="B4" t="inlineStr">
        <is>
          <t>Total supply of goods and services</t>
        </is>
      </c>
      <c r="C4">
        <f>SUPPLY!F43</f>
        <v/>
      </c>
      <c r="D4" t="inlineStr">
        <is>
          <t>SUPPLY sheet, Total</t>
        </is>
      </c>
    </row>
    <row r="5">
      <c r="A5" t="inlineStr">
        <is>
          <t>Total Imports</t>
        </is>
      </c>
      <c r="B5" t="inlineStr">
        <is>
          <t>Total imports</t>
        </is>
      </c>
      <c r="C5">
        <f>SUPPLY!C43</f>
        <v/>
      </c>
      <c r="D5" t="inlineStr">
        <is>
          <t>SUPPLY sheet, Imports Total</t>
        </is>
      </c>
    </row>
    <row r="6">
      <c r="A6" t="inlineStr">
        <is>
          <t>Intermediate Consumption</t>
        </is>
      </c>
      <c r="B6" t="inlineStr">
        <is>
          <t>Intermediate consumption by industries</t>
        </is>
      </c>
      <c r="C6">
        <f>USE!B43</f>
        <v/>
      </c>
      <c r="D6" t="inlineStr">
        <is>
          <t>USE sheet, IC Total</t>
        </is>
      </c>
    </row>
    <row r="7">
      <c r="A7" t="inlineStr">
        <is>
          <t>Final Consumption (HH)</t>
        </is>
      </c>
      <c r="B7" t="inlineStr">
        <is>
          <t>Household final consumption</t>
        </is>
      </c>
      <c r="C7">
        <f>USE!C43</f>
        <v/>
      </c>
      <c r="D7" t="inlineStr">
        <is>
          <t>USE sheet, HH Consumption</t>
        </is>
      </c>
    </row>
    <row r="8">
      <c r="A8" t="inlineStr">
        <is>
          <t>Final Consumption (Gov)</t>
        </is>
      </c>
      <c r="B8" t="inlineStr">
        <is>
          <t>Government final consumption</t>
        </is>
      </c>
      <c r="C8">
        <f>USE!D43</f>
        <v/>
      </c>
      <c r="D8" t="inlineStr">
        <is>
          <t>USE sheet, Gov Consumption</t>
        </is>
      </c>
    </row>
    <row r="9">
      <c r="A9" t="inlineStr">
        <is>
          <t>GFCF</t>
        </is>
      </c>
      <c r="B9" t="inlineStr">
        <is>
          <t>Gross Fixed Capital Formation</t>
        </is>
      </c>
      <c r="C9">
        <f>USE!E43</f>
        <v/>
      </c>
      <c r="D9" t="inlineStr">
        <is>
          <t>USE sheet, GFCF</t>
        </is>
      </c>
    </row>
    <row r="10">
      <c r="A10" t="inlineStr">
        <is>
          <t>Changes in Inventories</t>
        </is>
      </c>
      <c r="B10" t="inlineStr">
        <is>
          <t>Inventory changes</t>
        </is>
      </c>
      <c r="C10">
        <f>USE!F43</f>
        <v/>
      </c>
      <c r="D10" t="inlineStr">
        <is>
          <t>USE sheet, Inventories</t>
        </is>
      </c>
    </row>
    <row r="11">
      <c r="A11" t="inlineStr">
        <is>
          <t>Exports</t>
        </is>
      </c>
      <c r="B11" t="inlineStr">
        <is>
          <t>Total exports</t>
        </is>
      </c>
      <c r="C11">
        <f>USE!G43</f>
        <v/>
      </c>
      <c r="D11" t="inlineStr">
        <is>
          <t>USE sheet, Exports</t>
        </is>
      </c>
    </row>
    <row r="12">
      <c r="A12" t="inlineStr">
        <is>
          <t>Total Use</t>
        </is>
      </c>
      <c r="B12" t="inlineStr">
        <is>
          <t>Total use of goods and services</t>
        </is>
      </c>
      <c r="C12">
        <f>USE!H43</f>
        <v/>
      </c>
      <c r="D12" t="inlineStr">
        <is>
          <t>USE sheet, Total</t>
        </is>
      </c>
    </row>
    <row r="14">
      <c r="A14" t="inlineStr">
        <is>
          <t>Final Demand</t>
        </is>
      </c>
      <c r="B14" t="inlineStr">
        <is>
          <t>Sum of final consumption, GFCF, and exports</t>
        </is>
      </c>
      <c r="C14">
        <f>C7+C8+C9+C11</f>
        <v/>
      </c>
      <c r="D14" t="inlineStr">
        <is>
          <t>Calculated</t>
        </is>
      </c>
      <c r="E14" t="inlineStr">
        <is>
          <t>HH + Gov + GFCF + Exports</t>
        </is>
      </c>
    </row>
    <row r="15">
      <c r="A15" t="inlineStr">
        <is>
          <t>Domestic Demand</t>
        </is>
      </c>
      <c r="B15" t="inlineStr">
        <is>
          <t>Final demand excluding exports</t>
        </is>
      </c>
      <c r="C15">
        <f>C7+C8+C9</f>
        <v/>
      </c>
      <c r="D15" t="inlineStr">
        <is>
          <t>Calculated</t>
        </is>
      </c>
      <c r="E15" t="inlineStr">
        <is>
          <t>HH + Gov + GFCF</t>
        </is>
      </c>
    </row>
    <row r="17">
      <c r="A17" s="3" t="inlineStr">
        <is>
          <t>Import Content Analysis</t>
        </is>
      </c>
    </row>
    <row r="18">
      <c r="A18" t="inlineStr">
        <is>
          <t>Import/Supply Ratio</t>
        </is>
      </c>
      <c r="B18" t="inlineStr">
        <is>
          <t>Imports as % of total supply</t>
        </is>
      </c>
      <c r="C18" s="8">
        <f>C5/C4</f>
        <v/>
      </c>
      <c r="D18" t="inlineStr">
        <is>
          <t>Calculated</t>
        </is>
      </c>
      <c r="E18" t="inlineStr">
        <is>
          <t>Imports / Total Supply</t>
        </is>
      </c>
    </row>
    <row r="19">
      <c r="A19" t="inlineStr">
        <is>
          <t>Import/Final Demand Ratio</t>
        </is>
      </c>
      <c r="B19" t="inlineStr">
        <is>
          <t>Imports as % of final demand</t>
        </is>
      </c>
      <c r="C19" s="8">
        <f>C5/C13</f>
        <v/>
      </c>
      <c r="D19" t="inlineStr">
        <is>
          <t>Calculated</t>
        </is>
      </c>
      <c r="E19" t="inlineStr">
        <is>
          <t>Imports / Final Demand</t>
        </is>
      </c>
    </row>
    <row r="20">
      <c r="A20" t="inlineStr">
        <is>
          <t>Import/Domestic Demand</t>
        </is>
      </c>
      <c r="B20" t="inlineStr">
        <is>
          <t>Imports as % of domestic demand</t>
        </is>
      </c>
      <c r="C20" s="8">
        <f>C5/C14</f>
        <v/>
      </c>
      <c r="D20" t="inlineStr">
        <is>
          <t>Calculated</t>
        </is>
      </c>
      <c r="E20" t="inlineStr">
        <is>
          <t>Imports / Domestic Demand</t>
        </is>
      </c>
    </row>
    <row r="22">
      <c r="A22" s="5" t="inlineStr">
        <is>
          <t>Estimated Import Content Share</t>
        </is>
      </c>
      <c r="B22" s="5" t="inlineStr">
        <is>
          <t>For investment shock analysis</t>
        </is>
      </c>
      <c r="C22" s="9">
        <f>C18</f>
        <v/>
      </c>
      <c r="D22" t="inlineStr">
        <is>
          <t>From C18</t>
        </is>
      </c>
      <c r="E22" t="inlineStr">
        <is>
          <t>Import content for small open economy</t>
        </is>
      </c>
    </row>
    <row r="46">
      <c r="A46" s="5" t="inlineStr">
        <is>
          <t>Import Content Share (for NA sheet)</t>
        </is>
      </c>
      <c r="C46" s="10">
        <f>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  <col width="16" customWidth="1" min="9" max="9"/>
    <col width="18" customWidth="1" min="10" max="10"/>
    <col width="18" customWidth="1" min="11" max="11"/>
    <col width="16" customWidth="1" min="12" max="12"/>
    <col width="14" customWidth="1" min="13" max="13"/>
  </cols>
  <sheetData>
    <row r="1">
      <c r="A1" s="1" t="inlineStr">
        <is>
          <t>Investment Shock Analysis - Demand Side (Macro Accounting Framework)</t>
        </is>
      </c>
    </row>
    <row r="2">
      <c r="A2" s="3" t="inlineStr">
        <is>
          <t>Georgia - 8-year Investment Project (2026-2033): USD 6.5 billion</t>
        </is>
      </c>
    </row>
    <row r="4">
      <c r="A4" s="11" t="inlineStr">
        <is>
          <t>SCENARIO 1: BASE CASE</t>
        </is>
      </c>
    </row>
    <row r="6">
      <c r="A6" s="12" t="inlineStr">
        <is>
          <t>Key Assumptions:</t>
        </is>
      </c>
    </row>
    <row r="7">
      <c r="A7" t="inlineStr">
        <is>
          <t>Exchange Rate (Lari/USD):</t>
        </is>
      </c>
      <c r="B7" s="13" t="n">
        <v>2.746</v>
      </c>
    </row>
    <row r="8">
      <c r="A8" t="inlineStr">
        <is>
          <t>Demand Multiplier:</t>
        </is>
      </c>
      <c r="B8" s="13" t="n">
        <v>0.8</v>
      </c>
    </row>
    <row r="9">
      <c r="A9" t="inlineStr">
        <is>
          <t>Import Content Share:</t>
        </is>
      </c>
      <c r="B9" s="13">
        <f>'SUT Calc'!C46</f>
        <v/>
      </c>
    </row>
    <row r="10">
      <c r="A10" t="inlineStr">
        <is>
          <t>Total Investment (USD billion):</t>
        </is>
      </c>
      <c r="B10" s="13" t="n">
        <v>6.5</v>
      </c>
    </row>
    <row r="13" ht="30" customHeight="1">
      <c r="A13" s="14" t="inlineStr">
        <is>
          <t>Year</t>
        </is>
      </c>
      <c r="B13" s="14" t="inlineStr">
        <is>
          <t>Real GDP (bn GEL)</t>
        </is>
      </c>
      <c r="C13" s="14" t="inlineStr">
        <is>
          <t>GDP Deflator</t>
        </is>
      </c>
      <c r="D13" s="14" t="inlineStr">
        <is>
          <t>Nominal GDP (bn GEL)</t>
        </is>
      </c>
      <c r="E13" s="14" t="inlineStr">
        <is>
          <t>Nom GDP (bn USD)</t>
        </is>
      </c>
      <c r="F13" s="14" t="inlineStr">
        <is>
          <t>Investment (USD mn)</t>
        </is>
      </c>
      <c r="G13" s="14" t="inlineStr">
        <is>
          <t>Allocation %</t>
        </is>
      </c>
      <c r="H13" s="14" t="inlineStr">
        <is>
          <t>Investment (mn GEL)</t>
        </is>
      </c>
      <c r="I13" s="14" t="inlineStr">
        <is>
          <t>Import Leakage (mn GEL)</t>
        </is>
      </c>
      <c r="J13" s="14" t="inlineStr">
        <is>
          <t>Domestic Spending (mn GEL)</t>
        </is>
      </c>
      <c r="K13" s="14" t="inlineStr">
        <is>
          <t>Multiplier Effect (mn GEL)</t>
        </is>
      </c>
      <c r="L13" s="14" t="inlineStr">
        <is>
          <t>Total Impact (mn GEL)</t>
        </is>
      </c>
      <c r="M13" s="14" t="inlineStr">
        <is>
          <t>Impact % of GDP</t>
        </is>
      </c>
    </row>
    <row r="14">
      <c r="A14" t="n">
        <v>2024</v>
      </c>
      <c r="B14">
        <f>'WEO_Data'!B8</f>
        <v/>
      </c>
      <c r="C14">
        <f>'WEO_Data'!D8</f>
        <v/>
      </c>
      <c r="D14">
        <f>'WEO_Data'!F8</f>
        <v/>
      </c>
      <c r="E14">
        <f>D14/$D$30</f>
        <v/>
      </c>
      <c r="F14" t="n">
        <v>0</v>
      </c>
      <c r="G14" s="8" t="n">
        <v>0</v>
      </c>
      <c r="H14">
        <f>F14*$D$30</f>
        <v/>
      </c>
      <c r="I14">
        <f>H14*$D$32</f>
        <v/>
      </c>
      <c r="J14">
        <f>H14-I14</f>
        <v/>
      </c>
      <c r="K14">
        <f>J14*$D$31</f>
        <v/>
      </c>
      <c r="L14">
        <f>K14</f>
        <v/>
      </c>
      <c r="M14" s="15">
        <f>L14/(D14*1000)*100</f>
        <v/>
      </c>
    </row>
    <row r="15">
      <c r="A15" t="n">
        <v>2025</v>
      </c>
      <c r="B15">
        <f>'WEO_Data'!B9</f>
        <v/>
      </c>
      <c r="C15">
        <f>'WEO_Data'!D9</f>
        <v/>
      </c>
      <c r="D15">
        <f>'WEO_Data'!F9</f>
        <v/>
      </c>
      <c r="E15">
        <f>D15/$D$30</f>
        <v/>
      </c>
      <c r="F15" t="n">
        <v>0</v>
      </c>
      <c r="G15" s="8" t="n">
        <v>0</v>
      </c>
      <c r="H15">
        <f>F15*$D$30</f>
        <v/>
      </c>
      <c r="I15">
        <f>H15*$D$32</f>
        <v/>
      </c>
      <c r="J15">
        <f>H15-I15</f>
        <v/>
      </c>
      <c r="K15">
        <f>J15*$D$31</f>
        <v/>
      </c>
      <c r="L15">
        <f>K15</f>
        <v/>
      </c>
      <c r="M15" s="15">
        <f>L15/(D15*1000)*100</f>
        <v/>
      </c>
    </row>
    <row r="16">
      <c r="A16" t="n">
        <v>2026</v>
      </c>
      <c r="B16">
        <f>'WEO_Data'!B10</f>
        <v/>
      </c>
      <c r="C16">
        <f>'WEO_Data'!D10</f>
        <v/>
      </c>
      <c r="D16">
        <f>'WEO_Data'!F10</f>
        <v/>
      </c>
      <c r="E16">
        <f>D16/$D$30</f>
        <v/>
      </c>
      <c r="F16">
        <f>$D$33*1000*G16</f>
        <v/>
      </c>
      <c r="G16" s="8" t="n">
        <v>0.05</v>
      </c>
      <c r="H16">
        <f>F16*$D$30</f>
        <v/>
      </c>
      <c r="I16">
        <f>H16*$D$32</f>
        <v/>
      </c>
      <c r="J16">
        <f>H16-I16</f>
        <v/>
      </c>
      <c r="K16">
        <f>J16*$D$31</f>
        <v/>
      </c>
      <c r="L16">
        <f>K16</f>
        <v/>
      </c>
      <c r="M16" s="15">
        <f>L16/(D16*1000)*100</f>
        <v/>
      </c>
    </row>
    <row r="17">
      <c r="A17" t="n">
        <v>2027</v>
      </c>
      <c r="B17">
        <f>'WEO_Data'!B11</f>
        <v/>
      </c>
      <c r="C17">
        <f>'WEO_Data'!D11</f>
        <v/>
      </c>
      <c r="D17">
        <f>'WEO_Data'!F11</f>
        <v/>
      </c>
      <c r="E17">
        <f>D17/$D$30</f>
        <v/>
      </c>
      <c r="F17">
        <f>$D$33*1000*G17</f>
        <v/>
      </c>
      <c r="G17" s="8" t="n">
        <v>0.1</v>
      </c>
      <c r="H17">
        <f>F17*$D$30</f>
        <v/>
      </c>
      <c r="I17">
        <f>H17*$D$32</f>
        <v/>
      </c>
      <c r="J17">
        <f>H17-I17</f>
        <v/>
      </c>
      <c r="K17">
        <f>J17*$D$31</f>
        <v/>
      </c>
      <c r="L17">
        <f>K17</f>
        <v/>
      </c>
      <c r="M17" s="15">
        <f>L17/(D17*1000)*100</f>
        <v/>
      </c>
    </row>
    <row r="18">
      <c r="A18" t="n">
        <v>2028</v>
      </c>
      <c r="B18">
        <f>'WEO_Data'!B12</f>
        <v/>
      </c>
      <c r="C18">
        <f>'WEO_Data'!D12</f>
        <v/>
      </c>
      <c r="D18">
        <f>'WEO_Data'!F12</f>
        <v/>
      </c>
      <c r="E18">
        <f>D18/$D$30</f>
        <v/>
      </c>
      <c r="F18">
        <f>$D$33*1000*G18</f>
        <v/>
      </c>
      <c r="G18" s="8" t="n">
        <v>0.2</v>
      </c>
      <c r="H18">
        <f>F18*$D$30</f>
        <v/>
      </c>
      <c r="I18">
        <f>H18*$D$32</f>
        <v/>
      </c>
      <c r="J18">
        <f>H18-I18</f>
        <v/>
      </c>
      <c r="K18">
        <f>J18*$D$31</f>
        <v/>
      </c>
      <c r="L18">
        <f>K18</f>
        <v/>
      </c>
      <c r="M18" s="15">
        <f>L18/(D18*1000)*100</f>
        <v/>
      </c>
    </row>
    <row r="19">
      <c r="A19" t="n">
        <v>2029</v>
      </c>
      <c r="B19">
        <f>'WEO_Data'!B13</f>
        <v/>
      </c>
      <c r="C19">
        <f>'WEO_Data'!D13</f>
        <v/>
      </c>
      <c r="D19">
        <f>'WEO_Data'!F13</f>
        <v/>
      </c>
      <c r="E19">
        <f>D19/$D$30</f>
        <v/>
      </c>
      <c r="F19">
        <f>$D$33*1000*G19</f>
        <v/>
      </c>
      <c r="G19" s="8" t="n">
        <v>0.3</v>
      </c>
      <c r="H19">
        <f>F19*$D$30</f>
        <v/>
      </c>
      <c r="I19">
        <f>H19*$D$32</f>
        <v/>
      </c>
      <c r="J19">
        <f>H19-I19</f>
        <v/>
      </c>
      <c r="K19">
        <f>J19*$D$31</f>
        <v/>
      </c>
      <c r="L19">
        <f>K19</f>
        <v/>
      </c>
      <c r="M19" s="15">
        <f>L19/(D19*1000)*100</f>
        <v/>
      </c>
    </row>
    <row r="20">
      <c r="A20" t="n">
        <v>2030</v>
      </c>
      <c r="B20">
        <f>'WEO_Data'!B14</f>
        <v/>
      </c>
      <c r="C20">
        <f>'WEO_Data'!D14</f>
        <v/>
      </c>
      <c r="D20">
        <f>'WEO_Data'!F14</f>
        <v/>
      </c>
      <c r="E20">
        <f>D20/$D$30</f>
        <v/>
      </c>
      <c r="F20">
        <f>$D$33*1000*G20</f>
        <v/>
      </c>
      <c r="G20" s="8" t="n">
        <v>0.2</v>
      </c>
      <c r="H20">
        <f>F20*$D$30</f>
        <v/>
      </c>
      <c r="I20">
        <f>H20*$D$32</f>
        <v/>
      </c>
      <c r="J20">
        <f>H20-I20</f>
        <v/>
      </c>
      <c r="K20">
        <f>J20*$D$31</f>
        <v/>
      </c>
      <c r="L20">
        <f>K20</f>
        <v/>
      </c>
      <c r="M20" s="15">
        <f>L20/(D20*1000)*100</f>
        <v/>
      </c>
    </row>
    <row r="21">
      <c r="A21" t="n">
        <v>2031</v>
      </c>
      <c r="B21">
        <f>'WEO_Data'!B15</f>
        <v/>
      </c>
      <c r="C21">
        <f>'WEO_Data'!D15</f>
        <v/>
      </c>
      <c r="D21">
        <f>'WEO_Data'!F15</f>
        <v/>
      </c>
      <c r="E21">
        <f>D21/$D$30</f>
        <v/>
      </c>
      <c r="F21">
        <f>$D$33*1000*G21</f>
        <v/>
      </c>
      <c r="G21" s="8" t="n">
        <v>0.1</v>
      </c>
      <c r="H21">
        <f>F21*$D$30</f>
        <v/>
      </c>
      <c r="I21">
        <f>H21*$D$32</f>
        <v/>
      </c>
      <c r="J21">
        <f>H21-I21</f>
        <v/>
      </c>
      <c r="K21">
        <f>J21*$D$31</f>
        <v/>
      </c>
      <c r="L21">
        <f>K21</f>
        <v/>
      </c>
      <c r="M21" s="15">
        <f>L21/(D21*1000)*100</f>
        <v/>
      </c>
    </row>
    <row r="22">
      <c r="A22" t="n">
        <v>2032</v>
      </c>
      <c r="B22">
        <f>'WEO_Data'!B16</f>
        <v/>
      </c>
      <c r="C22">
        <f>'WEO_Data'!D16</f>
        <v/>
      </c>
      <c r="D22">
        <f>'WEO_Data'!F16</f>
        <v/>
      </c>
      <c r="E22">
        <f>D22/$D$30</f>
        <v/>
      </c>
      <c r="F22">
        <f>$D$33*1000*G22</f>
        <v/>
      </c>
      <c r="G22" s="8" t="n">
        <v>0.03</v>
      </c>
      <c r="H22">
        <f>F22*$D$30</f>
        <v/>
      </c>
      <c r="I22">
        <f>H22*$D$32</f>
        <v/>
      </c>
      <c r="J22">
        <f>H22-I22</f>
        <v/>
      </c>
      <c r="K22">
        <f>J22*$D$31</f>
        <v/>
      </c>
      <c r="L22">
        <f>K22</f>
        <v/>
      </c>
      <c r="M22" s="15">
        <f>L22/(D22*1000)*100</f>
        <v/>
      </c>
    </row>
    <row r="23">
      <c r="A23" t="n">
        <v>2033</v>
      </c>
      <c r="B23">
        <f>'WEO_Data'!B17</f>
        <v/>
      </c>
      <c r="C23">
        <f>'WEO_Data'!D17</f>
        <v/>
      </c>
      <c r="D23">
        <f>'WEO_Data'!F17</f>
        <v/>
      </c>
      <c r="E23">
        <f>D23/$D$30</f>
        <v/>
      </c>
      <c r="F23">
        <f>$D$33*1000*G23</f>
        <v/>
      </c>
      <c r="G23" s="8" t="n">
        <v>0.02</v>
      </c>
      <c r="H23">
        <f>F23*$D$30</f>
        <v/>
      </c>
      <c r="I23">
        <f>H23*$D$32</f>
        <v/>
      </c>
      <c r="J23">
        <f>H23-I23</f>
        <v/>
      </c>
      <c r="K23">
        <f>J23*$D$31</f>
        <v/>
      </c>
      <c r="L23">
        <f>K23</f>
        <v/>
      </c>
      <c r="M23" s="15">
        <f>L23/(D23*1000)*100</f>
        <v/>
      </c>
    </row>
    <row r="24">
      <c r="A24" t="n">
        <v>2034</v>
      </c>
      <c r="B24">
        <f>'WEO_Data'!B18</f>
        <v/>
      </c>
      <c r="C24">
        <f>'WEO_Data'!D18</f>
        <v/>
      </c>
      <c r="D24">
        <f>'WEO_Data'!F18</f>
        <v/>
      </c>
      <c r="E24">
        <f>D24/$D$30</f>
        <v/>
      </c>
      <c r="F24" t="n">
        <v>0</v>
      </c>
      <c r="G24" s="8" t="n">
        <v>0</v>
      </c>
      <c r="H24">
        <f>F24*$D$30</f>
        <v/>
      </c>
      <c r="I24">
        <f>H24*$D$32</f>
        <v/>
      </c>
      <c r="J24">
        <f>H24-I24</f>
        <v/>
      </c>
      <c r="K24">
        <f>J24*$D$31</f>
        <v/>
      </c>
      <c r="L24">
        <f>K24</f>
        <v/>
      </c>
      <c r="M24" s="15">
        <f>L24/(D24*1000)*100</f>
        <v/>
      </c>
    </row>
    <row r="25">
      <c r="A25" t="n">
        <v>2035</v>
      </c>
      <c r="B25">
        <f>'WEO_Data'!B19</f>
        <v/>
      </c>
      <c r="C25">
        <f>'WEO_Data'!D19</f>
        <v/>
      </c>
      <c r="D25">
        <f>'WEO_Data'!F19</f>
        <v/>
      </c>
      <c r="E25">
        <f>D25/$D$30</f>
        <v/>
      </c>
      <c r="F25" t="n">
        <v>0</v>
      </c>
      <c r="G25" s="8" t="n">
        <v>0</v>
      </c>
      <c r="H25">
        <f>F25*$D$30</f>
        <v/>
      </c>
      <c r="I25">
        <f>H25*$D$32</f>
        <v/>
      </c>
      <c r="J25">
        <f>H25-I25</f>
        <v/>
      </c>
      <c r="K25">
        <f>J25*$D$31</f>
        <v/>
      </c>
      <c r="L25">
        <f>K25</f>
        <v/>
      </c>
      <c r="M25" s="15">
        <f>L25/(D25*1000)*100</f>
        <v/>
      </c>
    </row>
    <row r="26">
      <c r="A26" t="n">
        <v>2036</v>
      </c>
      <c r="B26">
        <f>'WEO_Data'!B20</f>
        <v/>
      </c>
      <c r="C26">
        <f>'WEO_Data'!D20</f>
        <v/>
      </c>
      <c r="D26">
        <f>'WEO_Data'!F20</f>
        <v/>
      </c>
      <c r="E26">
        <f>D26/$D$30</f>
        <v/>
      </c>
      <c r="F26" t="n">
        <v>0</v>
      </c>
      <c r="G26" s="8" t="n">
        <v>0</v>
      </c>
      <c r="H26">
        <f>F26*$D$30</f>
        <v/>
      </c>
      <c r="I26">
        <f>H26*$D$32</f>
        <v/>
      </c>
      <c r="J26">
        <f>H26-I26</f>
        <v/>
      </c>
      <c r="K26">
        <f>J26*$D$31</f>
        <v/>
      </c>
      <c r="L26">
        <f>K26</f>
        <v/>
      </c>
      <c r="M26" s="15">
        <f>L26/(D26*1000)*100</f>
        <v/>
      </c>
    </row>
    <row r="27">
      <c r="A27" t="n">
        <v>2037</v>
      </c>
      <c r="B27">
        <f>'WEO_Data'!B21</f>
        <v/>
      </c>
      <c r="C27">
        <f>'WEO_Data'!D21</f>
        <v/>
      </c>
      <c r="D27">
        <f>'WEO_Data'!F21</f>
        <v/>
      </c>
      <c r="E27">
        <f>D27/$D$30</f>
        <v/>
      </c>
      <c r="F27" t="n">
        <v>0</v>
      </c>
      <c r="G27" s="8" t="n">
        <v>0</v>
      </c>
      <c r="H27">
        <f>F27*$D$30</f>
        <v/>
      </c>
      <c r="I27">
        <f>H27*$D$32</f>
        <v/>
      </c>
      <c r="J27">
        <f>H27-I27</f>
        <v/>
      </c>
      <c r="K27">
        <f>J27*$D$31</f>
        <v/>
      </c>
      <c r="L27">
        <f>K27</f>
        <v/>
      </c>
      <c r="M27" s="15">
        <f>L27/(D27*1000)*100</f>
        <v/>
      </c>
    </row>
    <row r="28">
      <c r="A28" t="n">
        <v>2038</v>
      </c>
      <c r="B28">
        <f>'WEO_Data'!B22</f>
        <v/>
      </c>
      <c r="C28">
        <f>'WEO_Data'!D22</f>
        <v/>
      </c>
      <c r="D28">
        <f>'WEO_Data'!F22</f>
        <v/>
      </c>
      <c r="E28">
        <f>D28/$D$30</f>
        <v/>
      </c>
      <c r="F28" t="n">
        <v>0</v>
      </c>
      <c r="G28" s="8" t="n">
        <v>0</v>
      </c>
      <c r="H28">
        <f>F28*$D$30</f>
        <v/>
      </c>
      <c r="I28">
        <f>H28*$D$32</f>
        <v/>
      </c>
      <c r="J28">
        <f>H28-I28</f>
        <v/>
      </c>
      <c r="K28">
        <f>J28*$D$31</f>
        <v/>
      </c>
      <c r="L28">
        <f>K28</f>
        <v/>
      </c>
      <c r="M28" s="15">
        <f>L28/(D28*1000)*100</f>
        <v/>
      </c>
    </row>
    <row r="29">
      <c r="A29" t="n">
        <v>2039</v>
      </c>
      <c r="B29">
        <f>'WEO_Data'!B23</f>
        <v/>
      </c>
      <c r="C29">
        <f>'WEO_Data'!D23</f>
        <v/>
      </c>
      <c r="D29">
        <f>'WEO_Data'!F23</f>
        <v/>
      </c>
      <c r="E29">
        <f>D29/$D$30</f>
        <v/>
      </c>
      <c r="F29" t="n">
        <v>0</v>
      </c>
      <c r="G29" s="8" t="n">
        <v>0</v>
      </c>
      <c r="H29">
        <f>F29*$D$30</f>
        <v/>
      </c>
      <c r="I29">
        <f>H29*$D$32</f>
        <v/>
      </c>
      <c r="J29">
        <f>H29-I29</f>
        <v/>
      </c>
      <c r="K29">
        <f>J29*$D$31</f>
        <v/>
      </c>
      <c r="L29">
        <f>K29</f>
        <v/>
      </c>
      <c r="M29" s="15">
        <f>L29/(D29*1000)*100</f>
        <v/>
      </c>
    </row>
    <row r="30">
      <c r="A30" t="n">
        <v>2040</v>
      </c>
      <c r="B30">
        <f>'WEO_Data'!B24</f>
        <v/>
      </c>
      <c r="C30">
        <f>'WEO_Data'!D24</f>
        <v/>
      </c>
      <c r="D30" s="13" t="n">
        <v>2.746</v>
      </c>
      <c r="E30">
        <f>D30/$D$30</f>
        <v/>
      </c>
      <c r="F30" t="n">
        <v>0</v>
      </c>
      <c r="G30" s="8" t="n">
        <v>0</v>
      </c>
      <c r="H30">
        <f>F30*$D$30</f>
        <v/>
      </c>
      <c r="I30">
        <f>H30*$D$32</f>
        <v/>
      </c>
      <c r="J30">
        <f>H30-I30</f>
        <v/>
      </c>
      <c r="K30">
        <f>J30*$D$31</f>
        <v/>
      </c>
      <c r="L30">
        <f>K30</f>
        <v/>
      </c>
      <c r="M30" s="15">
        <f>L30/(D30*1000)*100</f>
        <v/>
      </c>
    </row>
    <row r="31">
      <c r="A31" t="n">
        <v>2041</v>
      </c>
      <c r="B31">
        <f>'WEO_Data'!B25</f>
        <v/>
      </c>
      <c r="C31">
        <f>'WEO_Data'!D25</f>
        <v/>
      </c>
      <c r="D31" s="13" t="n">
        <v>0.8</v>
      </c>
      <c r="E31">
        <f>D31/$D$30</f>
        <v/>
      </c>
      <c r="F31" t="n">
        <v>0</v>
      </c>
      <c r="G31" s="8" t="n">
        <v>0</v>
      </c>
      <c r="H31">
        <f>F31*$D$30</f>
        <v/>
      </c>
      <c r="I31">
        <f>H31*$D$32</f>
        <v/>
      </c>
      <c r="J31">
        <f>H31-I31</f>
        <v/>
      </c>
      <c r="K31">
        <f>J31*$D$31</f>
        <v/>
      </c>
      <c r="L31">
        <f>K31</f>
        <v/>
      </c>
      <c r="M31" s="15">
        <f>L31/(D31*1000)*100</f>
        <v/>
      </c>
    </row>
    <row r="32">
      <c r="A32" t="n">
        <v>2042</v>
      </c>
      <c r="B32">
        <f>'WEO_Data'!B26</f>
        <v/>
      </c>
      <c r="C32">
        <f>'WEO_Data'!D26</f>
        <v/>
      </c>
      <c r="D32" s="13">
        <f>'SUT Calc'!C46</f>
        <v/>
      </c>
      <c r="E32">
        <f>D32/$D$30</f>
        <v/>
      </c>
      <c r="F32" t="n">
        <v>0</v>
      </c>
      <c r="G32" s="8" t="n">
        <v>0</v>
      </c>
      <c r="H32">
        <f>F32*$D$30</f>
        <v/>
      </c>
      <c r="I32">
        <f>H32*$D$32</f>
        <v/>
      </c>
      <c r="J32">
        <f>H32-I32</f>
        <v/>
      </c>
      <c r="K32">
        <f>J32*$D$31</f>
        <v/>
      </c>
      <c r="L32">
        <f>K32</f>
        <v/>
      </c>
      <c r="M32" s="15">
        <f>L32/(D32*1000)*100</f>
        <v/>
      </c>
    </row>
    <row r="33">
      <c r="A33" t="n">
        <v>2043</v>
      </c>
      <c r="B33">
        <f>'WEO_Data'!B27</f>
        <v/>
      </c>
      <c r="C33">
        <f>'WEO_Data'!D27</f>
        <v/>
      </c>
      <c r="D33" s="13" t="n">
        <v>6.5</v>
      </c>
      <c r="E33">
        <f>D33/$D$30</f>
        <v/>
      </c>
      <c r="F33" t="n">
        <v>0</v>
      </c>
      <c r="G33" s="8" t="n">
        <v>0</v>
      </c>
      <c r="H33">
        <f>F33*$D$30</f>
        <v/>
      </c>
      <c r="I33">
        <f>H33*$D$32</f>
        <v/>
      </c>
      <c r="J33">
        <f>H33-I33</f>
        <v/>
      </c>
      <c r="K33">
        <f>J33*$D$31</f>
        <v/>
      </c>
      <c r="L33">
        <f>K33</f>
        <v/>
      </c>
      <c r="M33" s="15">
        <f>L33/(D33*1000)*100</f>
        <v/>
      </c>
    </row>
    <row r="36">
      <c r="A36" s="16" t="inlineStr">
        <is>
          <t>SCENARIO 2: HIGHER MULTIPLIER (1.0)</t>
        </is>
      </c>
    </row>
    <row r="38">
      <c r="A38" s="12" t="inlineStr">
        <is>
          <t>Key Assumptions:</t>
        </is>
      </c>
    </row>
    <row r="39">
      <c r="A39" t="inlineStr">
        <is>
          <t>Exchange Rate (Lari/USD):</t>
        </is>
      </c>
      <c r="B39" s="17">
        <f>$D$30</f>
        <v/>
      </c>
    </row>
    <row r="40">
      <c r="A40" t="inlineStr">
        <is>
          <t>Demand Multiplier:</t>
        </is>
      </c>
      <c r="B40" s="17" t="n">
        <v>1</v>
      </c>
    </row>
    <row r="41">
      <c r="A41" t="inlineStr">
        <is>
          <t>Import Content Share:</t>
        </is>
      </c>
      <c r="B41" s="17">
        <f>$D$32</f>
        <v/>
      </c>
    </row>
    <row r="42">
      <c r="A42" t="inlineStr">
        <is>
          <t>Total Investment (USD billion):</t>
        </is>
      </c>
      <c r="B42" s="17">
        <f>$D$33</f>
        <v/>
      </c>
    </row>
    <row r="45" ht="30" customHeight="1">
      <c r="A45" s="18" t="inlineStr">
        <is>
          <t>Year</t>
        </is>
      </c>
      <c r="B45" s="18" t="inlineStr">
        <is>
          <t>Real GDP (bn GEL)</t>
        </is>
      </c>
      <c r="C45" s="18" t="inlineStr">
        <is>
          <t>GDP Deflator</t>
        </is>
      </c>
      <c r="D45" s="18" t="inlineStr">
        <is>
          <t>Nominal GDP (bn GEL)</t>
        </is>
      </c>
      <c r="E45" s="18" t="inlineStr">
        <is>
          <t>Nom GDP (bn USD)</t>
        </is>
      </c>
      <c r="F45" s="18" t="inlineStr">
        <is>
          <t>Investment (USD mn)</t>
        </is>
      </c>
      <c r="G45" s="18" t="inlineStr">
        <is>
          <t>Allocation %</t>
        </is>
      </c>
      <c r="H45" s="18" t="inlineStr">
        <is>
          <t>Investment (mn GEL)</t>
        </is>
      </c>
      <c r="I45" s="18" t="inlineStr">
        <is>
          <t>Import Leakage (mn GEL)</t>
        </is>
      </c>
      <c r="J45" s="18" t="inlineStr">
        <is>
          <t>Domestic Spending (mn GEL)</t>
        </is>
      </c>
      <c r="K45" s="18" t="inlineStr">
        <is>
          <t>Multiplier Effect (mn GEL)</t>
        </is>
      </c>
      <c r="L45" s="18" t="inlineStr">
        <is>
          <t>Total Impact (mn GEL)</t>
        </is>
      </c>
      <c r="M45" s="18" t="inlineStr">
        <is>
          <t>Impact % of GDP</t>
        </is>
      </c>
    </row>
    <row r="46">
      <c r="A46" t="n">
        <v>2024</v>
      </c>
      <c r="B46">
        <f>'WEO_Data'!B8</f>
        <v/>
      </c>
      <c r="C46">
        <f>'WEO_Data'!D8</f>
        <v/>
      </c>
      <c r="D46">
        <f>'WEO_Data'!F8</f>
        <v/>
      </c>
      <c r="E46">
        <f>D46/$D$30</f>
        <v/>
      </c>
      <c r="F46" t="n">
        <v>0</v>
      </c>
      <c r="G46" s="8" t="n">
        <v>0</v>
      </c>
      <c r="H46">
        <f>F46*$D$30</f>
        <v/>
      </c>
      <c r="I46">
        <f>H46*$D$32</f>
        <v/>
      </c>
      <c r="J46">
        <f>H46-I46</f>
        <v/>
      </c>
      <c r="K46">
        <f>J46*1.0</f>
        <v/>
      </c>
      <c r="L46">
        <f>K46</f>
        <v/>
      </c>
      <c r="M46" s="15">
        <f>L46/(D46*1000)*100</f>
        <v/>
      </c>
    </row>
    <row r="47">
      <c r="A47" t="n">
        <v>2025</v>
      </c>
      <c r="B47">
        <f>'WEO_Data'!B9</f>
        <v/>
      </c>
      <c r="C47">
        <f>'WEO_Data'!D9</f>
        <v/>
      </c>
      <c r="D47">
        <f>'WEO_Data'!F9</f>
        <v/>
      </c>
      <c r="E47">
        <f>D47/$D$30</f>
        <v/>
      </c>
      <c r="F47" t="n">
        <v>0</v>
      </c>
      <c r="G47" s="8" t="n">
        <v>0</v>
      </c>
      <c r="H47">
        <f>F47*$D$30</f>
        <v/>
      </c>
      <c r="I47">
        <f>H47*$D$32</f>
        <v/>
      </c>
      <c r="J47">
        <f>H47-I47</f>
        <v/>
      </c>
      <c r="K47">
        <f>J47*1.0</f>
        <v/>
      </c>
      <c r="L47">
        <f>K47</f>
        <v/>
      </c>
      <c r="M47" s="15">
        <f>L47/(D47*1000)*100</f>
        <v/>
      </c>
    </row>
    <row r="48">
      <c r="A48" t="n">
        <v>2026</v>
      </c>
      <c r="B48">
        <f>'WEO_Data'!B10</f>
        <v/>
      </c>
      <c r="C48">
        <f>'WEO_Data'!D10</f>
        <v/>
      </c>
      <c r="D48">
        <f>'WEO_Data'!F10</f>
        <v/>
      </c>
      <c r="E48">
        <f>D48/$D$30</f>
        <v/>
      </c>
      <c r="F48">
        <f>$D$33*1000*G48</f>
        <v/>
      </c>
      <c r="G48" s="8" t="n">
        <v>0.05</v>
      </c>
      <c r="H48">
        <f>F48*$D$30</f>
        <v/>
      </c>
      <c r="I48">
        <f>H48*$D$32</f>
        <v/>
      </c>
      <c r="J48">
        <f>H48-I48</f>
        <v/>
      </c>
      <c r="K48">
        <f>J48*1.0</f>
        <v/>
      </c>
      <c r="L48">
        <f>K48</f>
        <v/>
      </c>
      <c r="M48" s="15">
        <f>L48/(D48*1000)*100</f>
        <v/>
      </c>
    </row>
    <row r="49">
      <c r="A49" t="n">
        <v>2027</v>
      </c>
      <c r="B49">
        <f>'WEO_Data'!B11</f>
        <v/>
      </c>
      <c r="C49">
        <f>'WEO_Data'!D11</f>
        <v/>
      </c>
      <c r="D49">
        <f>'WEO_Data'!F11</f>
        <v/>
      </c>
      <c r="E49">
        <f>D49/$D$30</f>
        <v/>
      </c>
      <c r="F49">
        <f>$D$33*1000*G49</f>
        <v/>
      </c>
      <c r="G49" s="8" t="n">
        <v>0.1</v>
      </c>
      <c r="H49">
        <f>F49*$D$30</f>
        <v/>
      </c>
      <c r="I49">
        <f>H49*$D$32</f>
        <v/>
      </c>
      <c r="J49">
        <f>H49-I49</f>
        <v/>
      </c>
      <c r="K49">
        <f>J49*1.0</f>
        <v/>
      </c>
      <c r="L49">
        <f>K49</f>
        <v/>
      </c>
      <c r="M49" s="15">
        <f>L49/(D49*1000)*100</f>
        <v/>
      </c>
    </row>
    <row r="50">
      <c r="A50" t="n">
        <v>2028</v>
      </c>
      <c r="B50">
        <f>'WEO_Data'!B12</f>
        <v/>
      </c>
      <c r="C50">
        <f>'WEO_Data'!D12</f>
        <v/>
      </c>
      <c r="D50">
        <f>'WEO_Data'!F12</f>
        <v/>
      </c>
      <c r="E50">
        <f>D50/$D$30</f>
        <v/>
      </c>
      <c r="F50">
        <f>$D$33*1000*G50</f>
        <v/>
      </c>
      <c r="G50" s="8" t="n">
        <v>0.2</v>
      </c>
      <c r="H50">
        <f>F50*$D$30</f>
        <v/>
      </c>
      <c r="I50">
        <f>H50*$D$32</f>
        <v/>
      </c>
      <c r="J50">
        <f>H50-I50</f>
        <v/>
      </c>
      <c r="K50">
        <f>J50*1.0</f>
        <v/>
      </c>
      <c r="L50">
        <f>K50</f>
        <v/>
      </c>
      <c r="M50" s="15">
        <f>L50/(D50*1000)*100</f>
        <v/>
      </c>
    </row>
    <row r="51">
      <c r="A51" t="n">
        <v>2029</v>
      </c>
      <c r="B51">
        <f>'WEO_Data'!B13</f>
        <v/>
      </c>
      <c r="C51">
        <f>'WEO_Data'!D13</f>
        <v/>
      </c>
      <c r="D51">
        <f>'WEO_Data'!F13</f>
        <v/>
      </c>
      <c r="E51">
        <f>D51/$D$30</f>
        <v/>
      </c>
      <c r="F51">
        <f>$D$33*1000*G51</f>
        <v/>
      </c>
      <c r="G51" s="8" t="n">
        <v>0.3</v>
      </c>
      <c r="H51">
        <f>F51*$D$30</f>
        <v/>
      </c>
      <c r="I51">
        <f>H51*$D$32</f>
        <v/>
      </c>
      <c r="J51">
        <f>H51-I51</f>
        <v/>
      </c>
      <c r="K51">
        <f>J51*1.0</f>
        <v/>
      </c>
      <c r="L51">
        <f>K51</f>
        <v/>
      </c>
      <c r="M51" s="15">
        <f>L51/(D51*1000)*100</f>
        <v/>
      </c>
    </row>
    <row r="52">
      <c r="A52" t="n">
        <v>2030</v>
      </c>
      <c r="B52">
        <f>'WEO_Data'!B14</f>
        <v/>
      </c>
      <c r="C52">
        <f>'WEO_Data'!D14</f>
        <v/>
      </c>
      <c r="D52">
        <f>'WEO_Data'!F14</f>
        <v/>
      </c>
      <c r="E52">
        <f>D52/$D$30</f>
        <v/>
      </c>
      <c r="F52">
        <f>$D$33*1000*G52</f>
        <v/>
      </c>
      <c r="G52" s="8" t="n">
        <v>0.2</v>
      </c>
      <c r="H52">
        <f>F52*$D$30</f>
        <v/>
      </c>
      <c r="I52">
        <f>H52*$D$32</f>
        <v/>
      </c>
      <c r="J52">
        <f>H52-I52</f>
        <v/>
      </c>
      <c r="K52">
        <f>J52*1.0</f>
        <v/>
      </c>
      <c r="L52">
        <f>K52</f>
        <v/>
      </c>
      <c r="M52" s="15">
        <f>L52/(D52*1000)*100</f>
        <v/>
      </c>
    </row>
    <row r="53">
      <c r="A53" t="n">
        <v>2031</v>
      </c>
      <c r="B53">
        <f>'WEO_Data'!B15</f>
        <v/>
      </c>
      <c r="C53">
        <f>'WEO_Data'!D15</f>
        <v/>
      </c>
      <c r="D53">
        <f>'WEO_Data'!F15</f>
        <v/>
      </c>
      <c r="E53">
        <f>D53/$D$30</f>
        <v/>
      </c>
      <c r="F53">
        <f>$D$33*1000*G53</f>
        <v/>
      </c>
      <c r="G53" s="8" t="n">
        <v>0.1</v>
      </c>
      <c r="H53">
        <f>F53*$D$30</f>
        <v/>
      </c>
      <c r="I53">
        <f>H53*$D$32</f>
        <v/>
      </c>
      <c r="J53">
        <f>H53-I53</f>
        <v/>
      </c>
      <c r="K53">
        <f>J53*1.0</f>
        <v/>
      </c>
      <c r="L53">
        <f>K53</f>
        <v/>
      </c>
      <c r="M53" s="15">
        <f>L53/(D53*1000)*100</f>
        <v/>
      </c>
    </row>
    <row r="54">
      <c r="A54" t="n">
        <v>2032</v>
      </c>
      <c r="B54">
        <f>'WEO_Data'!B16</f>
        <v/>
      </c>
      <c r="C54">
        <f>'WEO_Data'!D16</f>
        <v/>
      </c>
      <c r="D54">
        <f>'WEO_Data'!F16</f>
        <v/>
      </c>
      <c r="E54">
        <f>D54/$D$30</f>
        <v/>
      </c>
      <c r="F54">
        <f>$D$33*1000*G54</f>
        <v/>
      </c>
      <c r="G54" s="8" t="n">
        <v>0.03</v>
      </c>
      <c r="H54">
        <f>F54*$D$30</f>
        <v/>
      </c>
      <c r="I54">
        <f>H54*$D$32</f>
        <v/>
      </c>
      <c r="J54">
        <f>H54-I54</f>
        <v/>
      </c>
      <c r="K54">
        <f>J54*1.0</f>
        <v/>
      </c>
      <c r="L54">
        <f>K54</f>
        <v/>
      </c>
      <c r="M54" s="15">
        <f>L54/(D54*1000)*100</f>
        <v/>
      </c>
    </row>
    <row r="55">
      <c r="A55" t="n">
        <v>2033</v>
      </c>
      <c r="B55">
        <f>'WEO_Data'!B17</f>
        <v/>
      </c>
      <c r="C55">
        <f>'WEO_Data'!D17</f>
        <v/>
      </c>
      <c r="D55">
        <f>'WEO_Data'!F17</f>
        <v/>
      </c>
      <c r="E55">
        <f>D55/$D$30</f>
        <v/>
      </c>
      <c r="F55">
        <f>$D$33*1000*G55</f>
        <v/>
      </c>
      <c r="G55" s="8" t="n">
        <v>0.02</v>
      </c>
      <c r="H55">
        <f>F55*$D$30</f>
        <v/>
      </c>
      <c r="I55">
        <f>H55*$D$32</f>
        <v/>
      </c>
      <c r="J55">
        <f>H55-I55</f>
        <v/>
      </c>
      <c r="K55">
        <f>J55*1.0</f>
        <v/>
      </c>
      <c r="L55">
        <f>K55</f>
        <v/>
      </c>
      <c r="M55" s="15">
        <f>L55/(D55*1000)*100</f>
        <v/>
      </c>
    </row>
    <row r="56">
      <c r="A56" t="n">
        <v>2034</v>
      </c>
      <c r="B56">
        <f>'WEO_Data'!B18</f>
        <v/>
      </c>
      <c r="C56">
        <f>'WEO_Data'!D18</f>
        <v/>
      </c>
      <c r="D56">
        <f>'WEO_Data'!F18</f>
        <v/>
      </c>
      <c r="E56">
        <f>D56/$D$30</f>
        <v/>
      </c>
      <c r="F56" t="n">
        <v>0</v>
      </c>
      <c r="G56" s="8" t="n">
        <v>0</v>
      </c>
      <c r="H56">
        <f>F56*$D$30</f>
        <v/>
      </c>
      <c r="I56">
        <f>H56*$D$32</f>
        <v/>
      </c>
      <c r="J56">
        <f>H56-I56</f>
        <v/>
      </c>
      <c r="K56">
        <f>J56*1.0</f>
        <v/>
      </c>
      <c r="L56">
        <f>K56</f>
        <v/>
      </c>
      <c r="M56" s="15">
        <f>L56/(D56*1000)*100</f>
        <v/>
      </c>
    </row>
    <row r="57">
      <c r="A57" t="n">
        <v>2035</v>
      </c>
      <c r="B57">
        <f>'WEO_Data'!B19</f>
        <v/>
      </c>
      <c r="C57">
        <f>'WEO_Data'!D19</f>
        <v/>
      </c>
      <c r="D57">
        <f>'WEO_Data'!F19</f>
        <v/>
      </c>
      <c r="E57">
        <f>D57/$D$30</f>
        <v/>
      </c>
      <c r="F57" t="n">
        <v>0</v>
      </c>
      <c r="G57" s="8" t="n">
        <v>0</v>
      </c>
      <c r="H57">
        <f>F57*$D$30</f>
        <v/>
      </c>
      <c r="I57">
        <f>H57*$D$32</f>
        <v/>
      </c>
      <c r="J57">
        <f>H57-I57</f>
        <v/>
      </c>
      <c r="K57">
        <f>J57*1.0</f>
        <v/>
      </c>
      <c r="L57">
        <f>K57</f>
        <v/>
      </c>
      <c r="M57" s="15">
        <f>L57/(D57*1000)*100</f>
        <v/>
      </c>
    </row>
    <row r="58">
      <c r="A58" t="n">
        <v>2036</v>
      </c>
      <c r="B58">
        <f>'WEO_Data'!B20</f>
        <v/>
      </c>
      <c r="C58">
        <f>'WEO_Data'!D20</f>
        <v/>
      </c>
      <c r="D58">
        <f>'WEO_Data'!F20</f>
        <v/>
      </c>
      <c r="E58">
        <f>D58/$D$30</f>
        <v/>
      </c>
      <c r="F58" t="n">
        <v>0</v>
      </c>
      <c r="G58" s="8" t="n">
        <v>0</v>
      </c>
      <c r="H58">
        <f>F58*$D$30</f>
        <v/>
      </c>
      <c r="I58">
        <f>H58*$D$32</f>
        <v/>
      </c>
      <c r="J58">
        <f>H58-I58</f>
        <v/>
      </c>
      <c r="K58">
        <f>J58*1.0</f>
        <v/>
      </c>
      <c r="L58">
        <f>K58</f>
        <v/>
      </c>
      <c r="M58" s="15">
        <f>L58/(D58*1000)*100</f>
        <v/>
      </c>
    </row>
    <row r="59">
      <c r="A59" t="n">
        <v>2037</v>
      </c>
      <c r="B59">
        <f>'WEO_Data'!B21</f>
        <v/>
      </c>
      <c r="C59">
        <f>'WEO_Data'!D21</f>
        <v/>
      </c>
      <c r="D59">
        <f>'WEO_Data'!F21</f>
        <v/>
      </c>
      <c r="E59">
        <f>D59/$D$30</f>
        <v/>
      </c>
      <c r="F59" t="n">
        <v>0</v>
      </c>
      <c r="G59" s="8" t="n">
        <v>0</v>
      </c>
      <c r="H59">
        <f>F59*$D$30</f>
        <v/>
      </c>
      <c r="I59">
        <f>H59*$D$32</f>
        <v/>
      </c>
      <c r="J59">
        <f>H59-I59</f>
        <v/>
      </c>
      <c r="K59">
        <f>J59*1.0</f>
        <v/>
      </c>
      <c r="L59">
        <f>K59</f>
        <v/>
      </c>
      <c r="M59" s="15">
        <f>L59/(D59*1000)*100</f>
        <v/>
      </c>
    </row>
    <row r="60">
      <c r="A60" t="n">
        <v>2038</v>
      </c>
      <c r="B60">
        <f>'WEO_Data'!B22</f>
        <v/>
      </c>
      <c r="C60">
        <f>'WEO_Data'!D22</f>
        <v/>
      </c>
      <c r="D60">
        <f>'WEO_Data'!F22</f>
        <v/>
      </c>
      <c r="E60">
        <f>D60/$D$30</f>
        <v/>
      </c>
      <c r="F60" t="n">
        <v>0</v>
      </c>
      <c r="G60" s="8" t="n">
        <v>0</v>
      </c>
      <c r="H60">
        <f>F60*$D$30</f>
        <v/>
      </c>
      <c r="I60">
        <f>H60*$D$32</f>
        <v/>
      </c>
      <c r="J60">
        <f>H60-I60</f>
        <v/>
      </c>
      <c r="K60">
        <f>J60*1.0</f>
        <v/>
      </c>
      <c r="L60">
        <f>K60</f>
        <v/>
      </c>
      <c r="M60" s="15">
        <f>L60/(D60*1000)*100</f>
        <v/>
      </c>
    </row>
    <row r="61">
      <c r="A61" t="n">
        <v>2039</v>
      </c>
      <c r="B61">
        <f>'WEO_Data'!B23</f>
        <v/>
      </c>
      <c r="C61">
        <f>'WEO_Data'!D23</f>
        <v/>
      </c>
      <c r="D61">
        <f>'WEO_Data'!F23</f>
        <v/>
      </c>
      <c r="E61">
        <f>D61/$D$30</f>
        <v/>
      </c>
      <c r="F61" t="n">
        <v>0</v>
      </c>
      <c r="G61" s="8" t="n">
        <v>0</v>
      </c>
      <c r="H61">
        <f>F61*$D$30</f>
        <v/>
      </c>
      <c r="I61">
        <f>H61*$D$32</f>
        <v/>
      </c>
      <c r="J61">
        <f>H61-I61</f>
        <v/>
      </c>
      <c r="K61">
        <f>J61*1.0</f>
        <v/>
      </c>
      <c r="L61">
        <f>K61</f>
        <v/>
      </c>
      <c r="M61" s="15">
        <f>L61/(D61*1000)*100</f>
        <v/>
      </c>
    </row>
    <row r="62">
      <c r="A62" t="n">
        <v>2040</v>
      </c>
      <c r="B62">
        <f>'WEO_Data'!B24</f>
        <v/>
      </c>
      <c r="C62">
        <f>'WEO_Data'!D24</f>
        <v/>
      </c>
      <c r="D62">
        <f>'WEO_Data'!F24</f>
        <v/>
      </c>
      <c r="E62">
        <f>D62/$D$30</f>
        <v/>
      </c>
      <c r="F62" t="n">
        <v>0</v>
      </c>
      <c r="G62" s="8" t="n">
        <v>0</v>
      </c>
      <c r="H62">
        <f>F62*$D$30</f>
        <v/>
      </c>
      <c r="I62">
        <f>H62*$D$32</f>
        <v/>
      </c>
      <c r="J62">
        <f>H62-I62</f>
        <v/>
      </c>
      <c r="K62">
        <f>J62*1.0</f>
        <v/>
      </c>
      <c r="L62">
        <f>K62</f>
        <v/>
      </c>
      <c r="M62" s="15">
        <f>L62/(D62*1000)*100</f>
        <v/>
      </c>
    </row>
    <row r="63">
      <c r="A63" t="n">
        <v>2041</v>
      </c>
      <c r="B63">
        <f>'WEO_Data'!B25</f>
        <v/>
      </c>
      <c r="C63">
        <f>'WEO_Data'!D25</f>
        <v/>
      </c>
      <c r="D63">
        <f>'WEO_Data'!F25</f>
        <v/>
      </c>
      <c r="E63">
        <f>D63/$D$30</f>
        <v/>
      </c>
      <c r="F63" t="n">
        <v>0</v>
      </c>
      <c r="G63" s="8" t="n">
        <v>0</v>
      </c>
      <c r="H63">
        <f>F63*$D$30</f>
        <v/>
      </c>
      <c r="I63">
        <f>H63*$D$32</f>
        <v/>
      </c>
      <c r="J63">
        <f>H63-I63</f>
        <v/>
      </c>
      <c r="K63">
        <f>J63*1.0</f>
        <v/>
      </c>
      <c r="L63">
        <f>K63</f>
        <v/>
      </c>
      <c r="M63" s="15">
        <f>L63/(D63*1000)*100</f>
        <v/>
      </c>
    </row>
    <row r="64">
      <c r="A64" t="n">
        <v>2042</v>
      </c>
      <c r="B64">
        <f>'WEO_Data'!B26</f>
        <v/>
      </c>
      <c r="C64">
        <f>'WEO_Data'!D26</f>
        <v/>
      </c>
      <c r="D64">
        <f>'WEO_Data'!F26</f>
        <v/>
      </c>
      <c r="E64">
        <f>D64/$D$30</f>
        <v/>
      </c>
      <c r="F64" t="n">
        <v>0</v>
      </c>
      <c r="G64" s="8" t="n">
        <v>0</v>
      </c>
      <c r="H64">
        <f>F64*$D$30</f>
        <v/>
      </c>
      <c r="I64">
        <f>H64*$D$32</f>
        <v/>
      </c>
      <c r="J64">
        <f>H64-I64</f>
        <v/>
      </c>
      <c r="K64">
        <f>J64*1.0</f>
        <v/>
      </c>
      <c r="L64">
        <f>K64</f>
        <v/>
      </c>
      <c r="M64" s="15">
        <f>L64/(D64*1000)*100</f>
        <v/>
      </c>
    </row>
    <row r="65">
      <c r="A65" t="n">
        <v>2043</v>
      </c>
      <c r="B65">
        <f>'WEO_Data'!B27</f>
        <v/>
      </c>
      <c r="C65">
        <f>'WEO_Data'!D27</f>
        <v/>
      </c>
      <c r="D65">
        <f>'WEO_Data'!F27</f>
        <v/>
      </c>
      <c r="E65">
        <f>D65/$D$30</f>
        <v/>
      </c>
      <c r="F65" t="n">
        <v>0</v>
      </c>
      <c r="G65" s="8" t="n">
        <v>0</v>
      </c>
      <c r="H65">
        <f>F65*$D$30</f>
        <v/>
      </c>
      <c r="I65">
        <f>H65*$D$32</f>
        <v/>
      </c>
      <c r="J65">
        <f>H65-I65</f>
        <v/>
      </c>
      <c r="K65">
        <f>J65*1.0</f>
        <v/>
      </c>
      <c r="L65">
        <f>K65</f>
        <v/>
      </c>
      <c r="M65" s="15">
        <f>L65/(D65*1000)*100</f>
        <v/>
      </c>
    </row>
    <row r="68">
      <c r="A68" s="19" t="inlineStr">
        <is>
          <t>SCENARIO 3: LOWER IMPORT CONTENT (0.5)</t>
        </is>
      </c>
    </row>
    <row r="70">
      <c r="A70" s="12" t="inlineStr">
        <is>
          <t>Key Assumptions:</t>
        </is>
      </c>
    </row>
    <row r="71">
      <c r="A71" t="inlineStr">
        <is>
          <t>Exchange Rate (Lari/USD):</t>
        </is>
      </c>
      <c r="B71" s="13">
        <f>$D$30</f>
        <v/>
      </c>
    </row>
    <row r="72">
      <c r="A72" t="inlineStr">
        <is>
          <t>Demand Multiplier:</t>
        </is>
      </c>
      <c r="B72" s="13">
        <f>$D$31</f>
        <v/>
      </c>
    </row>
    <row r="73">
      <c r="A73" t="inlineStr">
        <is>
          <t>Import Content Share:</t>
        </is>
      </c>
      <c r="B73" s="13" t="n">
        <v>0.5</v>
      </c>
    </row>
    <row r="74">
      <c r="A74" t="inlineStr">
        <is>
          <t>Total Investment (USD billion):</t>
        </is>
      </c>
      <c r="B74" s="13">
        <f>$D$33</f>
        <v/>
      </c>
    </row>
    <row r="77" ht="30" customHeight="1">
      <c r="A77" s="20" t="inlineStr">
        <is>
          <t>Year</t>
        </is>
      </c>
      <c r="B77" s="20" t="inlineStr">
        <is>
          <t>Real GDP (bn GEL)</t>
        </is>
      </c>
      <c r="C77" s="20" t="inlineStr">
        <is>
          <t>GDP Deflator</t>
        </is>
      </c>
      <c r="D77" s="20" t="inlineStr">
        <is>
          <t>Nominal GDP (bn GEL)</t>
        </is>
      </c>
      <c r="E77" s="20" t="inlineStr">
        <is>
          <t>Nom GDP (bn USD)</t>
        </is>
      </c>
      <c r="F77" s="20" t="inlineStr">
        <is>
          <t>Investment (USD mn)</t>
        </is>
      </c>
      <c r="G77" s="20" t="inlineStr">
        <is>
          <t>Allocation %</t>
        </is>
      </c>
      <c r="H77" s="20" t="inlineStr">
        <is>
          <t>Investment (mn GEL)</t>
        </is>
      </c>
      <c r="I77" s="20" t="inlineStr">
        <is>
          <t>Import Leakage (mn GEL)</t>
        </is>
      </c>
      <c r="J77" s="20" t="inlineStr">
        <is>
          <t>Domestic Spending (mn GEL)</t>
        </is>
      </c>
      <c r="K77" s="20" t="inlineStr">
        <is>
          <t>Multiplier Effect (mn GEL)</t>
        </is>
      </c>
      <c r="L77" s="20" t="inlineStr">
        <is>
          <t>Total Impact (mn GEL)</t>
        </is>
      </c>
      <c r="M77" s="20" t="inlineStr">
        <is>
          <t>Impact % of GDP</t>
        </is>
      </c>
    </row>
    <row r="78">
      <c r="A78" t="n">
        <v>2024</v>
      </c>
      <c r="B78">
        <f>'WEO_Data'!B8</f>
        <v/>
      </c>
      <c r="C78">
        <f>'WEO_Data'!D8</f>
        <v/>
      </c>
      <c r="D78">
        <f>'WEO_Data'!F8</f>
        <v/>
      </c>
      <c r="E78">
        <f>D78/$D$30</f>
        <v/>
      </c>
      <c r="F78" t="n">
        <v>0</v>
      </c>
      <c r="G78" s="8" t="n">
        <v>0</v>
      </c>
      <c r="H78">
        <f>F78*$D$30</f>
        <v/>
      </c>
      <c r="I78">
        <f>H78*0.5</f>
        <v/>
      </c>
      <c r="J78">
        <f>H78-I78</f>
        <v/>
      </c>
      <c r="K78">
        <f>J78*$D$31</f>
        <v/>
      </c>
      <c r="L78">
        <f>K78</f>
        <v/>
      </c>
      <c r="M78" s="15">
        <f>L78/(D78*1000)*100</f>
        <v/>
      </c>
    </row>
    <row r="79">
      <c r="A79" t="n">
        <v>2025</v>
      </c>
      <c r="B79">
        <f>'WEO_Data'!B9</f>
        <v/>
      </c>
      <c r="C79">
        <f>'WEO_Data'!D9</f>
        <v/>
      </c>
      <c r="D79">
        <f>'WEO_Data'!F9</f>
        <v/>
      </c>
      <c r="E79">
        <f>D79/$D$30</f>
        <v/>
      </c>
      <c r="F79" t="n">
        <v>0</v>
      </c>
      <c r="G79" s="8" t="n">
        <v>0</v>
      </c>
      <c r="H79">
        <f>F79*$D$30</f>
        <v/>
      </c>
      <c r="I79">
        <f>H79*0.5</f>
        <v/>
      </c>
      <c r="J79">
        <f>H79-I79</f>
        <v/>
      </c>
      <c r="K79">
        <f>J79*$D$31</f>
        <v/>
      </c>
      <c r="L79">
        <f>K79</f>
        <v/>
      </c>
      <c r="M79" s="15">
        <f>L79/(D79*1000)*100</f>
        <v/>
      </c>
    </row>
    <row r="80">
      <c r="A80" t="n">
        <v>2026</v>
      </c>
      <c r="B80">
        <f>'WEO_Data'!B10</f>
        <v/>
      </c>
      <c r="C80">
        <f>'WEO_Data'!D10</f>
        <v/>
      </c>
      <c r="D80">
        <f>'WEO_Data'!F10</f>
        <v/>
      </c>
      <c r="E80">
        <f>D80/$D$30</f>
        <v/>
      </c>
      <c r="F80">
        <f>$D$33*1000*G80</f>
        <v/>
      </c>
      <c r="G80" s="8" t="n">
        <v>0.05</v>
      </c>
      <c r="H80">
        <f>F80*$D$30</f>
        <v/>
      </c>
      <c r="I80">
        <f>H80*0.5</f>
        <v/>
      </c>
      <c r="J80">
        <f>H80-I80</f>
        <v/>
      </c>
      <c r="K80">
        <f>J80*$D$31</f>
        <v/>
      </c>
      <c r="L80">
        <f>K80</f>
        <v/>
      </c>
      <c r="M80" s="15">
        <f>L80/(D80*1000)*100</f>
        <v/>
      </c>
    </row>
    <row r="81">
      <c r="A81" t="n">
        <v>2027</v>
      </c>
      <c r="B81">
        <f>'WEO_Data'!B11</f>
        <v/>
      </c>
      <c r="C81">
        <f>'WEO_Data'!D11</f>
        <v/>
      </c>
      <c r="D81">
        <f>'WEO_Data'!F11</f>
        <v/>
      </c>
      <c r="E81">
        <f>D81/$D$30</f>
        <v/>
      </c>
      <c r="F81">
        <f>$D$33*1000*G81</f>
        <v/>
      </c>
      <c r="G81" s="8" t="n">
        <v>0.1</v>
      </c>
      <c r="H81">
        <f>F81*$D$30</f>
        <v/>
      </c>
      <c r="I81">
        <f>H81*0.5</f>
        <v/>
      </c>
      <c r="J81">
        <f>H81-I81</f>
        <v/>
      </c>
      <c r="K81">
        <f>J81*$D$31</f>
        <v/>
      </c>
      <c r="L81">
        <f>K81</f>
        <v/>
      </c>
      <c r="M81" s="15">
        <f>L81/(D81*1000)*100</f>
        <v/>
      </c>
    </row>
    <row r="82">
      <c r="A82" t="n">
        <v>2028</v>
      </c>
      <c r="B82">
        <f>'WEO_Data'!B12</f>
        <v/>
      </c>
      <c r="C82">
        <f>'WEO_Data'!D12</f>
        <v/>
      </c>
      <c r="D82">
        <f>'WEO_Data'!F12</f>
        <v/>
      </c>
      <c r="E82">
        <f>D82/$D$30</f>
        <v/>
      </c>
      <c r="F82">
        <f>$D$33*1000*G82</f>
        <v/>
      </c>
      <c r="G82" s="8" t="n">
        <v>0.2</v>
      </c>
      <c r="H82">
        <f>F82*$D$30</f>
        <v/>
      </c>
      <c r="I82">
        <f>H82*0.5</f>
        <v/>
      </c>
      <c r="J82">
        <f>H82-I82</f>
        <v/>
      </c>
      <c r="K82">
        <f>J82*$D$31</f>
        <v/>
      </c>
      <c r="L82">
        <f>K82</f>
        <v/>
      </c>
      <c r="M82" s="15">
        <f>L82/(D82*1000)*100</f>
        <v/>
      </c>
    </row>
    <row r="83">
      <c r="A83" t="n">
        <v>2029</v>
      </c>
      <c r="B83">
        <f>'WEO_Data'!B13</f>
        <v/>
      </c>
      <c r="C83">
        <f>'WEO_Data'!D13</f>
        <v/>
      </c>
      <c r="D83">
        <f>'WEO_Data'!F13</f>
        <v/>
      </c>
      <c r="E83">
        <f>D83/$D$30</f>
        <v/>
      </c>
      <c r="F83">
        <f>$D$33*1000*G83</f>
        <v/>
      </c>
      <c r="G83" s="8" t="n">
        <v>0.3</v>
      </c>
      <c r="H83">
        <f>F83*$D$30</f>
        <v/>
      </c>
      <c r="I83">
        <f>H83*0.5</f>
        <v/>
      </c>
      <c r="J83">
        <f>H83-I83</f>
        <v/>
      </c>
      <c r="K83">
        <f>J83*$D$31</f>
        <v/>
      </c>
      <c r="L83">
        <f>K83</f>
        <v/>
      </c>
      <c r="M83" s="15">
        <f>L83/(D83*1000)*100</f>
        <v/>
      </c>
    </row>
    <row r="84">
      <c r="A84" t="n">
        <v>2030</v>
      </c>
      <c r="B84">
        <f>'WEO_Data'!B14</f>
        <v/>
      </c>
      <c r="C84">
        <f>'WEO_Data'!D14</f>
        <v/>
      </c>
      <c r="D84">
        <f>'WEO_Data'!F14</f>
        <v/>
      </c>
      <c r="E84">
        <f>D84/$D$30</f>
        <v/>
      </c>
      <c r="F84">
        <f>$D$33*1000*G84</f>
        <v/>
      </c>
      <c r="G84" s="8" t="n">
        <v>0.2</v>
      </c>
      <c r="H84">
        <f>F84*$D$30</f>
        <v/>
      </c>
      <c r="I84">
        <f>H84*0.5</f>
        <v/>
      </c>
      <c r="J84">
        <f>H84-I84</f>
        <v/>
      </c>
      <c r="K84">
        <f>J84*$D$31</f>
        <v/>
      </c>
      <c r="L84">
        <f>K84</f>
        <v/>
      </c>
      <c r="M84" s="15">
        <f>L84/(D84*1000)*100</f>
        <v/>
      </c>
    </row>
    <row r="85">
      <c r="A85" t="n">
        <v>2031</v>
      </c>
      <c r="B85">
        <f>'WEO_Data'!B15</f>
        <v/>
      </c>
      <c r="C85">
        <f>'WEO_Data'!D15</f>
        <v/>
      </c>
      <c r="D85">
        <f>'WEO_Data'!F15</f>
        <v/>
      </c>
      <c r="E85">
        <f>D85/$D$30</f>
        <v/>
      </c>
      <c r="F85">
        <f>$D$33*1000*G85</f>
        <v/>
      </c>
      <c r="G85" s="8" t="n">
        <v>0.1</v>
      </c>
      <c r="H85">
        <f>F85*$D$30</f>
        <v/>
      </c>
      <c r="I85">
        <f>H85*0.5</f>
        <v/>
      </c>
      <c r="J85">
        <f>H85-I85</f>
        <v/>
      </c>
      <c r="K85">
        <f>J85*$D$31</f>
        <v/>
      </c>
      <c r="L85">
        <f>K85</f>
        <v/>
      </c>
      <c r="M85" s="15">
        <f>L85/(D85*1000)*100</f>
        <v/>
      </c>
    </row>
    <row r="86">
      <c r="A86" t="n">
        <v>2032</v>
      </c>
      <c r="B86">
        <f>'WEO_Data'!B16</f>
        <v/>
      </c>
      <c r="C86">
        <f>'WEO_Data'!D16</f>
        <v/>
      </c>
      <c r="D86">
        <f>'WEO_Data'!F16</f>
        <v/>
      </c>
      <c r="E86">
        <f>D86/$D$30</f>
        <v/>
      </c>
      <c r="F86">
        <f>$D$33*1000*G86</f>
        <v/>
      </c>
      <c r="G86" s="8" t="n">
        <v>0.03</v>
      </c>
      <c r="H86">
        <f>F86*$D$30</f>
        <v/>
      </c>
      <c r="I86">
        <f>H86*0.5</f>
        <v/>
      </c>
      <c r="J86">
        <f>H86-I86</f>
        <v/>
      </c>
      <c r="K86">
        <f>J86*$D$31</f>
        <v/>
      </c>
      <c r="L86">
        <f>K86</f>
        <v/>
      </c>
      <c r="M86" s="15">
        <f>L86/(D86*1000)*100</f>
        <v/>
      </c>
    </row>
    <row r="87">
      <c r="A87" t="n">
        <v>2033</v>
      </c>
      <c r="B87">
        <f>'WEO_Data'!B17</f>
        <v/>
      </c>
      <c r="C87">
        <f>'WEO_Data'!D17</f>
        <v/>
      </c>
      <c r="D87">
        <f>'WEO_Data'!F17</f>
        <v/>
      </c>
      <c r="E87">
        <f>D87/$D$30</f>
        <v/>
      </c>
      <c r="F87">
        <f>$D$33*1000*G87</f>
        <v/>
      </c>
      <c r="G87" s="8" t="n">
        <v>0.02</v>
      </c>
      <c r="H87">
        <f>F87*$D$30</f>
        <v/>
      </c>
      <c r="I87">
        <f>H87*0.5</f>
        <v/>
      </c>
      <c r="J87">
        <f>H87-I87</f>
        <v/>
      </c>
      <c r="K87">
        <f>J87*$D$31</f>
        <v/>
      </c>
      <c r="L87">
        <f>K87</f>
        <v/>
      </c>
      <c r="M87" s="15">
        <f>L87/(D87*1000)*100</f>
        <v/>
      </c>
    </row>
    <row r="88">
      <c r="A88" t="n">
        <v>2034</v>
      </c>
      <c r="B88">
        <f>'WEO_Data'!B18</f>
        <v/>
      </c>
      <c r="C88">
        <f>'WEO_Data'!D18</f>
        <v/>
      </c>
      <c r="D88">
        <f>'WEO_Data'!F18</f>
        <v/>
      </c>
      <c r="E88">
        <f>D88/$D$30</f>
        <v/>
      </c>
      <c r="F88" t="n">
        <v>0</v>
      </c>
      <c r="G88" s="8" t="n">
        <v>0</v>
      </c>
      <c r="H88">
        <f>F88*$D$30</f>
        <v/>
      </c>
      <c r="I88">
        <f>H88*0.5</f>
        <v/>
      </c>
      <c r="J88">
        <f>H88-I88</f>
        <v/>
      </c>
      <c r="K88">
        <f>J88*$D$31</f>
        <v/>
      </c>
      <c r="L88">
        <f>K88</f>
        <v/>
      </c>
      <c r="M88" s="15">
        <f>L88/(D88*1000)*100</f>
        <v/>
      </c>
    </row>
    <row r="89">
      <c r="A89" t="n">
        <v>2035</v>
      </c>
      <c r="B89">
        <f>'WEO_Data'!B19</f>
        <v/>
      </c>
      <c r="C89">
        <f>'WEO_Data'!D19</f>
        <v/>
      </c>
      <c r="D89">
        <f>'WEO_Data'!F19</f>
        <v/>
      </c>
      <c r="E89">
        <f>D89/$D$30</f>
        <v/>
      </c>
      <c r="F89" t="n">
        <v>0</v>
      </c>
      <c r="G89" s="8" t="n">
        <v>0</v>
      </c>
      <c r="H89">
        <f>F89*$D$30</f>
        <v/>
      </c>
      <c r="I89">
        <f>H89*0.5</f>
        <v/>
      </c>
      <c r="J89">
        <f>H89-I89</f>
        <v/>
      </c>
      <c r="K89">
        <f>J89*$D$31</f>
        <v/>
      </c>
      <c r="L89">
        <f>K89</f>
        <v/>
      </c>
      <c r="M89" s="15">
        <f>L89/(D89*1000)*100</f>
        <v/>
      </c>
    </row>
    <row r="90">
      <c r="A90" t="n">
        <v>2036</v>
      </c>
      <c r="B90">
        <f>'WEO_Data'!B20</f>
        <v/>
      </c>
      <c r="C90">
        <f>'WEO_Data'!D20</f>
        <v/>
      </c>
      <c r="D90">
        <f>'WEO_Data'!F20</f>
        <v/>
      </c>
      <c r="E90">
        <f>D90/$D$30</f>
        <v/>
      </c>
      <c r="F90" t="n">
        <v>0</v>
      </c>
      <c r="G90" s="8" t="n">
        <v>0</v>
      </c>
      <c r="H90">
        <f>F90*$D$30</f>
        <v/>
      </c>
      <c r="I90">
        <f>H90*0.5</f>
        <v/>
      </c>
      <c r="J90">
        <f>H90-I90</f>
        <v/>
      </c>
      <c r="K90">
        <f>J90*$D$31</f>
        <v/>
      </c>
      <c r="L90">
        <f>K90</f>
        <v/>
      </c>
      <c r="M90" s="15">
        <f>L90/(D90*1000)*100</f>
        <v/>
      </c>
    </row>
    <row r="91">
      <c r="A91" t="n">
        <v>2037</v>
      </c>
      <c r="B91">
        <f>'WEO_Data'!B21</f>
        <v/>
      </c>
      <c r="C91">
        <f>'WEO_Data'!D21</f>
        <v/>
      </c>
      <c r="D91">
        <f>'WEO_Data'!F21</f>
        <v/>
      </c>
      <c r="E91">
        <f>D91/$D$30</f>
        <v/>
      </c>
      <c r="F91" t="n">
        <v>0</v>
      </c>
      <c r="G91" s="8" t="n">
        <v>0</v>
      </c>
      <c r="H91">
        <f>F91*$D$30</f>
        <v/>
      </c>
      <c r="I91">
        <f>H91*0.5</f>
        <v/>
      </c>
      <c r="J91">
        <f>H91-I91</f>
        <v/>
      </c>
      <c r="K91">
        <f>J91*$D$31</f>
        <v/>
      </c>
      <c r="L91">
        <f>K91</f>
        <v/>
      </c>
      <c r="M91" s="15">
        <f>L91/(D91*1000)*100</f>
        <v/>
      </c>
    </row>
    <row r="92">
      <c r="A92" t="n">
        <v>2038</v>
      </c>
      <c r="B92">
        <f>'WEO_Data'!B22</f>
        <v/>
      </c>
      <c r="C92">
        <f>'WEO_Data'!D22</f>
        <v/>
      </c>
      <c r="D92">
        <f>'WEO_Data'!F22</f>
        <v/>
      </c>
      <c r="E92">
        <f>D92/$D$30</f>
        <v/>
      </c>
      <c r="F92" t="n">
        <v>0</v>
      </c>
      <c r="G92" s="8" t="n">
        <v>0</v>
      </c>
      <c r="H92">
        <f>F92*$D$30</f>
        <v/>
      </c>
      <c r="I92">
        <f>H92*0.5</f>
        <v/>
      </c>
      <c r="J92">
        <f>H92-I92</f>
        <v/>
      </c>
      <c r="K92">
        <f>J92*$D$31</f>
        <v/>
      </c>
      <c r="L92">
        <f>K92</f>
        <v/>
      </c>
      <c r="M92" s="15">
        <f>L92/(D92*1000)*100</f>
        <v/>
      </c>
    </row>
    <row r="93">
      <c r="A93" t="n">
        <v>2039</v>
      </c>
      <c r="B93">
        <f>'WEO_Data'!B23</f>
        <v/>
      </c>
      <c r="C93">
        <f>'WEO_Data'!D23</f>
        <v/>
      </c>
      <c r="D93">
        <f>'WEO_Data'!F23</f>
        <v/>
      </c>
      <c r="E93">
        <f>D93/$D$30</f>
        <v/>
      </c>
      <c r="F93" t="n">
        <v>0</v>
      </c>
      <c r="G93" s="8" t="n">
        <v>0</v>
      </c>
      <c r="H93">
        <f>F93*$D$30</f>
        <v/>
      </c>
      <c r="I93">
        <f>H93*0.5</f>
        <v/>
      </c>
      <c r="J93">
        <f>H93-I93</f>
        <v/>
      </c>
      <c r="K93">
        <f>J93*$D$31</f>
        <v/>
      </c>
      <c r="L93">
        <f>K93</f>
        <v/>
      </c>
      <c r="M93" s="15">
        <f>L93/(D93*1000)*100</f>
        <v/>
      </c>
    </row>
    <row r="94">
      <c r="A94" t="n">
        <v>2040</v>
      </c>
      <c r="B94">
        <f>'WEO_Data'!B24</f>
        <v/>
      </c>
      <c r="C94">
        <f>'WEO_Data'!D24</f>
        <v/>
      </c>
      <c r="D94">
        <f>'WEO_Data'!F24</f>
        <v/>
      </c>
      <c r="E94">
        <f>D94/$D$30</f>
        <v/>
      </c>
      <c r="F94" t="n">
        <v>0</v>
      </c>
      <c r="G94" s="8" t="n">
        <v>0</v>
      </c>
      <c r="H94">
        <f>F94*$D$30</f>
        <v/>
      </c>
      <c r="I94">
        <f>H94*0.5</f>
        <v/>
      </c>
      <c r="J94">
        <f>H94-I94</f>
        <v/>
      </c>
      <c r="K94">
        <f>J94*$D$31</f>
        <v/>
      </c>
      <c r="L94">
        <f>K94</f>
        <v/>
      </c>
      <c r="M94" s="15">
        <f>L94/(D94*1000)*100</f>
        <v/>
      </c>
    </row>
    <row r="95">
      <c r="A95" t="n">
        <v>2041</v>
      </c>
      <c r="B95">
        <f>'WEO_Data'!B25</f>
        <v/>
      </c>
      <c r="C95">
        <f>'WEO_Data'!D25</f>
        <v/>
      </c>
      <c r="D95">
        <f>'WEO_Data'!F25</f>
        <v/>
      </c>
      <c r="E95">
        <f>D95/$D$30</f>
        <v/>
      </c>
      <c r="F95" t="n">
        <v>0</v>
      </c>
      <c r="G95" s="8" t="n">
        <v>0</v>
      </c>
      <c r="H95">
        <f>F95*$D$30</f>
        <v/>
      </c>
      <c r="I95">
        <f>H95*0.5</f>
        <v/>
      </c>
      <c r="J95">
        <f>H95-I95</f>
        <v/>
      </c>
      <c r="K95">
        <f>J95*$D$31</f>
        <v/>
      </c>
      <c r="L95">
        <f>K95</f>
        <v/>
      </c>
      <c r="M95" s="15">
        <f>L95/(D95*1000)*100</f>
        <v/>
      </c>
    </row>
    <row r="96">
      <c r="A96" t="n">
        <v>2042</v>
      </c>
      <c r="B96">
        <f>'WEO_Data'!B26</f>
        <v/>
      </c>
      <c r="C96">
        <f>'WEO_Data'!D26</f>
        <v/>
      </c>
      <c r="D96">
        <f>'WEO_Data'!F26</f>
        <v/>
      </c>
      <c r="E96">
        <f>D96/$D$30</f>
        <v/>
      </c>
      <c r="F96" t="n">
        <v>0</v>
      </c>
      <c r="G96" s="8" t="n">
        <v>0</v>
      </c>
      <c r="H96">
        <f>F96*$D$30</f>
        <v/>
      </c>
      <c r="I96">
        <f>H96*0.5</f>
        <v/>
      </c>
      <c r="J96">
        <f>H96-I96</f>
        <v/>
      </c>
      <c r="K96">
        <f>J96*$D$31</f>
        <v/>
      </c>
      <c r="L96">
        <f>K96</f>
        <v/>
      </c>
      <c r="M96" s="15">
        <f>L96/(D96*1000)*100</f>
        <v/>
      </c>
    </row>
    <row r="97">
      <c r="A97" t="n">
        <v>2043</v>
      </c>
      <c r="B97">
        <f>'WEO_Data'!B27</f>
        <v/>
      </c>
      <c r="C97">
        <f>'WEO_Data'!D27</f>
        <v/>
      </c>
      <c r="D97">
        <f>'WEO_Data'!F27</f>
        <v/>
      </c>
      <c r="E97">
        <f>D97/$D$30</f>
        <v/>
      </c>
      <c r="F97" t="n">
        <v>0</v>
      </c>
      <c r="G97" s="8" t="n">
        <v>0</v>
      </c>
      <c r="H97">
        <f>F97*$D$30</f>
        <v/>
      </c>
      <c r="I97">
        <f>H97*0.5</f>
        <v/>
      </c>
      <c r="J97">
        <f>H97-I97</f>
        <v/>
      </c>
      <c r="K97">
        <f>J97*$D$31</f>
        <v/>
      </c>
      <c r="L97">
        <f>K97</f>
        <v/>
      </c>
      <c r="M97" s="15">
        <f>L97/(D97*1000)*100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2026-01-29T06:14:32Z</dcterms:created>
  <dcterms:modified xmlns:dcterms="http://purl.org/dc/terms/" xmlns:xsi="http://www.w3.org/2001/XMLSchema-instance" xsi:type="dcterms:W3CDTF">2026-01-29T06:16:49Z</dcterms:modified>
</cp:coreProperties>
</file>