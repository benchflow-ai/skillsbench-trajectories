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SUMXMY2(K6:K27,L6:L27)+100*SUMSQ(M8:M27)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5">
      <c r="A35" t="inlineStr">
        <is>
          <t>Avg K/Y (2015-2023):</t>
        </is>
      </c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A36">
        <f>AVERAGE(D49:D57)</f>
        <v/>
      </c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>
        <f>I36</f>
        <v/>
      </c>
      <c r="K36" s="19">
        <f>E36</f>
        <v/>
      </c>
      <c r="L36">
        <f>EXP(G36+$B$2*LN(K36))</f>
        <v/>
      </c>
      <c r="M36">
        <f>L36-H36</f>
        <v/>
      </c>
      <c r="N36">
        <f>F36*L36/H36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>
        <f>I37</f>
        <v/>
      </c>
      <c r="K37" s="19">
        <f>E37</f>
        <v/>
      </c>
      <c r="L37">
        <f>EXP(G37+$B$2*LN(K37))</f>
        <v/>
      </c>
      <c r="M37">
        <f>L37-H37</f>
        <v/>
      </c>
      <c r="N37">
        <f>F37*L37/H37</f>
        <v/>
      </c>
      <c r="O37">
        <f>(N37-N36)/N36*100</f>
        <v/>
      </c>
      <c r="P37">
        <f>(F37-F36)/F36*100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>
        <f>I38</f>
        <v/>
      </c>
      <c r="K38" s="19">
        <f>E38</f>
        <v/>
      </c>
      <c r="L38">
        <f>EXP(G38+$B$2*LN(K38))</f>
        <v/>
      </c>
      <c r="M38">
        <f>L38-H38</f>
        <v/>
      </c>
      <c r="N38">
        <f>F38*L38/H38</f>
        <v/>
      </c>
      <c r="O38">
        <f>(N38-N37)/N37*100</f>
        <v/>
      </c>
      <c r="P38">
        <f>(F38-F37)/F37*100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>
        <f>I39</f>
        <v/>
      </c>
      <c r="K39" s="19">
        <f>E39</f>
        <v/>
      </c>
      <c r="L39">
        <f>EXP(G39+$B$2*LN(K39))</f>
        <v/>
      </c>
      <c r="M39">
        <f>L39-H39</f>
        <v/>
      </c>
      <c r="N39">
        <f>F39*L39/H39</f>
        <v/>
      </c>
      <c r="O39">
        <f>(N39-N38)/N38*100</f>
        <v/>
      </c>
      <c r="P39">
        <f>(F39-F38)/F38*100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>
        <f>I40</f>
        <v/>
      </c>
      <c r="K40" s="19">
        <f>E40</f>
        <v/>
      </c>
      <c r="L40">
        <f>EXP(G40+$B$2*LN(K40))</f>
        <v/>
      </c>
      <c r="M40">
        <f>L40-H40</f>
        <v/>
      </c>
      <c r="N40">
        <f>F40*L40/H40</f>
        <v/>
      </c>
      <c r="O40">
        <f>(N40-N39)/N39*100</f>
        <v/>
      </c>
      <c r="P40">
        <f>(F40-F39)/F39*100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>
        <f>I41</f>
        <v/>
      </c>
      <c r="K41" s="19">
        <f>E41</f>
        <v/>
      </c>
      <c r="L41">
        <f>EXP(G41+$B$2*LN(K41))</f>
        <v/>
      </c>
      <c r="M41">
        <f>L41-H41</f>
        <v/>
      </c>
      <c r="N41">
        <f>F41*L41/H41</f>
        <v/>
      </c>
      <c r="O41">
        <f>(N41-N40)/N40*100</f>
        <v/>
      </c>
      <c r="P41">
        <f>(F41-F40)/F40*100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>
        <f>I42</f>
        <v/>
      </c>
      <c r="K42" s="19">
        <f>E42</f>
        <v/>
      </c>
      <c r="L42">
        <f>EXP(G42+$B$2*LN(K42))</f>
        <v/>
      </c>
      <c r="M42">
        <f>L42-H42</f>
        <v/>
      </c>
      <c r="N42">
        <f>F42*L42/H42</f>
        <v/>
      </c>
      <c r="O42">
        <f>(N42-N41)/N41*100</f>
        <v/>
      </c>
      <c r="P42">
        <f>(F42-F41)/F41*100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>
        <f>I43</f>
        <v/>
      </c>
      <c r="K43" s="19">
        <f>E43</f>
        <v/>
      </c>
      <c r="L43">
        <f>EXP(G43+$B$2*LN(K43))</f>
        <v/>
      </c>
      <c r="M43">
        <f>L43-H43</f>
        <v/>
      </c>
      <c r="N43">
        <f>F43*L43/H43</f>
        <v/>
      </c>
      <c r="O43">
        <f>(N43-N42)/N42*100</f>
        <v/>
      </c>
      <c r="P43">
        <f>(F43-F42)/F42*100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>
        <f>I44</f>
        <v/>
      </c>
      <c r="K44" s="19">
        <f>E44</f>
        <v/>
      </c>
      <c r="L44">
        <f>EXP(G44+$B$2*LN(K44))</f>
        <v/>
      </c>
      <c r="M44">
        <f>L44-H44</f>
        <v/>
      </c>
      <c r="N44">
        <f>F44*L44/H44</f>
        <v/>
      </c>
      <c r="O44">
        <f>(N44-N43)/N43*100</f>
        <v/>
      </c>
      <c r="P44">
        <f>(F44-F43)/F43*100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>
        <f>I45</f>
        <v/>
      </c>
      <c r="K45" s="19">
        <f>E45</f>
        <v/>
      </c>
      <c r="L45">
        <f>EXP(G45+$B$2*LN(K45))</f>
        <v/>
      </c>
      <c r="M45">
        <f>L45-H45</f>
        <v/>
      </c>
      <c r="N45">
        <f>F45*L45/H45</f>
        <v/>
      </c>
      <c r="O45">
        <f>(N45-N44)/N44*100</f>
        <v/>
      </c>
      <c r="P45">
        <f>(F45-F44)/F44*100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>
        <f>I46</f>
        <v/>
      </c>
      <c r="K46" s="19">
        <f>E46</f>
        <v/>
      </c>
      <c r="L46">
        <f>EXP(G46+$B$2*LN(K46))</f>
        <v/>
      </c>
      <c r="M46">
        <f>L46-H46</f>
        <v/>
      </c>
      <c r="N46">
        <f>F46*L46/H46</f>
        <v/>
      </c>
      <c r="O46">
        <f>(N46-N45)/N45*100</f>
        <v/>
      </c>
      <c r="P46">
        <f>(F46-F45)/F45*100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>
        <f>I47</f>
        <v/>
      </c>
      <c r="K47" s="19">
        <f>E47</f>
        <v/>
      </c>
      <c r="L47">
        <f>EXP(G47+$B$2*LN(K47))</f>
        <v/>
      </c>
      <c r="M47">
        <f>L47-H47</f>
        <v/>
      </c>
      <c r="N47">
        <f>F47*L47/H47</f>
        <v/>
      </c>
      <c r="O47">
        <f>(N47-N46)/N46*100</f>
        <v/>
      </c>
      <c r="P47">
        <f>(F47-F46)/F46*100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>
        <f>I48</f>
        <v/>
      </c>
      <c r="K48" s="19">
        <f>E48</f>
        <v/>
      </c>
      <c r="L48">
        <f>EXP(G48+$B$2*LN(K48))</f>
        <v/>
      </c>
      <c r="M48">
        <f>L48-H48</f>
        <v/>
      </c>
      <c r="N48">
        <f>F48*L48/H48</f>
        <v/>
      </c>
      <c r="O48">
        <f>(N48-N47)/N47*100</f>
        <v/>
      </c>
      <c r="P48">
        <f>(F48-F47)/F47*100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>
        <f>I49</f>
        <v/>
      </c>
      <c r="K49" s="19">
        <f>E49</f>
        <v/>
      </c>
      <c r="L49">
        <f>EXP(G49+$B$2*LN(K49))</f>
        <v/>
      </c>
      <c r="M49">
        <f>L49-H49</f>
        <v/>
      </c>
      <c r="N49">
        <f>F49*L49/H49</f>
        <v/>
      </c>
      <c r="O49">
        <f>(N49-N48)/N48*100</f>
        <v/>
      </c>
      <c r="P49">
        <f>(F49-F48)/F48*100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>
        <f>I50</f>
        <v/>
      </c>
      <c r="K50" s="19">
        <f>E50</f>
        <v/>
      </c>
      <c r="L50">
        <f>EXP(G50+$B$2*LN(K50))</f>
        <v/>
      </c>
      <c r="M50">
        <f>L50-H50</f>
        <v/>
      </c>
      <c r="N50">
        <f>F50*L50/H50</f>
        <v/>
      </c>
      <c r="O50">
        <f>(N50-N49)/N49*100</f>
        <v/>
      </c>
      <c r="P50">
        <f>(F50-F49)/F49*100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>
        <f>I51</f>
        <v/>
      </c>
      <c r="K51" s="19">
        <f>E51</f>
        <v/>
      </c>
      <c r="L51">
        <f>EXP(G51+$B$2*LN(K51))</f>
        <v/>
      </c>
      <c r="M51">
        <f>L51-H51</f>
        <v/>
      </c>
      <c r="N51">
        <f>F51*L51/H51</f>
        <v/>
      </c>
      <c r="O51">
        <f>(N51-N50)/N50*100</f>
        <v/>
      </c>
      <c r="P51">
        <f>(F51-F50)/F50*100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>
        <f>I52</f>
        <v/>
      </c>
      <c r="K52" s="19">
        <f>E52</f>
        <v/>
      </c>
      <c r="L52">
        <f>EXP(G52+$B$2*LN(K52))</f>
        <v/>
      </c>
      <c r="M52">
        <f>L52-H52</f>
        <v/>
      </c>
      <c r="N52">
        <f>F52*L52/H52</f>
        <v/>
      </c>
      <c r="O52">
        <f>(N52-N51)/N51*100</f>
        <v/>
      </c>
      <c r="P52">
        <f>(F52-F51)/F51*100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>
        <f>I53</f>
        <v/>
      </c>
      <c r="K53" s="19">
        <f>E53</f>
        <v/>
      </c>
      <c r="L53">
        <f>EXP(G53+$B$2*LN(K53))</f>
        <v/>
      </c>
      <c r="M53">
        <f>L53-H53</f>
        <v/>
      </c>
      <c r="N53">
        <f>F53*L53/H53</f>
        <v/>
      </c>
      <c r="O53">
        <f>(N53-N52)/N52*100</f>
        <v/>
      </c>
      <c r="P53">
        <f>(F53-F52)/F52*100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>
        <f>I54</f>
        <v/>
      </c>
      <c r="K54" s="19">
        <f>E54</f>
        <v/>
      </c>
      <c r="L54">
        <f>EXP(G54+$B$2*LN(K54))</f>
        <v/>
      </c>
      <c r="M54">
        <f>L54-H54</f>
        <v/>
      </c>
      <c r="N54">
        <f>F54*L54/H54</f>
        <v/>
      </c>
      <c r="O54">
        <f>(N54-N53)/N53*100</f>
        <v/>
      </c>
      <c r="P54">
        <f>(F54-F53)/F53*100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>
        <f>I55</f>
        <v/>
      </c>
      <c r="K55" s="19">
        <f>E55</f>
        <v/>
      </c>
      <c r="L55">
        <f>EXP(G55+$B$2*LN(K55))</f>
        <v/>
      </c>
      <c r="M55">
        <f>L55-H55</f>
        <v/>
      </c>
      <c r="N55">
        <f>F55*L55/H55</f>
        <v/>
      </c>
      <c r="O55">
        <f>(N55-N54)/N54*100</f>
        <v/>
      </c>
      <c r="P55">
        <f>(F55-F54)/F54*100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>
        <f>I56</f>
        <v/>
      </c>
      <c r="K56" s="19">
        <f>E56</f>
        <v/>
      </c>
      <c r="L56">
        <f>EXP(G56+$B$2*LN(K56))</f>
        <v/>
      </c>
      <c r="M56">
        <f>L56-H56</f>
        <v/>
      </c>
      <c r="N56">
        <f>F56*L56/H56</f>
        <v/>
      </c>
      <c r="O56">
        <f>(N56-N55)/N55*100</f>
        <v/>
      </c>
      <c r="P56">
        <f>(F56-F55)/F55*100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>
        <f>I57</f>
        <v/>
      </c>
      <c r="K57" s="19">
        <f>E57</f>
        <v/>
      </c>
      <c r="L57">
        <f>EXP(G57+$B$2*LN(K57))</f>
        <v/>
      </c>
      <c r="M57">
        <f>L57-H57</f>
        <v/>
      </c>
      <c r="N57">
        <f>F57*L57/H57</f>
        <v/>
      </c>
      <c r="O57">
        <f>(N57-N56)/N56*100</f>
        <v/>
      </c>
      <c r="P57">
        <f>(F57-F56)/F56*100</f>
        <v/>
      </c>
    </row>
    <row r="58">
      <c r="C58" t="n">
        <v>2024</v>
      </c>
      <c r="D58">
        <f>$A$36</f>
        <v/>
      </c>
      <c r="E58" s="21">
        <f>$A$36*F58</f>
        <v/>
      </c>
      <c r="F58">
        <f>WEO_Data!C32</f>
        <v/>
      </c>
      <c r="G58" s="20">
        <f>TREND($G$36:$G$57,$C$36:$C$57,C58)</f>
        <v/>
      </c>
      <c r="H58">
        <f>EXP(G58+$B$2*LN(E58))</f>
        <v/>
      </c>
      <c r="I58" t="n">
        <v>0</v>
      </c>
      <c r="J58">
        <f>I58</f>
        <v/>
      </c>
      <c r="K58" s="19">
        <f>E58</f>
        <v/>
      </c>
      <c r="L58">
        <f>EXP(G58+$B$2*LN(K58))</f>
        <v/>
      </c>
      <c r="M58">
        <f>L58-H58</f>
        <v/>
      </c>
      <c r="N58">
        <f>F58*L58/H58</f>
        <v/>
      </c>
      <c r="O58">
        <f>(N58-N57)/N57*100</f>
        <v/>
      </c>
      <c r="P58">
        <f>(F58-F57)/F57*100</f>
        <v/>
      </c>
    </row>
    <row r="59">
      <c r="C59" t="n">
        <v>2025</v>
      </c>
      <c r="D59">
        <f>$A$36</f>
        <v/>
      </c>
      <c r="E59" s="21">
        <f>$A$36*F59</f>
        <v/>
      </c>
      <c r="F59">
        <f>WEO_Data!C33</f>
        <v/>
      </c>
      <c r="G59" s="20">
        <f>TREND($G$36:$G$57,$C$36:$C$57,C59)</f>
        <v/>
      </c>
      <c r="H59">
        <f>EXP(G59+$B$2*LN(E59))</f>
        <v/>
      </c>
      <c r="I59" t="n">
        <v>0</v>
      </c>
      <c r="J59">
        <f>I59</f>
        <v/>
      </c>
      <c r="K59" s="19">
        <f>E59</f>
        <v/>
      </c>
      <c r="L59">
        <f>EXP(G59+$B$2*LN(K59))</f>
        <v/>
      </c>
      <c r="M59">
        <f>L59-H59</f>
        <v/>
      </c>
      <c r="N59">
        <f>F59*L59/H59</f>
        <v/>
      </c>
      <c r="O59">
        <f>(N59-N58)/N58*100</f>
        <v/>
      </c>
      <c r="P59">
        <f>(F59-F58)/F58*100</f>
        <v/>
      </c>
    </row>
    <row r="60">
      <c r="C60" t="n">
        <v>2026</v>
      </c>
      <c r="D60">
        <f>$A$36</f>
        <v/>
      </c>
      <c r="E60" s="21">
        <f>$A$36*F60</f>
        <v/>
      </c>
      <c r="F60" s="20">
        <f>WEO_Data!C34</f>
        <v/>
      </c>
      <c r="G60" s="20">
        <f>TREND($G$36:$G$57,$C$36:$C$57,C60)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E60+I60</f>
        <v/>
      </c>
      <c r="L60">
        <f>EXP(G60+$B$2*LN(K60))</f>
        <v/>
      </c>
      <c r="M60">
        <f>L60-H60</f>
        <v/>
      </c>
      <c r="N60">
        <f>F60*L60/H60</f>
        <v/>
      </c>
      <c r="O60">
        <f>(N60-N59)/N59*100</f>
        <v/>
      </c>
      <c r="P60">
        <f>(F60-F59)/F59*100</f>
        <v/>
      </c>
    </row>
    <row r="61">
      <c r="C61" t="n">
        <v>2027</v>
      </c>
      <c r="D61">
        <f>$A$36</f>
        <v/>
      </c>
      <c r="E61" s="21">
        <f>$A$36*F61</f>
        <v/>
      </c>
      <c r="F61" s="20">
        <f>WEO_Data!C35</f>
        <v/>
      </c>
      <c r="G61" s="20">
        <f>TREND($G$36:$G$57,$C$36:$C$57,C61)</f>
        <v/>
      </c>
      <c r="H61">
        <f>EXP(G61+$B$2*LN(E61))</f>
        <v/>
      </c>
      <c r="I61" s="17">
        <f>Investment!C3</f>
        <v/>
      </c>
      <c r="J61">
        <f>I61</f>
        <v/>
      </c>
      <c r="K61" s="19">
        <f>E61+(K60-E60)*(1-$B$3)+I61</f>
        <v/>
      </c>
      <c r="L61">
        <f>EXP(G61+$B$2*LN(K61))</f>
        <v/>
      </c>
      <c r="M61">
        <f>L61-H61</f>
        <v/>
      </c>
      <c r="N61">
        <f>F61*L61/H61</f>
        <v/>
      </c>
      <c r="O61">
        <f>(N61-N60)/N60*100</f>
        <v/>
      </c>
      <c r="P61">
        <f>(F61-F60)/F60*100</f>
        <v/>
      </c>
    </row>
    <row r="62">
      <c r="C62" t="n">
        <v>2028</v>
      </c>
      <c r="D62">
        <f>$A$36</f>
        <v/>
      </c>
      <c r="E62" s="21">
        <f>$A$36*F62</f>
        <v/>
      </c>
      <c r="F62" s="20">
        <f>WEO_Data!C36</f>
        <v/>
      </c>
      <c r="G62" s="20">
        <f>TREND($G$36:$G$57,$C$36:$C$57,C62)</f>
        <v/>
      </c>
      <c r="H62">
        <f>EXP(G62+$B$2*LN(E62))</f>
        <v/>
      </c>
      <c r="I62" s="17">
        <f>Investment!C4</f>
        <v/>
      </c>
      <c r="J62">
        <f>I62</f>
        <v/>
      </c>
      <c r="K62" s="19">
        <f>E62+(K61-E61)*(1-$B$3)+I62</f>
        <v/>
      </c>
      <c r="L62">
        <f>EXP(G62+$B$2*LN(K62))</f>
        <v/>
      </c>
      <c r="M62">
        <f>L62-H62</f>
        <v/>
      </c>
      <c r="N62">
        <f>F62*L62/H62</f>
        <v/>
      </c>
      <c r="O62">
        <f>(N62-N61)/N61*100</f>
        <v/>
      </c>
      <c r="P62">
        <f>(F62-F61)/F61*100</f>
        <v/>
      </c>
    </row>
    <row r="63">
      <c r="C63" t="n">
        <v>2029</v>
      </c>
      <c r="D63">
        <f>$A$36</f>
        <v/>
      </c>
      <c r="E63" s="21">
        <f>$A$36*F63</f>
        <v/>
      </c>
      <c r="F63" s="20">
        <f>WEO_Data!C37</f>
        <v/>
      </c>
      <c r="G63" s="20">
        <f>TREND($G$36:$G$57,$C$36:$C$57,C63)</f>
        <v/>
      </c>
      <c r="H63">
        <f>EXP(G63+$B$2*LN(E63))</f>
        <v/>
      </c>
      <c r="I63" s="17">
        <f>Investment!C5</f>
        <v/>
      </c>
      <c r="J63">
        <f>I63</f>
        <v/>
      </c>
      <c r="K63" s="19">
        <f>E63+(K62-E62)*(1-$B$3)+I63</f>
        <v/>
      </c>
      <c r="L63">
        <f>EXP(G63+$B$2*LN(K63))</f>
        <v/>
      </c>
      <c r="M63">
        <f>L63-H63</f>
        <v/>
      </c>
      <c r="N63">
        <f>F63*L63/H63</f>
        <v/>
      </c>
      <c r="O63">
        <f>(N63-N62)/N62*100</f>
        <v/>
      </c>
      <c r="P63">
        <f>(F63-F62)/F62*100</f>
        <v/>
      </c>
    </row>
    <row r="64">
      <c r="C64" t="n">
        <v>2030</v>
      </c>
      <c r="D64">
        <f>$A$36</f>
        <v/>
      </c>
      <c r="E64" s="21">
        <f>$A$36*F64</f>
        <v/>
      </c>
      <c r="F64" s="20">
        <f>WEO_Data!C38</f>
        <v/>
      </c>
      <c r="G64" s="20">
        <f>TREND($G$36:$G$57,$C$36:$C$57,C64)</f>
        <v/>
      </c>
      <c r="H64">
        <f>EXP(G64+$B$2*LN(E64))</f>
        <v/>
      </c>
      <c r="I64" s="17">
        <f>Investment!C6</f>
        <v/>
      </c>
      <c r="J64">
        <f>I64</f>
        <v/>
      </c>
      <c r="K64" s="19">
        <f>E64+(K63-E63)*(1-$B$3)+I64</f>
        <v/>
      </c>
      <c r="L64">
        <f>EXP(G64+$B$2*LN(K64))</f>
        <v/>
      </c>
      <c r="M64">
        <f>L64-H64</f>
        <v/>
      </c>
      <c r="N64">
        <f>F64*L64/H64</f>
        <v/>
      </c>
      <c r="O64">
        <f>(N64-N63)/N63*100</f>
        <v/>
      </c>
      <c r="P64">
        <f>(F64-F63)/F63*100</f>
        <v/>
      </c>
    </row>
    <row r="65">
      <c r="C65" t="n">
        <v>2031</v>
      </c>
      <c r="D65">
        <f>$A$36</f>
        <v/>
      </c>
      <c r="E65" s="21">
        <f>$A$36*F65</f>
        <v/>
      </c>
      <c r="F65" s="20">
        <f>WEO_Data!C39</f>
        <v/>
      </c>
      <c r="G65" s="20">
        <f>TREND($G$36:$G$57,$C$36:$C$57,C65)</f>
        <v/>
      </c>
      <c r="H65">
        <f>EXP(G65+$B$2*LN(E65))</f>
        <v/>
      </c>
      <c r="I65" s="17">
        <f>Investment!C7</f>
        <v/>
      </c>
      <c r="J65">
        <f>I65</f>
        <v/>
      </c>
      <c r="K65" s="19">
        <f>E65+(K64-E64)*(1-$B$3)+I65</f>
        <v/>
      </c>
      <c r="L65">
        <f>EXP(G65+$B$2*LN(K65))</f>
        <v/>
      </c>
      <c r="M65">
        <f>L65-H65</f>
        <v/>
      </c>
      <c r="N65">
        <f>F65*L65/H65</f>
        <v/>
      </c>
      <c r="O65">
        <f>(N65-N64)/N64*100</f>
        <v/>
      </c>
      <c r="P65">
        <f>(F65-F64)/F64*100</f>
        <v/>
      </c>
    </row>
    <row r="66">
      <c r="C66" t="n">
        <v>2032</v>
      </c>
      <c r="D66">
        <f>$A$36</f>
        <v/>
      </c>
      <c r="E66" s="21">
        <f>$A$36*F66</f>
        <v/>
      </c>
      <c r="F66" s="20">
        <f>WEO_Data!C40</f>
        <v/>
      </c>
      <c r="G66" s="20">
        <f>TREND($G$36:$G$57,$C$36:$C$57,C66)</f>
        <v/>
      </c>
      <c r="H66">
        <f>EXP(G66+$B$2*LN(E66))</f>
        <v/>
      </c>
      <c r="I66" s="17">
        <f>Investment!C8</f>
        <v/>
      </c>
      <c r="J66">
        <f>I66</f>
        <v/>
      </c>
      <c r="K66" s="19">
        <f>E66+(K65-E65)*(1-$B$3)+I66</f>
        <v/>
      </c>
      <c r="L66">
        <f>EXP(G66+$B$2*LN(K66))</f>
        <v/>
      </c>
      <c r="M66">
        <f>L66-H66</f>
        <v/>
      </c>
      <c r="N66">
        <f>F66*L66/H66</f>
        <v/>
      </c>
      <c r="O66">
        <f>(N66-N65)/N65*100</f>
        <v/>
      </c>
      <c r="P66">
        <f>(F66-F65)/F65*100</f>
        <v/>
      </c>
    </row>
    <row r="67">
      <c r="C67" t="n">
        <v>2033</v>
      </c>
      <c r="D67">
        <f>$A$36</f>
        <v/>
      </c>
      <c r="E67" s="21">
        <f>$A$36*F67</f>
        <v/>
      </c>
      <c r="F67" s="20">
        <f>WEO_Data!C41</f>
        <v/>
      </c>
      <c r="G67" s="20">
        <f>TREND($G$36:$G$57,$C$36:$C$57,C67)</f>
        <v/>
      </c>
      <c r="H67">
        <f>EXP(G67+$B$2*LN(E67))</f>
        <v/>
      </c>
      <c r="I67" s="17">
        <f>Investment!C9</f>
        <v/>
      </c>
      <c r="J67">
        <f>I67</f>
        <v/>
      </c>
      <c r="K67" s="19">
        <f>E67+(K66-E66)*(1-$B$3)+I67</f>
        <v/>
      </c>
      <c r="L67">
        <f>EXP(G67+$B$2*LN(K67))</f>
        <v/>
      </c>
      <c r="M67">
        <f>L67-H67</f>
        <v/>
      </c>
      <c r="N67">
        <f>F67*L67/H67</f>
        <v/>
      </c>
      <c r="O67">
        <f>(N67-N66)/N66*100</f>
        <v/>
      </c>
      <c r="P67">
        <f>(F67-F66)/F66*100</f>
        <v/>
      </c>
    </row>
    <row r="68">
      <c r="C68" t="n">
        <v>2034</v>
      </c>
      <c r="D68">
        <f>$A$36</f>
        <v/>
      </c>
      <c r="E68" s="21">
        <f>$A$36*F68</f>
        <v/>
      </c>
      <c r="F68" s="20">
        <f>WEO_Data!C42</f>
        <v/>
      </c>
      <c r="G68" s="20">
        <f>TREND($G$36:$G$57,$C$36:$C$57,C68)</f>
        <v/>
      </c>
      <c r="H68">
        <f>EXP(G68+$B$2*LN(E68))</f>
        <v/>
      </c>
      <c r="I68" t="n">
        <v>0</v>
      </c>
      <c r="J68">
        <f>I68</f>
        <v/>
      </c>
      <c r="K68" s="19">
        <f>E68+(K67-E67)*(1-$B$3)+I68</f>
        <v/>
      </c>
      <c r="L68">
        <f>EXP(G68+$B$2*LN(K68))</f>
        <v/>
      </c>
      <c r="M68">
        <f>L68-H68</f>
        <v/>
      </c>
      <c r="N68">
        <f>F68*L68/H68</f>
        <v/>
      </c>
      <c r="O68">
        <f>(N68-N67)/N67*100</f>
        <v/>
      </c>
      <c r="P68">
        <f>(F68-F67)/F67*100</f>
        <v/>
      </c>
    </row>
    <row r="69">
      <c r="C69" t="n">
        <v>2035</v>
      </c>
      <c r="D69">
        <f>$A$36</f>
        <v/>
      </c>
      <c r="E69" s="21">
        <f>$A$36*F69</f>
        <v/>
      </c>
      <c r="F69" s="20">
        <f>WEO_Data!C43</f>
        <v/>
      </c>
      <c r="G69" s="20">
        <f>TREND($G$36:$G$57,$C$36:$C$57,C69)</f>
        <v/>
      </c>
      <c r="H69">
        <f>EXP(G69+$B$2*LN(E69))</f>
        <v/>
      </c>
      <c r="I69" t="n">
        <v>0</v>
      </c>
      <c r="J69">
        <f>I69</f>
        <v/>
      </c>
      <c r="K69" s="19">
        <f>E69+(K68-E68)*(1-$B$3)+I69</f>
        <v/>
      </c>
      <c r="L69">
        <f>EXP(G69+$B$2*LN(K69))</f>
        <v/>
      </c>
      <c r="M69">
        <f>L69-H69</f>
        <v/>
      </c>
      <c r="N69">
        <f>F69*L69/H69</f>
        <v/>
      </c>
      <c r="O69">
        <f>(N69-N68)/N68*100</f>
        <v/>
      </c>
      <c r="P69">
        <f>(F69-F68)/F68*100</f>
        <v/>
      </c>
    </row>
    <row r="70">
      <c r="C70" t="n">
        <v>2036</v>
      </c>
      <c r="D70">
        <f>$A$36</f>
        <v/>
      </c>
      <c r="E70" s="21">
        <f>$A$36*F70</f>
        <v/>
      </c>
      <c r="F70" s="20">
        <f>WEO_Data!C44</f>
        <v/>
      </c>
      <c r="G70" s="20">
        <f>TREND($G$36:$G$57,$C$36:$C$57,C70)</f>
        <v/>
      </c>
      <c r="H70">
        <f>EXP(G70+$B$2*LN(E70))</f>
        <v/>
      </c>
      <c r="I70" t="n">
        <v>0</v>
      </c>
      <c r="J70">
        <f>I70</f>
        <v/>
      </c>
      <c r="K70" s="19">
        <f>E70+(K69-E69)*(1-$B$3)+I70</f>
        <v/>
      </c>
      <c r="L70">
        <f>EXP(G70+$B$2*LN(K70))</f>
        <v/>
      </c>
      <c r="M70">
        <f>L70-H70</f>
        <v/>
      </c>
      <c r="N70">
        <f>F70*L70/H70</f>
        <v/>
      </c>
      <c r="O70">
        <f>(N70-N69)/N69*100</f>
        <v/>
      </c>
      <c r="P70">
        <f>(F70-F69)/F69*100</f>
        <v/>
      </c>
    </row>
    <row r="71">
      <c r="C71" t="n">
        <v>2037</v>
      </c>
      <c r="D71">
        <f>$A$36</f>
        <v/>
      </c>
      <c r="E71" s="21">
        <f>$A$36*F71</f>
        <v/>
      </c>
      <c r="F71" s="20">
        <f>WEO_Data!C45</f>
        <v/>
      </c>
      <c r="G71" s="20">
        <f>TREND($G$36:$G$57,$C$36:$C$57,C71)</f>
        <v/>
      </c>
      <c r="H71">
        <f>EXP(G71+$B$2*LN(E71))</f>
        <v/>
      </c>
      <c r="I71" t="n">
        <v>0</v>
      </c>
      <c r="J71">
        <f>I71</f>
        <v/>
      </c>
      <c r="K71" s="19">
        <f>E71+(K70-E70)*(1-$B$3)+I71</f>
        <v/>
      </c>
      <c r="L71">
        <f>EXP(G71+$B$2*LN(K71))</f>
        <v/>
      </c>
      <c r="M71">
        <f>L71-H71</f>
        <v/>
      </c>
      <c r="N71">
        <f>F71*L71/H71</f>
        <v/>
      </c>
      <c r="O71">
        <f>(N71-N70)/N70*100</f>
        <v/>
      </c>
      <c r="P71">
        <f>(F71-F70)/F70*100</f>
        <v/>
      </c>
    </row>
    <row r="72">
      <c r="C72" t="n">
        <v>2038</v>
      </c>
      <c r="D72">
        <f>$A$36</f>
        <v/>
      </c>
      <c r="E72" s="21">
        <f>$A$36*F72</f>
        <v/>
      </c>
      <c r="F72" s="20">
        <f>WEO_Data!C46</f>
        <v/>
      </c>
      <c r="G72" s="20">
        <f>TREND($G$36:$G$57,$C$36:$C$57,C72)</f>
        <v/>
      </c>
      <c r="H72">
        <f>EXP(G72+$B$2*LN(E72))</f>
        <v/>
      </c>
      <c r="I72" t="n">
        <v>0</v>
      </c>
      <c r="J72">
        <f>I72</f>
        <v/>
      </c>
      <c r="K72" s="19">
        <f>E72+(K71-E71)*(1-$B$3)+I72</f>
        <v/>
      </c>
      <c r="L72">
        <f>EXP(G72+$B$2*LN(K72))</f>
        <v/>
      </c>
      <c r="M72">
        <f>L72-H72</f>
        <v/>
      </c>
      <c r="N72">
        <f>F72*L72/H72</f>
        <v/>
      </c>
      <c r="O72">
        <f>(N72-N71)/N71*100</f>
        <v/>
      </c>
      <c r="P72">
        <f>(F72-F71)/F71*100</f>
        <v/>
      </c>
    </row>
    <row r="73">
      <c r="C73" t="n">
        <v>2039</v>
      </c>
      <c r="D73">
        <f>$A$36</f>
        <v/>
      </c>
      <c r="E73" s="21">
        <f>$A$36*F73</f>
        <v/>
      </c>
      <c r="F73" s="20">
        <f>WEO_Data!C47</f>
        <v/>
      </c>
      <c r="G73" s="20">
        <f>TREND($G$36:$G$57,$C$36:$C$57,C73)</f>
        <v/>
      </c>
      <c r="H73">
        <f>EXP(G73+$B$2*LN(E73))</f>
        <v/>
      </c>
      <c r="I73" t="n">
        <v>0</v>
      </c>
      <c r="J73">
        <f>I73</f>
        <v/>
      </c>
      <c r="K73" s="19">
        <f>E73+(K72-E72)*(1-$B$3)+I73</f>
        <v/>
      </c>
      <c r="L73">
        <f>EXP(G73+$B$2*LN(K73))</f>
        <v/>
      </c>
      <c r="M73">
        <f>L73-H73</f>
        <v/>
      </c>
      <c r="N73">
        <f>F73*L73/H73</f>
        <v/>
      </c>
      <c r="O73">
        <f>(N73-N72)/N72*100</f>
        <v/>
      </c>
      <c r="P73">
        <f>(F73-F72)/F72*100</f>
        <v/>
      </c>
    </row>
    <row r="74">
      <c r="C74" t="n">
        <v>2040</v>
      </c>
      <c r="D74">
        <f>$A$36</f>
        <v/>
      </c>
      <c r="E74" s="21">
        <f>$A$36*F74</f>
        <v/>
      </c>
      <c r="F74" s="20">
        <f>WEO_Data!C48</f>
        <v/>
      </c>
      <c r="G74" s="20">
        <f>TREND($G$36:$G$57,$C$36:$C$57,C74)</f>
        <v/>
      </c>
      <c r="H74">
        <f>EXP(G74+$B$2*LN(E74))</f>
        <v/>
      </c>
      <c r="I74" t="n">
        <v>0</v>
      </c>
      <c r="J74">
        <f>I74</f>
        <v/>
      </c>
      <c r="K74" s="19">
        <f>E74+(K73-E73)*(1-$B$3)+I74</f>
        <v/>
      </c>
      <c r="L74">
        <f>EXP(G74+$B$2*LN(K74))</f>
        <v/>
      </c>
      <c r="M74">
        <f>L74-H74</f>
        <v/>
      </c>
      <c r="N74">
        <f>F74*L74/H74</f>
        <v/>
      </c>
      <c r="O74">
        <f>(N74-N73)/N73*100</f>
        <v/>
      </c>
      <c r="P74">
        <f>(F74-F73)/F73*100</f>
        <v/>
      </c>
    </row>
    <row r="75">
      <c r="C75" t="n">
        <v>2041</v>
      </c>
      <c r="D75">
        <f>$A$36</f>
        <v/>
      </c>
      <c r="E75" s="21">
        <f>$A$36*F75</f>
        <v/>
      </c>
      <c r="F75" s="20">
        <f>WEO_Data!C49</f>
        <v/>
      </c>
      <c r="G75" s="20">
        <f>TREND($G$36:$G$57,$C$36:$C$57,C75)</f>
        <v/>
      </c>
      <c r="H75">
        <f>EXP(G75+$B$2*LN(E75))</f>
        <v/>
      </c>
      <c r="I75" t="n">
        <v>0</v>
      </c>
      <c r="J75">
        <f>I75</f>
        <v/>
      </c>
      <c r="K75" s="19">
        <f>E75+(K74-E74)*(1-$B$3)+I75</f>
        <v/>
      </c>
      <c r="L75">
        <f>EXP(G75+$B$2*LN(K75))</f>
        <v/>
      </c>
      <c r="M75">
        <f>L75-H75</f>
        <v/>
      </c>
      <c r="N75">
        <f>F75*L75/H75</f>
        <v/>
      </c>
      <c r="O75">
        <f>(N75-N74)/N74*100</f>
        <v/>
      </c>
      <c r="P75">
        <f>(F75-F74)/F74*100</f>
        <v/>
      </c>
    </row>
    <row r="76">
      <c r="D76">
        <f>$A$36</f>
        <v/>
      </c>
      <c r="E76">
        <f>$A$36*F76</f>
        <v/>
      </c>
      <c r="F76">
        <f>WEO_Data!C50</f>
        <v/>
      </c>
      <c r="G76">
        <f>TREND($G$36:$G$57,$C$36:$C$57,C76)</f>
        <v/>
      </c>
      <c r="H76">
        <f>EXP(G76+$B$2*LN(E76))</f>
        <v/>
      </c>
      <c r="I76" t="n">
        <v>0</v>
      </c>
      <c r="J76">
        <f>I76</f>
        <v/>
      </c>
      <c r="K76">
        <f>E76+(K75-E75)*(1-$B$3)+I76</f>
        <v/>
      </c>
      <c r="L76">
        <f>EXP(G76+$B$2*LN(K76))</f>
        <v/>
      </c>
      <c r="M76">
        <f>L76-H76</f>
        <v/>
      </c>
      <c r="N76">
        <f>F76*L76/H76</f>
        <v/>
      </c>
      <c r="O76">
        <f>(N76-N75)/N75*100</f>
        <v/>
      </c>
      <c r="P76">
        <f>(F76-F75)/F75*100</f>
        <v/>
      </c>
    </row>
    <row r="77">
      <c r="D77">
        <f>$A$36</f>
        <v/>
      </c>
      <c r="E77">
        <f>$A$36*F77</f>
        <v/>
      </c>
      <c r="F77">
        <f>WEO_Data!C51</f>
        <v/>
      </c>
      <c r="G77">
        <f>TREND($G$36:$G$57,$C$36:$C$57,C77)</f>
        <v/>
      </c>
      <c r="H77">
        <f>EXP(G77+$B$2*LN(E77))</f>
        <v/>
      </c>
      <c r="I77" t="n">
        <v>0</v>
      </c>
      <c r="J77">
        <f>I77</f>
        <v/>
      </c>
      <c r="K77">
        <f>E77+(K76-E76)*(1-$B$3)+I77</f>
        <v/>
      </c>
      <c r="L77">
        <f>EXP(G77+$B$2*LN(K77))</f>
        <v/>
      </c>
      <c r="M77">
        <f>L77-H77</f>
        <v/>
      </c>
      <c r="N77">
        <f>F77*L77/H77</f>
        <v/>
      </c>
      <c r="O77">
        <f>(N77-N76)/N76*100</f>
        <v/>
      </c>
      <c r="P77">
        <f>(F77-F76)/F76*100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 t="n">
        <v>82.816</v>
      </c>
      <c r="D36">
        <f>$D$35</f>
        <v/>
      </c>
    </row>
    <row r="37">
      <c r="B37" t="n">
        <v>2029</v>
      </c>
      <c r="C37" t="n">
        <v>86.95699999999999</v>
      </c>
      <c r="D37">
        <f>$D$35</f>
        <v/>
      </c>
    </row>
    <row r="38">
      <c r="B38" t="n">
        <v>2030</v>
      </c>
      <c r="C38" t="n">
        <v>91.30500000000001</v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2026-01-29T07:00:37Z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