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WT" sheetId="1" state="visible" r:id="rId1"/>
    <sheet name="CFC data" sheetId="2" state="visible" r:id="rId2"/>
    <sheet name="WEO_Data" sheetId="3" state="visible" r:id="rId3"/>
    <sheet name="Production" sheetId="4" state="visible" r:id="rId4"/>
    <sheet name="Investment" sheetId="5" state="visible" r:id="rId5"/>
    <sheet name="Full_Produ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#,##0.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Penn World Table Data - Georgia</t>
        </is>
      </c>
    </row>
    <row r="3">
      <c r="A3" s="2" t="inlineStr">
        <is>
          <t>Year</t>
        </is>
      </c>
      <c r="B3" s="2" t="inlineStr">
        <is>
          <t>Capital Stock (K)</t>
        </is>
      </c>
      <c r="C3" s="2" t="inlineStr">
        <is>
          <t>Real GDP (Y)</t>
        </is>
      </c>
      <c r="D3" s="2" t="inlineStr">
        <is>
          <t>Labor Input (L)</t>
        </is>
      </c>
    </row>
    <row r="4">
      <c r="A4" s="3" t="n">
        <v>2002</v>
      </c>
    </row>
    <row r="5">
      <c r="A5" s="3" t="n">
        <v>2003</v>
      </c>
    </row>
    <row r="6">
      <c r="A6" s="3" t="n">
        <v>2004</v>
      </c>
    </row>
    <row r="7">
      <c r="A7" s="3" t="n">
        <v>2005</v>
      </c>
    </row>
    <row r="8">
      <c r="A8" s="3" t="n">
        <v>2006</v>
      </c>
    </row>
    <row r="9">
      <c r="A9" s="3" t="n">
        <v>2007</v>
      </c>
    </row>
    <row r="10">
      <c r="A10" s="3" t="n">
        <v>2008</v>
      </c>
    </row>
    <row r="11">
      <c r="A11" s="3" t="n">
        <v>2009</v>
      </c>
    </row>
    <row r="12">
      <c r="A12" s="3" t="n">
        <v>2010</v>
      </c>
    </row>
    <row r="13">
      <c r="A13" s="3" t="n">
        <v>2011</v>
      </c>
    </row>
    <row r="14">
      <c r="A14" s="3" t="n">
        <v>2012</v>
      </c>
    </row>
    <row r="15">
      <c r="A15" s="3" t="n">
        <v>2013</v>
      </c>
    </row>
    <row r="16">
      <c r="A16" s="3" t="n">
        <v>2014</v>
      </c>
    </row>
    <row r="17">
      <c r="A17" s="3" t="n">
        <v>2015</v>
      </c>
    </row>
    <row r="18">
      <c r="A18" s="3" t="n">
        <v>2016</v>
      </c>
    </row>
    <row r="19">
      <c r="A19" s="3" t="n">
        <v>2017</v>
      </c>
    </row>
    <row r="20">
      <c r="A20" s="3" t="n">
        <v>2018</v>
      </c>
    </row>
    <row r="21">
      <c r="A21" s="3" t="n">
        <v>2019</v>
      </c>
    </row>
    <row r="22">
      <c r="A22" s="3" t="n">
        <v>2020</v>
      </c>
    </row>
    <row r="23">
      <c r="A23" s="3" t="n">
        <v>2021</v>
      </c>
    </row>
    <row r="24">
      <c r="A24" s="3" t="n">
        <v>2022</v>
      </c>
    </row>
    <row r="25">
      <c r="A25" s="3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ECB - Consumption of Fixed Capital (CFC) - Georgia</t>
        </is>
      </c>
    </row>
    <row r="3">
      <c r="A3" s="2" t="inlineStr">
        <is>
          <t>Year</t>
        </is>
      </c>
      <c r="B3" s="2" t="inlineStr">
        <is>
          <t>CFC (Annual)</t>
        </is>
      </c>
      <c r="C3" s="2" t="inlineStr">
        <is>
          <t>Capital Stock (K)</t>
        </is>
      </c>
      <c r="D3" s="2" t="inlineStr">
        <is>
          <t>Depreciation Rate</t>
        </is>
      </c>
    </row>
    <row r="4">
      <c r="A4" s="3" t="n">
        <v>2002</v>
      </c>
      <c r="C4">
        <f>PWT!B4</f>
        <v/>
      </c>
      <c r="D4" s="4">
        <f>B4/C4</f>
        <v/>
      </c>
    </row>
    <row r="5">
      <c r="A5" s="3" t="n">
        <v>2003</v>
      </c>
      <c r="C5">
        <f>PWT!B5</f>
        <v/>
      </c>
      <c r="D5" s="4">
        <f>B5/C5</f>
        <v/>
      </c>
    </row>
    <row r="6">
      <c r="A6" s="3" t="n">
        <v>2004</v>
      </c>
      <c r="C6">
        <f>PWT!B6</f>
        <v/>
      </c>
      <c r="D6" s="4">
        <f>B6/C6</f>
        <v/>
      </c>
    </row>
    <row r="7">
      <c r="A7" s="3" t="n">
        <v>2005</v>
      </c>
      <c r="C7">
        <f>PWT!B7</f>
        <v/>
      </c>
      <c r="D7" s="4">
        <f>B7/C7</f>
        <v/>
      </c>
    </row>
    <row r="8">
      <c r="A8" s="3" t="n">
        <v>2006</v>
      </c>
      <c r="C8">
        <f>PWT!B8</f>
        <v/>
      </c>
      <c r="D8" s="4">
        <f>B8/C8</f>
        <v/>
      </c>
    </row>
    <row r="9">
      <c r="A9" s="3" t="n">
        <v>2007</v>
      </c>
      <c r="C9">
        <f>PWT!B9</f>
        <v/>
      </c>
      <c r="D9" s="4">
        <f>B9/C9</f>
        <v/>
      </c>
    </row>
    <row r="10">
      <c r="A10" s="3" t="n">
        <v>2008</v>
      </c>
      <c r="C10">
        <f>PWT!B10</f>
        <v/>
      </c>
      <c r="D10" s="4">
        <f>B10/C10</f>
        <v/>
      </c>
    </row>
    <row r="11">
      <c r="A11" s="3" t="n">
        <v>2009</v>
      </c>
      <c r="C11">
        <f>PWT!B11</f>
        <v/>
      </c>
      <c r="D11" s="4">
        <f>B11/C11</f>
        <v/>
      </c>
    </row>
    <row r="12">
      <c r="A12" s="3" t="n">
        <v>2010</v>
      </c>
      <c r="C12">
        <f>PWT!B12</f>
        <v/>
      </c>
      <c r="D12" s="4">
        <f>B12/C12</f>
        <v/>
      </c>
    </row>
    <row r="13">
      <c r="A13" s="3" t="n">
        <v>2011</v>
      </c>
      <c r="C13">
        <f>PWT!B13</f>
        <v/>
      </c>
      <c r="D13" s="4">
        <f>B13/C13</f>
        <v/>
      </c>
    </row>
    <row r="14">
      <c r="A14" s="3" t="n">
        <v>2012</v>
      </c>
      <c r="C14">
        <f>PWT!B14</f>
        <v/>
      </c>
      <c r="D14" s="4">
        <f>B14/C14</f>
        <v/>
      </c>
    </row>
    <row r="15">
      <c r="A15" s="3" t="n">
        <v>2013</v>
      </c>
      <c r="C15">
        <f>PWT!B15</f>
        <v/>
      </c>
      <c r="D15" s="4">
        <f>B15/C15</f>
        <v/>
      </c>
    </row>
    <row r="16">
      <c r="A16" s="3" t="n">
        <v>2014</v>
      </c>
      <c r="C16">
        <f>PWT!B16</f>
        <v/>
      </c>
      <c r="D16" s="4">
        <f>B16/C16</f>
        <v/>
      </c>
    </row>
    <row r="17">
      <c r="A17" s="3" t="n">
        <v>2015</v>
      </c>
      <c r="C17">
        <f>PWT!B17</f>
        <v/>
      </c>
      <c r="D17" s="4">
        <f>B17/C17</f>
        <v/>
      </c>
    </row>
    <row r="18">
      <c r="A18" s="3" t="n">
        <v>2016</v>
      </c>
      <c r="C18">
        <f>PWT!B18</f>
        <v/>
      </c>
      <c r="D18" s="4">
        <f>B18/C18</f>
        <v/>
      </c>
    </row>
    <row r="19">
      <c r="A19" s="3" t="n">
        <v>2017</v>
      </c>
      <c r="C19">
        <f>PWT!B19</f>
        <v/>
      </c>
      <c r="D19" s="4">
        <f>B19/C19</f>
        <v/>
      </c>
    </row>
    <row r="20">
      <c r="A20" s="3" t="n">
        <v>2018</v>
      </c>
      <c r="C20">
        <f>PWT!B20</f>
        <v/>
      </c>
      <c r="D20" s="4">
        <f>B20/C20</f>
        <v/>
      </c>
    </row>
    <row r="21">
      <c r="A21" s="3" t="n">
        <v>2019</v>
      </c>
      <c r="C21">
        <f>PWT!B21</f>
        <v/>
      </c>
      <c r="D21" s="4">
        <f>B21/C21</f>
        <v/>
      </c>
    </row>
    <row r="22">
      <c r="A22" s="3" t="n">
        <v>2020</v>
      </c>
      <c r="C22">
        <f>PWT!B22</f>
        <v/>
      </c>
      <c r="D22" s="4">
        <f>B22/C22</f>
        <v/>
      </c>
    </row>
    <row r="23">
      <c r="A23" s="3" t="n">
        <v>2021</v>
      </c>
      <c r="C23">
        <f>PWT!B23</f>
        <v/>
      </c>
      <c r="D23" s="4">
        <f>B23/C23</f>
        <v/>
      </c>
    </row>
    <row r="24">
      <c r="A24" s="3" t="n">
        <v>2022</v>
      </c>
      <c r="C24">
        <f>PWT!B24</f>
        <v/>
      </c>
      <c r="D24" s="4">
        <f>B24/C24</f>
        <v/>
      </c>
    </row>
    <row r="25">
      <c r="A25" s="3" t="n">
        <v>2023</v>
      </c>
      <c r="C25">
        <f>PWT!B25</f>
        <v/>
      </c>
      <c r="D25" s="4">
        <f>B25/C25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</cols>
  <sheetData>
    <row r="1">
      <c r="A1" s="1" t="inlineStr">
        <is>
          <t>IMF World Economic Outlook Data - Georgia</t>
        </is>
      </c>
    </row>
    <row r="3">
      <c r="A3" s="2" t="inlineStr">
        <is>
          <t>Year</t>
        </is>
      </c>
      <c r="B3" s="2" t="inlineStr">
        <is>
          <t>Real GDP Level</t>
        </is>
      </c>
      <c r="C3" s="2" t="inlineStr">
        <is>
          <t>Real GDP Growth Rate</t>
        </is>
      </c>
      <c r="D3" s="2" t="inlineStr">
        <is>
          <t>Projected Real GDP</t>
        </is>
      </c>
    </row>
    <row r="4">
      <c r="A4" s="3" t="n">
        <v>2000</v>
      </c>
      <c r="B4" s="7" t="n">
        <v>7.8</v>
      </c>
      <c r="C4" s="8" t="n">
        <v>0.019</v>
      </c>
      <c r="D4" s="7" t="n">
        <v>7.8</v>
      </c>
    </row>
    <row r="5">
      <c r="A5" s="3" t="n">
        <v>2001</v>
      </c>
      <c r="B5" s="7" t="n">
        <v>8.1</v>
      </c>
      <c r="C5" s="8" t="n">
        <v>0.046</v>
      </c>
      <c r="D5" s="7" t="n">
        <v>8.1</v>
      </c>
    </row>
    <row r="6">
      <c r="A6" s="3" t="n">
        <v>2002</v>
      </c>
      <c r="B6" s="7" t="n">
        <v>8.529299999999999</v>
      </c>
      <c r="C6" s="8" t="n">
        <v>0.053</v>
      </c>
      <c r="D6" s="7" t="n">
        <v>8.529299999999999</v>
      </c>
    </row>
    <row r="7">
      <c r="A7" s="3" t="n">
        <v>2003</v>
      </c>
      <c r="B7" s="7" t="n">
        <v>9.134880299999999</v>
      </c>
      <c r="C7" s="8" t="n">
        <v>0.07099999999999999</v>
      </c>
      <c r="D7" s="7" t="n">
        <v>9.134880299999999</v>
      </c>
    </row>
    <row r="8">
      <c r="A8" s="3" t="n">
        <v>2004</v>
      </c>
      <c r="B8" s="7" t="n">
        <v>9.8108614422</v>
      </c>
      <c r="C8" s="8" t="n">
        <v>0.074</v>
      </c>
      <c r="D8" s="7" t="n">
        <v>9.8108614422</v>
      </c>
    </row>
    <row r="9">
      <c r="A9" s="3" t="n">
        <v>2005</v>
      </c>
      <c r="B9" s="7" t="n">
        <v>10.5074326045962</v>
      </c>
      <c r="C9" s="8" t="n">
        <v>0.07099999999999999</v>
      </c>
      <c r="D9" s="7" t="n">
        <v>10.5074326045962</v>
      </c>
    </row>
    <row r="10">
      <c r="A10" s="3" t="n">
        <v>2006</v>
      </c>
      <c r="B10" s="7" t="n">
        <v>11.35853464556849</v>
      </c>
      <c r="C10" s="8" t="n">
        <v>0.081</v>
      </c>
      <c r="D10" s="7" t="n">
        <v>11.35853464556849</v>
      </c>
    </row>
    <row r="11">
      <c r="A11" s="3" t="n">
        <v>2007</v>
      </c>
      <c r="B11" s="7" t="n">
        <v>12.44895397154307</v>
      </c>
      <c r="C11" s="8" t="n">
        <v>0.096</v>
      </c>
      <c r="D11" s="7" t="n">
        <v>12.44895397154307</v>
      </c>
    </row>
    <row r="12">
      <c r="A12" s="3" t="n">
        <v>2008</v>
      </c>
      <c r="B12" s="7" t="n">
        <v>12.8348715446609</v>
      </c>
      <c r="C12" s="8" t="n">
        <v>0.031</v>
      </c>
      <c r="D12" s="7" t="n">
        <v>12.8348715446609</v>
      </c>
    </row>
    <row r="13">
      <c r="A13" s="3" t="n">
        <v>2009</v>
      </c>
      <c r="B13" s="7" t="n">
        <v>11.98777002271328</v>
      </c>
      <c r="C13" s="8" t="n">
        <v>-0.066</v>
      </c>
      <c r="D13" s="7" t="n">
        <v>11.98777002271328</v>
      </c>
    </row>
    <row r="14">
      <c r="A14" s="3" t="n">
        <v>2010</v>
      </c>
      <c r="B14" s="7" t="n">
        <v>12.71902399409879</v>
      </c>
      <c r="C14" s="8" t="n">
        <v>0.061</v>
      </c>
      <c r="D14" s="7" t="n">
        <v>12.71902399409879</v>
      </c>
    </row>
    <row r="15">
      <c r="A15" s="3" t="n">
        <v>2011</v>
      </c>
      <c r="B15" s="7" t="n">
        <v>13.52032250572701</v>
      </c>
      <c r="C15" s="8" t="n">
        <v>0.063</v>
      </c>
      <c r="D15" s="7" t="n">
        <v>13.52032250572701</v>
      </c>
    </row>
    <row r="16">
      <c r="A16" s="3" t="n">
        <v>2012</v>
      </c>
      <c r="B16" s="7" t="n">
        <v>14.38562314609354</v>
      </c>
      <c r="C16" s="8" t="n">
        <v>0.064</v>
      </c>
      <c r="D16" s="7" t="n">
        <v>14.38562314609354</v>
      </c>
    </row>
    <row r="17">
      <c r="A17" s="3" t="n">
        <v>2013</v>
      </c>
      <c r="B17" s="7" t="n">
        <v>14.917891202499</v>
      </c>
      <c r="C17" s="8" t="n">
        <v>0.037</v>
      </c>
      <c r="D17" s="7" t="n">
        <v>14.917891202499</v>
      </c>
    </row>
    <row r="18">
      <c r="A18" s="3" t="n">
        <v>2014</v>
      </c>
      <c r="B18" s="7" t="n">
        <v>14.36592922800654</v>
      </c>
      <c r="C18" s="8" t="n">
        <v>-0.037</v>
      </c>
      <c r="D18" s="7" t="n">
        <v>14.36592922800654</v>
      </c>
    </row>
    <row r="19">
      <c r="A19" s="3" t="n">
        <v>2015</v>
      </c>
      <c r="B19" s="7" t="n">
        <v>15.29971462782696</v>
      </c>
      <c r="C19" s="8" t="n">
        <v>0.065</v>
      </c>
      <c r="D19" s="7" t="n">
        <v>15.29971462782696</v>
      </c>
    </row>
    <row r="20">
      <c r="A20" s="3" t="n">
        <v>2016</v>
      </c>
      <c r="B20" s="7" t="n">
        <v>16.52369179805312</v>
      </c>
      <c r="C20" s="8" t="n">
        <v>0.08</v>
      </c>
      <c r="D20" s="7" t="n">
        <v>16.52369179805312</v>
      </c>
    </row>
    <row r="21">
      <c r="A21" s="3" t="n">
        <v>2017</v>
      </c>
      <c r="B21" s="7" t="n">
        <v>17.92820560088764</v>
      </c>
      <c r="C21" s="8" t="n">
        <v>0.08500000000000001</v>
      </c>
      <c r="D21" s="7" t="n">
        <v>17.92820560088764</v>
      </c>
    </row>
    <row r="22">
      <c r="A22" s="3" t="n">
        <v>2018</v>
      </c>
      <c r="B22" s="7" t="n">
        <v>19.4341748713622</v>
      </c>
      <c r="C22" s="8" t="n">
        <v>0.08400000000000001</v>
      </c>
      <c r="D22" s="7" t="n">
        <v>19.4341748713622</v>
      </c>
    </row>
    <row r="23">
      <c r="A23" s="3" t="n">
        <v>2019</v>
      </c>
      <c r="B23" s="7" t="n">
        <v>20.83343546210028</v>
      </c>
      <c r="C23" s="8" t="n">
        <v>0.07199999999999999</v>
      </c>
      <c r="D23" s="7" t="n">
        <v>20.83343546210028</v>
      </c>
    </row>
    <row r="24">
      <c r="A24" s="3" t="n">
        <v>2020</v>
      </c>
      <c r="B24" s="7" t="n">
        <v>19.02092657689755</v>
      </c>
      <c r="C24" s="8" t="n">
        <v>-0.08699999999999999</v>
      </c>
      <c r="D24" s="7" t="n">
        <v>19.02092657689755</v>
      </c>
    </row>
    <row r="25">
      <c r="A25" s="3" t="n">
        <v>2021</v>
      </c>
      <c r="B25" s="7" t="n">
        <v>21.0371447940487</v>
      </c>
      <c r="C25" s="8" t="n">
        <v>0.106</v>
      </c>
      <c r="D25" s="7" t="n">
        <v>21.0371447940487</v>
      </c>
    </row>
    <row r="26">
      <c r="A26" s="3" t="n">
        <v>2022</v>
      </c>
      <c r="B26" s="7" t="n">
        <v>22.6359677983964</v>
      </c>
      <c r="C26" s="8" t="n">
        <v>0.076</v>
      </c>
      <c r="D26" s="7" t="n">
        <v>22.6359677983964</v>
      </c>
    </row>
    <row r="27">
      <c r="A27" s="3" t="n">
        <v>2023</v>
      </c>
      <c r="B27" s="7" t="n">
        <v>24.69584086805047</v>
      </c>
      <c r="C27" s="8" t="n">
        <v>0.091</v>
      </c>
      <c r="D27" s="7" t="n">
        <v>24.69584086805047</v>
      </c>
    </row>
    <row r="28">
      <c r="A28" s="3" t="n">
        <v>2024</v>
      </c>
      <c r="B28" s="7" t="n">
        <v>27.01724990964722</v>
      </c>
      <c r="C28" s="8" t="n">
        <v>0.094</v>
      </c>
      <c r="D28" s="7" t="n">
        <v>27.01724990964722</v>
      </c>
    </row>
    <row r="29">
      <c r="A29" s="3" t="n">
        <v>2025</v>
      </c>
      <c r="B29" s="7" t="n">
        <v>28.90845740332252</v>
      </c>
      <c r="C29" s="8" t="n">
        <v>0.07000000000000001</v>
      </c>
      <c r="D29" s="7" t="n">
        <v>28.90845740332252</v>
      </c>
    </row>
    <row r="30">
      <c r="A30" s="3" t="n">
        <v>2026</v>
      </c>
      <c r="B30" s="7" t="n">
        <v>30.49842256050526</v>
      </c>
      <c r="C30" s="8" t="n">
        <v>0.055</v>
      </c>
      <c r="D30" s="7" t="n">
        <v>30.49842256050526</v>
      </c>
    </row>
    <row r="31">
      <c r="A31" s="3" t="n">
        <v>2027</v>
      </c>
      <c r="C31" s="8" t="n">
        <v>0.05</v>
      </c>
      <c r="D31" s="7">
        <f>D30*(1+C31)</f>
        <v/>
      </c>
    </row>
    <row r="32">
      <c r="A32" s="3" t="n">
        <v>2028</v>
      </c>
      <c r="C32" s="8" t="n">
        <v>0.05</v>
      </c>
      <c r="D32" s="7">
        <f>D31*(1+C32)</f>
        <v/>
      </c>
    </row>
    <row r="33">
      <c r="A33" s="3" t="n">
        <v>2029</v>
      </c>
      <c r="C33" s="8" t="n">
        <v>0.05</v>
      </c>
      <c r="D33" s="7">
        <f>D32*(1+C33)</f>
        <v/>
      </c>
    </row>
    <row r="34">
      <c r="A34" s="3" t="n">
        <v>2030</v>
      </c>
      <c r="C34" s="8" t="n">
        <v>0.05</v>
      </c>
      <c r="D34" s="7">
        <f>D33*(1+C34)</f>
        <v/>
      </c>
    </row>
    <row r="35">
      <c r="A35" s="3" t="n">
        <v>2031</v>
      </c>
      <c r="C35" s="8" t="n">
        <v>0.05</v>
      </c>
      <c r="D35" s="7">
        <f>D34*(1+C35)</f>
        <v/>
      </c>
    </row>
    <row r="36">
      <c r="A36" s="3" t="n">
        <v>2032</v>
      </c>
      <c r="C36" s="8" t="n">
        <v>0.05</v>
      </c>
      <c r="D36" s="7">
        <f>D35*(1+C36)</f>
        <v/>
      </c>
    </row>
    <row r="37">
      <c r="A37" s="3" t="n">
        <v>2033</v>
      </c>
      <c r="C37" s="8" t="n">
        <v>0.05</v>
      </c>
      <c r="D37" s="7">
        <f>D36*(1+C37)</f>
        <v/>
      </c>
    </row>
    <row r="38">
      <c r="A38" s="3" t="n">
        <v>2034</v>
      </c>
      <c r="C38" s="8" t="n">
        <v>0.05</v>
      </c>
      <c r="D38" s="7">
        <f>D37*(1+C38)</f>
        <v/>
      </c>
    </row>
    <row r="39">
      <c r="A39" s="3" t="n">
        <v>2035</v>
      </c>
      <c r="C39" s="8" t="n">
        <v>0.05</v>
      </c>
      <c r="D39" s="7">
        <f>D38*(1+C39)</f>
        <v/>
      </c>
    </row>
    <row r="40">
      <c r="A40" s="3" t="n">
        <v>2036</v>
      </c>
      <c r="C40" s="8" t="n">
        <v>0.05</v>
      </c>
      <c r="D40" s="7">
        <f>D39*(1+C40)</f>
        <v/>
      </c>
    </row>
    <row r="41">
      <c r="A41" s="3" t="n">
        <v>2037</v>
      </c>
      <c r="C41" s="8" t="n">
        <v>0.05</v>
      </c>
      <c r="D41" s="7">
        <f>D40*(1+C41)</f>
        <v/>
      </c>
    </row>
    <row r="42">
      <c r="A42" s="3" t="n">
        <v>2038</v>
      </c>
      <c r="C42" s="8" t="n">
        <v>0.05</v>
      </c>
      <c r="D42" s="7">
        <f>D41*(1+C42)</f>
        <v/>
      </c>
    </row>
    <row r="43">
      <c r="A43" s="3" t="n">
        <v>2039</v>
      </c>
      <c r="C43" s="8" t="n">
        <v>0.05</v>
      </c>
      <c r="D43" s="7">
        <f>D42*(1+C43)</f>
        <v/>
      </c>
    </row>
    <row r="44">
      <c r="A44" s="3" t="n">
        <v>2040</v>
      </c>
      <c r="C44" s="8" t="n">
        <v>0.05</v>
      </c>
      <c r="D44" s="7">
        <f>D43*(1+C44)</f>
        <v/>
      </c>
    </row>
    <row r="45">
      <c r="A45" s="3" t="n">
        <v>2041</v>
      </c>
      <c r="C45" s="8" t="n">
        <v>0.05</v>
      </c>
      <c r="D45" s="7">
        <f>D44*(1+C45)</f>
        <v/>
      </c>
    </row>
    <row r="46">
      <c r="A46" s="3" t="n">
        <v>2042</v>
      </c>
      <c r="C46" s="8" t="n">
        <v>0.05</v>
      </c>
      <c r="D46" s="7">
        <f>D45*(1+C46)</f>
        <v/>
      </c>
    </row>
    <row r="47">
      <c r="A47" s="3" t="n">
        <v>2043</v>
      </c>
      <c r="C47" s="8" t="n">
        <v>0.05</v>
      </c>
      <c r="D47" s="7">
        <f>D46*(1+C47)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Production Function Analysis</t>
        </is>
      </c>
    </row>
    <row r="3">
      <c r="A3" t="inlineStr">
        <is>
          <t>Annual Depreciation Rate (δ)</t>
        </is>
      </c>
      <c r="B3" s="4">
        <f>AVERAGE('CFC data'!D23:D30)</f>
        <v/>
      </c>
    </row>
    <row r="6">
      <c r="A6" s="2" t="inlineStr">
        <is>
          <t>Year</t>
        </is>
      </c>
      <c r="B6" s="2" t="inlineStr">
        <is>
          <t>K (Capital)</t>
        </is>
      </c>
      <c r="C6" s="2" t="inlineStr">
        <is>
          <t>Y (Real GDP)</t>
        </is>
      </c>
      <c r="D6" s="2" t="inlineStr">
        <is>
          <t>K (from PWT)</t>
        </is>
      </c>
      <c r="E6" s="2" t="inlineStr">
        <is>
          <t>Y (from WEO)</t>
        </is>
      </c>
      <c r="F6" s="2" t="inlineStr">
        <is>
          <t>LnK</t>
        </is>
      </c>
      <c r="G6" s="2" t="inlineStr">
        <is>
          <t>LnY</t>
        </is>
      </c>
      <c r="H6" s="2" t="inlineStr">
        <is>
          <t>LnZ</t>
        </is>
      </c>
    </row>
    <row r="7">
      <c r="A7" s="3" t="n">
        <v>2002</v>
      </c>
      <c r="D7" s="7">
        <f>PWT!B4</f>
        <v/>
      </c>
      <c r="E7" s="7">
        <f>WEO_Data!D6</f>
        <v/>
      </c>
      <c r="F7" s="4">
        <f>LN(D7)</f>
        <v/>
      </c>
      <c r="G7" s="4">
        <f>LN(E7)</f>
        <v/>
      </c>
      <c r="H7" s="4">
        <f>G7-0.35*F7</f>
        <v/>
      </c>
    </row>
    <row r="8">
      <c r="A8" s="3" t="n">
        <v>2003</v>
      </c>
      <c r="D8" s="7">
        <f>PWT!B5</f>
        <v/>
      </c>
      <c r="E8" s="7">
        <f>WEO_Data!D7</f>
        <v/>
      </c>
      <c r="F8" s="4">
        <f>LN(D8)</f>
        <v/>
      </c>
      <c r="G8" s="4">
        <f>LN(E8)</f>
        <v/>
      </c>
      <c r="H8" s="4">
        <f>G8-0.35*F8</f>
        <v/>
      </c>
    </row>
    <row r="9">
      <c r="A9" s="3" t="n">
        <v>2004</v>
      </c>
      <c r="D9" s="7">
        <f>PWT!B6</f>
        <v/>
      </c>
      <c r="E9" s="7">
        <f>WEO_Data!D8</f>
        <v/>
      </c>
      <c r="F9" s="4">
        <f>LN(D9)</f>
        <v/>
      </c>
      <c r="G9" s="4">
        <f>LN(E9)</f>
        <v/>
      </c>
      <c r="H9" s="4">
        <f>G9-0.35*F9</f>
        <v/>
      </c>
    </row>
    <row r="10">
      <c r="A10" s="3" t="n">
        <v>2005</v>
      </c>
      <c r="D10" s="7">
        <f>PWT!B7</f>
        <v/>
      </c>
      <c r="E10" s="7">
        <f>WEO_Data!D9</f>
        <v/>
      </c>
      <c r="F10" s="4">
        <f>LN(D10)</f>
        <v/>
      </c>
      <c r="G10" s="4">
        <f>LN(E10)</f>
        <v/>
      </c>
      <c r="H10" s="4">
        <f>G10-0.35*F10</f>
        <v/>
      </c>
    </row>
    <row r="11">
      <c r="A11" s="3" t="n">
        <v>2006</v>
      </c>
      <c r="D11" s="7">
        <f>PWT!B8</f>
        <v/>
      </c>
      <c r="E11" s="7">
        <f>WEO_Data!D10</f>
        <v/>
      </c>
      <c r="F11" s="4">
        <f>LN(D11)</f>
        <v/>
      </c>
      <c r="G11" s="4">
        <f>LN(E11)</f>
        <v/>
      </c>
      <c r="H11" s="4">
        <f>G11-0.35*F11</f>
        <v/>
      </c>
    </row>
    <row r="12">
      <c r="A12" s="3" t="n">
        <v>2007</v>
      </c>
      <c r="D12" s="7">
        <f>PWT!B9</f>
        <v/>
      </c>
      <c r="E12" s="7">
        <f>WEO_Data!D11</f>
        <v/>
      </c>
      <c r="F12" s="4">
        <f>LN(D12)</f>
        <v/>
      </c>
      <c r="G12" s="4">
        <f>LN(E12)</f>
        <v/>
      </c>
      <c r="H12" s="4">
        <f>G12-0.35*F12</f>
        <v/>
      </c>
    </row>
    <row r="13">
      <c r="A13" s="3" t="n">
        <v>2008</v>
      </c>
      <c r="D13" s="7">
        <f>PWT!B10</f>
        <v/>
      </c>
      <c r="E13" s="7">
        <f>WEO_Data!D12</f>
        <v/>
      </c>
      <c r="F13" s="4">
        <f>LN(D13)</f>
        <v/>
      </c>
      <c r="G13" s="4">
        <f>LN(E13)</f>
        <v/>
      </c>
      <c r="H13" s="4">
        <f>G13-0.35*F13</f>
        <v/>
      </c>
    </row>
    <row r="14">
      <c r="A14" s="3" t="n">
        <v>2009</v>
      </c>
      <c r="D14" s="7">
        <f>PWT!B11</f>
        <v/>
      </c>
      <c r="E14" s="7">
        <f>WEO_Data!D13</f>
        <v/>
      </c>
      <c r="F14" s="4">
        <f>LN(D14)</f>
        <v/>
      </c>
      <c r="G14" s="4">
        <f>LN(E14)</f>
        <v/>
      </c>
      <c r="H14" s="4">
        <f>G14-0.35*F14</f>
        <v/>
      </c>
    </row>
    <row r="15">
      <c r="A15" s="3" t="n">
        <v>2010</v>
      </c>
      <c r="D15" s="7">
        <f>PWT!B12</f>
        <v/>
      </c>
      <c r="E15" s="7">
        <f>WEO_Data!D14</f>
        <v/>
      </c>
      <c r="F15" s="4">
        <f>LN(D15)</f>
        <v/>
      </c>
      <c r="G15" s="4">
        <f>LN(E15)</f>
        <v/>
      </c>
      <c r="H15" s="4">
        <f>G15-0.35*F15</f>
        <v/>
      </c>
    </row>
    <row r="16">
      <c r="A16" s="3" t="n">
        <v>2011</v>
      </c>
      <c r="D16" s="7">
        <f>PWT!B13</f>
        <v/>
      </c>
      <c r="E16" s="7">
        <f>WEO_Data!D15</f>
        <v/>
      </c>
      <c r="F16" s="4">
        <f>LN(D16)</f>
        <v/>
      </c>
      <c r="G16" s="4">
        <f>LN(E16)</f>
        <v/>
      </c>
      <c r="H16" s="4">
        <f>G16-0.35*F16</f>
        <v/>
      </c>
    </row>
    <row r="17">
      <c r="A17" s="3" t="n">
        <v>2012</v>
      </c>
      <c r="D17" s="7">
        <f>PWT!B14</f>
        <v/>
      </c>
      <c r="E17" s="7">
        <f>WEO_Data!D16</f>
        <v/>
      </c>
      <c r="F17" s="4">
        <f>LN(D17)</f>
        <v/>
      </c>
      <c r="G17" s="4">
        <f>LN(E17)</f>
        <v/>
      </c>
      <c r="H17" s="4">
        <f>G17-0.35*F17</f>
        <v/>
      </c>
    </row>
    <row r="18">
      <c r="A18" s="3" t="n">
        <v>2013</v>
      </c>
      <c r="D18" s="7">
        <f>PWT!B15</f>
        <v/>
      </c>
      <c r="E18" s="7">
        <f>WEO_Data!D17</f>
        <v/>
      </c>
      <c r="F18" s="4">
        <f>LN(D18)</f>
        <v/>
      </c>
      <c r="G18" s="4">
        <f>LN(E18)</f>
        <v/>
      </c>
      <c r="H18" s="4">
        <f>G18-0.35*F18</f>
        <v/>
      </c>
    </row>
    <row r="19">
      <c r="A19" s="3" t="n">
        <v>2014</v>
      </c>
      <c r="D19" s="7">
        <f>PWT!B16</f>
        <v/>
      </c>
      <c r="E19" s="7">
        <f>WEO_Data!D18</f>
        <v/>
      </c>
      <c r="F19" s="4">
        <f>LN(D19)</f>
        <v/>
      </c>
      <c r="G19" s="4">
        <f>LN(E19)</f>
        <v/>
      </c>
      <c r="H19" s="4">
        <f>G19-0.35*F19</f>
        <v/>
      </c>
    </row>
    <row r="20">
      <c r="A20" s="3" t="n">
        <v>2015</v>
      </c>
      <c r="D20" s="7">
        <f>PWT!B17</f>
        <v/>
      </c>
      <c r="E20" s="7">
        <f>WEO_Data!D19</f>
        <v/>
      </c>
      <c r="F20" s="4">
        <f>LN(D20)</f>
        <v/>
      </c>
      <c r="G20" s="4">
        <f>LN(E20)</f>
        <v/>
      </c>
      <c r="H20" s="4">
        <f>G20-0.35*F20</f>
        <v/>
      </c>
    </row>
    <row r="21">
      <c r="A21" s="3" t="n">
        <v>2016</v>
      </c>
      <c r="D21" s="7">
        <f>PWT!B18</f>
        <v/>
      </c>
      <c r="E21" s="7">
        <f>WEO_Data!D20</f>
        <v/>
      </c>
      <c r="F21" s="4">
        <f>LN(D21)</f>
        <v/>
      </c>
      <c r="G21" s="4">
        <f>LN(E21)</f>
        <v/>
      </c>
      <c r="H21" s="4">
        <f>G21-0.35*F21</f>
        <v/>
      </c>
    </row>
    <row r="22">
      <c r="A22" s="3" t="n">
        <v>2017</v>
      </c>
      <c r="D22" s="7">
        <f>PWT!B19</f>
        <v/>
      </c>
      <c r="E22" s="7">
        <f>WEO_Data!D21</f>
        <v/>
      </c>
      <c r="F22" s="4">
        <f>LN(D22)</f>
        <v/>
      </c>
      <c r="G22" s="4">
        <f>LN(E22)</f>
        <v/>
      </c>
      <c r="H22" s="4">
        <f>G22-0.35*F22</f>
        <v/>
      </c>
    </row>
    <row r="23">
      <c r="A23" s="3" t="n">
        <v>2018</v>
      </c>
      <c r="D23" s="7">
        <f>PWT!B20</f>
        <v/>
      </c>
      <c r="E23" s="7">
        <f>WEO_Data!D22</f>
        <v/>
      </c>
      <c r="F23" s="4">
        <f>LN(D23)</f>
        <v/>
      </c>
      <c r="G23" s="4">
        <f>LN(E23)</f>
        <v/>
      </c>
      <c r="H23" s="4">
        <f>G23-0.35*F23</f>
        <v/>
      </c>
    </row>
    <row r="24">
      <c r="A24" s="3" t="n">
        <v>2019</v>
      </c>
      <c r="D24" s="7">
        <f>PWT!B21</f>
        <v/>
      </c>
      <c r="E24" s="7">
        <f>WEO_Data!D23</f>
        <v/>
      </c>
      <c r="F24" s="4">
        <f>LN(D24)</f>
        <v/>
      </c>
      <c r="G24" s="4">
        <f>LN(E24)</f>
        <v/>
      </c>
      <c r="H24" s="4">
        <f>G24-0.35*F24</f>
        <v/>
      </c>
    </row>
    <row r="25">
      <c r="A25" s="3" t="n">
        <v>2020</v>
      </c>
      <c r="D25" s="7">
        <f>PWT!B22</f>
        <v/>
      </c>
      <c r="E25" s="7">
        <f>WEO_Data!D24</f>
        <v/>
      </c>
      <c r="F25" s="4">
        <f>LN(D25)</f>
        <v/>
      </c>
      <c r="G25" s="4">
        <f>LN(E25)</f>
        <v/>
      </c>
      <c r="H25" s="4">
        <f>G25-0.35*F25</f>
        <v/>
      </c>
    </row>
    <row r="26">
      <c r="A26" s="3" t="n">
        <v>2021</v>
      </c>
      <c r="D26" s="7">
        <f>PWT!B23</f>
        <v/>
      </c>
      <c r="E26" s="7">
        <f>WEO_Data!D25</f>
        <v/>
      </c>
      <c r="F26" s="4">
        <f>LN(D26)</f>
        <v/>
      </c>
      <c r="G26" s="4">
        <f>LN(E26)</f>
        <v/>
      </c>
      <c r="H26" s="4">
        <f>G26-0.35*F26</f>
        <v/>
      </c>
    </row>
    <row r="27">
      <c r="A27" s="3" t="n">
        <v>2022</v>
      </c>
      <c r="D27" s="7">
        <f>PWT!B24</f>
        <v/>
      </c>
      <c r="E27" s="7">
        <f>WEO_Data!D26</f>
        <v/>
      </c>
      <c r="F27" s="4">
        <f>LN(D27)</f>
        <v/>
      </c>
      <c r="G27" s="4">
        <f>LN(E27)</f>
        <v/>
      </c>
      <c r="H27" s="4">
        <f>G27-0.35*F27</f>
        <v/>
      </c>
    </row>
    <row r="28">
      <c r="A28" s="3" t="n">
        <v>2023</v>
      </c>
      <c r="D28" s="7">
        <f>PWT!B25</f>
        <v/>
      </c>
      <c r="E28" s="7">
        <f>WEO_Data!D27</f>
        <v/>
      </c>
      <c r="F28" s="4">
        <f>LN(D28)</f>
        <v/>
      </c>
      <c r="G28" s="4">
        <f>LN(E28)</f>
        <v/>
      </c>
      <c r="H28" s="4">
        <f>G28-0.35*F28</f>
        <v/>
      </c>
    </row>
    <row r="31">
      <c r="A31" s="6" t="inlineStr">
        <is>
          <t>HP FILTER ANALYSIS</t>
        </is>
      </c>
    </row>
    <row r="33">
      <c r="A33" s="2" t="inlineStr">
        <is>
          <t>Year</t>
        </is>
      </c>
      <c r="B33" s="2" t="inlineStr">
        <is>
          <t>LnZ</t>
        </is>
      </c>
      <c r="C33" s="2" t="inlineStr">
        <is>
          <t>LnZ_HP</t>
        </is>
      </c>
      <c r="D33" s="2" t="inlineStr">
        <is>
          <t>2nd Diff</t>
        </is>
      </c>
      <c r="E33" s="2" t="inlineStr">
        <is>
          <t>LnA-Trend</t>
        </is>
      </c>
    </row>
    <row r="34">
      <c r="A34" s="3" t="n">
        <v>2002</v>
      </c>
      <c r="B34" s="4">
        <f>H7</f>
        <v/>
      </c>
      <c r="C34" s="4">
        <f>B34</f>
        <v/>
      </c>
      <c r="D34" s="4" t="n"/>
      <c r="E34" s="4">
        <f>B34-C34</f>
        <v/>
      </c>
    </row>
    <row r="35">
      <c r="A35" s="3" t="n">
        <v>2003</v>
      </c>
      <c r="B35" s="4">
        <f>H8</f>
        <v/>
      </c>
      <c r="C35" s="4">
        <f>B35</f>
        <v/>
      </c>
      <c r="D35" s="4" t="n"/>
      <c r="E35" s="4">
        <f>B35-C35</f>
        <v/>
      </c>
    </row>
    <row r="36">
      <c r="A36" s="3" t="n">
        <v>2004</v>
      </c>
      <c r="B36" s="4">
        <f>H9</f>
        <v/>
      </c>
      <c r="C36" s="4">
        <f>B36</f>
        <v/>
      </c>
      <c r="D36" s="4">
        <f>C36-2*C35+C34</f>
        <v/>
      </c>
      <c r="E36" s="4">
        <f>B36-C36</f>
        <v/>
      </c>
    </row>
    <row r="37">
      <c r="A37" s="3" t="n">
        <v>2005</v>
      </c>
      <c r="B37" s="4">
        <f>H10</f>
        <v/>
      </c>
      <c r="C37" s="4">
        <f>B37</f>
        <v/>
      </c>
      <c r="D37" s="4">
        <f>C37-2*C36+C35</f>
        <v/>
      </c>
      <c r="E37" s="4">
        <f>B37-C37</f>
        <v/>
      </c>
    </row>
    <row r="38">
      <c r="A38" s="3" t="n">
        <v>2006</v>
      </c>
      <c r="B38" s="4">
        <f>H11</f>
        <v/>
      </c>
      <c r="C38" s="4">
        <f>B38</f>
        <v/>
      </c>
      <c r="D38" s="4">
        <f>C38-2*C37+C36</f>
        <v/>
      </c>
      <c r="E38" s="4">
        <f>B38-C38</f>
        <v/>
      </c>
    </row>
    <row r="39">
      <c r="A39" s="3" t="n">
        <v>2007</v>
      </c>
      <c r="B39" s="4">
        <f>H12</f>
        <v/>
      </c>
      <c r="C39" s="4">
        <f>B39</f>
        <v/>
      </c>
      <c r="D39" s="4">
        <f>C39-2*C38+C37</f>
        <v/>
      </c>
      <c r="E39" s="4">
        <f>B39-C39</f>
        <v/>
      </c>
    </row>
    <row r="40">
      <c r="A40" s="3" t="n">
        <v>2008</v>
      </c>
      <c r="B40" s="4">
        <f>H13</f>
        <v/>
      </c>
      <c r="C40" s="4">
        <f>B40</f>
        <v/>
      </c>
      <c r="D40" s="4">
        <f>C40-2*C39+C38</f>
        <v/>
      </c>
      <c r="E40" s="4">
        <f>B40-C40</f>
        <v/>
      </c>
    </row>
    <row r="41">
      <c r="A41" s="3" t="n">
        <v>2009</v>
      </c>
      <c r="B41" s="4">
        <f>H14</f>
        <v/>
      </c>
      <c r="C41" s="4">
        <f>B41</f>
        <v/>
      </c>
      <c r="D41" s="4">
        <f>C41-2*C40+C39</f>
        <v/>
      </c>
      <c r="E41" s="4">
        <f>B41-C41</f>
        <v/>
      </c>
    </row>
    <row r="42">
      <c r="A42" s="3" t="n">
        <v>2010</v>
      </c>
      <c r="B42" s="4">
        <f>H15</f>
        <v/>
      </c>
      <c r="C42" s="4">
        <f>B42</f>
        <v/>
      </c>
      <c r="D42" s="4">
        <f>C42-2*C41+C40</f>
        <v/>
      </c>
      <c r="E42" s="4">
        <f>B42-C42</f>
        <v/>
      </c>
    </row>
    <row r="43">
      <c r="A43" s="3" t="n">
        <v>2011</v>
      </c>
      <c r="B43" s="4">
        <f>H16</f>
        <v/>
      </c>
      <c r="C43" s="4">
        <f>B43</f>
        <v/>
      </c>
      <c r="D43" s="4">
        <f>C43-2*C42+C41</f>
        <v/>
      </c>
      <c r="E43" s="4">
        <f>B43-C43</f>
        <v/>
      </c>
    </row>
    <row r="44">
      <c r="A44" s="3" t="n">
        <v>2012</v>
      </c>
      <c r="B44" s="4">
        <f>H17</f>
        <v/>
      </c>
      <c r="C44" s="4">
        <f>B44</f>
        <v/>
      </c>
      <c r="D44" s="4">
        <f>C44-2*C43+C42</f>
        <v/>
      </c>
      <c r="E44" s="4">
        <f>B44-C44</f>
        <v/>
      </c>
    </row>
    <row r="45">
      <c r="A45" s="3" t="n">
        <v>2013</v>
      </c>
      <c r="B45" s="4">
        <f>H18</f>
        <v/>
      </c>
      <c r="C45" s="4">
        <f>B45</f>
        <v/>
      </c>
      <c r="D45" s="4">
        <f>C45-2*C44+C43</f>
        <v/>
      </c>
      <c r="E45" s="4">
        <f>B45-C45</f>
        <v/>
      </c>
    </row>
    <row r="46">
      <c r="A46" s="3" t="n">
        <v>2014</v>
      </c>
      <c r="B46" s="4">
        <f>H19</f>
        <v/>
      </c>
      <c r="C46" s="4">
        <f>B46</f>
        <v/>
      </c>
      <c r="D46" s="4">
        <f>C46-2*C45+C44</f>
        <v/>
      </c>
      <c r="E46" s="4">
        <f>B46-C46</f>
        <v/>
      </c>
    </row>
    <row r="47">
      <c r="A47" s="3" t="n">
        <v>2015</v>
      </c>
      <c r="B47" s="4">
        <f>H20</f>
        <v/>
      </c>
      <c r="C47" s="4">
        <f>B47</f>
        <v/>
      </c>
      <c r="D47" s="4">
        <f>C47-2*C46+C45</f>
        <v/>
      </c>
      <c r="E47" s="4">
        <f>B47-C47</f>
        <v/>
      </c>
    </row>
    <row r="48">
      <c r="A48" s="3" t="n">
        <v>2016</v>
      </c>
      <c r="B48" s="4">
        <f>H21</f>
        <v/>
      </c>
      <c r="C48" s="4">
        <f>B48</f>
        <v/>
      </c>
      <c r="D48" s="4">
        <f>C48-2*C47+C46</f>
        <v/>
      </c>
      <c r="E48" s="4">
        <f>B48-C48</f>
        <v/>
      </c>
    </row>
    <row r="49">
      <c r="A49" s="3" t="n">
        <v>2017</v>
      </c>
      <c r="B49" s="4">
        <f>H22</f>
        <v/>
      </c>
      <c r="C49" s="4">
        <f>B49</f>
        <v/>
      </c>
      <c r="D49" s="4">
        <f>C49-2*C48+C47</f>
        <v/>
      </c>
      <c r="E49" s="4">
        <f>B49-C49</f>
        <v/>
      </c>
    </row>
    <row r="50">
      <c r="A50" s="3" t="n">
        <v>2018</v>
      </c>
      <c r="B50" s="4">
        <f>H23</f>
        <v/>
      </c>
      <c r="C50" s="4">
        <f>B50</f>
        <v/>
      </c>
      <c r="D50" s="4">
        <f>C50-2*C49+C48</f>
        <v/>
      </c>
      <c r="E50" s="4">
        <f>B50-C50</f>
        <v/>
      </c>
    </row>
    <row r="51">
      <c r="A51" s="3" t="n">
        <v>2019</v>
      </c>
      <c r="B51" s="4">
        <f>H24</f>
        <v/>
      </c>
      <c r="C51" s="4">
        <f>B51</f>
        <v/>
      </c>
      <c r="D51" s="4">
        <f>C51-2*C50+C49</f>
        <v/>
      </c>
      <c r="E51" s="4">
        <f>B51-C51</f>
        <v/>
      </c>
    </row>
    <row r="52">
      <c r="A52" s="3" t="n">
        <v>2020</v>
      </c>
      <c r="B52" s="4">
        <f>H25</f>
        <v/>
      </c>
      <c r="C52" s="4">
        <f>B52</f>
        <v/>
      </c>
      <c r="D52" s="4">
        <f>C52-2*C51+C50</f>
        <v/>
      </c>
      <c r="E52" s="4">
        <f>B52-C52</f>
        <v/>
      </c>
    </row>
    <row r="53">
      <c r="A53" s="3" t="n">
        <v>2021</v>
      </c>
      <c r="B53" s="4">
        <f>H26</f>
        <v/>
      </c>
      <c r="C53" s="4">
        <f>B53</f>
        <v/>
      </c>
      <c r="D53" s="4">
        <f>C53-2*C52+C51</f>
        <v/>
      </c>
      <c r="E53" s="4">
        <f>B53-C53</f>
        <v/>
      </c>
    </row>
    <row r="54">
      <c r="A54" s="3" t="n">
        <v>2022</v>
      </c>
      <c r="B54" s="4">
        <f>H27</f>
        <v/>
      </c>
      <c r="C54" s="4">
        <f>B54</f>
        <v/>
      </c>
      <c r="D54" s="4">
        <f>C54-2*C53+C52</f>
        <v/>
      </c>
      <c r="E54" s="4">
        <f>B54-C54</f>
        <v/>
      </c>
    </row>
    <row r="55">
      <c r="A55" s="3" t="n">
        <v>2023</v>
      </c>
      <c r="B55" s="4">
        <f>H28</f>
        <v/>
      </c>
      <c r="C55" s="4">
        <f>B55</f>
        <v/>
      </c>
      <c r="D55" s="4">
        <f>C55-2*C54+C53</f>
        <v/>
      </c>
      <c r="E55" s="4">
        <f>B55-C55</f>
        <v/>
      </c>
    </row>
    <row r="57">
      <c r="A57" t="inlineStr">
        <is>
          <t>Objective (λ=1600):</t>
        </is>
      </c>
      <c r="B57" s="9">
        <f>SUMPRODUCT(E34:E55,E34:E55)+1600*SUMPRODUCT(D36:D55,D36:D55)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Investment Shock Scenario</t>
        </is>
      </c>
    </row>
    <row r="3">
      <c r="A3" t="inlineStr">
        <is>
          <t>Duration: 2026-2033 (8 years)</t>
        </is>
      </c>
    </row>
    <row r="4">
      <c r="A4" t="inlineStr">
        <is>
          <t>Total Investment: 6.5 billion USD</t>
        </is>
      </c>
    </row>
    <row r="5">
      <c r="A5" t="inlineStr">
        <is>
          <t>Annual Investment: 0.8125 billion USD</t>
        </is>
      </c>
    </row>
    <row r="7">
      <c r="A7" s="2" t="inlineStr">
        <is>
          <t>Year</t>
        </is>
      </c>
      <c r="B7" s="2" t="inlineStr">
        <is>
          <t>Investment (billions USD)</t>
        </is>
      </c>
    </row>
    <row r="8">
      <c r="A8" s="3" t="n">
        <v>2000</v>
      </c>
      <c r="B8" s="4" t="n">
        <v>0</v>
      </c>
    </row>
    <row r="9">
      <c r="A9" s="3" t="n">
        <v>2001</v>
      </c>
      <c r="B9" s="4" t="n">
        <v>0</v>
      </c>
    </row>
    <row r="10">
      <c r="A10" s="3" t="n">
        <v>2002</v>
      </c>
      <c r="B10" s="4" t="n">
        <v>0</v>
      </c>
    </row>
    <row r="11">
      <c r="A11" s="3" t="n">
        <v>2003</v>
      </c>
      <c r="B11" s="4" t="n">
        <v>0</v>
      </c>
    </row>
    <row r="12">
      <c r="A12" s="3" t="n">
        <v>2004</v>
      </c>
      <c r="B12" s="4" t="n">
        <v>0</v>
      </c>
    </row>
    <row r="13">
      <c r="A13" s="3" t="n">
        <v>2005</v>
      </c>
      <c r="B13" s="4" t="n">
        <v>0</v>
      </c>
    </row>
    <row r="14">
      <c r="A14" s="3" t="n">
        <v>2006</v>
      </c>
      <c r="B14" s="4" t="n">
        <v>0</v>
      </c>
    </row>
    <row r="15">
      <c r="A15" s="3" t="n">
        <v>2007</v>
      </c>
      <c r="B15" s="4" t="n">
        <v>0</v>
      </c>
    </row>
    <row r="16">
      <c r="A16" s="3" t="n">
        <v>2008</v>
      </c>
      <c r="B16" s="4" t="n">
        <v>0</v>
      </c>
    </row>
    <row r="17">
      <c r="A17" s="3" t="n">
        <v>2009</v>
      </c>
      <c r="B17" s="4" t="n">
        <v>0</v>
      </c>
    </row>
    <row r="18">
      <c r="A18" s="3" t="n">
        <v>2010</v>
      </c>
      <c r="B18" s="4" t="n">
        <v>0</v>
      </c>
    </row>
    <row r="19">
      <c r="A19" s="3" t="n">
        <v>2011</v>
      </c>
      <c r="B19" s="4" t="n">
        <v>0</v>
      </c>
    </row>
    <row r="20">
      <c r="A20" s="3" t="n">
        <v>2012</v>
      </c>
      <c r="B20" s="4" t="n">
        <v>0</v>
      </c>
    </row>
    <row r="21">
      <c r="A21" s="3" t="n">
        <v>2013</v>
      </c>
      <c r="B21" s="4" t="n">
        <v>0</v>
      </c>
    </row>
    <row r="22">
      <c r="A22" s="3" t="n">
        <v>2014</v>
      </c>
      <c r="B22" s="4" t="n">
        <v>0</v>
      </c>
    </row>
    <row r="23">
      <c r="A23" s="3" t="n">
        <v>2015</v>
      </c>
      <c r="B23" s="4" t="n">
        <v>0</v>
      </c>
    </row>
    <row r="24">
      <c r="A24" s="3" t="n">
        <v>2016</v>
      </c>
      <c r="B24" s="4" t="n">
        <v>0</v>
      </c>
    </row>
    <row r="25">
      <c r="A25" s="3" t="n">
        <v>2017</v>
      </c>
      <c r="B25" s="4" t="n">
        <v>0</v>
      </c>
    </row>
    <row r="26">
      <c r="A26" s="3" t="n">
        <v>2018</v>
      </c>
      <c r="B26" s="4" t="n">
        <v>0</v>
      </c>
    </row>
    <row r="27">
      <c r="A27" s="3" t="n">
        <v>2019</v>
      </c>
      <c r="B27" s="4" t="n">
        <v>0</v>
      </c>
    </row>
    <row r="28">
      <c r="A28" s="3" t="n">
        <v>2020</v>
      </c>
      <c r="B28" s="4" t="n">
        <v>0</v>
      </c>
    </row>
    <row r="29">
      <c r="A29" s="3" t="n">
        <v>2021</v>
      </c>
      <c r="B29" s="4" t="n">
        <v>0</v>
      </c>
    </row>
    <row r="30">
      <c r="A30" s="3" t="n">
        <v>2022</v>
      </c>
      <c r="B30" s="4" t="n">
        <v>0</v>
      </c>
    </row>
    <row r="31">
      <c r="A31" s="3" t="n">
        <v>2023</v>
      </c>
      <c r="B31" s="4" t="n">
        <v>0</v>
      </c>
    </row>
    <row r="32">
      <c r="A32" s="3" t="n">
        <v>2024</v>
      </c>
      <c r="B32" s="4" t="n">
        <v>0</v>
      </c>
    </row>
    <row r="33">
      <c r="A33" s="3" t="n">
        <v>2025</v>
      </c>
      <c r="B33" s="4" t="n">
        <v>0</v>
      </c>
    </row>
    <row r="34">
      <c r="A34" s="3" t="n">
        <v>2026</v>
      </c>
      <c r="B34" s="4" t="n">
        <v>0.8125</v>
      </c>
    </row>
    <row r="35">
      <c r="A35" s="3" t="n">
        <v>2027</v>
      </c>
      <c r="B35" s="4" t="n">
        <v>0.8125</v>
      </c>
    </row>
    <row r="36">
      <c r="A36" s="3" t="n">
        <v>2028</v>
      </c>
      <c r="B36" s="4" t="n">
        <v>0.8125</v>
      </c>
    </row>
    <row r="37">
      <c r="A37" s="3" t="n">
        <v>2029</v>
      </c>
      <c r="B37" s="4" t="n">
        <v>0.8125</v>
      </c>
    </row>
    <row r="38">
      <c r="A38" s="3" t="n">
        <v>2030</v>
      </c>
      <c r="B38" s="4" t="n">
        <v>0.8125</v>
      </c>
    </row>
    <row r="39">
      <c r="A39" s="3" t="n">
        <v>2031</v>
      </c>
      <c r="B39" s="4" t="n">
        <v>0.8125</v>
      </c>
    </row>
    <row r="40">
      <c r="A40" s="3" t="n">
        <v>2032</v>
      </c>
      <c r="B40" s="4" t="n">
        <v>0.8125</v>
      </c>
    </row>
    <row r="41">
      <c r="A41" s="3" t="n">
        <v>2033</v>
      </c>
      <c r="B41" s="4" t="n">
        <v>0.8125</v>
      </c>
    </row>
    <row r="42">
      <c r="A42" s="3" t="n">
        <v>2034</v>
      </c>
      <c r="B42" s="4" t="n">
        <v>0</v>
      </c>
    </row>
    <row r="43">
      <c r="A43" s="3" t="n">
        <v>2035</v>
      </c>
      <c r="B43" s="4" t="n">
        <v>0</v>
      </c>
    </row>
    <row r="44">
      <c r="A44" s="3" t="n">
        <v>2036</v>
      </c>
      <c r="B44" s="4" t="n">
        <v>0</v>
      </c>
    </row>
    <row r="45">
      <c r="A45" s="3" t="n">
        <v>2037</v>
      </c>
      <c r="B45" s="4" t="n">
        <v>0</v>
      </c>
    </row>
    <row r="46">
      <c r="A46" s="3" t="n">
        <v>2038</v>
      </c>
      <c r="B46" s="4" t="n">
        <v>0</v>
      </c>
    </row>
    <row r="47">
      <c r="A47" s="3" t="n">
        <v>2039</v>
      </c>
      <c r="B47" s="4" t="n">
        <v>0</v>
      </c>
    </row>
    <row r="48">
      <c r="A48" s="3" t="n">
        <v>2040</v>
      </c>
      <c r="B48" s="4" t="n">
        <v>0</v>
      </c>
    </row>
    <row r="49">
      <c r="A49" s="3" t="n">
        <v>2041</v>
      </c>
      <c r="B49" s="4" t="n">
        <v>0</v>
      </c>
    </row>
    <row r="50">
      <c r="A50" s="3" t="n">
        <v>2042</v>
      </c>
      <c r="B50" s="4" t="n">
        <v>0</v>
      </c>
    </row>
    <row r="51">
      <c r="A51" s="3" t="n">
        <v>2043</v>
      </c>
      <c r="B51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Extended Production Function with Investment Shock</t>
        </is>
      </c>
    </row>
    <row r="3">
      <c r="A3" t="inlineStr">
        <is>
          <t>Parameters:</t>
        </is>
      </c>
    </row>
    <row r="4">
      <c r="A4" t="inlineStr">
        <is>
          <t>Capital Share (α) =</t>
        </is>
      </c>
      <c r="B4" t="n">
        <v>0.35</v>
      </c>
    </row>
    <row r="5">
      <c r="A5" t="inlineStr">
        <is>
          <t>Depreciation Rate (δ) =</t>
        </is>
      </c>
      <c r="B5">
        <f>Production!B3</f>
        <v/>
      </c>
    </row>
    <row r="7">
      <c r="A7" s="2" t="inlineStr">
        <is>
          <t>Year</t>
        </is>
      </c>
      <c r="B7" s="2" t="inlineStr">
        <is>
          <t>Y_historical</t>
        </is>
      </c>
      <c r="C7" s="2" t="inlineStr">
        <is>
          <t>K</t>
        </is>
      </c>
      <c r="D7" s="2" t="inlineStr">
        <is>
          <t>K/Y</t>
        </is>
      </c>
      <c r="E7" s="2" t="inlineStr">
        <is>
          <t>K_extended</t>
        </is>
      </c>
      <c r="F7" s="2" t="inlineStr">
        <is>
          <t>LnZ_trend</t>
        </is>
      </c>
      <c r="G7" s="2" t="inlineStr">
        <is>
          <t>LnY_star_base</t>
        </is>
      </c>
      <c r="H7" s="2" t="inlineStr">
        <is>
          <t>Y_star_base</t>
        </is>
      </c>
      <c r="I7" s="2" t="inlineStr">
        <is>
          <t>Investment</t>
        </is>
      </c>
      <c r="J7" s="2" t="inlineStr">
        <is>
          <t>ΔK</t>
        </is>
      </c>
      <c r="K7" s="2" t="inlineStr">
        <is>
          <t>K_with</t>
        </is>
      </c>
      <c r="L7" s="2" t="inlineStr">
        <is>
          <t>Y_star_with</t>
        </is>
      </c>
      <c r="M7" s="2" t="inlineStr">
        <is>
          <t>Output Impact</t>
        </is>
      </c>
    </row>
    <row r="8">
      <c r="A8" s="3" t="n">
        <v>2002</v>
      </c>
      <c r="B8" s="7">
        <f>WEO_Data!D6</f>
        <v/>
      </c>
      <c r="C8" s="7">
        <f>PWT!B4</f>
        <v/>
      </c>
      <c r="F8" s="4">
        <f>Production!C34</f>
        <v/>
      </c>
      <c r="G8" s="4">
        <f>F8+0.35*LN(C8)</f>
        <v/>
      </c>
      <c r="H8" s="7">
        <f>EXP(G8)</f>
        <v/>
      </c>
      <c r="I8" s="4">
        <f>Investment!B8</f>
        <v/>
      </c>
      <c r="J8" s="9">
        <f>I8</f>
        <v/>
      </c>
      <c r="K8" s="7">
        <f>C8+J8</f>
        <v/>
      </c>
      <c r="L8" s="7">
        <f>EXP(F8+0.35*LN(K8))</f>
        <v/>
      </c>
      <c r="M8" s="7">
        <f>L8-H8</f>
        <v/>
      </c>
    </row>
    <row r="9">
      <c r="A9" s="3" t="n">
        <v>2003</v>
      </c>
      <c r="B9" s="7">
        <f>WEO_Data!D7</f>
        <v/>
      </c>
      <c r="C9" s="7">
        <f>PWT!B5</f>
        <v/>
      </c>
      <c r="F9" s="4">
        <f>Production!C35</f>
        <v/>
      </c>
      <c r="G9" s="4">
        <f>F9+0.35*LN(C9)</f>
        <v/>
      </c>
      <c r="H9" s="7">
        <f>EXP(G9)</f>
        <v/>
      </c>
      <c r="I9" s="4">
        <f>Investment!B9</f>
        <v/>
      </c>
      <c r="J9" s="9">
        <f>I9-Production!$B$3*C8</f>
        <v/>
      </c>
      <c r="K9" s="7">
        <f>K8*(1-Production!$B$3)+I9</f>
        <v/>
      </c>
      <c r="L9" s="7">
        <f>EXP(F9+0.35*LN(K9))</f>
        <v/>
      </c>
      <c r="M9" s="7">
        <f>L9-H9</f>
        <v/>
      </c>
    </row>
    <row r="10">
      <c r="A10" s="3" t="n">
        <v>2004</v>
      </c>
      <c r="B10" s="7">
        <f>WEO_Data!D8</f>
        <v/>
      </c>
      <c r="C10" s="7">
        <f>PWT!B6</f>
        <v/>
      </c>
      <c r="F10" s="4">
        <f>Production!C36</f>
        <v/>
      </c>
      <c r="G10" s="4">
        <f>F10+0.35*LN(C10)</f>
        <v/>
      </c>
      <c r="H10" s="7">
        <f>EXP(G10)</f>
        <v/>
      </c>
      <c r="I10" s="4">
        <f>Investment!B10</f>
        <v/>
      </c>
      <c r="J10" s="9">
        <f>I10-Production!$B$3*C9</f>
        <v/>
      </c>
      <c r="K10" s="7">
        <f>K9*(1-Production!$B$3)+I10</f>
        <v/>
      </c>
      <c r="L10" s="7">
        <f>EXP(F10+0.35*LN(K10))</f>
        <v/>
      </c>
      <c r="M10" s="7">
        <f>L10-H10</f>
        <v/>
      </c>
    </row>
    <row r="11">
      <c r="A11" s="3" t="n">
        <v>2005</v>
      </c>
      <c r="B11" s="7">
        <f>WEO_Data!D9</f>
        <v/>
      </c>
      <c r="C11" s="7">
        <f>PWT!B7</f>
        <v/>
      </c>
      <c r="F11" s="4">
        <f>Production!C37</f>
        <v/>
      </c>
      <c r="G11" s="4">
        <f>F11+0.35*LN(C11)</f>
        <v/>
      </c>
      <c r="H11" s="7">
        <f>EXP(G11)</f>
        <v/>
      </c>
      <c r="I11" s="4">
        <f>Investment!B11</f>
        <v/>
      </c>
      <c r="J11" s="9">
        <f>I11-Production!$B$3*C10</f>
        <v/>
      </c>
      <c r="K11" s="7">
        <f>K10*(1-Production!$B$3)+I11</f>
        <v/>
      </c>
      <c r="L11" s="7">
        <f>EXP(F11+0.35*LN(K11))</f>
        <v/>
      </c>
      <c r="M11" s="7">
        <f>L11-H11</f>
        <v/>
      </c>
    </row>
    <row r="12">
      <c r="A12" s="3" t="n">
        <v>2006</v>
      </c>
      <c r="B12" s="7">
        <f>WEO_Data!D10</f>
        <v/>
      </c>
      <c r="C12" s="7">
        <f>PWT!B8</f>
        <v/>
      </c>
      <c r="F12" s="4">
        <f>Production!C38</f>
        <v/>
      </c>
      <c r="G12" s="4">
        <f>F12+0.35*LN(C12)</f>
        <v/>
      </c>
      <c r="H12" s="7">
        <f>EXP(G12)</f>
        <v/>
      </c>
      <c r="I12" s="4">
        <f>Investment!B12</f>
        <v/>
      </c>
      <c r="J12" s="9">
        <f>I12-Production!$B$3*C11</f>
        <v/>
      </c>
      <c r="K12" s="7">
        <f>K11*(1-Production!$B$3)+I12</f>
        <v/>
      </c>
      <c r="L12" s="7">
        <f>EXP(F12+0.35*LN(K12))</f>
        <v/>
      </c>
      <c r="M12" s="7">
        <f>L12-H12</f>
        <v/>
      </c>
    </row>
    <row r="13">
      <c r="A13" s="3" t="n">
        <v>2007</v>
      </c>
      <c r="B13" s="7">
        <f>WEO_Data!D11</f>
        <v/>
      </c>
      <c r="C13" s="7">
        <f>PWT!B9</f>
        <v/>
      </c>
      <c r="F13" s="4">
        <f>Production!C39</f>
        <v/>
      </c>
      <c r="G13" s="4">
        <f>F13+0.35*LN(C13)</f>
        <v/>
      </c>
      <c r="H13" s="7">
        <f>EXP(G13)</f>
        <v/>
      </c>
      <c r="I13" s="4">
        <f>Investment!B13</f>
        <v/>
      </c>
      <c r="J13" s="9">
        <f>I13-Production!$B$3*C12</f>
        <v/>
      </c>
      <c r="K13" s="7">
        <f>K12*(1-Production!$B$3)+I13</f>
        <v/>
      </c>
      <c r="L13" s="7">
        <f>EXP(F13+0.35*LN(K13))</f>
        <v/>
      </c>
      <c r="M13" s="7">
        <f>L13-H13</f>
        <v/>
      </c>
    </row>
    <row r="14">
      <c r="A14" s="3" t="n">
        <v>2008</v>
      </c>
      <c r="B14" s="7">
        <f>WEO_Data!D12</f>
        <v/>
      </c>
      <c r="C14" s="7">
        <f>PWT!B10</f>
        <v/>
      </c>
      <c r="F14" s="4">
        <f>Production!C40</f>
        <v/>
      </c>
      <c r="G14" s="4">
        <f>F14+0.35*LN(C14)</f>
        <v/>
      </c>
      <c r="H14" s="7">
        <f>EXP(G14)</f>
        <v/>
      </c>
      <c r="I14" s="4">
        <f>Investment!B14</f>
        <v/>
      </c>
      <c r="J14" s="9">
        <f>I14-Production!$B$3*C13</f>
        <v/>
      </c>
      <c r="K14" s="7">
        <f>K13*(1-Production!$B$3)+I14</f>
        <v/>
      </c>
      <c r="L14" s="7">
        <f>EXP(F14+0.35*LN(K14))</f>
        <v/>
      </c>
      <c r="M14" s="7">
        <f>L14-H14</f>
        <v/>
      </c>
    </row>
    <row r="15">
      <c r="A15" s="3" t="n">
        <v>2009</v>
      </c>
      <c r="B15" s="7">
        <f>WEO_Data!D13</f>
        <v/>
      </c>
      <c r="C15" s="7">
        <f>PWT!B11</f>
        <v/>
      </c>
      <c r="F15" s="4">
        <f>Production!C41</f>
        <v/>
      </c>
      <c r="G15" s="4">
        <f>F15+0.35*LN(C15)</f>
        <v/>
      </c>
      <c r="H15" s="7">
        <f>EXP(G15)</f>
        <v/>
      </c>
      <c r="I15" s="4">
        <f>Investment!B15</f>
        <v/>
      </c>
      <c r="J15" s="9">
        <f>I15-Production!$B$3*C14</f>
        <v/>
      </c>
      <c r="K15" s="7">
        <f>K14*(1-Production!$B$3)+I15</f>
        <v/>
      </c>
      <c r="L15" s="7">
        <f>EXP(F15+0.35*LN(K15))</f>
        <v/>
      </c>
      <c r="M15" s="7">
        <f>L15-H15</f>
        <v/>
      </c>
    </row>
    <row r="16">
      <c r="A16" s="3" t="n">
        <v>2010</v>
      </c>
      <c r="B16" s="7">
        <f>WEO_Data!D14</f>
        <v/>
      </c>
      <c r="C16" s="7">
        <f>PWT!B12</f>
        <v/>
      </c>
      <c r="F16" s="4">
        <f>Production!C42</f>
        <v/>
      </c>
      <c r="G16" s="4">
        <f>F16+0.35*LN(C16)</f>
        <v/>
      </c>
      <c r="H16" s="7">
        <f>EXP(G16)</f>
        <v/>
      </c>
      <c r="I16" s="4">
        <f>Investment!B16</f>
        <v/>
      </c>
      <c r="J16" s="9">
        <f>I16-Production!$B$3*C15</f>
        <v/>
      </c>
      <c r="K16" s="7">
        <f>K15*(1-Production!$B$3)+I16</f>
        <v/>
      </c>
      <c r="L16" s="7">
        <f>EXP(F16+0.35*LN(K16))</f>
        <v/>
      </c>
      <c r="M16" s="7">
        <f>L16-H16</f>
        <v/>
      </c>
    </row>
    <row r="17">
      <c r="A17" s="3" t="n">
        <v>2011</v>
      </c>
      <c r="B17" s="7">
        <f>WEO_Data!D15</f>
        <v/>
      </c>
      <c r="C17" s="7">
        <f>PWT!B13</f>
        <v/>
      </c>
      <c r="F17" s="4">
        <f>Production!C43</f>
        <v/>
      </c>
      <c r="G17" s="4">
        <f>F17+0.35*LN(C17)</f>
        <v/>
      </c>
      <c r="H17" s="7">
        <f>EXP(G17)</f>
        <v/>
      </c>
      <c r="I17" s="4">
        <f>Investment!B17</f>
        <v/>
      </c>
      <c r="J17" s="9">
        <f>I17-Production!$B$3*C16</f>
        <v/>
      </c>
      <c r="K17" s="7">
        <f>K16*(1-Production!$B$3)+I17</f>
        <v/>
      </c>
      <c r="L17" s="7">
        <f>EXP(F17+0.35*LN(K17))</f>
        <v/>
      </c>
      <c r="M17" s="7">
        <f>L17-H17</f>
        <v/>
      </c>
    </row>
    <row r="18">
      <c r="A18" s="3" t="n">
        <v>2012</v>
      </c>
      <c r="B18" s="7">
        <f>WEO_Data!D16</f>
        <v/>
      </c>
      <c r="C18" s="7">
        <f>PWT!B14</f>
        <v/>
      </c>
      <c r="F18" s="4">
        <f>Production!C44</f>
        <v/>
      </c>
      <c r="G18" s="4">
        <f>F18+0.35*LN(C18)</f>
        <v/>
      </c>
      <c r="H18" s="7">
        <f>EXP(G18)</f>
        <v/>
      </c>
      <c r="I18" s="4">
        <f>Investment!B18</f>
        <v/>
      </c>
      <c r="J18" s="9">
        <f>I18-Production!$B$3*C17</f>
        <v/>
      </c>
      <c r="K18" s="7">
        <f>K17*(1-Production!$B$3)+I18</f>
        <v/>
      </c>
      <c r="L18" s="7">
        <f>EXP(F18+0.35*LN(K18))</f>
        <v/>
      </c>
      <c r="M18" s="7">
        <f>L18-H18</f>
        <v/>
      </c>
    </row>
    <row r="19">
      <c r="A19" s="3" t="n">
        <v>2013</v>
      </c>
      <c r="B19" s="7">
        <f>WEO_Data!D17</f>
        <v/>
      </c>
      <c r="C19" s="7">
        <f>PWT!B15</f>
        <v/>
      </c>
      <c r="F19" s="4">
        <f>Production!C45</f>
        <v/>
      </c>
      <c r="G19" s="4">
        <f>F19+0.35*LN(C19)</f>
        <v/>
      </c>
      <c r="H19" s="7">
        <f>EXP(G19)</f>
        <v/>
      </c>
      <c r="I19" s="4">
        <f>Investment!B19</f>
        <v/>
      </c>
      <c r="J19" s="9">
        <f>I19-Production!$B$3*C18</f>
        <v/>
      </c>
      <c r="K19" s="7">
        <f>K18*(1-Production!$B$3)+I19</f>
        <v/>
      </c>
      <c r="L19" s="7">
        <f>EXP(F19+0.35*LN(K19))</f>
        <v/>
      </c>
      <c r="M19" s="7">
        <f>L19-H19</f>
        <v/>
      </c>
    </row>
    <row r="20">
      <c r="A20" s="3" t="n">
        <v>2014</v>
      </c>
      <c r="B20" s="7">
        <f>WEO_Data!D18</f>
        <v/>
      </c>
      <c r="C20" s="7">
        <f>PWT!B16</f>
        <v/>
      </c>
      <c r="F20" s="4">
        <f>Production!C46</f>
        <v/>
      </c>
      <c r="G20" s="4">
        <f>F20+0.35*LN(C20)</f>
        <v/>
      </c>
      <c r="H20" s="7">
        <f>EXP(G20)</f>
        <v/>
      </c>
      <c r="I20" s="4">
        <f>Investment!B20</f>
        <v/>
      </c>
      <c r="J20" s="9">
        <f>I20-Production!$B$3*C19</f>
        <v/>
      </c>
      <c r="K20" s="7">
        <f>K19*(1-Production!$B$3)+I20</f>
        <v/>
      </c>
      <c r="L20" s="7">
        <f>EXP(F20+0.35*LN(K20))</f>
        <v/>
      </c>
      <c r="M20" s="7">
        <f>L20-H20</f>
        <v/>
      </c>
    </row>
    <row r="21">
      <c r="A21" s="3" t="n">
        <v>2015</v>
      </c>
      <c r="B21" s="7">
        <f>WEO_Data!D19</f>
        <v/>
      </c>
      <c r="C21" s="7">
        <f>PWT!B17</f>
        <v/>
      </c>
      <c r="D21" s="4">
        <f>C21/B21</f>
        <v/>
      </c>
      <c r="F21" s="4">
        <f>Production!C47</f>
        <v/>
      </c>
      <c r="G21" s="4">
        <f>F21+0.35*LN(C21)</f>
        <v/>
      </c>
      <c r="H21" s="7">
        <f>EXP(G21)</f>
        <v/>
      </c>
      <c r="I21" s="4">
        <f>Investment!B21</f>
        <v/>
      </c>
      <c r="J21" s="9">
        <f>I21-Production!$B$3*C20</f>
        <v/>
      </c>
      <c r="K21" s="7">
        <f>K20*(1-Production!$B$3)+I21</f>
        <v/>
      </c>
      <c r="L21" s="7">
        <f>EXP(F21+0.35*LN(K21))</f>
        <v/>
      </c>
      <c r="M21" s="7">
        <f>L21-H21</f>
        <v/>
      </c>
    </row>
    <row r="22">
      <c r="A22" s="3" t="n">
        <v>2016</v>
      </c>
      <c r="B22" s="7">
        <f>WEO_Data!D20</f>
        <v/>
      </c>
      <c r="C22" s="7">
        <f>PWT!B18</f>
        <v/>
      </c>
      <c r="D22" s="4">
        <f>C22/B22</f>
        <v/>
      </c>
      <c r="F22" s="4">
        <f>Production!C48</f>
        <v/>
      </c>
      <c r="G22" s="4">
        <f>F22+0.35*LN(C22)</f>
        <v/>
      </c>
      <c r="H22" s="7">
        <f>EXP(G22)</f>
        <v/>
      </c>
      <c r="I22" s="4">
        <f>Investment!B22</f>
        <v/>
      </c>
      <c r="J22" s="9">
        <f>I22-Production!$B$3*C21</f>
        <v/>
      </c>
      <c r="K22" s="7">
        <f>K21*(1-Production!$B$3)+I22</f>
        <v/>
      </c>
      <c r="L22" s="7">
        <f>EXP(F22+0.35*LN(K22))</f>
        <v/>
      </c>
      <c r="M22" s="7">
        <f>L22-H22</f>
        <v/>
      </c>
    </row>
    <row r="23">
      <c r="A23" s="3" t="n">
        <v>2017</v>
      </c>
      <c r="B23" s="7">
        <f>WEO_Data!D21</f>
        <v/>
      </c>
      <c r="C23" s="7">
        <f>PWT!B19</f>
        <v/>
      </c>
      <c r="D23" s="4">
        <f>C23/B23</f>
        <v/>
      </c>
      <c r="F23" s="4">
        <f>Production!C49</f>
        <v/>
      </c>
      <c r="G23" s="4">
        <f>F23+0.35*LN(C23)</f>
        <v/>
      </c>
      <c r="H23" s="7">
        <f>EXP(G23)</f>
        <v/>
      </c>
      <c r="I23" s="4">
        <f>Investment!B23</f>
        <v/>
      </c>
      <c r="J23" s="9">
        <f>I23-Production!$B$3*C22</f>
        <v/>
      </c>
      <c r="K23" s="7">
        <f>K22*(1-Production!$B$3)+I23</f>
        <v/>
      </c>
      <c r="L23" s="7">
        <f>EXP(F23+0.35*LN(K23))</f>
        <v/>
      </c>
      <c r="M23" s="7">
        <f>L23-H23</f>
        <v/>
      </c>
    </row>
    <row r="24">
      <c r="A24" s="3" t="n">
        <v>2018</v>
      </c>
      <c r="B24" s="7">
        <f>WEO_Data!D22</f>
        <v/>
      </c>
      <c r="C24" s="7">
        <f>PWT!B20</f>
        <v/>
      </c>
      <c r="D24" s="4">
        <f>C24/B24</f>
        <v/>
      </c>
      <c r="F24" s="4">
        <f>Production!C50</f>
        <v/>
      </c>
      <c r="G24" s="4">
        <f>F24+0.35*LN(C24)</f>
        <v/>
      </c>
      <c r="H24" s="7">
        <f>EXP(G24)</f>
        <v/>
      </c>
      <c r="I24" s="4">
        <f>Investment!B24</f>
        <v/>
      </c>
      <c r="J24" s="9">
        <f>I24-Production!$B$3*C23</f>
        <v/>
      </c>
      <c r="K24" s="7">
        <f>K23*(1-Production!$B$3)+I24</f>
        <v/>
      </c>
      <c r="L24" s="7">
        <f>EXP(F24+0.35*LN(K24))</f>
        <v/>
      </c>
      <c r="M24" s="7">
        <f>L24-H24</f>
        <v/>
      </c>
    </row>
    <row r="25">
      <c r="A25" s="3" t="n">
        <v>2019</v>
      </c>
      <c r="B25" s="7">
        <f>WEO_Data!D23</f>
        <v/>
      </c>
      <c r="C25" s="7">
        <f>PWT!B21</f>
        <v/>
      </c>
      <c r="D25" s="4">
        <f>C25/B25</f>
        <v/>
      </c>
      <c r="F25" s="4">
        <f>Production!C51</f>
        <v/>
      </c>
      <c r="G25" s="4">
        <f>F25+0.35*LN(C25)</f>
        <v/>
      </c>
      <c r="H25" s="7">
        <f>EXP(G25)</f>
        <v/>
      </c>
      <c r="I25" s="4">
        <f>Investment!B25</f>
        <v/>
      </c>
      <c r="J25" s="9">
        <f>I25-Production!$B$3*C24</f>
        <v/>
      </c>
      <c r="K25" s="7">
        <f>K24*(1-Production!$B$3)+I25</f>
        <v/>
      </c>
      <c r="L25" s="7">
        <f>EXP(F25+0.35*LN(K25))</f>
        <v/>
      </c>
      <c r="M25" s="7">
        <f>L25-H25</f>
        <v/>
      </c>
    </row>
    <row r="26">
      <c r="A26" s="3" t="n">
        <v>2020</v>
      </c>
      <c r="B26" s="7">
        <f>WEO_Data!D24</f>
        <v/>
      </c>
      <c r="C26" s="7">
        <f>PWT!B22</f>
        <v/>
      </c>
      <c r="D26" s="4">
        <f>C26/B26</f>
        <v/>
      </c>
      <c r="F26" s="4">
        <f>Production!C52</f>
        <v/>
      </c>
      <c r="G26" s="4">
        <f>F26+0.35*LN(C26)</f>
        <v/>
      </c>
      <c r="H26" s="7">
        <f>EXP(G26)</f>
        <v/>
      </c>
      <c r="I26" s="4">
        <f>Investment!B26</f>
        <v/>
      </c>
      <c r="J26" s="9">
        <f>I26-Production!$B$3*C25</f>
        <v/>
      </c>
      <c r="K26" s="7">
        <f>K25*(1-Production!$B$3)+I26</f>
        <v/>
      </c>
      <c r="L26" s="7">
        <f>EXP(F26+0.35*LN(K26))</f>
        <v/>
      </c>
      <c r="M26" s="7">
        <f>L26-H26</f>
        <v/>
      </c>
    </row>
    <row r="27">
      <c r="A27" s="3" t="n">
        <v>2021</v>
      </c>
      <c r="B27" s="7">
        <f>WEO_Data!D25</f>
        <v/>
      </c>
      <c r="C27" s="7">
        <f>PWT!B23</f>
        <v/>
      </c>
      <c r="D27" s="4">
        <f>C27/B27</f>
        <v/>
      </c>
      <c r="F27" s="4">
        <f>Production!C53</f>
        <v/>
      </c>
      <c r="G27" s="4">
        <f>F27+0.35*LN(C27)</f>
        <v/>
      </c>
      <c r="H27" s="7">
        <f>EXP(G27)</f>
        <v/>
      </c>
      <c r="I27" s="4">
        <f>Investment!B27</f>
        <v/>
      </c>
      <c r="J27" s="9">
        <f>I27-Production!$B$3*C26</f>
        <v/>
      </c>
      <c r="K27" s="7">
        <f>K26*(1-Production!$B$3)+I27</f>
        <v/>
      </c>
      <c r="L27" s="7">
        <f>EXP(F27+0.35*LN(K27))</f>
        <v/>
      </c>
      <c r="M27" s="7">
        <f>L27-H27</f>
        <v/>
      </c>
    </row>
    <row r="28">
      <c r="A28" s="3" t="n">
        <v>2022</v>
      </c>
      <c r="B28" s="7">
        <f>WEO_Data!D26</f>
        <v/>
      </c>
      <c r="C28" s="7">
        <f>PWT!B24</f>
        <v/>
      </c>
      <c r="D28" s="4">
        <f>C28/B28</f>
        <v/>
      </c>
      <c r="F28" s="4">
        <f>Production!C54</f>
        <v/>
      </c>
      <c r="G28" s="4">
        <f>F28+0.35*LN(C28)</f>
        <v/>
      </c>
      <c r="H28" s="7">
        <f>EXP(G28)</f>
        <v/>
      </c>
      <c r="I28" s="4">
        <f>Investment!B28</f>
        <v/>
      </c>
      <c r="J28" s="9">
        <f>I28-Production!$B$3*C27</f>
        <v/>
      </c>
      <c r="K28" s="7">
        <f>K27*(1-Production!$B$3)+I28</f>
        <v/>
      </c>
      <c r="L28" s="7">
        <f>EXP(F28+0.35*LN(K28))</f>
        <v/>
      </c>
      <c r="M28" s="7">
        <f>L28-H28</f>
        <v/>
      </c>
    </row>
    <row r="29">
      <c r="A29" s="3" t="n">
        <v>2023</v>
      </c>
      <c r="B29" s="7">
        <f>WEO_Data!D27</f>
        <v/>
      </c>
      <c r="C29" s="7">
        <f>PWT!B25</f>
        <v/>
      </c>
      <c r="D29" s="4">
        <f>C29/B29</f>
        <v/>
      </c>
      <c r="F29" s="4">
        <f>Production!C55</f>
        <v/>
      </c>
      <c r="G29" s="4">
        <f>F29+0.35*LN(C29)</f>
        <v/>
      </c>
      <c r="H29" s="7">
        <f>EXP(G29)</f>
        <v/>
      </c>
      <c r="I29" s="4">
        <f>Investment!B29</f>
        <v/>
      </c>
      <c r="J29" s="9">
        <f>I29-Production!$B$3*C28</f>
        <v/>
      </c>
      <c r="K29" s="7">
        <f>K28*(1-Production!$B$3)+I29</f>
        <v/>
      </c>
      <c r="L29" s="7">
        <f>EXP(F29+0.35*LN(K29))</f>
        <v/>
      </c>
      <c r="M29" s="7">
        <f>L29-H29</f>
        <v/>
      </c>
    </row>
    <row r="30">
      <c r="A30" s="3" t="n">
        <v>2024</v>
      </c>
      <c r="B30" s="7">
        <f>WEO_Data!D28</f>
        <v/>
      </c>
      <c r="C30" s="5" t="inlineStr"/>
      <c r="E30" s="7">
        <f>B30*AVERAGE($D$13:$D$21)</f>
        <v/>
      </c>
      <c r="F30" s="4">
        <f>TREND(Production!$C$34:$C$55,Production!$A$34:$A$55,A30)</f>
        <v/>
      </c>
      <c r="G30" s="4">
        <f>F30+0.35*LN(E30)</f>
        <v/>
      </c>
      <c r="H30" s="7">
        <f>EXP(G30)</f>
        <v/>
      </c>
      <c r="I30" s="4">
        <f>Investment!B30</f>
        <v/>
      </c>
      <c r="J30" s="9">
        <f>I30-Production!$B$3*E29</f>
        <v/>
      </c>
      <c r="K30" s="7">
        <f>K29*(1-Production!$B$3)+I30</f>
        <v/>
      </c>
      <c r="L30" s="7">
        <f>EXP(F30+0.35*LN(K30))</f>
        <v/>
      </c>
      <c r="M30" s="7">
        <f>L30-H30</f>
        <v/>
      </c>
    </row>
    <row r="31">
      <c r="A31" s="3" t="n">
        <v>2025</v>
      </c>
      <c r="B31" s="7">
        <f>WEO_Data!D29</f>
        <v/>
      </c>
      <c r="C31" s="5" t="inlineStr"/>
      <c r="E31" s="7">
        <f>B31*AVERAGE($D$13:$D$21)</f>
        <v/>
      </c>
      <c r="F31" s="4">
        <f>TREND(Production!$C$34:$C$55,Production!$A$34:$A$55,A31)</f>
        <v/>
      </c>
      <c r="G31" s="4">
        <f>F31+0.35*LN(E31)</f>
        <v/>
      </c>
      <c r="H31" s="7">
        <f>EXP(G31)</f>
        <v/>
      </c>
      <c r="I31" s="4">
        <f>Investment!B31</f>
        <v/>
      </c>
      <c r="J31" s="9">
        <f>I31-Production!$B$3*E30</f>
        <v/>
      </c>
      <c r="K31" s="7">
        <f>K30*(1-Production!$B$3)+I31</f>
        <v/>
      </c>
      <c r="L31" s="7">
        <f>EXP(F31+0.35*LN(K31))</f>
        <v/>
      </c>
      <c r="M31" s="7">
        <f>L31-H31</f>
        <v/>
      </c>
    </row>
    <row r="32">
      <c r="A32" s="3" t="n">
        <v>2026</v>
      </c>
      <c r="B32" s="7">
        <f>WEO_Data!D30</f>
        <v/>
      </c>
      <c r="C32" s="5" t="inlineStr"/>
      <c r="E32" s="7">
        <f>B32*AVERAGE($D$13:$D$21)</f>
        <v/>
      </c>
      <c r="F32" s="4">
        <f>TREND(Production!$C$34:$C$55,Production!$A$34:$A$55,A32)</f>
        <v/>
      </c>
      <c r="G32" s="4">
        <f>F32+0.35*LN(E32)</f>
        <v/>
      </c>
      <c r="H32" s="7">
        <f>EXP(G32)</f>
        <v/>
      </c>
      <c r="I32" s="4">
        <f>Investment!B32</f>
        <v/>
      </c>
      <c r="J32" s="9">
        <f>I32-Production!$B$3*E31</f>
        <v/>
      </c>
      <c r="K32" s="7">
        <f>K31*(1-Production!$B$3)+I32</f>
        <v/>
      </c>
      <c r="L32" s="7">
        <f>EXP(F32+0.35*LN(K32))</f>
        <v/>
      </c>
      <c r="M32" s="7">
        <f>L32-H32</f>
        <v/>
      </c>
    </row>
    <row r="33">
      <c r="A33" s="3" t="n">
        <v>2027</v>
      </c>
      <c r="B33" s="7">
        <f>WEO_Data!D31</f>
        <v/>
      </c>
      <c r="C33" s="5" t="inlineStr"/>
      <c r="E33" s="7">
        <f>B33*AVERAGE($D$13:$D$21)</f>
        <v/>
      </c>
      <c r="F33" s="4">
        <f>TREND(Production!$C$34:$C$55,Production!$A$34:$A$55,A33)</f>
        <v/>
      </c>
      <c r="G33" s="4">
        <f>F33+0.35*LN(E33)</f>
        <v/>
      </c>
      <c r="H33" s="7">
        <f>EXP(G33)</f>
        <v/>
      </c>
      <c r="I33" s="4">
        <f>Investment!B33</f>
        <v/>
      </c>
      <c r="J33" s="9">
        <f>I33-Production!$B$3*E32</f>
        <v/>
      </c>
      <c r="K33" s="7">
        <f>K32*(1-Production!$B$3)+I33</f>
        <v/>
      </c>
      <c r="L33" s="7">
        <f>EXP(F33+0.35*LN(K33))</f>
        <v/>
      </c>
      <c r="M33" s="7">
        <f>L33-H33</f>
        <v/>
      </c>
    </row>
    <row r="34">
      <c r="A34" s="3" t="n">
        <v>2028</v>
      </c>
      <c r="B34" s="7">
        <f>WEO_Data!D32</f>
        <v/>
      </c>
      <c r="C34" s="5" t="inlineStr"/>
      <c r="E34" s="7">
        <f>B34*AVERAGE($D$13:$D$21)</f>
        <v/>
      </c>
      <c r="F34" s="4">
        <f>TREND(Production!$C$34:$C$55,Production!$A$34:$A$55,A34)</f>
        <v/>
      </c>
      <c r="G34" s="4">
        <f>F34+0.35*LN(E34)</f>
        <v/>
      </c>
      <c r="H34" s="7">
        <f>EXP(G34)</f>
        <v/>
      </c>
      <c r="I34" s="4">
        <f>Investment!B34</f>
        <v/>
      </c>
      <c r="J34" s="9">
        <f>I34-Production!$B$3*E33</f>
        <v/>
      </c>
      <c r="K34" s="7">
        <f>K33*(1-Production!$B$3)+I34</f>
        <v/>
      </c>
      <c r="L34" s="7">
        <f>EXP(F34+0.35*LN(K34))</f>
        <v/>
      </c>
      <c r="M34" s="7">
        <f>L34-H34</f>
        <v/>
      </c>
    </row>
    <row r="35">
      <c r="A35" s="3" t="n">
        <v>2029</v>
      </c>
      <c r="B35" s="7">
        <f>WEO_Data!D33</f>
        <v/>
      </c>
      <c r="C35" s="5" t="inlineStr"/>
      <c r="E35" s="7">
        <f>B35*AVERAGE($D$13:$D$21)</f>
        <v/>
      </c>
      <c r="F35" s="4">
        <f>TREND(Production!$C$34:$C$55,Production!$A$34:$A$55,A35)</f>
        <v/>
      </c>
      <c r="G35" s="4">
        <f>F35+0.35*LN(E35)</f>
        <v/>
      </c>
      <c r="H35" s="7">
        <f>EXP(G35)</f>
        <v/>
      </c>
      <c r="I35" s="4">
        <f>Investment!B35</f>
        <v/>
      </c>
      <c r="J35" s="9">
        <f>I35-Production!$B$3*E34</f>
        <v/>
      </c>
      <c r="K35" s="7">
        <f>K34*(1-Production!$B$3)+I35</f>
        <v/>
      </c>
      <c r="L35" s="7">
        <f>EXP(F35+0.35*LN(K35))</f>
        <v/>
      </c>
      <c r="M35" s="7">
        <f>L35-H35</f>
        <v/>
      </c>
    </row>
    <row r="36">
      <c r="A36" s="3" t="n">
        <v>2030</v>
      </c>
      <c r="B36" s="7">
        <f>WEO_Data!D34</f>
        <v/>
      </c>
      <c r="C36" s="5" t="inlineStr"/>
      <c r="E36" s="7">
        <f>B36*AVERAGE($D$13:$D$21)</f>
        <v/>
      </c>
      <c r="F36" s="4">
        <f>TREND(Production!$C$34:$C$55,Production!$A$34:$A$55,A36)</f>
        <v/>
      </c>
      <c r="G36" s="4">
        <f>F36+0.35*LN(E36)</f>
        <v/>
      </c>
      <c r="H36" s="7">
        <f>EXP(G36)</f>
        <v/>
      </c>
      <c r="I36" s="4">
        <f>Investment!B36</f>
        <v/>
      </c>
      <c r="J36" s="9">
        <f>I36-Production!$B$3*E35</f>
        <v/>
      </c>
      <c r="K36" s="7">
        <f>K35*(1-Production!$B$3)+I36</f>
        <v/>
      </c>
      <c r="L36" s="7">
        <f>EXP(F36+0.35*LN(K36))</f>
        <v/>
      </c>
      <c r="M36" s="7">
        <f>L36-H36</f>
        <v/>
      </c>
    </row>
    <row r="37">
      <c r="A37" s="3" t="n">
        <v>2031</v>
      </c>
      <c r="B37" s="7">
        <f>WEO_Data!D35</f>
        <v/>
      </c>
      <c r="C37" s="5" t="inlineStr"/>
      <c r="E37" s="7">
        <f>B37*AVERAGE($D$13:$D$21)</f>
        <v/>
      </c>
      <c r="F37" s="4">
        <f>TREND(Production!$C$34:$C$55,Production!$A$34:$A$55,A37)</f>
        <v/>
      </c>
      <c r="G37" s="4">
        <f>F37+0.35*LN(E37)</f>
        <v/>
      </c>
      <c r="H37" s="7">
        <f>EXP(G37)</f>
        <v/>
      </c>
      <c r="I37" s="4">
        <f>Investment!B37</f>
        <v/>
      </c>
      <c r="J37" s="9">
        <f>I37-Production!$B$3*E36</f>
        <v/>
      </c>
      <c r="K37" s="7">
        <f>K36*(1-Production!$B$3)+I37</f>
        <v/>
      </c>
      <c r="L37" s="7">
        <f>EXP(F37+0.35*LN(K37))</f>
        <v/>
      </c>
      <c r="M37" s="7">
        <f>L37-H37</f>
        <v/>
      </c>
    </row>
    <row r="38">
      <c r="A38" s="3" t="n">
        <v>2032</v>
      </c>
      <c r="B38" s="7">
        <f>WEO_Data!D36</f>
        <v/>
      </c>
      <c r="C38" s="5" t="inlineStr"/>
      <c r="E38" s="7">
        <f>B38*AVERAGE($D$13:$D$21)</f>
        <v/>
      </c>
      <c r="F38" s="4">
        <f>TREND(Production!$C$34:$C$55,Production!$A$34:$A$55,A38)</f>
        <v/>
      </c>
      <c r="G38" s="4">
        <f>F38+0.35*LN(E38)</f>
        <v/>
      </c>
      <c r="H38" s="7">
        <f>EXP(G38)</f>
        <v/>
      </c>
      <c r="I38" s="4">
        <f>Investment!B38</f>
        <v/>
      </c>
      <c r="J38" s="9">
        <f>I38-Production!$B$3*E37</f>
        <v/>
      </c>
      <c r="K38" s="7">
        <f>K37*(1-Production!$B$3)+I38</f>
        <v/>
      </c>
      <c r="L38" s="7">
        <f>EXP(F38+0.35*LN(K38))</f>
        <v/>
      </c>
      <c r="M38" s="7">
        <f>L38-H38</f>
        <v/>
      </c>
    </row>
    <row r="39">
      <c r="A39" s="3" t="n">
        <v>2033</v>
      </c>
      <c r="B39" s="7">
        <f>WEO_Data!D37</f>
        <v/>
      </c>
      <c r="C39" s="5" t="inlineStr"/>
      <c r="E39" s="7">
        <f>B39*AVERAGE($D$13:$D$21)</f>
        <v/>
      </c>
      <c r="F39" s="4">
        <f>TREND(Production!$C$34:$C$55,Production!$A$34:$A$55,A39)</f>
        <v/>
      </c>
      <c r="G39" s="4">
        <f>F39+0.35*LN(E39)</f>
        <v/>
      </c>
      <c r="H39" s="7">
        <f>EXP(G39)</f>
        <v/>
      </c>
      <c r="I39" s="4">
        <f>Investment!B39</f>
        <v/>
      </c>
      <c r="J39" s="9">
        <f>I39-Production!$B$3*E38</f>
        <v/>
      </c>
      <c r="K39" s="7">
        <f>K38*(1-Production!$B$3)+I39</f>
        <v/>
      </c>
      <c r="L39" s="7">
        <f>EXP(F39+0.35*LN(K39))</f>
        <v/>
      </c>
      <c r="M39" s="7">
        <f>L39-H39</f>
        <v/>
      </c>
    </row>
    <row r="40">
      <c r="A40" s="3" t="n">
        <v>2034</v>
      </c>
      <c r="B40" s="7">
        <f>WEO_Data!D38</f>
        <v/>
      </c>
      <c r="C40" s="5" t="inlineStr"/>
      <c r="E40" s="7">
        <f>B40*AVERAGE($D$13:$D$21)</f>
        <v/>
      </c>
      <c r="F40" s="4">
        <f>TREND(Production!$C$34:$C$55,Production!$A$34:$A$55,A40)</f>
        <v/>
      </c>
      <c r="G40" s="4">
        <f>F40+0.35*LN(E40)</f>
        <v/>
      </c>
      <c r="H40" s="7">
        <f>EXP(G40)</f>
        <v/>
      </c>
      <c r="I40" s="4">
        <f>Investment!B40</f>
        <v/>
      </c>
      <c r="J40" s="9">
        <f>I40-Production!$B$3*E39</f>
        <v/>
      </c>
      <c r="K40" s="7">
        <f>K39*(1-Production!$B$3)+I40</f>
        <v/>
      </c>
      <c r="L40" s="7">
        <f>EXP(F40+0.35*LN(K40))</f>
        <v/>
      </c>
      <c r="M40" s="7">
        <f>L40-H40</f>
        <v/>
      </c>
    </row>
    <row r="41">
      <c r="A41" s="3" t="n">
        <v>2035</v>
      </c>
      <c r="B41" s="7">
        <f>WEO_Data!D39</f>
        <v/>
      </c>
      <c r="C41" s="5" t="inlineStr"/>
      <c r="E41" s="7">
        <f>B41*AVERAGE($D$13:$D$21)</f>
        <v/>
      </c>
      <c r="F41" s="4">
        <f>TREND(Production!$C$34:$C$55,Production!$A$34:$A$55,A41)</f>
        <v/>
      </c>
      <c r="G41" s="4">
        <f>F41+0.35*LN(E41)</f>
        <v/>
      </c>
      <c r="H41" s="7">
        <f>EXP(G41)</f>
        <v/>
      </c>
      <c r="I41" s="4">
        <f>Investment!B41</f>
        <v/>
      </c>
      <c r="J41" s="9">
        <f>I41-Production!$B$3*E40</f>
        <v/>
      </c>
      <c r="K41" s="7">
        <f>K40*(1-Production!$B$3)+I41</f>
        <v/>
      </c>
      <c r="L41" s="7">
        <f>EXP(F41+0.35*LN(K41))</f>
        <v/>
      </c>
      <c r="M41" s="7">
        <f>L41-H41</f>
        <v/>
      </c>
    </row>
    <row r="42">
      <c r="A42" s="3" t="n">
        <v>2036</v>
      </c>
      <c r="B42" s="7">
        <f>WEO_Data!D40</f>
        <v/>
      </c>
      <c r="C42" s="5" t="inlineStr"/>
      <c r="E42" s="7">
        <f>B42*AVERAGE($D$13:$D$21)</f>
        <v/>
      </c>
      <c r="F42" s="4">
        <f>TREND(Production!$C$34:$C$55,Production!$A$34:$A$55,A42)</f>
        <v/>
      </c>
      <c r="G42" s="4">
        <f>F42+0.35*LN(E42)</f>
        <v/>
      </c>
      <c r="H42" s="7">
        <f>EXP(G42)</f>
        <v/>
      </c>
      <c r="I42" s="4">
        <f>Investment!B42</f>
        <v/>
      </c>
      <c r="J42" s="9">
        <f>I42-Production!$B$3*E41</f>
        <v/>
      </c>
      <c r="K42" s="7">
        <f>K41*(1-Production!$B$3)+I42</f>
        <v/>
      </c>
      <c r="L42" s="7">
        <f>EXP(F42+0.35*LN(K42))</f>
        <v/>
      </c>
      <c r="M42" s="7">
        <f>L42-H42</f>
        <v/>
      </c>
    </row>
    <row r="43">
      <c r="A43" s="3" t="n">
        <v>2037</v>
      </c>
      <c r="B43" s="7">
        <f>WEO_Data!D41</f>
        <v/>
      </c>
      <c r="C43" s="5" t="inlineStr"/>
      <c r="E43" s="7">
        <f>B43*AVERAGE($D$13:$D$21)</f>
        <v/>
      </c>
      <c r="F43" s="4">
        <f>TREND(Production!$C$34:$C$55,Production!$A$34:$A$55,A43)</f>
        <v/>
      </c>
      <c r="G43" s="4">
        <f>F43+0.35*LN(E43)</f>
        <v/>
      </c>
      <c r="H43" s="7">
        <f>EXP(G43)</f>
        <v/>
      </c>
      <c r="I43" s="4">
        <f>Investment!B43</f>
        <v/>
      </c>
      <c r="J43" s="9">
        <f>I43-Production!$B$3*E42</f>
        <v/>
      </c>
      <c r="K43" s="7">
        <f>K42*(1-Production!$B$3)+I43</f>
        <v/>
      </c>
      <c r="L43" s="7">
        <f>EXP(F43+0.35*LN(K43))</f>
        <v/>
      </c>
      <c r="M43" s="7">
        <f>L43-H43</f>
        <v/>
      </c>
    </row>
    <row r="44">
      <c r="A44" s="3" t="n">
        <v>2038</v>
      </c>
      <c r="B44" s="7">
        <f>WEO_Data!D42</f>
        <v/>
      </c>
      <c r="C44" s="5" t="inlineStr"/>
      <c r="E44" s="7">
        <f>B44*AVERAGE($D$13:$D$21)</f>
        <v/>
      </c>
      <c r="F44" s="4">
        <f>TREND(Production!$C$34:$C$55,Production!$A$34:$A$55,A44)</f>
        <v/>
      </c>
      <c r="G44" s="4">
        <f>F44+0.35*LN(E44)</f>
        <v/>
      </c>
      <c r="H44" s="7">
        <f>EXP(G44)</f>
        <v/>
      </c>
      <c r="I44" s="4">
        <f>Investment!B44</f>
        <v/>
      </c>
      <c r="J44" s="9">
        <f>I44-Production!$B$3*E43</f>
        <v/>
      </c>
      <c r="K44" s="7">
        <f>K43*(1-Production!$B$3)+I44</f>
        <v/>
      </c>
      <c r="L44" s="7">
        <f>EXP(F44+0.35*LN(K44))</f>
        <v/>
      </c>
      <c r="M44" s="7">
        <f>L44-H44</f>
        <v/>
      </c>
    </row>
    <row r="45">
      <c r="A45" s="3" t="n">
        <v>2039</v>
      </c>
      <c r="B45" s="7">
        <f>WEO_Data!D43</f>
        <v/>
      </c>
      <c r="C45" s="5" t="inlineStr"/>
      <c r="E45" s="7">
        <f>B45*AVERAGE($D$13:$D$21)</f>
        <v/>
      </c>
      <c r="F45" s="4">
        <f>TREND(Production!$C$34:$C$55,Production!$A$34:$A$55,A45)</f>
        <v/>
      </c>
      <c r="G45" s="4">
        <f>F45+0.35*LN(E45)</f>
        <v/>
      </c>
      <c r="H45" s="7">
        <f>EXP(G45)</f>
        <v/>
      </c>
      <c r="I45" s="4">
        <f>Investment!B45</f>
        <v/>
      </c>
      <c r="J45" s="9">
        <f>I45-Production!$B$3*E44</f>
        <v/>
      </c>
      <c r="K45" s="7">
        <f>K44*(1-Production!$B$3)+I45</f>
        <v/>
      </c>
      <c r="L45" s="7">
        <f>EXP(F45+0.35*LN(K45))</f>
        <v/>
      </c>
      <c r="M45" s="7">
        <f>L45-H45</f>
        <v/>
      </c>
    </row>
    <row r="46">
      <c r="A46" s="3" t="n">
        <v>2040</v>
      </c>
      <c r="B46" s="7">
        <f>WEO_Data!D44</f>
        <v/>
      </c>
      <c r="C46" s="5" t="inlineStr"/>
      <c r="E46" s="7">
        <f>B46*AVERAGE($D$13:$D$21)</f>
        <v/>
      </c>
      <c r="F46" s="4">
        <f>TREND(Production!$C$34:$C$55,Production!$A$34:$A$55,A46)</f>
        <v/>
      </c>
      <c r="G46" s="4">
        <f>F46+0.35*LN(E46)</f>
        <v/>
      </c>
      <c r="H46" s="7">
        <f>EXP(G46)</f>
        <v/>
      </c>
      <c r="I46" s="4">
        <f>Investment!B46</f>
        <v/>
      </c>
      <c r="J46" s="9">
        <f>I46-Production!$B$3*E45</f>
        <v/>
      </c>
      <c r="K46" s="7">
        <f>K45*(1-Production!$B$3)+I46</f>
        <v/>
      </c>
      <c r="L46" s="7">
        <f>EXP(F46+0.35*LN(K46))</f>
        <v/>
      </c>
      <c r="M46" s="7">
        <f>L46-H46</f>
        <v/>
      </c>
    </row>
    <row r="47">
      <c r="A47" s="3" t="n">
        <v>2041</v>
      </c>
      <c r="B47" s="7">
        <f>WEO_Data!D45</f>
        <v/>
      </c>
      <c r="C47" s="5" t="inlineStr"/>
      <c r="E47" s="7">
        <f>B47*AVERAGE($D$13:$D$21)</f>
        <v/>
      </c>
      <c r="F47" s="4">
        <f>TREND(Production!$C$34:$C$55,Production!$A$34:$A$55,A47)</f>
        <v/>
      </c>
      <c r="G47" s="4">
        <f>F47+0.35*LN(E47)</f>
        <v/>
      </c>
      <c r="H47" s="7">
        <f>EXP(G47)</f>
        <v/>
      </c>
      <c r="I47" s="4">
        <f>Investment!B47</f>
        <v/>
      </c>
      <c r="J47" s="9">
        <f>I47-Production!$B$3*E46</f>
        <v/>
      </c>
      <c r="K47" s="7">
        <f>K46*(1-Production!$B$3)+I47</f>
        <v/>
      </c>
      <c r="L47" s="7">
        <f>EXP(F47+0.35*LN(K47))</f>
        <v/>
      </c>
      <c r="M47" s="7">
        <f>L47-H47</f>
        <v/>
      </c>
    </row>
    <row r="48">
      <c r="A48" s="3" t="n">
        <v>2042</v>
      </c>
      <c r="B48" s="7">
        <f>WEO_Data!D46</f>
        <v/>
      </c>
      <c r="C48" s="5" t="inlineStr"/>
      <c r="E48" s="7">
        <f>B48*AVERAGE($D$13:$D$21)</f>
        <v/>
      </c>
      <c r="F48" s="4">
        <f>TREND(Production!$C$34:$C$55,Production!$A$34:$A$55,A48)</f>
        <v/>
      </c>
      <c r="G48" s="4">
        <f>F48+0.35*LN(E48)</f>
        <v/>
      </c>
      <c r="H48" s="7">
        <f>EXP(G48)</f>
        <v/>
      </c>
      <c r="I48" s="4">
        <f>Investment!B48</f>
        <v/>
      </c>
      <c r="J48" s="9">
        <f>I48-Production!$B$3*E47</f>
        <v/>
      </c>
      <c r="K48" s="7">
        <f>K47*(1-Production!$B$3)+I48</f>
        <v/>
      </c>
      <c r="L48" s="7">
        <f>EXP(F48+0.35*LN(K48))</f>
        <v/>
      </c>
      <c r="M48" s="7">
        <f>L48-H48</f>
        <v/>
      </c>
    </row>
    <row r="49">
      <c r="A49" s="3" t="n">
        <v>2043</v>
      </c>
      <c r="B49" s="7">
        <f>WEO_Data!D47</f>
        <v/>
      </c>
      <c r="C49" s="5" t="inlineStr"/>
      <c r="E49" s="7">
        <f>B49*AVERAGE($D$13:$D$21)</f>
        <v/>
      </c>
      <c r="F49" s="4">
        <f>TREND(Production!$C$34:$C$55,Production!$A$34:$A$55,A49)</f>
        <v/>
      </c>
      <c r="G49" s="4">
        <f>F49+0.35*LN(E49)</f>
        <v/>
      </c>
      <c r="H49" s="7">
        <f>EXP(G49)</f>
        <v/>
      </c>
      <c r="I49" s="4">
        <f>Investment!B49</f>
        <v/>
      </c>
      <c r="J49" s="9">
        <f>I49-Production!$B$3*E48</f>
        <v/>
      </c>
      <c r="K49" s="7">
        <f>K48*(1-Production!$B$3)+I49</f>
        <v/>
      </c>
      <c r="L49" s="7">
        <f>EXP(F49+0.35*LN(K49))</f>
        <v/>
      </c>
      <c r="M49" s="7">
        <f>L49-H49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2026-01-29T06:12:23Z</dcterms:created>
  <dcterms:modified xsi:type="dcterms:W3CDTF">2026-01-29T06:14:54Z</dcterms:modified>
</cp:coreProperties>
</file>