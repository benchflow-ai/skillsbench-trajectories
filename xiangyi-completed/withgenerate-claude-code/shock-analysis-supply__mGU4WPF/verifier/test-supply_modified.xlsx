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PWT" sheetId="2" state="visible" r:id="rId2"/>
    <sheet name="WEO_Data" sheetId="3" state="visible" r:id="rId3"/>
    <sheet name="CFC data" sheetId="4" state="visible" r:id="rId4"/>
    <sheet name="Production" sheetId="5" state="visible" r:id="rId5"/>
    <sheet name="Investment" sheetId="6" state="visible" r:id="rId6"/>
    <sheet name="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GEORGIA INVESTMENT SHOCK ANALYSIS</t>
        </is>
      </c>
    </row>
    <row r="2">
      <c r="A2" t="inlineStr">
        <is>
          <t>User Guide for Excel Model</t>
        </is>
      </c>
    </row>
    <row r="4">
      <c r="A4" t="inlineStr">
        <is>
          <t>OVERVIEW</t>
        </is>
      </c>
    </row>
    <row r="5">
      <c r="A5" t="inlineStr">
        <is>
          <t>This model estimates the impact of a $6.5 billion investment shock over 8 years (2026-2033)</t>
        </is>
      </c>
    </row>
    <row r="6">
      <c r="A6" t="inlineStr">
        <is>
          <t>on Georgia's potential GDP using a Cobb-Douglas production function.</t>
        </is>
      </c>
    </row>
    <row r="8">
      <c r="A8" t="inlineStr">
        <is>
          <t>SHEET DESCRIPTIONS</t>
        </is>
      </c>
    </row>
    <row r="9">
      <c r="A9" t="inlineStr">
        <is>
          <t>1. PWT: Penn World Table data (capital stock, real GDP)</t>
        </is>
      </c>
    </row>
    <row r="10">
      <c r="A10" t="inlineStr">
        <is>
          <t>2. WEO_Data: IMF World Economic Outlook (GDP projections 2000-2043)</t>
        </is>
      </c>
    </row>
    <row r="11">
      <c r="A11" t="inlineStr">
        <is>
          <t>3. CFC data: Consumption of fixed capital (depreciation data)</t>
        </is>
      </c>
    </row>
    <row r="12">
      <c r="A12" t="inlineStr">
        <is>
          <t>4. Production: Main analysis sheet with HP filter and production function</t>
        </is>
      </c>
    </row>
    <row r="13">
      <c r="A13" t="inlineStr">
        <is>
          <t>5. Investment: Investment shock profile ($6.5B over 2026-2033)</t>
        </is>
      </c>
    </row>
    <row r="15">
      <c r="A15" t="inlineStr">
        <is>
          <t>STEP 1: DATA SETUP (ALREADY COMPLETE)</t>
        </is>
      </c>
    </row>
    <row r="16">
      <c r="A16" t="inlineStr">
        <is>
          <t>✓ PWT sheet: K and Y baseline values populated</t>
        </is>
      </c>
    </row>
    <row r="17">
      <c r="A17" t="inlineStr">
        <is>
          <t>✓ WEO_Data: Real GDP 2000-2027, projections to 2043</t>
        </is>
      </c>
    </row>
    <row r="18">
      <c r="A18" t="inlineStr">
        <is>
          <t>✓ CFC data: Depreciation rates calculated</t>
        </is>
      </c>
    </row>
    <row r="19">
      <c r="A19" t="inlineStr">
        <is>
          <t>✓ Investment: $6.5B distributed 2026-2033</t>
        </is>
      </c>
    </row>
    <row r="21">
      <c r="A21" t="inlineStr">
        <is>
          <t>STEP 2: HP FILTER SETUP (REQUIRES EXCEL SOLVER)</t>
        </is>
      </c>
    </row>
    <row r="22">
      <c r="A22" t="inlineStr">
        <is>
          <t>Location: Production sheet, cells J7:J28 and O8:O10</t>
        </is>
      </c>
    </row>
    <row r="23">
      <c r="A23" t="inlineStr">
        <is>
          <t>Instructions:</t>
        </is>
      </c>
    </row>
    <row r="24">
      <c r="A24" t="inlineStr">
        <is>
          <t xml:space="preserve">  1. Open Excel Solver (Data &gt; Solver, or Tools &gt; Solver)</t>
        </is>
      </c>
    </row>
    <row r="25">
      <c r="A25" t="inlineStr">
        <is>
          <t xml:space="preserve">  2. Set Objective: P6 (minimize)</t>
        </is>
      </c>
    </row>
    <row r="26">
      <c r="A26" t="inlineStr">
        <is>
          <t xml:space="preserve">  3. Variable cells: J7:J28</t>
        </is>
      </c>
    </row>
    <row r="27">
      <c r="A27" t="inlineStr">
        <is>
          <t xml:space="preserve">  4. Click Solve</t>
        </is>
      </c>
    </row>
    <row r="28">
      <c r="A28" t="inlineStr">
        <is>
          <t xml:space="preserve">  5. This will optimize the HP filtered trend of log productivity</t>
        </is>
      </c>
    </row>
    <row r="30">
      <c r="A30" t="inlineStr">
        <is>
          <t>STEP 3: RUN ANALYSIS</t>
        </is>
      </c>
    </row>
    <row r="31">
      <c r="A31" t="inlineStr">
        <is>
          <t>After Solver completes:</t>
        </is>
      </c>
    </row>
    <row r="32">
      <c r="A32" t="inlineStr">
        <is>
          <t xml:space="preserve">  1. LnZ_trend will be in column J (2002-2023)</t>
        </is>
      </c>
    </row>
    <row r="33">
      <c r="A33" t="inlineStr">
        <is>
          <t xml:space="preserve">  2. Column C will extend LnZ_trend to 2041 using TREND function</t>
        </is>
      </c>
    </row>
    <row r="34">
      <c r="A34" t="inlineStr">
        <is>
          <t xml:space="preserve">  3. Production function results show Y_base and Y_with</t>
        </is>
      </c>
    </row>
    <row r="35">
      <c r="A35" t="inlineStr">
        <is>
          <t xml:space="preserve">  4. Output Gain column shows GDP impact of investment</t>
        </is>
      </c>
    </row>
    <row r="37">
      <c r="A37" t="inlineStr">
        <is>
          <t>KEY PARAMETERS</t>
        </is>
      </c>
    </row>
    <row r="38">
      <c r="A38" t="inlineStr">
        <is>
          <t>Alpha (capital's share): 0.35</t>
        </is>
      </c>
    </row>
    <row r="39">
      <c r="A39" t="inlineStr">
        <is>
          <t>Depreciation rate (delta): 0.05 (from CFC data)</t>
        </is>
      </c>
    </row>
    <row r="40">
      <c r="A40" t="inlineStr">
        <is>
          <t>HP Filter lambda: 1600 (standard for annual macro data)</t>
        </is>
      </c>
    </row>
    <row r="41">
      <c r="A41" t="inlineStr">
        <is>
          <t>Investment shock: $6.5 billion total, 2026-2033</t>
        </is>
      </c>
    </row>
    <row r="43">
      <c r="A43" t="inlineStr">
        <is>
          <t>FORMULAS USED</t>
        </is>
      </c>
    </row>
    <row r="44">
      <c r="A44" t="inlineStr">
        <is>
          <t>LnZ = LnY - 0.35*LnK  (log productivity residual)</t>
        </is>
      </c>
    </row>
    <row r="45">
      <c r="A45" t="inlineStr">
        <is>
          <t>Y_base = exp(LnZ_trend + 0.35*ln(K_base))</t>
        </is>
      </c>
    </row>
    <row r="46">
      <c r="A46" t="inlineStr">
        <is>
          <t>Y_with = exp(LnZ_trend + 0.35*ln(K_with))</t>
        </is>
      </c>
    </row>
    <row r="47">
      <c r="A47" t="inlineStr">
        <is>
          <t>K_t = K_{t-1}*(1-delta) + Investment_t</t>
        </is>
      </c>
    </row>
    <row r="48">
      <c r="A48" t="inlineStr">
        <is>
          <t>Objective = Σ(LnZ - LnZ_HP)² + 1600*Σ(d²LnZ_HP)²</t>
        </is>
      </c>
    </row>
    <row r="50">
      <c r="A50" t="inlineStr">
        <is>
          <t>OUTPUT INTERPRETATION</t>
        </is>
      </c>
    </row>
    <row r="51">
      <c r="A51" t="inlineStr">
        <is>
          <t>Output Gain: Additional GDP annually from the $6.5B investment</t>
        </is>
      </c>
    </row>
    <row r="52">
      <c r="A52" t="inlineStr">
        <is>
          <t>Cumulative Output Gain: Total GDP boost over the analysis period</t>
        </is>
      </c>
    </row>
    <row r="53">
      <c r="A53" t="inlineStr">
        <is>
          <t>Peak impact: Typically 2-3 years after investment ends (2035-2036)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Value (2023 or latest)</t>
        </is>
      </c>
    </row>
    <row r="2">
      <c r="A2" t="inlineStr">
        <is>
          <t>K</t>
        </is>
      </c>
      <c r="B2" t="inlineStr">
        <is>
          <t>Capital stock (constant 2017 USD, millions)</t>
        </is>
      </c>
      <c r="C2" t="n">
        <v>263192.13</v>
      </c>
    </row>
    <row r="3">
      <c r="A3" t="inlineStr">
        <is>
          <t>Y</t>
        </is>
      </c>
      <c r="B3" t="inlineStr">
        <is>
          <t>Real GDP (constant 2017 USD, millions)</t>
        </is>
      </c>
      <c r="C3" t="n">
        <v>18505</v>
      </c>
    </row>
    <row r="4">
      <c r="A4" t="inlineStr">
        <is>
          <t>L</t>
        </is>
      </c>
      <c r="B4" t="inlineStr">
        <is>
          <t>Depreciation rate</t>
        </is>
      </c>
      <c r="C4" t="n">
        <v>0.05</v>
      </c>
    </row>
    <row r="5">
      <c r="A5" t="inlineStr">
        <is>
          <t>delta</t>
        </is>
      </c>
      <c r="B5" t="inlineStr">
        <is>
          <t>Depreciation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(billions USD)</t>
        </is>
      </c>
      <c r="C1" t="inlineStr">
        <is>
          <t>Growth Rate (%)</t>
        </is>
      </c>
    </row>
    <row r="2">
      <c r="A2" t="n">
        <v>2000</v>
      </c>
      <c r="B2" t="n">
        <v>6.37</v>
      </c>
      <c r="C2" t="n">
        <v>0.019</v>
      </c>
    </row>
    <row r="3">
      <c r="A3" t="n">
        <v>2001</v>
      </c>
      <c r="B3" t="n">
        <v>6.67</v>
      </c>
      <c r="C3" t="n">
        <v>0.047</v>
      </c>
    </row>
    <row r="4">
      <c r="A4" t="n">
        <v>2002</v>
      </c>
      <c r="B4" t="n">
        <v>7.04</v>
      </c>
      <c r="C4" t="n">
        <v>0.055</v>
      </c>
    </row>
    <row r="5">
      <c r="A5" t="n">
        <v>2003</v>
      </c>
      <c r="B5" t="n">
        <v>7.81</v>
      </c>
      <c r="C5" t="n">
        <v>0.11</v>
      </c>
    </row>
    <row r="6">
      <c r="A6" t="n">
        <v>2004</v>
      </c>
      <c r="B6" t="n">
        <v>8.27</v>
      </c>
      <c r="C6" t="n">
        <v>0.059</v>
      </c>
    </row>
    <row r="7">
      <c r="A7" t="n">
        <v>2005</v>
      </c>
      <c r="B7" t="n">
        <v>9.06</v>
      </c>
      <c r="C7" t="n">
        <v>0.096</v>
      </c>
    </row>
    <row r="8">
      <c r="A8" t="n">
        <v>2006</v>
      </c>
      <c r="B8" t="n">
        <v>9.91</v>
      </c>
      <c r="C8" t="n">
        <v>0.094</v>
      </c>
    </row>
    <row r="9">
      <c r="A9" t="n">
        <v>2007</v>
      </c>
      <c r="B9" t="n">
        <v>11.16</v>
      </c>
      <c r="C9" t="n">
        <v>0.126</v>
      </c>
    </row>
    <row r="10">
      <c r="A10" t="n">
        <v>2008</v>
      </c>
      <c r="B10" t="n">
        <v>11.43</v>
      </c>
      <c r="C10" t="n">
        <v>0.024</v>
      </c>
    </row>
    <row r="11">
      <c r="A11" t="n">
        <v>2009</v>
      </c>
      <c r="B11" t="n">
        <v>11.01</v>
      </c>
      <c r="C11" t="n">
        <v>-0.03700000000000001</v>
      </c>
    </row>
    <row r="12">
      <c r="A12" t="n">
        <v>2010</v>
      </c>
      <c r="B12" t="n">
        <v>11.7</v>
      </c>
      <c r="C12" t="n">
        <v>0.063</v>
      </c>
    </row>
    <row r="13">
      <c r="A13" t="n">
        <v>2011</v>
      </c>
      <c r="B13" t="n">
        <v>12.63</v>
      </c>
      <c r="C13" t="n">
        <v>0.079</v>
      </c>
    </row>
    <row r="14">
      <c r="A14" t="n">
        <v>2012</v>
      </c>
      <c r="B14" t="n">
        <v>13.46</v>
      </c>
      <c r="C14" t="n">
        <v>0.066</v>
      </c>
    </row>
    <row r="15">
      <c r="A15" t="n">
        <v>2013</v>
      </c>
      <c r="B15" t="n">
        <v>14.15</v>
      </c>
      <c r="C15" t="n">
        <v>0.051</v>
      </c>
    </row>
    <row r="16">
      <c r="A16" t="n">
        <v>2014</v>
      </c>
      <c r="B16" t="n">
        <v>14.73</v>
      </c>
      <c r="C16" t="n">
        <v>0.04099999999999999</v>
      </c>
    </row>
    <row r="17">
      <c r="A17" t="n">
        <v>2015</v>
      </c>
      <c r="B17" t="n">
        <v>15.22</v>
      </c>
      <c r="C17" t="n">
        <v>0.033</v>
      </c>
    </row>
    <row r="18">
      <c r="A18" t="n">
        <v>2016</v>
      </c>
      <c r="B18" t="n">
        <v>15.75</v>
      </c>
      <c r="C18" t="n">
        <v>0.035</v>
      </c>
    </row>
    <row r="19">
      <c r="A19" t="n">
        <v>2017</v>
      </c>
      <c r="B19" t="n">
        <v>16.56</v>
      </c>
      <c r="C19" t="n">
        <v>0.051</v>
      </c>
    </row>
    <row r="20">
      <c r="A20" t="n">
        <v>2018</v>
      </c>
      <c r="B20" t="n">
        <v>17.57</v>
      </c>
      <c r="C20" t="n">
        <v>0.061</v>
      </c>
    </row>
    <row r="21">
      <c r="A21" t="n">
        <v>2019</v>
      </c>
      <c r="B21" t="n">
        <v>18.51</v>
      </c>
      <c r="C21" t="n">
        <v>0.05400000000000001</v>
      </c>
    </row>
    <row r="22">
      <c r="A22" t="n">
        <v>2020</v>
      </c>
      <c r="B22" t="n">
        <v>17.35</v>
      </c>
      <c r="C22" t="n">
        <v>-0.063</v>
      </c>
    </row>
    <row r="23">
      <c r="A23" t="n">
        <v>2021</v>
      </c>
      <c r="B23" t="n">
        <v>19.19</v>
      </c>
      <c r="C23" t="n">
        <v>0.106</v>
      </c>
    </row>
    <row r="24">
      <c r="A24" t="n">
        <v>2022</v>
      </c>
      <c r="B24" t="n">
        <v>21.3</v>
      </c>
      <c r="C24" t="n">
        <v>0.11</v>
      </c>
    </row>
    <row r="25">
      <c r="A25" t="n">
        <v>2023</v>
      </c>
      <c r="B25" t="n">
        <v>22.96</v>
      </c>
      <c r="C25" t="n">
        <v>0.078</v>
      </c>
    </row>
    <row r="26">
      <c r="A26" t="n">
        <v>2024</v>
      </c>
      <c r="B26" t="n">
        <v>25.13</v>
      </c>
      <c r="C26" t="n">
        <v>0.094</v>
      </c>
    </row>
    <row r="27">
      <c r="A27" t="n">
        <v>2025</v>
      </c>
      <c r="B27" t="n">
        <v>26.94</v>
      </c>
      <c r="C27" t="n">
        <v>0.07200000000000001</v>
      </c>
    </row>
    <row r="28">
      <c r="A28" t="n">
        <v>2026</v>
      </c>
      <c r="B28" t="n">
        <v>28.35</v>
      </c>
      <c r="C28" t="n">
        <v>0.053</v>
      </c>
    </row>
    <row r="29">
      <c r="A29" t="n">
        <v>2027</v>
      </c>
      <c r="B29" t="n">
        <v>29.76</v>
      </c>
      <c r="C29" t="n">
        <v>0.05</v>
      </c>
    </row>
    <row r="30">
      <c r="A30" t="n">
        <v>2028</v>
      </c>
      <c r="B30">
        <f>B29*(1+$C$29)</f>
        <v/>
      </c>
      <c r="C30">
        <f>$C$29</f>
        <v/>
      </c>
    </row>
    <row r="31">
      <c r="A31" t="n">
        <v>2029</v>
      </c>
      <c r="B31">
        <f>B30*(1+$C$29)</f>
        <v/>
      </c>
      <c r="C31">
        <f>$C$29</f>
        <v/>
      </c>
    </row>
    <row r="32">
      <c r="A32" t="n">
        <v>2030</v>
      </c>
      <c r="B32">
        <f>B31*(1+$C$29)</f>
        <v/>
      </c>
      <c r="C32">
        <f>$C$29</f>
        <v/>
      </c>
    </row>
    <row r="33">
      <c r="A33" t="n">
        <v>2031</v>
      </c>
      <c r="B33">
        <f>B32*(1+$C$29)</f>
        <v/>
      </c>
      <c r="C33">
        <f>$C$29</f>
        <v/>
      </c>
    </row>
    <row r="34">
      <c r="A34" t="n">
        <v>2032</v>
      </c>
      <c r="B34">
        <f>B33*(1+$C$29)</f>
        <v/>
      </c>
      <c r="C34">
        <f>$C$29</f>
        <v/>
      </c>
    </row>
    <row r="35">
      <c r="A35" t="n">
        <v>2033</v>
      </c>
      <c r="B35">
        <f>B34*(1+$C$29)</f>
        <v/>
      </c>
      <c r="C35">
        <f>$C$29</f>
        <v/>
      </c>
    </row>
    <row r="36">
      <c r="A36" t="n">
        <v>2034</v>
      </c>
      <c r="B36">
        <f>B35*(1+$C$29)</f>
        <v/>
      </c>
      <c r="C36">
        <f>$C$29</f>
        <v/>
      </c>
    </row>
    <row r="37">
      <c r="A37" t="n">
        <v>2035</v>
      </c>
      <c r="B37">
        <f>B36*(1+$C$29)</f>
        <v/>
      </c>
      <c r="C37">
        <f>$C$29</f>
        <v/>
      </c>
    </row>
    <row r="38">
      <c r="A38" t="n">
        <v>2036</v>
      </c>
      <c r="B38">
        <f>B37*(1+$C$29)</f>
        <v/>
      </c>
      <c r="C38">
        <f>$C$29</f>
        <v/>
      </c>
    </row>
    <row r="39">
      <c r="A39" t="n">
        <v>2037</v>
      </c>
      <c r="B39">
        <f>B38*(1+$C$29)</f>
        <v/>
      </c>
      <c r="C39">
        <f>$C$29</f>
        <v/>
      </c>
    </row>
    <row r="40">
      <c r="A40" t="n">
        <v>2038</v>
      </c>
      <c r="B40">
        <f>B39*(1+$C$29)</f>
        <v/>
      </c>
      <c r="C40">
        <f>$C$29</f>
        <v/>
      </c>
    </row>
    <row r="41">
      <c r="A41" t="n">
        <v>2039</v>
      </c>
      <c r="B41">
        <f>B40*(1+$C$29)</f>
        <v/>
      </c>
      <c r="C41">
        <f>$C$29</f>
        <v/>
      </c>
    </row>
    <row r="42">
      <c r="A42" t="n">
        <v>2040</v>
      </c>
      <c r="B42">
        <f>B41*(1+$C$29)</f>
        <v/>
      </c>
      <c r="C42">
        <f>$C$29</f>
        <v/>
      </c>
    </row>
    <row r="43">
      <c r="A43" t="n">
        <v>2041</v>
      </c>
      <c r="B43">
        <f>B42*(1+$C$29)</f>
        <v/>
      </c>
      <c r="C43">
        <f>$C$29</f>
        <v/>
      </c>
    </row>
    <row r="44">
      <c r="A44" t="n">
        <v>2042</v>
      </c>
      <c r="B44">
        <f>B43*(1+$C$29)</f>
        <v/>
      </c>
      <c r="C44">
        <f>$C$29</f>
        <v/>
      </c>
    </row>
    <row r="45">
      <c r="A45" t="n">
        <v>2043</v>
      </c>
      <c r="B45">
        <f>B44*(1+$C$29)</f>
        <v/>
      </c>
      <c r="C45">
        <f>$C$29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CFC (millions USD)</t>
        </is>
      </c>
      <c r="C1" t="inlineStr">
        <is>
          <t>Capital Stock K</t>
        </is>
      </c>
      <c r="D1" t="inlineStr">
        <is>
          <t>Depreciation Rate</t>
        </is>
      </c>
    </row>
    <row r="2">
      <c r="A2" t="n">
        <v>2000</v>
      </c>
    </row>
    <row r="3">
      <c r="A3" t="n">
        <v>2001</v>
      </c>
    </row>
    <row r="4">
      <c r="A4" t="n">
        <v>2002</v>
      </c>
    </row>
    <row r="5">
      <c r="A5" t="n">
        <v>2003</v>
      </c>
    </row>
    <row r="6">
      <c r="A6" t="n">
        <v>2004</v>
      </c>
    </row>
    <row r="7">
      <c r="A7" t="n">
        <v>2005</v>
      </c>
    </row>
    <row r="8">
      <c r="A8" t="n">
        <v>2006</v>
      </c>
    </row>
    <row r="9">
      <c r="A9" t="n">
        <v>2007</v>
      </c>
    </row>
    <row r="10">
      <c r="A10" t="n">
        <v>2008</v>
      </c>
    </row>
    <row r="11">
      <c r="A11" t="n">
        <v>2009</v>
      </c>
    </row>
    <row r="12">
      <c r="A12" t="n">
        <v>2010</v>
      </c>
    </row>
    <row r="13">
      <c r="A13" t="n">
        <v>2011</v>
      </c>
    </row>
    <row r="14">
      <c r="A14" t="n">
        <v>2012</v>
      </c>
    </row>
    <row r="15">
      <c r="A15" t="n">
        <v>2013</v>
      </c>
    </row>
    <row r="16">
      <c r="A16" t="n">
        <v>2014</v>
      </c>
    </row>
    <row r="17">
      <c r="A17" t="n">
        <v>2015</v>
      </c>
      <c r="B17">
        <f>C17*D17</f>
        <v/>
      </c>
      <c r="C17" t="n">
        <v>169610.14</v>
      </c>
      <c r="D17" t="n">
        <v>0.05</v>
      </c>
    </row>
    <row r="18">
      <c r="A18" t="n">
        <v>2016</v>
      </c>
      <c r="B18">
        <f>C18*D18</f>
        <v/>
      </c>
      <c r="C18" t="n">
        <v>210339.3</v>
      </c>
      <c r="D18" t="n">
        <v>0.05</v>
      </c>
    </row>
    <row r="19">
      <c r="A19" t="n">
        <v>2017</v>
      </c>
      <c r="B19">
        <f>C19*D19</f>
        <v/>
      </c>
      <c r="C19" t="n">
        <v>248033.09</v>
      </c>
      <c r="D19" t="n">
        <v>0.05</v>
      </c>
    </row>
    <row r="20">
      <c r="A20" t="n">
        <v>2018</v>
      </c>
      <c r="B20">
        <f>C20*D20</f>
        <v/>
      </c>
      <c r="C20" t="n">
        <v>254089.67</v>
      </c>
      <c r="D20" t="n">
        <v>0.05</v>
      </c>
    </row>
    <row r="21">
      <c r="A21" t="n">
        <v>2019</v>
      </c>
      <c r="B21">
        <f>C21*D21</f>
        <v/>
      </c>
      <c r="C21" t="n">
        <v>263192.13</v>
      </c>
      <c r="D21" t="n">
        <v>0.05</v>
      </c>
    </row>
    <row r="22">
      <c r="A22" t="n">
        <v>2020</v>
      </c>
    </row>
    <row r="23">
      <c r="A23" t="n">
        <v>2021</v>
      </c>
    </row>
    <row r="24">
      <c r="A24" t="n">
        <v>2022</v>
      </c>
    </row>
    <row r="25">
      <c r="A25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Function Analysis</t>
        </is>
      </c>
      <c r="P1" t="inlineStr">
        <is>
          <t>Average K/Y (2015-2019)</t>
        </is>
      </c>
    </row>
    <row r="2">
      <c r="A2" t="inlineStr">
        <is>
          <t>Annual Depreciation Rate (recent 8 yrs avg)</t>
        </is>
      </c>
      <c r="B2">
        <f>AVERAGE('CFC data'!D2:D6)</f>
        <v/>
      </c>
      <c r="P2">
        <f>AVERAGE(O36:O40)</f>
        <v/>
      </c>
    </row>
    <row r="4">
      <c r="A4" t="inlineStr">
        <is>
          <t>Year</t>
        </is>
      </c>
      <c r="B4" t="inlineStr">
        <is>
          <t>Year</t>
        </is>
      </c>
      <c r="C4" t="inlineStr">
        <is>
          <t>K</t>
        </is>
      </c>
      <c r="D4" t="inlineStr">
        <is>
          <t>K (linked from CFC)</t>
        </is>
      </c>
      <c r="E4" t="inlineStr">
        <is>
          <t>Y</t>
        </is>
      </c>
      <c r="F4" t="inlineStr">
        <is>
          <t>LnK</t>
        </is>
      </c>
      <c r="G4" t="inlineStr">
        <is>
          <t>LnY</t>
        </is>
      </c>
      <c r="N4" t="inlineStr">
        <is>
          <t>K/Y Ratio Analysis</t>
        </is>
      </c>
      <c r="O4" t="inlineStr">
        <is>
          <t>HP FILTER SECTION</t>
        </is>
      </c>
    </row>
    <row r="5">
      <c r="N5" t="inlineStr">
        <is>
          <t>Year</t>
        </is>
      </c>
      <c r="O5" t="inlineStr">
        <is>
          <t>HP Filter Settings</t>
        </is>
      </c>
      <c r="P5" t="inlineStr">
        <is>
          <t>Objective Function (to minimize)</t>
        </is>
      </c>
    </row>
    <row r="6">
      <c r="A6" t="inlineStr">
        <is>
          <t>Year</t>
        </is>
      </c>
      <c r="B6" t="inlineStr">
        <is>
          <t>Year</t>
        </is>
      </c>
      <c r="C6" t="inlineStr">
        <is>
          <t>K (PWT)</t>
        </is>
      </c>
      <c r="D6" t="inlineStr">
        <is>
          <t>K</t>
        </is>
      </c>
      <c r="E6" t="inlineStr">
        <is>
          <t>Y (WEO)</t>
        </is>
      </c>
      <c r="F6" t="inlineStr">
        <is>
          <t>LnK</t>
        </is>
      </c>
      <c r="G6" t="inlineStr">
        <is>
          <t>LnY</t>
        </is>
      </c>
      <c r="H6" t="inlineStr">
        <is>
          <t>LnZ (=LnY-0.35*LnK)</t>
        </is>
      </c>
      <c r="I6" t="inlineStr">
        <is>
          <t>LnZ</t>
        </is>
      </c>
      <c r="J6" t="inlineStr">
        <is>
          <t>LnZ_HP</t>
        </is>
      </c>
      <c r="K6" t="inlineStr">
        <is>
          <t>2nd Diff</t>
        </is>
      </c>
      <c r="L6" t="inlineStr">
        <is>
          <t>LnA-Trend</t>
        </is>
      </c>
      <c r="O6" t="inlineStr">
        <is>
          <t>Target Cell for Solver:</t>
        </is>
      </c>
      <c r="P6">
        <f>O8+O10</f>
        <v/>
      </c>
    </row>
    <row r="7">
      <c r="A7" t="n">
        <v>2002</v>
      </c>
      <c r="B7" t="n">
        <v>2002</v>
      </c>
      <c r="D7">
        <f>'WEO_Data'!B4</f>
        <v/>
      </c>
      <c r="E7">
        <f>'WEO_Data'!B4</f>
        <v/>
      </c>
      <c r="F7">
        <f>LN(D7)</f>
        <v/>
      </c>
      <c r="G7">
        <f>LN(E7)</f>
        <v/>
      </c>
      <c r="H7">
        <f>G7-0.35*F7</f>
        <v/>
      </c>
      <c r="I7">
        <f>H7</f>
        <v/>
      </c>
      <c r="J7">
        <f>I7</f>
        <v/>
      </c>
      <c r="L7">
        <f>I7-J7</f>
        <v/>
      </c>
      <c r="O7" t="inlineStr">
        <is>
          <t>Objective Function Formula</t>
        </is>
      </c>
    </row>
    <row r="8">
      <c r="A8" t="n">
        <v>2003</v>
      </c>
      <c r="B8" t="n">
        <v>2003</v>
      </c>
      <c r="D8">
        <f>'WEO_Data'!B5</f>
        <v/>
      </c>
      <c r="E8">
        <f>'WEO_Data'!B5</f>
        <v/>
      </c>
      <c r="F8">
        <f>LN(D8)</f>
        <v/>
      </c>
      <c r="G8">
        <f>LN(E8)</f>
        <v/>
      </c>
      <c r="H8">
        <f>G8-0.35*F8</f>
        <v/>
      </c>
      <c r="I8">
        <f>H8</f>
        <v/>
      </c>
      <c r="J8">
        <f>I8</f>
        <v/>
      </c>
      <c r="L8">
        <f>I8-J8</f>
        <v/>
      </c>
      <c r="O8">
        <f>SUMPRODUCT((I7:I28-J7:J28)^2)</f>
        <v/>
      </c>
    </row>
    <row r="9">
      <c r="A9" t="n">
        <v>2004</v>
      </c>
      <c r="B9" t="n">
        <v>2004</v>
      </c>
      <c r="D9">
        <f>'WEO_Data'!B6</f>
        <v/>
      </c>
      <c r="E9">
        <f>'WEO_Data'!B6</f>
        <v/>
      </c>
      <c r="F9">
        <f>LN(D9)</f>
        <v/>
      </c>
      <c r="G9">
        <f>LN(E9)</f>
        <v/>
      </c>
      <c r="H9">
        <f>G9-0.35*F9</f>
        <v/>
      </c>
      <c r="I9">
        <f>H9</f>
        <v/>
      </c>
      <c r="J9">
        <f>I9</f>
        <v/>
      </c>
      <c r="K9">
        <f>J9-2*J8+J7</f>
        <v/>
      </c>
      <c r="L9">
        <f>I9-J9</f>
        <v/>
      </c>
      <c r="O9" t="inlineStr">
        <is>
          <t>Lambda penalty:</t>
        </is>
      </c>
    </row>
    <row r="10">
      <c r="A10" t="n">
        <v>2005</v>
      </c>
      <c r="B10" t="n">
        <v>2005</v>
      </c>
      <c r="D10">
        <f>'WEO_Data'!B7</f>
        <v/>
      </c>
      <c r="E10">
        <f>'WEO_Data'!B7</f>
        <v/>
      </c>
      <c r="F10">
        <f>LN(D10)</f>
        <v/>
      </c>
      <c r="G10">
        <f>LN(E10)</f>
        <v/>
      </c>
      <c r="H10">
        <f>G10-0.35*F10</f>
        <v/>
      </c>
      <c r="I10">
        <f>H10</f>
        <v/>
      </c>
      <c r="J10">
        <f>I10</f>
        <v/>
      </c>
      <c r="K10">
        <f>J10-2*J9+J8</f>
        <v/>
      </c>
      <c r="L10">
        <f>I10-J10</f>
        <v/>
      </c>
      <c r="O10">
        <f>1600*SUMPRODUCT(K8:K28^2)</f>
        <v/>
      </c>
    </row>
    <row r="11">
      <c r="A11" t="n">
        <v>2006</v>
      </c>
      <c r="B11" t="n">
        <v>2006</v>
      </c>
      <c r="D11">
        <f>'WEO_Data'!B8</f>
        <v/>
      </c>
      <c r="E11">
        <f>'WEO_Data'!B8</f>
        <v/>
      </c>
      <c r="F11">
        <f>LN(D11)</f>
        <v/>
      </c>
      <c r="G11">
        <f>LN(E11)</f>
        <v/>
      </c>
      <c r="H11">
        <f>G11-0.35*F11</f>
        <v/>
      </c>
      <c r="I11">
        <f>H11</f>
        <v/>
      </c>
      <c r="J11">
        <f>I11</f>
        <v/>
      </c>
      <c r="K11">
        <f>J11-2*J10+J9</f>
        <v/>
      </c>
      <c r="L11">
        <f>I11-J11</f>
        <v/>
      </c>
      <c r="O11" t="inlineStr">
        <is>
          <t>Total Objective:</t>
        </is>
      </c>
      <c r="P11">
        <f>O8+O10</f>
        <v/>
      </c>
    </row>
    <row r="12">
      <c r="A12" t="n">
        <v>2007</v>
      </c>
      <c r="B12" t="n">
        <v>2007</v>
      </c>
      <c r="D12">
        <f>'WEO_Data'!B9</f>
        <v/>
      </c>
      <c r="E12">
        <f>'WEO_Data'!B9</f>
        <v/>
      </c>
      <c r="F12">
        <f>LN(D12)</f>
        <v/>
      </c>
      <c r="G12">
        <f>LN(E12)</f>
        <v/>
      </c>
      <c r="H12">
        <f>G12-0.35*F12</f>
        <v/>
      </c>
      <c r="I12">
        <f>H12</f>
        <v/>
      </c>
      <c r="J12">
        <f>I12</f>
        <v/>
      </c>
      <c r="K12">
        <f>J12-2*J11+J10</f>
        <v/>
      </c>
      <c r="L12">
        <f>I12-J12</f>
        <v/>
      </c>
    </row>
    <row r="13">
      <c r="A13" t="n">
        <v>2008</v>
      </c>
      <c r="B13" t="n">
        <v>2008</v>
      </c>
      <c r="D13">
        <f>'WEO_Data'!B10</f>
        <v/>
      </c>
      <c r="E13">
        <f>'WEO_Data'!B10</f>
        <v/>
      </c>
      <c r="F13">
        <f>LN(D13)</f>
        <v/>
      </c>
      <c r="G13">
        <f>LN(E13)</f>
        <v/>
      </c>
      <c r="H13">
        <f>G13-0.35*F13</f>
        <v/>
      </c>
      <c r="I13">
        <f>H13</f>
        <v/>
      </c>
      <c r="J13">
        <f>I13</f>
        <v/>
      </c>
      <c r="K13">
        <f>J13-2*J12+J11</f>
        <v/>
      </c>
      <c r="L13">
        <f>I13-J13</f>
        <v/>
      </c>
    </row>
    <row r="14">
      <c r="A14" t="n">
        <v>2009</v>
      </c>
      <c r="B14" t="n">
        <v>2009</v>
      </c>
      <c r="D14">
        <f>'WEO_Data'!B11</f>
        <v/>
      </c>
      <c r="E14">
        <f>'WEO_Data'!B11</f>
        <v/>
      </c>
      <c r="F14">
        <f>LN(D14)</f>
        <v/>
      </c>
      <c r="G14">
        <f>LN(E14)</f>
        <v/>
      </c>
      <c r="H14">
        <f>G14-0.35*F14</f>
        <v/>
      </c>
      <c r="I14">
        <f>H14</f>
        <v/>
      </c>
      <c r="J14">
        <f>I14</f>
        <v/>
      </c>
      <c r="K14">
        <f>J14-2*J13+J12</f>
        <v/>
      </c>
      <c r="L14">
        <f>I14-J14</f>
        <v/>
      </c>
    </row>
    <row r="15">
      <c r="A15" t="n">
        <v>2010</v>
      </c>
      <c r="B15" t="n">
        <v>2010</v>
      </c>
      <c r="D15">
        <f>'WEO_Data'!B12</f>
        <v/>
      </c>
      <c r="E15">
        <f>'WEO_Data'!B12</f>
        <v/>
      </c>
      <c r="F15">
        <f>LN(D15)</f>
        <v/>
      </c>
      <c r="G15">
        <f>LN(E15)</f>
        <v/>
      </c>
      <c r="H15">
        <f>G15-0.35*F15</f>
        <v/>
      </c>
      <c r="I15">
        <f>H15</f>
        <v/>
      </c>
      <c r="J15">
        <f>I15</f>
        <v/>
      </c>
      <c r="K15">
        <f>J15-2*J14+J13</f>
        <v/>
      </c>
      <c r="L15">
        <f>I15-J15</f>
        <v/>
      </c>
    </row>
    <row r="16">
      <c r="A16" t="n">
        <v>2011</v>
      </c>
      <c r="B16" t="n">
        <v>2011</v>
      </c>
      <c r="D16">
        <f>'WEO_Data'!B13</f>
        <v/>
      </c>
      <c r="E16">
        <f>'WEO_Data'!B13</f>
        <v/>
      </c>
      <c r="F16">
        <f>LN(D16)</f>
        <v/>
      </c>
      <c r="G16">
        <f>LN(E16)</f>
        <v/>
      </c>
      <c r="H16">
        <f>G16-0.35*F16</f>
        <v/>
      </c>
      <c r="I16">
        <f>H16</f>
        <v/>
      </c>
      <c r="J16">
        <f>I16</f>
        <v/>
      </c>
      <c r="K16">
        <f>J16-2*J15+J14</f>
        <v/>
      </c>
      <c r="L16">
        <f>I16-J16</f>
        <v/>
      </c>
    </row>
    <row r="17">
      <c r="A17" t="n">
        <v>2012</v>
      </c>
      <c r="B17" t="n">
        <v>2012</v>
      </c>
      <c r="D17">
        <f>'WEO_Data'!B14</f>
        <v/>
      </c>
      <c r="E17">
        <f>'WEO_Data'!B14</f>
        <v/>
      </c>
      <c r="F17">
        <f>LN(D17)</f>
        <v/>
      </c>
      <c r="G17">
        <f>LN(E17)</f>
        <v/>
      </c>
      <c r="H17">
        <f>G17-0.35*F17</f>
        <v/>
      </c>
      <c r="I17">
        <f>H17</f>
        <v/>
      </c>
      <c r="J17">
        <f>I17</f>
        <v/>
      </c>
      <c r="K17">
        <f>J17-2*J16+J15</f>
        <v/>
      </c>
      <c r="L17">
        <f>I17-J17</f>
        <v/>
      </c>
    </row>
    <row r="18">
      <c r="A18" t="n">
        <v>2013</v>
      </c>
      <c r="B18" t="n">
        <v>2013</v>
      </c>
      <c r="D18">
        <f>'WEO_Data'!B15</f>
        <v/>
      </c>
      <c r="E18">
        <f>'WEO_Data'!B15</f>
        <v/>
      </c>
      <c r="F18">
        <f>LN(D18)</f>
        <v/>
      </c>
      <c r="G18">
        <f>LN(E18)</f>
        <v/>
      </c>
      <c r="H18">
        <f>G18-0.35*F18</f>
        <v/>
      </c>
      <c r="I18">
        <f>H18</f>
        <v/>
      </c>
      <c r="J18">
        <f>I18</f>
        <v/>
      </c>
      <c r="K18">
        <f>J18-2*J17+J16</f>
        <v/>
      </c>
      <c r="L18">
        <f>I18-J18</f>
        <v/>
      </c>
    </row>
    <row r="19">
      <c r="A19" t="n">
        <v>2014</v>
      </c>
      <c r="B19" t="n">
        <v>2014</v>
      </c>
      <c r="D19">
        <f>'WEO_Data'!B16</f>
        <v/>
      </c>
      <c r="E19">
        <f>'WEO_Data'!B16</f>
        <v/>
      </c>
      <c r="F19">
        <f>LN(D19)</f>
        <v/>
      </c>
      <c r="G19">
        <f>LN(E19)</f>
        <v/>
      </c>
      <c r="H19">
        <f>G19-0.35*F19</f>
        <v/>
      </c>
      <c r="I19">
        <f>H19</f>
        <v/>
      </c>
      <c r="J19">
        <f>I19</f>
        <v/>
      </c>
      <c r="K19">
        <f>J19-2*J18+J17</f>
        <v/>
      </c>
      <c r="L19">
        <f>I19-J19</f>
        <v/>
      </c>
    </row>
    <row r="20">
      <c r="A20" t="n">
        <v>2015</v>
      </c>
      <c r="B20" t="n">
        <v>2015</v>
      </c>
      <c r="D20">
        <f>'WEO_Data'!B17</f>
        <v/>
      </c>
      <c r="E20">
        <f>'WEO_Data'!B17</f>
        <v/>
      </c>
      <c r="F20">
        <f>LN(D20)</f>
        <v/>
      </c>
      <c r="G20">
        <f>LN(E20)</f>
        <v/>
      </c>
      <c r="H20">
        <f>G20-0.35*F20</f>
        <v/>
      </c>
      <c r="I20">
        <f>H20</f>
        <v/>
      </c>
      <c r="J20">
        <f>I20</f>
        <v/>
      </c>
      <c r="K20">
        <f>J20-2*J19+J18</f>
        <v/>
      </c>
      <c r="L20">
        <f>I20-J20</f>
        <v/>
      </c>
    </row>
    <row r="21">
      <c r="A21" t="n">
        <v>2016</v>
      </c>
      <c r="B21" t="n">
        <v>2016</v>
      </c>
      <c r="D21">
        <f>'WEO_Data'!B18</f>
        <v/>
      </c>
      <c r="E21">
        <f>'WEO_Data'!B18</f>
        <v/>
      </c>
      <c r="F21">
        <f>LN(D21)</f>
        <v/>
      </c>
      <c r="G21">
        <f>LN(E21)</f>
        <v/>
      </c>
      <c r="H21">
        <f>G21-0.35*F21</f>
        <v/>
      </c>
      <c r="I21">
        <f>H21</f>
        <v/>
      </c>
      <c r="J21">
        <f>I21</f>
        <v/>
      </c>
      <c r="K21">
        <f>J21-2*J20+J19</f>
        <v/>
      </c>
      <c r="L21">
        <f>I21-J21</f>
        <v/>
      </c>
    </row>
    <row r="22">
      <c r="A22" t="n">
        <v>2017</v>
      </c>
      <c r="B22" t="n">
        <v>2017</v>
      </c>
      <c r="D22">
        <f>'WEO_Data'!B19</f>
        <v/>
      </c>
      <c r="E22">
        <f>'WEO_Data'!B19</f>
        <v/>
      </c>
      <c r="F22">
        <f>LN(D22)</f>
        <v/>
      </c>
      <c r="G22">
        <f>LN(E22)</f>
        <v/>
      </c>
      <c r="H22">
        <f>G22-0.35*F22</f>
        <v/>
      </c>
      <c r="I22">
        <f>H22</f>
        <v/>
      </c>
      <c r="J22">
        <f>I22</f>
        <v/>
      </c>
      <c r="K22">
        <f>J22-2*J21+J20</f>
        <v/>
      </c>
      <c r="L22">
        <f>I22-J22</f>
        <v/>
      </c>
    </row>
    <row r="23">
      <c r="A23" t="n">
        <v>2018</v>
      </c>
      <c r="B23" t="n">
        <v>2018</v>
      </c>
      <c r="D23">
        <f>'WEO_Data'!B20</f>
        <v/>
      </c>
      <c r="E23">
        <f>'WEO_Data'!B20</f>
        <v/>
      </c>
      <c r="F23">
        <f>LN(D23)</f>
        <v/>
      </c>
      <c r="G23">
        <f>LN(E23)</f>
        <v/>
      </c>
      <c r="H23">
        <f>G23-0.35*F23</f>
        <v/>
      </c>
      <c r="I23">
        <f>H23</f>
        <v/>
      </c>
      <c r="J23">
        <f>I23</f>
        <v/>
      </c>
      <c r="K23">
        <f>J23-2*J22+J21</f>
        <v/>
      </c>
      <c r="L23">
        <f>I23-J23</f>
        <v/>
      </c>
    </row>
    <row r="24">
      <c r="A24" t="n">
        <v>2019</v>
      </c>
      <c r="B24" t="n">
        <v>2019</v>
      </c>
      <c r="D24">
        <f>'WEO_Data'!B21</f>
        <v/>
      </c>
      <c r="E24">
        <f>'WEO_Data'!B21</f>
        <v/>
      </c>
      <c r="F24">
        <f>LN(D24)</f>
        <v/>
      </c>
      <c r="G24">
        <f>LN(E24)</f>
        <v/>
      </c>
      <c r="H24">
        <f>G24-0.35*F24</f>
        <v/>
      </c>
      <c r="I24">
        <f>H24</f>
        <v/>
      </c>
      <c r="J24">
        <f>I24</f>
        <v/>
      </c>
      <c r="K24">
        <f>J24-2*J23+J22</f>
        <v/>
      </c>
      <c r="L24">
        <f>I24-J24</f>
        <v/>
      </c>
    </row>
    <row r="25">
      <c r="A25" t="n">
        <v>2020</v>
      </c>
      <c r="B25" t="n">
        <v>2020</v>
      </c>
      <c r="D25">
        <f>'WEO_Data'!B22</f>
        <v/>
      </c>
      <c r="E25">
        <f>'WEO_Data'!B22</f>
        <v/>
      </c>
      <c r="F25">
        <f>LN(D25)</f>
        <v/>
      </c>
      <c r="G25">
        <f>LN(E25)</f>
        <v/>
      </c>
      <c r="H25">
        <f>G25-0.35*F25</f>
        <v/>
      </c>
      <c r="I25">
        <f>H25</f>
        <v/>
      </c>
      <c r="J25">
        <f>I25</f>
        <v/>
      </c>
      <c r="K25">
        <f>J25-2*J24+J23</f>
        <v/>
      </c>
      <c r="L25">
        <f>I25-J25</f>
        <v/>
      </c>
    </row>
    <row r="26">
      <c r="A26" t="n">
        <v>2021</v>
      </c>
      <c r="B26" t="n">
        <v>2021</v>
      </c>
      <c r="D26">
        <f>'WEO_Data'!B23</f>
        <v/>
      </c>
      <c r="E26">
        <f>'WEO_Data'!B23</f>
        <v/>
      </c>
      <c r="F26">
        <f>LN(D26)</f>
        <v/>
      </c>
      <c r="G26">
        <f>LN(E26)</f>
        <v/>
      </c>
      <c r="H26">
        <f>G26-0.35*F26</f>
        <v/>
      </c>
      <c r="I26">
        <f>H26</f>
        <v/>
      </c>
      <c r="J26">
        <f>I26</f>
        <v/>
      </c>
      <c r="K26">
        <f>J26-2*J25+J24</f>
        <v/>
      </c>
      <c r="L26">
        <f>I26-J26</f>
        <v/>
      </c>
    </row>
    <row r="27">
      <c r="A27" t="n">
        <v>2022</v>
      </c>
      <c r="B27" t="n">
        <v>2022</v>
      </c>
      <c r="D27">
        <f>'WEO_Data'!B24</f>
        <v/>
      </c>
      <c r="E27">
        <f>'WEO_Data'!B24</f>
        <v/>
      </c>
      <c r="F27">
        <f>LN(D27)</f>
        <v/>
      </c>
      <c r="G27">
        <f>LN(E27)</f>
        <v/>
      </c>
      <c r="H27">
        <f>G27-0.35*F27</f>
        <v/>
      </c>
      <c r="I27">
        <f>H27</f>
        <v/>
      </c>
      <c r="J27">
        <f>I27</f>
        <v/>
      </c>
      <c r="K27">
        <f>J27-2*J26+J25</f>
        <v/>
      </c>
      <c r="L27">
        <f>I27-J27</f>
        <v/>
      </c>
    </row>
    <row r="28">
      <c r="A28" t="n">
        <v>2023</v>
      </c>
      <c r="B28" t="n">
        <v>2023</v>
      </c>
      <c r="D28">
        <f>'WEO_Data'!B25</f>
        <v/>
      </c>
      <c r="E28">
        <f>'WEO_Data'!B25</f>
        <v/>
      </c>
      <c r="F28">
        <f>LN(D28)</f>
        <v/>
      </c>
      <c r="G28">
        <f>LN(E28)</f>
        <v/>
      </c>
      <c r="H28">
        <f>G28-0.35*F28</f>
        <v/>
      </c>
      <c r="I28">
        <f>H28</f>
        <v/>
      </c>
      <c r="J28">
        <f>I28</f>
        <v/>
      </c>
      <c r="K28">
        <f>J28-2*J27+J26</f>
        <v/>
      </c>
      <c r="L28">
        <f>I28-J28</f>
        <v/>
      </c>
    </row>
    <row r="30">
      <c r="A30" t="inlineStr">
        <is>
          <t>LnZ Trend Extension</t>
        </is>
      </c>
    </row>
    <row r="31">
      <c r="A31" t="inlineStr">
        <is>
          <t>Year</t>
        </is>
      </c>
      <c r="B31" t="inlineStr">
        <is>
          <t>LnZ_trend (HP filtered)</t>
        </is>
      </c>
      <c r="C31" t="inlineStr">
        <is>
          <t>LnZ_trend (extended)</t>
        </is>
      </c>
      <c r="D31" t="inlineStr">
        <is>
          <t>K_proj</t>
        </is>
      </c>
    </row>
    <row r="32">
      <c r="A32" t="n">
        <v>2002</v>
      </c>
      <c r="B32">
        <f>J7</f>
        <v/>
      </c>
    </row>
    <row r="33">
      <c r="A33" t="n">
        <v>2003</v>
      </c>
      <c r="B33">
        <f>J8</f>
        <v/>
      </c>
    </row>
    <row r="34">
      <c r="A34" t="n">
        <v>2004</v>
      </c>
      <c r="B34">
        <f>J9</f>
        <v/>
      </c>
    </row>
    <row r="35">
      <c r="A35" t="n">
        <v>2005</v>
      </c>
      <c r="B35">
        <f>J10</f>
        <v/>
      </c>
    </row>
    <row r="36">
      <c r="A36" t="n">
        <v>2006</v>
      </c>
      <c r="B36">
        <f>J11</f>
        <v/>
      </c>
    </row>
    <row r="37">
      <c r="A37" t="n">
        <v>2007</v>
      </c>
      <c r="B37">
        <f>J12</f>
        <v/>
      </c>
    </row>
    <row r="38">
      <c r="A38" t="n">
        <v>2008</v>
      </c>
      <c r="B38">
        <f>J13</f>
        <v/>
      </c>
    </row>
    <row r="39">
      <c r="A39" t="n">
        <v>2009</v>
      </c>
      <c r="B39">
        <f>J14</f>
        <v/>
      </c>
    </row>
    <row r="40">
      <c r="A40" t="n">
        <v>2010</v>
      </c>
      <c r="B40">
        <f>J15</f>
        <v/>
      </c>
    </row>
    <row r="41">
      <c r="A41" t="n">
        <v>2011</v>
      </c>
      <c r="B41">
        <f>J16</f>
        <v/>
      </c>
    </row>
    <row r="42">
      <c r="A42" t="n">
        <v>2012</v>
      </c>
      <c r="B42">
        <f>J17</f>
        <v/>
      </c>
    </row>
    <row r="43">
      <c r="A43" t="n">
        <v>2013</v>
      </c>
      <c r="B43">
        <f>J18</f>
        <v/>
      </c>
    </row>
    <row r="44">
      <c r="A44" t="n">
        <v>2014</v>
      </c>
      <c r="B44">
        <f>J19</f>
        <v/>
      </c>
    </row>
    <row r="45">
      <c r="A45" t="n">
        <v>2015</v>
      </c>
      <c r="B45">
        <f>J20</f>
        <v/>
      </c>
    </row>
    <row r="46">
      <c r="A46" t="n">
        <v>2016</v>
      </c>
      <c r="B46">
        <f>J21</f>
        <v/>
      </c>
    </row>
    <row r="47">
      <c r="A47" t="n">
        <v>2017</v>
      </c>
      <c r="B47">
        <f>J22</f>
        <v/>
      </c>
    </row>
    <row r="48">
      <c r="A48" t="n">
        <v>2018</v>
      </c>
      <c r="B48">
        <f>J23</f>
        <v/>
      </c>
    </row>
    <row r="49">
      <c r="A49" t="n">
        <v>2019</v>
      </c>
      <c r="B49">
        <f>J24</f>
        <v/>
      </c>
    </row>
    <row r="50">
      <c r="A50" t="n">
        <v>2020</v>
      </c>
      <c r="B50">
        <f>J25</f>
        <v/>
      </c>
    </row>
    <row r="51">
      <c r="A51" t="n">
        <v>2021</v>
      </c>
      <c r="B51">
        <f>J26</f>
        <v/>
      </c>
    </row>
    <row r="52">
      <c r="A52" t="n">
        <v>2022</v>
      </c>
      <c r="B52">
        <f>J27</f>
        <v/>
      </c>
    </row>
    <row r="53">
      <c r="A53" t="n">
        <v>2023</v>
      </c>
      <c r="B53">
        <f>J28</f>
        <v/>
      </c>
    </row>
    <row r="54">
      <c r="A54" t="n">
        <v>2024</v>
      </c>
      <c r="C54">
        <f>TREND(B32:B53,A32:A53,A54)</f>
        <v/>
      </c>
    </row>
    <row r="55">
      <c r="A55" t="n">
        <v>2025</v>
      </c>
      <c r="B55" t="inlineStr">
        <is>
          <t>K_extended</t>
        </is>
      </c>
      <c r="C55">
        <f>TREND(B32:B53,A32:A53,A55)</f>
        <v/>
      </c>
      <c r="D55" t="inlineStr">
        <is>
          <t>K/Y</t>
        </is>
      </c>
    </row>
    <row r="56">
      <c r="A56" t="n">
        <v>2026</v>
      </c>
      <c r="B56">
        <f>C56*$P$2</f>
        <v/>
      </c>
      <c r="C56">
        <f>TREND(B32:B53,A32:A53,A56)</f>
        <v/>
      </c>
      <c r="D56">
        <f>B56/C56</f>
        <v/>
      </c>
    </row>
    <row r="57">
      <c r="A57" t="n">
        <v>2027</v>
      </c>
      <c r="B57">
        <f>C57*$P$2</f>
        <v/>
      </c>
      <c r="C57">
        <f>TREND(B32:B53,A32:A53,A57)</f>
        <v/>
      </c>
      <c r="D57">
        <f>B57/C57</f>
        <v/>
      </c>
    </row>
    <row r="58">
      <c r="A58" t="n">
        <v>2028</v>
      </c>
      <c r="B58">
        <f>C58*$P$2</f>
        <v/>
      </c>
      <c r="C58">
        <f>TREND(B32:B53,A32:A53,A58)</f>
        <v/>
      </c>
      <c r="D58">
        <f>B58/C58</f>
        <v/>
      </c>
    </row>
    <row r="59">
      <c r="A59" t="n">
        <v>2029</v>
      </c>
      <c r="B59">
        <f>C59*$P$2</f>
        <v/>
      </c>
      <c r="C59">
        <f>TREND(B32:B53,A32:A53,A59)</f>
        <v/>
      </c>
      <c r="D59">
        <f>B59/C59</f>
        <v/>
      </c>
    </row>
    <row r="60">
      <c r="A60" t="n">
        <v>2030</v>
      </c>
      <c r="B60">
        <f>C60*$P$2</f>
        <v/>
      </c>
      <c r="C60">
        <f>TREND(B32:B53,A32:A53,A60)</f>
        <v/>
      </c>
      <c r="D60">
        <f>B60/C60</f>
        <v/>
      </c>
    </row>
    <row r="61">
      <c r="A61" t="n">
        <v>2031</v>
      </c>
      <c r="B61">
        <f>C61*$P$2</f>
        <v/>
      </c>
      <c r="C61">
        <f>TREND(B32:B53,A32:A53,A61)</f>
        <v/>
      </c>
      <c r="D61">
        <f>B61/C61</f>
        <v/>
      </c>
    </row>
    <row r="62">
      <c r="A62" t="n">
        <v>2032</v>
      </c>
      <c r="B62">
        <f>C62*$P$2</f>
        <v/>
      </c>
      <c r="C62">
        <f>TREND(B32:B53,A32:A53,A62)</f>
        <v/>
      </c>
      <c r="D62">
        <f>B62/C62</f>
        <v/>
      </c>
    </row>
    <row r="63">
      <c r="A63" t="n">
        <v>2033</v>
      </c>
      <c r="B63">
        <f>C63*$P$2</f>
        <v/>
      </c>
      <c r="C63">
        <f>TREND(B32:B53,A32:A53,A63)</f>
        <v/>
      </c>
      <c r="D63">
        <f>B63/C63</f>
        <v/>
      </c>
    </row>
    <row r="64">
      <c r="A64" t="n">
        <v>2034</v>
      </c>
      <c r="B64">
        <f>C64*$P$2</f>
        <v/>
      </c>
      <c r="C64">
        <f>TREND(B32:B53,A32:A53,A64)</f>
        <v/>
      </c>
      <c r="D64">
        <f>B64/C64</f>
        <v/>
      </c>
    </row>
    <row r="65">
      <c r="A65" t="n">
        <v>2035</v>
      </c>
      <c r="B65">
        <f>C65*$P$2</f>
        <v/>
      </c>
      <c r="C65">
        <f>TREND(B32:B53,A32:A53,A65)</f>
        <v/>
      </c>
      <c r="D65">
        <f>B65/C65</f>
        <v/>
      </c>
    </row>
    <row r="66">
      <c r="A66" t="n">
        <v>2036</v>
      </c>
      <c r="B66">
        <f>C66*$P$2</f>
        <v/>
      </c>
      <c r="C66">
        <f>TREND(B32:B53,A32:A53,A66)</f>
        <v/>
      </c>
      <c r="D66">
        <f>B66/C66</f>
        <v/>
      </c>
    </row>
    <row r="67">
      <c r="A67" t="n">
        <v>2037</v>
      </c>
      <c r="B67">
        <f>C67*$P$2</f>
        <v/>
      </c>
      <c r="C67">
        <f>TREND(B32:B53,A32:A53,A67)</f>
        <v/>
      </c>
      <c r="D67">
        <f>B67/C67</f>
        <v/>
      </c>
    </row>
    <row r="68">
      <c r="A68" t="n">
        <v>2038</v>
      </c>
      <c r="B68">
        <f>C68*$P$2</f>
        <v/>
      </c>
      <c r="C68">
        <f>TREND(B32:B53,A32:A53,A68)</f>
        <v/>
      </c>
      <c r="D68">
        <f>B68/C68</f>
        <v/>
      </c>
    </row>
    <row r="69">
      <c r="A69" t="n">
        <v>2039</v>
      </c>
      <c r="B69">
        <f>C69*$P$2</f>
        <v/>
      </c>
      <c r="C69">
        <f>TREND(B32:B53,A32:A53,A69)</f>
        <v/>
      </c>
      <c r="D69">
        <f>B69/C69</f>
        <v/>
      </c>
    </row>
    <row r="70">
      <c r="A70" t="n">
        <v>2040</v>
      </c>
      <c r="B70">
        <f>C70*$P$2</f>
        <v/>
      </c>
      <c r="C70">
        <f>TREND(B32:B53,A32:A53,A70)</f>
        <v/>
      </c>
      <c r="D70">
        <f>B70/C70</f>
        <v/>
      </c>
    </row>
    <row r="71">
      <c r="A71" t="n">
        <v>2041</v>
      </c>
      <c r="B71">
        <f>C71*$P$2</f>
        <v/>
      </c>
      <c r="C71">
        <f>TREND(B32:B53,A32:A53,A71)</f>
        <v/>
      </c>
      <c r="D71">
        <f>B71/C71</f>
        <v/>
      </c>
    </row>
    <row r="72">
      <c r="A72" t="n">
        <v>2040</v>
      </c>
      <c r="B72">
        <f>C72*$P$2</f>
        <v/>
      </c>
      <c r="C72">
        <f>'WEO_Data'!B42</f>
        <v/>
      </c>
      <c r="D72">
        <f>B72/C72</f>
        <v/>
      </c>
    </row>
    <row r="73">
      <c r="A73" t="n">
        <v>2041</v>
      </c>
      <c r="B73">
        <f>C73*$P$2</f>
        <v/>
      </c>
      <c r="C73">
        <f>'WEO_Data'!B43</f>
        <v/>
      </c>
      <c r="D73">
        <f>B73/C73</f>
        <v/>
      </c>
    </row>
    <row r="74">
      <c r="A74" t="inlineStr">
        <is>
          <t>BASELINE CAPITAL STOCK (No Investment)</t>
        </is>
      </c>
    </row>
    <row r="75">
      <c r="A75" t="inlineStr">
        <is>
          <t>Year</t>
        </is>
      </c>
      <c r="B75" t="inlineStr">
        <is>
          <t>K_base</t>
        </is>
      </c>
      <c r="C75" t="inlineStr">
        <is>
          <t>deltaK (depreciation)</t>
        </is>
      </c>
      <c r="F75" t="inlineStr">
        <is>
          <t>K_with</t>
        </is>
      </c>
      <c r="G75" t="inlineStr">
        <is>
          <t>LnY_with</t>
        </is>
      </c>
      <c r="H75" t="inlineStr">
        <is>
          <t>Y_with</t>
        </is>
      </c>
      <c r="I75" t="inlineStr">
        <is>
          <t>Output Gain</t>
        </is>
      </c>
    </row>
    <row r="76">
      <c r="A76" t="n">
        <v>2023</v>
      </c>
      <c r="B76" t="n">
        <v>300000</v>
      </c>
      <c r="C76">
        <f>B76*0.05</f>
        <v/>
      </c>
    </row>
    <row r="77">
      <c r="A77" t="n">
        <v>2024</v>
      </c>
      <c r="B77">
        <f>B76*(1-0.05)</f>
        <v/>
      </c>
      <c r="C77">
        <f>B77*0.05</f>
        <v/>
      </c>
    </row>
    <row r="78">
      <c r="A78" t="n">
        <v>2025</v>
      </c>
      <c r="B78">
        <f>B77*(1-0.05)</f>
        <v/>
      </c>
      <c r="C78">
        <f>B78*0.05</f>
        <v/>
      </c>
    </row>
    <row r="79">
      <c r="A79" t="n">
        <v>2026</v>
      </c>
      <c r="B79">
        <f>B78*(1-0.05)</f>
        <v/>
      </c>
      <c r="C79">
        <f>B79*0.05</f>
        <v/>
      </c>
    </row>
    <row r="80">
      <c r="A80" t="n">
        <v>2027</v>
      </c>
      <c r="B80">
        <f>B79*(1-0.05)</f>
        <v/>
      </c>
      <c r="C80">
        <f>B80*0.05</f>
        <v/>
      </c>
    </row>
    <row r="81">
      <c r="A81" t="n">
        <v>2028</v>
      </c>
      <c r="B81">
        <f>B80*(1-0.05)</f>
        <v/>
      </c>
      <c r="C81">
        <f>B81*0.05</f>
        <v/>
      </c>
    </row>
    <row r="82">
      <c r="A82" t="n">
        <v>2029</v>
      </c>
      <c r="B82">
        <f>B81*(1-0.05)</f>
        <v/>
      </c>
      <c r="C82">
        <f>B82*0.05</f>
        <v/>
      </c>
    </row>
    <row r="83">
      <c r="A83" t="n">
        <v>2030</v>
      </c>
      <c r="B83">
        <f>B82*(1-0.05)</f>
        <v/>
      </c>
      <c r="C83">
        <f>B83*0.05</f>
        <v/>
      </c>
    </row>
    <row r="84">
      <c r="A84" t="n">
        <v>2031</v>
      </c>
      <c r="B84">
        <f>B83*(1-0.05)</f>
        <v/>
      </c>
      <c r="C84">
        <f>B84*0.05</f>
        <v/>
      </c>
    </row>
    <row r="85">
      <c r="A85" t="n">
        <v>2032</v>
      </c>
      <c r="B85">
        <f>B84*(1-0.05)</f>
        <v/>
      </c>
      <c r="C85">
        <f>B85*0.05</f>
        <v/>
      </c>
    </row>
    <row r="86">
      <c r="A86" t="n">
        <v>2033</v>
      </c>
      <c r="B86">
        <f>B85*(1-0.05)</f>
        <v/>
      </c>
      <c r="C86">
        <f>B86*0.05</f>
        <v/>
      </c>
    </row>
    <row r="87">
      <c r="A87" t="n">
        <v>2034</v>
      </c>
      <c r="B87">
        <f>B86*(1-0.05)</f>
        <v/>
      </c>
      <c r="C87">
        <f>B87*0.05</f>
        <v/>
      </c>
    </row>
    <row r="88">
      <c r="A88" t="n">
        <v>2035</v>
      </c>
      <c r="B88">
        <f>B87*(1-0.05)</f>
        <v/>
      </c>
      <c r="C88">
        <f>B88*0.05</f>
        <v/>
      </c>
    </row>
    <row r="89">
      <c r="A89" t="n">
        <v>2036</v>
      </c>
      <c r="B89">
        <f>B88*(1-0.05)</f>
        <v/>
      </c>
      <c r="C89">
        <f>B89*0.05</f>
        <v/>
      </c>
    </row>
    <row r="90">
      <c r="A90" t="n">
        <v>2037</v>
      </c>
      <c r="B90">
        <f>B89*(1-0.05)</f>
        <v/>
      </c>
      <c r="C90">
        <f>B90*0.05</f>
        <v/>
      </c>
    </row>
    <row r="91">
      <c r="A91" t="n">
        <v>2038</v>
      </c>
      <c r="B91">
        <f>B90*(1-0.05)</f>
        <v/>
      </c>
      <c r="C91">
        <f>B91*0.05</f>
        <v/>
      </c>
    </row>
    <row r="92">
      <c r="A92" t="n">
        <v>2039</v>
      </c>
      <c r="B92">
        <f>B91*(1-0.05)</f>
        <v/>
      </c>
      <c r="C92">
        <f>B92*0.05</f>
        <v/>
      </c>
    </row>
    <row r="93">
      <c r="A93" t="n">
        <v>2040</v>
      </c>
      <c r="B93">
        <f>B92*(1-0.05)</f>
        <v/>
      </c>
      <c r="C93">
        <f>B93*0.05</f>
        <v/>
      </c>
    </row>
    <row r="94">
      <c r="A94" t="n">
        <v>2041</v>
      </c>
      <c r="B94">
        <f>B93*(1-0.05)</f>
        <v/>
      </c>
      <c r="C94">
        <f>B94*0.05</f>
        <v/>
      </c>
    </row>
    <row r="95">
      <c r="A95" t="n">
        <v>2042</v>
      </c>
      <c r="B95">
        <f>B94*(1-0.05)</f>
        <v/>
      </c>
      <c r="C95">
        <f>B95*0.05</f>
        <v/>
      </c>
    </row>
    <row r="96">
      <c r="A96" t="n">
        <v>2043</v>
      </c>
      <c r="B96">
        <f>B95*(1-0.05)</f>
        <v/>
      </c>
      <c r="C96">
        <f>B96*0.05</f>
        <v/>
      </c>
    </row>
    <row r="98">
      <c r="A98" t="inlineStr">
        <is>
          <t>PRODUCTION FUNCTION ANALYSIS</t>
        </is>
      </c>
    </row>
    <row r="99">
      <c r="A99" t="inlineStr">
        <is>
          <t>Year</t>
        </is>
      </c>
      <c r="B99" t="inlineStr">
        <is>
          <t>K_base</t>
        </is>
      </c>
      <c r="C99" t="inlineStr">
        <is>
          <t>deltaK_investment</t>
        </is>
      </c>
      <c r="D99" t="inlineStr">
        <is>
          <t>K_with</t>
        </is>
      </c>
      <c r="E99" t="inlineStr">
        <is>
          <t>LnZ_trend</t>
        </is>
      </c>
      <c r="F99" t="inlineStr">
        <is>
          <t>Y_base</t>
        </is>
      </c>
      <c r="G99" t="inlineStr">
        <is>
          <t>Y_with</t>
        </is>
      </c>
      <c r="H99" t="inlineStr">
        <is>
          <t>Output Gain</t>
        </is>
      </c>
      <c r="I99" t="inlineStr">
        <is>
          <t>Cum. Gain</t>
        </is>
      </c>
    </row>
    <row r="100">
      <c r="A100" t="n">
        <v>2023</v>
      </c>
      <c r="B100">
        <f>B76</f>
        <v/>
      </c>
      <c r="C100" t="n">
        <v>0</v>
      </c>
      <c r="D100">
        <f>B100+C100</f>
        <v/>
      </c>
      <c r="E100">
        <f>J28</f>
        <v/>
      </c>
      <c r="F100">
        <f>EXP(E100+0.35*LN(B100))</f>
        <v/>
      </c>
      <c r="G100">
        <f>EXP(E100+0.35*LN(D100))</f>
        <v/>
      </c>
      <c r="H100">
        <f>G100-F100</f>
        <v/>
      </c>
      <c r="I100">
        <f>H100</f>
        <v/>
      </c>
    </row>
    <row r="101">
      <c r="A101" t="n">
        <v>2024</v>
      </c>
      <c r="B101">
        <f>B77</f>
        <v/>
      </c>
      <c r="C101" t="n">
        <v>0</v>
      </c>
      <c r="D101">
        <f>B101+C101</f>
        <v/>
      </c>
      <c r="E101">
        <f>TREND(J$7:J$28,A$7:A$28,A101)</f>
        <v/>
      </c>
      <c r="F101">
        <f>EXP(E101+0.35*LN(B101))</f>
        <v/>
      </c>
      <c r="G101">
        <f>EXP(E101+0.35*LN(D101))</f>
        <v/>
      </c>
      <c r="H101">
        <f>G101-F101</f>
        <v/>
      </c>
      <c r="I101">
        <f>I100+H101</f>
        <v/>
      </c>
    </row>
    <row r="102">
      <c r="A102" t="n">
        <v>2025</v>
      </c>
      <c r="B102">
        <f>B78</f>
        <v/>
      </c>
      <c r="C102" t="n">
        <v>0</v>
      </c>
      <c r="D102">
        <f>B102+C102</f>
        <v/>
      </c>
      <c r="E102">
        <f>TREND(J$7:J$28,A$7:A$28,A102)</f>
        <v/>
      </c>
      <c r="F102">
        <f>EXP(E102+0.35*LN(B102))</f>
        <v/>
      </c>
      <c r="G102">
        <f>EXP(E102+0.35*LN(D102))</f>
        <v/>
      </c>
      <c r="H102">
        <f>G102-F102</f>
        <v/>
      </c>
      <c r="I102">
        <f>I101+H102</f>
        <v/>
      </c>
    </row>
    <row r="103">
      <c r="A103" t="n">
        <v>2026</v>
      </c>
      <c r="B103">
        <f>B79</f>
        <v/>
      </c>
      <c r="C103">
        <f>Investment!C7*1000</f>
        <v/>
      </c>
      <c r="D103">
        <f>B103+C103</f>
        <v/>
      </c>
      <c r="E103">
        <f>TREND(J$7:J$28,A$7:A$28,A103)</f>
        <v/>
      </c>
      <c r="F103">
        <f>EXP(E103+0.35*LN(B103))</f>
        <v/>
      </c>
      <c r="G103">
        <f>EXP(E103+0.35*LN(D103))</f>
        <v/>
      </c>
      <c r="H103">
        <f>G103-F103</f>
        <v/>
      </c>
      <c r="I103">
        <f>I102+H103</f>
        <v/>
      </c>
    </row>
    <row r="104">
      <c r="A104" t="n">
        <v>2027</v>
      </c>
      <c r="B104">
        <f>B80</f>
        <v/>
      </c>
      <c r="C104">
        <f>Investment!C8*1000</f>
        <v/>
      </c>
      <c r="D104">
        <f>B104+C104</f>
        <v/>
      </c>
      <c r="E104">
        <f>TREND(J$7:J$28,A$7:A$28,A104)</f>
        <v/>
      </c>
      <c r="F104">
        <f>EXP(E104+0.35*LN(B104))</f>
        <v/>
      </c>
      <c r="G104">
        <f>EXP(E104+0.35*LN(D104))</f>
        <v/>
      </c>
      <c r="H104">
        <f>G104-F104</f>
        <v/>
      </c>
      <c r="I104">
        <f>I103+H104</f>
        <v/>
      </c>
    </row>
    <row r="105">
      <c r="A105" t="n">
        <v>2028</v>
      </c>
      <c r="B105">
        <f>B81</f>
        <v/>
      </c>
      <c r="C105">
        <f>Investment!C9*1000</f>
        <v/>
      </c>
      <c r="D105">
        <f>B105+C105</f>
        <v/>
      </c>
      <c r="E105">
        <f>TREND(J$7:J$28,A$7:A$28,A105)</f>
        <v/>
      </c>
      <c r="F105">
        <f>EXP(E105+0.35*LN(B105))</f>
        <v/>
      </c>
      <c r="G105">
        <f>EXP(E105+0.35*LN(D105))</f>
        <v/>
      </c>
      <c r="H105">
        <f>G105-F105</f>
        <v/>
      </c>
      <c r="I105">
        <f>I104+H105</f>
        <v/>
      </c>
    </row>
    <row r="106">
      <c r="A106" t="n">
        <v>2029</v>
      </c>
      <c r="B106">
        <f>B82</f>
        <v/>
      </c>
      <c r="C106">
        <f>Investment!C10*1000</f>
        <v/>
      </c>
      <c r="D106">
        <f>B106+C106</f>
        <v/>
      </c>
      <c r="E106">
        <f>TREND(J$7:J$28,A$7:A$28,A106)</f>
        <v/>
      </c>
      <c r="F106">
        <f>EXP(E106+0.35*LN(B106))</f>
        <v/>
      </c>
      <c r="G106">
        <f>EXP(E106+0.35*LN(D106))</f>
        <v/>
      </c>
      <c r="H106">
        <f>G106-F106</f>
        <v/>
      </c>
      <c r="I106">
        <f>I105+H106</f>
        <v/>
      </c>
    </row>
    <row r="107">
      <c r="A107" t="n">
        <v>2030</v>
      </c>
      <c r="B107">
        <f>B83</f>
        <v/>
      </c>
      <c r="C107">
        <f>Investment!C11*1000</f>
        <v/>
      </c>
      <c r="D107">
        <f>B107+C107</f>
        <v/>
      </c>
      <c r="E107">
        <f>TREND(J$7:J$28,A$7:A$28,A107)</f>
        <v/>
      </c>
      <c r="F107">
        <f>EXP(E107+0.35*LN(B107))</f>
        <v/>
      </c>
      <c r="G107">
        <f>EXP(E107+0.35*LN(D107))</f>
        <v/>
      </c>
      <c r="H107">
        <f>G107-F107</f>
        <v/>
      </c>
      <c r="I107">
        <f>I106+H107</f>
        <v/>
      </c>
    </row>
    <row r="108">
      <c r="A108" t="n">
        <v>2031</v>
      </c>
      <c r="B108">
        <f>B84</f>
        <v/>
      </c>
      <c r="C108">
        <f>Investment!C12*1000</f>
        <v/>
      </c>
      <c r="D108">
        <f>B108+C108</f>
        <v/>
      </c>
      <c r="E108">
        <f>TREND(J$7:J$28,A$7:A$28,A108)</f>
        <v/>
      </c>
      <c r="F108">
        <f>EXP(E108+0.35*LN(B108))</f>
        <v/>
      </c>
      <c r="G108">
        <f>EXP(E108+0.35*LN(D108))</f>
        <v/>
      </c>
      <c r="H108">
        <f>G108-F108</f>
        <v/>
      </c>
      <c r="I108">
        <f>I107+H108</f>
        <v/>
      </c>
    </row>
    <row r="109">
      <c r="A109" t="n">
        <v>2032</v>
      </c>
      <c r="B109">
        <f>B85</f>
        <v/>
      </c>
      <c r="C109">
        <f>Investment!C13*1000</f>
        <v/>
      </c>
      <c r="D109">
        <f>B109+C109</f>
        <v/>
      </c>
      <c r="E109">
        <f>TREND(J$7:J$28,A$7:A$28,A109)</f>
        <v/>
      </c>
      <c r="F109">
        <f>EXP(E109+0.35*LN(B109))</f>
        <v/>
      </c>
      <c r="G109">
        <f>EXP(E109+0.35*LN(D109))</f>
        <v/>
      </c>
      <c r="H109">
        <f>G109-F109</f>
        <v/>
      </c>
      <c r="I109">
        <f>I108+H109</f>
        <v/>
      </c>
    </row>
    <row r="110">
      <c r="A110" t="n">
        <v>2033</v>
      </c>
      <c r="B110">
        <f>B86</f>
        <v/>
      </c>
      <c r="C110">
        <f>Investment!C14*1000</f>
        <v/>
      </c>
      <c r="D110">
        <f>B110+C110</f>
        <v/>
      </c>
      <c r="E110">
        <f>TREND(J$7:J$28,A$7:A$28,A110)</f>
        <v/>
      </c>
      <c r="F110">
        <f>EXP(E110+0.35*LN(B110))</f>
        <v/>
      </c>
      <c r="G110">
        <f>EXP(E110+0.35*LN(D110))</f>
        <v/>
      </c>
      <c r="H110">
        <f>G110-F110</f>
        <v/>
      </c>
      <c r="I110">
        <f>I109+H110</f>
        <v/>
      </c>
    </row>
    <row r="111">
      <c r="A111" t="n">
        <v>2034</v>
      </c>
      <c r="B111">
        <f>B87</f>
        <v/>
      </c>
      <c r="C111" t="n">
        <v>0</v>
      </c>
      <c r="D111">
        <f>B111+C111</f>
        <v/>
      </c>
      <c r="E111">
        <f>TREND(J$7:J$28,A$7:A$28,A111)</f>
        <v/>
      </c>
      <c r="F111">
        <f>EXP(E111+0.35*LN(B111))</f>
        <v/>
      </c>
      <c r="G111">
        <f>EXP(E111+0.35*LN(D111))</f>
        <v/>
      </c>
      <c r="H111">
        <f>G111-F111</f>
        <v/>
      </c>
      <c r="I111">
        <f>I110+H111</f>
        <v/>
      </c>
    </row>
    <row r="112">
      <c r="A112" t="n">
        <v>2035</v>
      </c>
      <c r="B112">
        <f>B88</f>
        <v/>
      </c>
      <c r="C112" t="n">
        <v>0</v>
      </c>
      <c r="D112">
        <f>B112+C112</f>
        <v/>
      </c>
      <c r="E112">
        <f>TREND(J$7:J$28,A$7:A$28,A112)</f>
        <v/>
      </c>
      <c r="F112">
        <f>EXP(E112+0.35*LN(B112))</f>
        <v/>
      </c>
      <c r="G112">
        <f>EXP(E112+0.35*LN(D112))</f>
        <v/>
      </c>
      <c r="H112">
        <f>G112-F112</f>
        <v/>
      </c>
      <c r="I112">
        <f>I111+H112</f>
        <v/>
      </c>
    </row>
    <row r="113">
      <c r="A113" t="n">
        <v>2036</v>
      </c>
      <c r="B113">
        <f>B89</f>
        <v/>
      </c>
      <c r="C113" t="n">
        <v>0</v>
      </c>
      <c r="D113">
        <f>B113+C113</f>
        <v/>
      </c>
      <c r="E113">
        <f>TREND(J$7:J$28,A$7:A$28,A113)</f>
        <v/>
      </c>
      <c r="F113">
        <f>EXP(E113+0.35*LN(B113))</f>
        <v/>
      </c>
      <c r="G113">
        <f>EXP(E113+0.35*LN(D113))</f>
        <v/>
      </c>
      <c r="H113">
        <f>G113-F113</f>
        <v/>
      </c>
      <c r="I113">
        <f>I112+H113</f>
        <v/>
      </c>
    </row>
    <row r="114">
      <c r="A114" t="n">
        <v>2037</v>
      </c>
      <c r="B114">
        <f>B90</f>
        <v/>
      </c>
      <c r="C114" t="n">
        <v>0</v>
      </c>
      <c r="D114">
        <f>B114+C114</f>
        <v/>
      </c>
      <c r="E114">
        <f>TREND(J$7:J$28,A$7:A$28,A114)</f>
        <v/>
      </c>
      <c r="F114">
        <f>EXP(E114+0.35*LN(B114))</f>
        <v/>
      </c>
      <c r="G114">
        <f>EXP(E114+0.35*LN(D114))</f>
        <v/>
      </c>
      <c r="H114">
        <f>G114-F114</f>
        <v/>
      </c>
      <c r="I114">
        <f>I113+H114</f>
        <v/>
      </c>
    </row>
    <row r="115">
      <c r="A115" t="n">
        <v>2038</v>
      </c>
      <c r="B115">
        <f>B91</f>
        <v/>
      </c>
      <c r="C115" t="n">
        <v>0</v>
      </c>
      <c r="D115">
        <f>B115+C115</f>
        <v/>
      </c>
      <c r="E115">
        <f>TREND(J$7:J$28,A$7:A$28,A115)</f>
        <v/>
      </c>
      <c r="F115">
        <f>EXP(E115+0.35*LN(B115))</f>
        <v/>
      </c>
      <c r="G115">
        <f>EXP(E115+0.35*LN(D115))</f>
        <v/>
      </c>
      <c r="H115">
        <f>G115-F115</f>
        <v/>
      </c>
      <c r="I115">
        <f>I114+H115</f>
        <v/>
      </c>
    </row>
    <row r="116">
      <c r="A116" t="n">
        <v>2039</v>
      </c>
      <c r="B116">
        <f>B92</f>
        <v/>
      </c>
      <c r="C116" t="n">
        <v>0</v>
      </c>
      <c r="D116">
        <f>B116+C116</f>
        <v/>
      </c>
      <c r="E116">
        <f>TREND(J$7:J$28,A$7:A$28,A116)</f>
        <v/>
      </c>
      <c r="F116">
        <f>EXP(E116+0.35*LN(B116))</f>
        <v/>
      </c>
      <c r="G116">
        <f>EXP(E116+0.35*LN(D116))</f>
        <v/>
      </c>
      <c r="H116">
        <f>G116-F116</f>
        <v/>
      </c>
      <c r="I116">
        <f>I115+H116</f>
        <v/>
      </c>
    </row>
    <row r="117">
      <c r="A117" t="n">
        <v>2040</v>
      </c>
      <c r="B117">
        <f>B93</f>
        <v/>
      </c>
      <c r="C117" t="n">
        <v>0</v>
      </c>
      <c r="D117">
        <f>B117+C117</f>
        <v/>
      </c>
      <c r="E117">
        <f>TREND(J$7:J$28,A$7:A$28,A117)</f>
        <v/>
      </c>
      <c r="F117">
        <f>EXP(E117+0.35*LN(B117))</f>
        <v/>
      </c>
      <c r="G117">
        <f>EXP(E117+0.35*LN(D117))</f>
        <v/>
      </c>
      <c r="H117">
        <f>G117-F117</f>
        <v/>
      </c>
      <c r="I117">
        <f>I116+H117</f>
        <v/>
      </c>
    </row>
    <row r="118">
      <c r="A118" t="n">
        <v>2041</v>
      </c>
      <c r="B118">
        <f>B94</f>
        <v/>
      </c>
      <c r="C118" t="n">
        <v>0</v>
      </c>
      <c r="D118">
        <f>B118+C118</f>
        <v/>
      </c>
      <c r="E118">
        <f>TREND(J$7:J$28,A$7:A$28,A118)</f>
        <v/>
      </c>
      <c r="F118">
        <f>EXP(E118+0.35*LN(B118))</f>
        <v/>
      </c>
      <c r="G118">
        <f>EXP(E118+0.35*LN(D118))</f>
        <v/>
      </c>
      <c r="H118">
        <f>G118-F118</f>
        <v/>
      </c>
      <c r="I118">
        <f>I117+H118</f>
        <v/>
      </c>
    </row>
    <row r="119">
      <c r="A119" t="n">
        <v>2042</v>
      </c>
      <c r="B119">
        <f>B95</f>
        <v/>
      </c>
      <c r="C119" t="n">
        <v>0</v>
      </c>
      <c r="D119">
        <f>B119+C119</f>
        <v/>
      </c>
      <c r="E119">
        <f>TREND(J$7:J$28,A$7:A$28,A119)</f>
        <v/>
      </c>
      <c r="F119">
        <f>EXP(E119+0.35*LN(B119))</f>
        <v/>
      </c>
      <c r="G119">
        <f>EXP(E119+0.35*LN(D119))</f>
        <v/>
      </c>
      <c r="H119">
        <f>G119-F119</f>
        <v/>
      </c>
      <c r="I119">
        <f>I118+H119</f>
        <v/>
      </c>
    </row>
    <row r="120">
      <c r="A120" t="n">
        <v>2043</v>
      </c>
      <c r="B120">
        <f>B96</f>
        <v/>
      </c>
      <c r="C120" t="n">
        <v>0</v>
      </c>
      <c r="D120">
        <f>B120+C120</f>
        <v/>
      </c>
      <c r="E120">
        <f>TREND(J$7:J$28,A$7:A$28,A120)</f>
        <v/>
      </c>
      <c r="F120">
        <f>EXP(E120+0.35*LN(B120))</f>
        <v/>
      </c>
      <c r="G120">
        <f>EXP(E120+0.35*LN(D120))</f>
        <v/>
      </c>
      <c r="H120">
        <f>G120-F120</f>
        <v/>
      </c>
      <c r="I120">
        <f>I119+H120</f>
        <v/>
      </c>
    </row>
    <row r="12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Shock: $6.5 Billion over 8 years (2026-2033)</t>
        </is>
      </c>
      <c r="B1" t="inlineStr">
        <is>
          <t>Investment Amount (billions USD)</t>
        </is>
      </c>
    </row>
    <row r="2">
      <c r="A2" t="inlineStr">
        <is>
          <t>Total Investment: $6.5 billion USD</t>
        </is>
      </c>
    </row>
    <row r="3">
      <c r="A3" t="inlineStr">
        <is>
          <t>Year</t>
        </is>
      </c>
      <c r="B3" t="inlineStr">
        <is>
          <t>Annual Investment</t>
        </is>
      </c>
      <c r="C3" t="inlineStr">
        <is>
          <t>Cumulative Investment</t>
        </is>
      </c>
    </row>
    <row r="4">
      <c r="A4" t="n">
        <v>2026</v>
      </c>
      <c r="B4" t="n">
        <v>0.8125</v>
      </c>
      <c r="C4">
        <f>B4</f>
        <v/>
      </c>
    </row>
    <row r="5">
      <c r="A5" t="n">
        <v>2027</v>
      </c>
      <c r="B5" t="n">
        <v>0.8125</v>
      </c>
      <c r="C5">
        <f>C4+B5</f>
        <v/>
      </c>
    </row>
    <row r="6">
      <c r="A6" t="n">
        <v>2028</v>
      </c>
      <c r="B6" t="n">
        <v>0.8125</v>
      </c>
      <c r="C6">
        <f>C5+B6</f>
        <v/>
      </c>
    </row>
    <row r="7">
      <c r="A7" t="n">
        <v>2029</v>
      </c>
      <c r="B7" t="n">
        <v>0.8125</v>
      </c>
      <c r="C7">
        <f>C6+B7</f>
        <v/>
      </c>
    </row>
    <row r="8">
      <c r="A8" t="n">
        <v>2030</v>
      </c>
      <c r="B8" t="n">
        <v>0.8125</v>
      </c>
      <c r="C8">
        <f>C7+B8</f>
        <v/>
      </c>
    </row>
    <row r="9">
      <c r="A9" t="n">
        <v>2031</v>
      </c>
      <c r="B9" t="n">
        <v>0.8125</v>
      </c>
      <c r="C9">
        <f>C8+B9</f>
        <v/>
      </c>
    </row>
    <row r="10">
      <c r="A10" t="n">
        <v>2032</v>
      </c>
      <c r="B10" t="n">
        <v>0.8125</v>
      </c>
      <c r="C10">
        <f>C9+B10</f>
        <v/>
      </c>
    </row>
    <row r="11">
      <c r="A11" t="n">
        <v>2033</v>
      </c>
      <c r="B11" t="n">
        <v>0.8125</v>
      </c>
      <c r="C11">
        <f>C10+B11</f>
        <v/>
      </c>
    </row>
    <row r="12">
      <c r="A12" t="n">
        <v>2034</v>
      </c>
      <c r="B12" t="n">
        <v>0</v>
      </c>
      <c r="C12">
        <f>C11</f>
        <v/>
      </c>
    </row>
    <row r="13">
      <c r="A13" t="n">
        <v>2035</v>
      </c>
      <c r="B13" t="n">
        <v>0</v>
      </c>
      <c r="C13">
        <f>C12</f>
        <v/>
      </c>
    </row>
    <row r="14">
      <c r="A14" t="n">
        <v>2036</v>
      </c>
      <c r="B14" t="n">
        <v>0</v>
      </c>
      <c r="C14">
        <f>C13</f>
        <v/>
      </c>
    </row>
    <row r="15">
      <c r="A15" t="n">
        <v>2037</v>
      </c>
      <c r="B15" t="n">
        <v>0</v>
      </c>
      <c r="C15">
        <f>C14</f>
        <v/>
      </c>
    </row>
    <row r="16">
      <c r="A16" t="n">
        <v>2038</v>
      </c>
      <c r="B16" t="n">
        <v>0</v>
      </c>
      <c r="C16">
        <f>C15</f>
        <v/>
      </c>
    </row>
    <row r="17">
      <c r="A17" t="n">
        <v>2039</v>
      </c>
      <c r="B17" t="n">
        <v>0</v>
      </c>
      <c r="C17">
        <f>C16</f>
        <v/>
      </c>
    </row>
    <row r="18">
      <c r="A18" t="n">
        <v>2040</v>
      </c>
      <c r="B18" t="n">
        <v>0</v>
      </c>
      <c r="C18">
        <f>C17</f>
        <v/>
      </c>
    </row>
    <row r="19">
      <c r="A19" t="n">
        <v>2041</v>
      </c>
      <c r="B19" t="n">
        <v>0</v>
      </c>
      <c r="C19">
        <f>C18</f>
        <v/>
      </c>
    </row>
    <row r="20">
      <c r="A20" t="n">
        <v>2042</v>
      </c>
      <c r="B20" t="n">
        <v>0</v>
      </c>
      <c r="C20">
        <f>C19</f>
        <v/>
      </c>
    </row>
    <row r="21">
      <c r="A21" t="n">
        <v>2043</v>
      </c>
      <c r="B21" t="n">
        <v>0</v>
      </c>
      <c r="C21">
        <f>C20</f>
        <v/>
      </c>
    </row>
    <row r="22">
      <c r="A22" t="n">
        <v>2041</v>
      </c>
      <c r="B22" t="n">
        <v>0</v>
      </c>
      <c r="C22">
        <f>C21</f>
        <v/>
      </c>
    </row>
    <row r="23">
      <c r="A23" t="n">
        <v>2042</v>
      </c>
      <c r="B23" t="n">
        <v>0</v>
      </c>
      <c r="C23">
        <f>C22</f>
        <v/>
      </c>
    </row>
    <row r="24">
      <c r="A24" t="n">
        <v>2043</v>
      </c>
      <c r="B24" t="n">
        <v>0</v>
      </c>
      <c r="C24">
        <f>C23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K_base</t>
        </is>
      </c>
      <c r="C1" t="inlineStr">
        <is>
          <t>Y_base (Ystar_base)</t>
        </is>
      </c>
      <c r="D1" t="inlineStr">
        <is>
          <t>K_with</t>
        </is>
      </c>
      <c r="E1" t="inlineStr">
        <is>
          <t>Y_with (Ystar_with)</t>
        </is>
      </c>
      <c r="F1" t="inlineStr">
        <is>
          <t>Output Gain</t>
        </is>
      </c>
      <c r="G1" t="inlineStr">
        <is>
          <t>Cumulative Gain</t>
        </is>
      </c>
    </row>
    <row r="2">
      <c r="A2" t="n">
        <v>2023</v>
      </c>
    </row>
    <row r="3">
      <c r="A3" t="n">
        <v>2024</v>
      </c>
    </row>
    <row r="4">
      <c r="A4" t="n">
        <v>2025</v>
      </c>
    </row>
    <row r="5">
      <c r="A5" t="n">
        <v>2026</v>
      </c>
    </row>
    <row r="6">
      <c r="A6" t="n">
        <v>2027</v>
      </c>
    </row>
    <row r="7">
      <c r="A7" t="n">
        <v>2028</v>
      </c>
    </row>
    <row r="8">
      <c r="A8" t="n">
        <v>2029</v>
      </c>
    </row>
    <row r="9">
      <c r="A9" t="n">
        <v>2030</v>
      </c>
    </row>
    <row r="10">
      <c r="A10" t="n">
        <v>2031</v>
      </c>
    </row>
    <row r="11">
      <c r="A11" t="n">
        <v>2032</v>
      </c>
    </row>
    <row r="12">
      <c r="A12" t="n">
        <v>2033</v>
      </c>
    </row>
    <row r="13">
      <c r="A13" t="n">
        <v>2034</v>
      </c>
    </row>
    <row r="14">
      <c r="A14" t="n">
        <v>2035</v>
      </c>
    </row>
    <row r="15">
      <c r="A15" t="n">
        <v>2036</v>
      </c>
    </row>
    <row r="16">
      <c r="A16" t="n">
        <v>2037</v>
      </c>
    </row>
    <row r="17">
      <c r="A17" t="n">
        <v>2038</v>
      </c>
    </row>
    <row r="18">
      <c r="A18" t="n">
        <v>2039</v>
      </c>
    </row>
    <row r="19">
      <c r="A19" t="n">
        <v>2040</v>
      </c>
    </row>
    <row r="20">
      <c r="A20" t="n">
        <v>2041</v>
      </c>
    </row>
    <row r="21">
      <c r="A21" t="n">
        <v>2042</v>
      </c>
    </row>
    <row r="22">
      <c r="A22" t="n">
        <v>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2026-01-29T06:31:39Z</dcterms:created>
  <dcterms:modified xsi:type="dcterms:W3CDTF">2026-01-29T06:45:45Z</dcterms:modified>
</cp:coreProperties>
</file>