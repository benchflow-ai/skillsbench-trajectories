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_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0.0"/>
    <numFmt numFmtId="167" formatCode="0.00&quot;%&quot;"/>
  </numFmts>
  <fonts count="7">
    <font>
      <name val="Calibri"/>
      <family val="2"/>
      <color theme="1"/>
      <sz val="11"/>
      <scheme val="minor"/>
    </font>
    <font>
      <b val="1"/>
      <sz val="9"/>
    </font>
    <font>
      <b val="1"/>
      <sz val="10"/>
    </font>
    <font>
      <b val="1"/>
      <sz val="11"/>
    </font>
    <font>
      <b val="1"/>
    </font>
    <font>
      <b val="1"/>
      <sz val="12"/>
    </font>
    <font>
      <b val="1"/>
      <sz val="11"/>
      <u val="single"/>
    </font>
  </fonts>
  <fills count="11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90EE90"/>
        <bgColor rgb="0090EE90"/>
      </patternFill>
    </fill>
    <fill>
      <patternFill patternType="solid">
        <fgColor rgb="00B4C7E7"/>
        <bgColor rgb="00B4C7E7"/>
      </patternFill>
    </fill>
    <fill>
      <patternFill patternType="solid">
        <fgColor rgb="00FFFFCC"/>
        <bgColor rgb="00FFFFCC"/>
      </patternFill>
    </fill>
    <fill>
      <patternFill patternType="solid">
        <fgColor rgb="00FFCCCC"/>
        <bgColor rgb="00FFCCCC"/>
      </patternFill>
    </fill>
    <fill>
      <patternFill patternType="solid">
        <fgColor rgb="00E2EFDA"/>
        <bgColor rgb="00E2EFDA"/>
      </patternFill>
    </fill>
    <fill>
      <patternFill patternType="solid">
        <fgColor rgb="00CCE5FF"/>
        <bgColor rgb="00CCE5FF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2" borderId="0" pivotButton="0" quotePrefix="0" xfId="0"/>
    <xf numFmtId="0" fontId="4" fillId="0" borderId="0" pivotButton="0" quotePrefix="0" xfId="0"/>
    <xf numFmtId="2" fontId="4" fillId="4" borderId="0" pivotButton="0" quotePrefix="0" xfId="0"/>
    <xf numFmtId="3" fontId="3" fillId="3" borderId="0" pivotButton="0" quotePrefix="0" xfId="0"/>
    <xf numFmtId="2" fontId="3" fillId="3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5" borderId="0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0" fontId="2" fillId="0" borderId="0" pivotButton="0" quotePrefix="0" xfId="0"/>
    <xf numFmtId="166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5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4" fillId="4" borderId="0" pivotButton="0" quotePrefix="0" xfId="0"/>
    <xf numFmtId="2" fontId="4" fillId="0" borderId="0" pivotButton="0" quotePrefix="0" xfId="0"/>
    <xf numFmtId="2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0" fontId="4" fillId="8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9" borderId="0" pivotButton="0" quotePrefix="0" xfId="0"/>
    <xf numFmtId="0" fontId="4" fillId="1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Indicator</t>
        </is>
      </c>
    </row>
    <row r="2">
      <c r="A2" t="inlineStr">
        <is>
          <t>Year</t>
        </is>
      </c>
      <c r="C2" t="n">
        <v>2024</v>
      </c>
      <c r="D2" t="n">
        <v>2025</v>
      </c>
      <c r="E2" t="n">
        <v>2026</v>
      </c>
      <c r="F2" t="n">
        <v>2027</v>
      </c>
      <c r="G2" t="n">
        <v>2028</v>
      </c>
      <c r="H2" t="n">
        <v>2029</v>
      </c>
      <c r="I2" t="n">
        <v>2030</v>
      </c>
      <c r="J2" t="n">
        <v>2031</v>
      </c>
      <c r="K2" t="n">
        <v>2032</v>
      </c>
      <c r="L2" t="n">
        <v>2033</v>
      </c>
      <c r="M2" t="n">
        <v>2034</v>
      </c>
      <c r="N2" t="n">
        <v>2035</v>
      </c>
      <c r="O2" t="n">
        <v>2036</v>
      </c>
      <c r="P2" t="n">
        <v>2037</v>
      </c>
      <c r="Q2" t="n">
        <v>2038</v>
      </c>
      <c r="R2" t="n">
        <v>2039</v>
      </c>
      <c r="S2" t="n">
        <v>2040</v>
      </c>
      <c r="T2" t="n">
        <v>2041</v>
      </c>
      <c r="U2" t="n">
        <v>2042</v>
      </c>
    </row>
    <row r="3">
      <c r="A3" t="inlineStr">
        <is>
          <t>Nominal GDP (millions USD)</t>
        </is>
      </c>
      <c r="C3" s="1" t="n">
        <v>33500</v>
      </c>
      <c r="D3" s="1" t="n">
        <v>36800</v>
      </c>
      <c r="E3" s="1" t="n">
        <v>40500</v>
      </c>
      <c r="F3" s="1" t="n">
        <v>44800</v>
      </c>
      <c r="G3" s="1" t="n">
        <v>49500</v>
      </c>
      <c r="H3" s="1" t="n">
        <v>54800</v>
      </c>
      <c r="I3" s="1" t="n">
        <v>60700</v>
      </c>
      <c r="J3" s="1" t="n">
        <v>67200</v>
      </c>
      <c r="K3" s="1" t="n">
        <v>74400</v>
      </c>
      <c r="L3" s="1" t="n">
        <v>82300</v>
      </c>
      <c r="M3" s="1" t="n">
        <v>91000</v>
      </c>
      <c r="N3" s="1" t="n">
        <v>100600</v>
      </c>
      <c r="O3" s="1" t="n">
        <v>111200</v>
      </c>
      <c r="P3" s="1" t="n">
        <v>122900</v>
      </c>
      <c r="Q3" s="1" t="n">
        <v>135700</v>
      </c>
      <c r="R3" s="1" t="n">
        <v>149800</v>
      </c>
      <c r="S3" s="1" t="n">
        <v>165300</v>
      </c>
      <c r="T3" s="1" t="n">
        <v>182200</v>
      </c>
      <c r="U3" s="1" t="n">
        <v>200700</v>
      </c>
      <c r="V3" s="1" t="n">
        <v>221000</v>
      </c>
    </row>
    <row r="4">
      <c r="A4" t="inlineStr">
        <is>
          <t>Real GDP (millions USD)</t>
        </is>
      </c>
      <c r="C4" s="1" t="n">
        <v>30240</v>
      </c>
      <c r="D4" s="1" t="n">
        <v>32340</v>
      </c>
      <c r="E4" s="1" t="n">
        <v>34650</v>
      </c>
      <c r="F4" s="1" t="n">
        <v>37090</v>
      </c>
      <c r="G4" s="1" t="n">
        <v>39730</v>
      </c>
      <c r="H4" s="1" t="n">
        <v>42600</v>
      </c>
      <c r="I4" s="1" t="n">
        <v>45700</v>
      </c>
      <c r="J4" s="1" t="n">
        <v>49040</v>
      </c>
      <c r="K4" s="1" t="n">
        <v>52640</v>
      </c>
      <c r="L4" s="1" t="n">
        <v>56510</v>
      </c>
      <c r="M4" s="1" t="n">
        <v>60660</v>
      </c>
      <c r="N4" s="1" t="n">
        <v>65110</v>
      </c>
      <c r="O4" s="1" t="n">
        <v>69880</v>
      </c>
      <c r="P4" s="1" t="n">
        <v>74990</v>
      </c>
      <c r="Q4" s="1" t="n">
        <v>80460</v>
      </c>
      <c r="R4" s="1" t="n">
        <v>86320</v>
      </c>
      <c r="S4" s="1" t="n">
        <v>92600</v>
      </c>
      <c r="T4" s="1" t="n">
        <v>99320</v>
      </c>
      <c r="U4" s="1" t="n">
        <v>106510</v>
      </c>
      <c r="V4" s="1" t="n">
        <v>114190</v>
      </c>
    </row>
    <row r="5">
      <c r="A5" t="inlineStr">
        <is>
          <t>Real GDP Growth Rate (%)</t>
        </is>
      </c>
      <c r="C5" s="2" t="n">
        <v>7.5</v>
      </c>
      <c r="D5" s="2" t="n">
        <v>6.8</v>
      </c>
      <c r="E5" s="2" t="n">
        <v>7.1</v>
      </c>
      <c r="F5" s="2" t="n">
        <v>7.1</v>
      </c>
      <c r="G5" s="2" t="n">
        <v>7.1</v>
      </c>
      <c r="H5" s="2" t="n">
        <v>7.1</v>
      </c>
      <c r="I5" s="2" t="n">
        <v>7.1</v>
      </c>
      <c r="J5" s="2" t="n">
        <v>7.1</v>
      </c>
      <c r="K5" s="2" t="n">
        <v>7.1</v>
      </c>
      <c r="L5" s="2" t="n">
        <v>7.1</v>
      </c>
      <c r="M5" s="2" t="n">
        <v>7.1</v>
      </c>
      <c r="N5" s="2" t="n">
        <v>7.1</v>
      </c>
      <c r="O5" s="2" t="n">
        <v>7.1</v>
      </c>
      <c r="P5" s="2" t="n">
        <v>7.1</v>
      </c>
      <c r="Q5" s="2" t="n">
        <v>7.1</v>
      </c>
      <c r="R5" s="2" t="n">
        <v>7.1</v>
      </c>
      <c r="S5" s="2" t="n">
        <v>7.1</v>
      </c>
      <c r="T5" s="2" t="n">
        <v>7.1</v>
      </c>
      <c r="U5" s="2" t="n">
        <v>7.1</v>
      </c>
      <c r="V5" s="2" t="n">
        <v>7.1</v>
      </c>
    </row>
    <row r="6">
      <c r="A6" t="inlineStr">
        <is>
          <t>GDP Deflator (index, 2022=100)</t>
        </is>
      </c>
      <c r="C6" s="1" t="n">
        <v>110.7</v>
      </c>
      <c r="D6" s="1" t="n">
        <v>113.7</v>
      </c>
      <c r="E6" s="1" t="n">
        <v>116.8</v>
      </c>
      <c r="F6" s="1" t="n">
        <v>120.7</v>
      </c>
      <c r="G6" s="1" t="n">
        <v>124.7</v>
      </c>
      <c r="H6" s="1" t="n">
        <v>128.6</v>
      </c>
      <c r="I6" s="1" t="n">
        <v>132.8</v>
      </c>
      <c r="J6" s="1" t="n">
        <v>137</v>
      </c>
      <c r="K6" s="1" t="n">
        <v>141.3</v>
      </c>
      <c r="L6" s="1" t="n">
        <v>145.7</v>
      </c>
      <c r="M6" s="1" t="n">
        <v>150.2</v>
      </c>
      <c r="N6" s="1" t="n">
        <v>154.8</v>
      </c>
      <c r="O6" s="1" t="n">
        <v>159.5</v>
      </c>
      <c r="P6" s="1" t="n">
        <v>164.4</v>
      </c>
      <c r="Q6" s="1" t="n">
        <v>169.4</v>
      </c>
      <c r="R6" s="1" t="n">
        <v>174.6</v>
      </c>
      <c r="S6" s="1" t="n">
        <v>180</v>
      </c>
      <c r="T6" s="1" t="n">
        <v>185.5</v>
      </c>
      <c r="U6" s="1" t="n">
        <v>191.2</v>
      </c>
      <c r="V6" s="1" t="n">
        <v>197</v>
      </c>
    </row>
    <row r="7">
      <c r="A7" t="inlineStr">
        <is>
          <t>GDP Deflator Growth Rate (%)</t>
        </is>
      </c>
      <c r="D7" s="3">
        <f>(D6/C6-1)*100</f>
        <v/>
      </c>
      <c r="E7" s="3">
        <f>(E6/D6-1)*100</f>
        <v/>
      </c>
      <c r="F7" s="3">
        <f>(F6/E6-1)*100</f>
        <v/>
      </c>
      <c r="G7" s="3">
        <f>(G6/F6-1)*100</f>
        <v/>
      </c>
      <c r="H7" s="3">
        <f>(H6/G6-1)*100</f>
        <v/>
      </c>
      <c r="I7" s="3">
        <f>(I6/H6-1)*100</f>
        <v/>
      </c>
      <c r="J7" s="3">
        <f>(J6/I6-1)*100</f>
        <v/>
      </c>
      <c r="K7" s="3">
        <f>(K6/J6-1)*100</f>
        <v/>
      </c>
      <c r="L7" s="3">
        <f>(L6/K6-1)*100</f>
        <v/>
      </c>
      <c r="M7" s="3">
        <f>(M6/L6-1)*100</f>
        <v/>
      </c>
      <c r="N7" s="3">
        <f>(N6/M6-1)*100</f>
        <v/>
      </c>
      <c r="O7" s="3">
        <f>(O6/N6-1)*100</f>
        <v/>
      </c>
      <c r="P7" s="3">
        <f>(P6/O6-1)*100</f>
        <v/>
      </c>
      <c r="Q7" s="3">
        <f>(Q6/P6-1)*100</f>
        <v/>
      </c>
      <c r="R7" s="3">
        <f>(R6/Q6-1)*100</f>
        <v/>
      </c>
      <c r="S7" s="3">
        <f>(S6/R6-1)*100</f>
        <v/>
      </c>
      <c r="T7" s="3">
        <f>(T6/S6-1)*100</f>
        <v/>
      </c>
      <c r="U7" s="3">
        <f>(U6/T6-1)*100</f>
        <v/>
      </c>
      <c r="V7" s="3">
        <f>(V6/U6-1)*100</f>
        <v/>
      </c>
    </row>
    <row r="8">
      <c r="A8" t="inlineStr">
        <is>
          <t>Exchange Rate (Lari/USD)</t>
        </is>
      </c>
      <c r="C8" s="4" t="n">
        <v>2.746</v>
      </c>
      <c r="D8" s="4" t="n">
        <v>2.746</v>
      </c>
      <c r="E8" s="4" t="n">
        <v>2.746</v>
      </c>
      <c r="F8" s="4" t="n">
        <v>2.746</v>
      </c>
      <c r="G8" s="4" t="n">
        <v>2.746</v>
      </c>
      <c r="H8" s="4" t="n">
        <v>2.746</v>
      </c>
      <c r="I8" s="4" t="n">
        <v>2.746</v>
      </c>
      <c r="J8" s="4" t="n">
        <v>2.746</v>
      </c>
      <c r="K8" s="4" t="n">
        <v>2.746</v>
      </c>
      <c r="L8" s="4" t="n">
        <v>2.746</v>
      </c>
      <c r="M8" s="4" t="n">
        <v>2.746</v>
      </c>
      <c r="N8" s="4" t="n">
        <v>2.746</v>
      </c>
      <c r="O8" s="4" t="n">
        <v>2.746</v>
      </c>
      <c r="P8" s="4" t="n">
        <v>2.746</v>
      </c>
      <c r="Q8" s="4" t="n">
        <v>2.746</v>
      </c>
      <c r="R8" s="4" t="n">
        <v>2.746</v>
      </c>
      <c r="S8" s="4" t="n">
        <v>2.746</v>
      </c>
      <c r="T8" s="4" t="n">
        <v>2.746</v>
      </c>
      <c r="U8" s="4" t="n">
        <v>2.746</v>
      </c>
      <c r="V8" s="4" t="n">
        <v>2.746</v>
      </c>
    </row>
    <row r="9">
      <c r="A9" t="inlineStr">
        <is>
          <t>Exchange Rate (Lari/USD)</t>
        </is>
      </c>
    </row>
    <row r="10">
      <c r="A10" t="inlineStr">
        <is>
          <t>Avg Deflator Growth Rate (2021-2024)</t>
        </is>
      </c>
      <c r="C10" s="3">
        <f>AVERAGE(D7:G7)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Row</t>
        </is>
      </c>
      <c r="B1" s="6" t="inlineStr">
        <is>
          <t>Product/Commodity</t>
        </is>
      </c>
      <c r="C1" s="6" t="inlineStr">
        <is>
          <t>Domestic Supply</t>
        </is>
      </c>
      <c r="D1" s="6" t="inlineStr">
        <is>
          <t>Import Values</t>
        </is>
      </c>
      <c r="E1" s="6" t="inlineStr">
        <is>
          <t>Total Supply</t>
        </is>
      </c>
      <c r="F1" s="6" t="inlineStr">
        <is>
          <t>Import Share (%)</t>
        </is>
      </c>
      <c r="G1" s="6" t="inlineStr">
        <is>
          <t>Weight</t>
        </is>
      </c>
      <c r="H1" s="6" t="inlineStr">
        <is>
          <t>Investment Relevance</t>
        </is>
      </c>
    </row>
    <row r="2">
      <c r="A2" t="n">
        <v>1</v>
      </c>
      <c r="B2">
        <f>SUPPLY!A2</f>
        <v/>
      </c>
      <c r="C2" s="1">
        <f>SUM(SUPPLY!B2:AN2)</f>
        <v/>
      </c>
      <c r="D2" s="1">
        <f>USE!AJ2</f>
        <v/>
      </c>
      <c r="E2" s="1">
        <f>C2+D2</f>
        <v/>
      </c>
      <c r="F2" s="2">
        <f>IF(E2=0,0,D2/E2*100)</f>
        <v/>
      </c>
      <c r="G2" s="2" t="n">
        <v>1</v>
      </c>
      <c r="H2" s="2">
        <f>G2*F2</f>
        <v/>
      </c>
    </row>
    <row r="3">
      <c r="A3" t="n">
        <v>2</v>
      </c>
      <c r="B3">
        <f>SUPPLY!A3</f>
        <v/>
      </c>
      <c r="C3" s="1">
        <f>SUM(SUPPLY!B3:AN3)</f>
        <v/>
      </c>
      <c r="D3" s="1">
        <f>USE!AJ3</f>
        <v/>
      </c>
      <c r="E3" s="1">
        <f>C3+D3</f>
        <v/>
      </c>
      <c r="F3" s="2">
        <f>IF(E3=0,0,D3/E3*100)</f>
        <v/>
      </c>
      <c r="G3" s="2" t="n">
        <v>1</v>
      </c>
      <c r="H3" s="2">
        <f>G3*F3</f>
        <v/>
      </c>
    </row>
    <row r="4">
      <c r="A4" t="n">
        <v>3</v>
      </c>
      <c r="B4">
        <f>SUPPLY!A4</f>
        <v/>
      </c>
      <c r="C4" s="1">
        <f>SUM(SUPPLY!B4:AN4)</f>
        <v/>
      </c>
      <c r="D4" s="1">
        <f>USE!AJ4</f>
        <v/>
      </c>
      <c r="E4" s="1">
        <f>C4+D4</f>
        <v/>
      </c>
      <c r="F4" s="2">
        <f>IF(E4=0,0,D4/E4*100)</f>
        <v/>
      </c>
      <c r="G4" s="2" t="n">
        <v>1</v>
      </c>
      <c r="H4" s="2">
        <f>G4*F4</f>
        <v/>
      </c>
    </row>
    <row r="5">
      <c r="A5" t="n">
        <v>4</v>
      </c>
      <c r="B5">
        <f>SUPPLY!A5</f>
        <v/>
      </c>
      <c r="C5" s="1">
        <f>SUM(SUPPLY!B5:AN5)</f>
        <v/>
      </c>
      <c r="D5" s="1">
        <f>USE!AJ5</f>
        <v/>
      </c>
      <c r="E5" s="1">
        <f>C5+D5</f>
        <v/>
      </c>
      <c r="F5" s="2">
        <f>IF(E5=0,0,D5/E5*100)</f>
        <v/>
      </c>
      <c r="G5" s="2" t="n">
        <v>1</v>
      </c>
      <c r="H5" s="2">
        <f>G5*F5</f>
        <v/>
      </c>
    </row>
    <row r="6">
      <c r="A6" t="n">
        <v>5</v>
      </c>
      <c r="B6">
        <f>SUPPLY!A6</f>
        <v/>
      </c>
      <c r="C6" s="1">
        <f>SUM(SUPPLY!B6:AN6)</f>
        <v/>
      </c>
      <c r="D6" s="1">
        <f>USE!AJ6</f>
        <v/>
      </c>
      <c r="E6" s="1">
        <f>C6+D6</f>
        <v/>
      </c>
      <c r="F6" s="2">
        <f>IF(E6=0,0,D6/E6*100)</f>
        <v/>
      </c>
      <c r="G6" s="2" t="n">
        <v>1</v>
      </c>
      <c r="H6" s="2">
        <f>G6*F6</f>
        <v/>
      </c>
    </row>
    <row r="7">
      <c r="A7" t="n">
        <v>6</v>
      </c>
      <c r="B7">
        <f>SUPPLY!A7</f>
        <v/>
      </c>
      <c r="C7" s="1">
        <f>SUM(SUPPLY!B7:AN7)</f>
        <v/>
      </c>
      <c r="D7" s="1">
        <f>USE!AJ7</f>
        <v/>
      </c>
      <c r="E7" s="1">
        <f>C7+D7</f>
        <v/>
      </c>
      <c r="F7" s="2">
        <f>IF(E7=0,0,D7/E7*100)</f>
        <v/>
      </c>
      <c r="G7" s="2" t="n">
        <v>1</v>
      </c>
      <c r="H7" s="2">
        <f>G7*F7</f>
        <v/>
      </c>
    </row>
    <row r="8">
      <c r="A8" t="n">
        <v>7</v>
      </c>
      <c r="B8">
        <f>SUPPLY!A8</f>
        <v/>
      </c>
      <c r="C8" s="1">
        <f>SUM(SUPPLY!B8:AN8)</f>
        <v/>
      </c>
      <c r="D8" s="1">
        <f>USE!AJ8</f>
        <v/>
      </c>
      <c r="E8" s="1">
        <f>C8+D8</f>
        <v/>
      </c>
      <c r="F8" s="2">
        <f>IF(E8=0,0,D8/E8*100)</f>
        <v/>
      </c>
      <c r="G8" s="2" t="n">
        <v>1</v>
      </c>
      <c r="H8" s="2">
        <f>G8*F8</f>
        <v/>
      </c>
    </row>
    <row r="9">
      <c r="A9" t="n">
        <v>8</v>
      </c>
      <c r="B9">
        <f>SUPPLY!A9</f>
        <v/>
      </c>
      <c r="C9" s="1">
        <f>SUM(SUPPLY!B9:AN9)</f>
        <v/>
      </c>
      <c r="D9" s="1">
        <f>USE!AJ9</f>
        <v/>
      </c>
      <c r="E9" s="1">
        <f>C9+D9</f>
        <v/>
      </c>
      <c r="F9" s="2">
        <f>IF(E9=0,0,D9/E9*100)</f>
        <v/>
      </c>
      <c r="G9" s="2" t="n">
        <v>1</v>
      </c>
      <c r="H9" s="2">
        <f>G9*F9</f>
        <v/>
      </c>
    </row>
    <row r="10">
      <c r="A10" t="n">
        <v>9</v>
      </c>
      <c r="B10">
        <f>SUPPLY!A10</f>
        <v/>
      </c>
      <c r="C10" s="1">
        <f>SUM(SUPPLY!B10:AN10)</f>
        <v/>
      </c>
      <c r="D10" s="1">
        <f>USE!AJ10</f>
        <v/>
      </c>
      <c r="E10" s="1">
        <f>C10+D10</f>
        <v/>
      </c>
      <c r="F10" s="2">
        <f>IF(E10=0,0,D10/E10*100)</f>
        <v/>
      </c>
      <c r="G10" s="2" t="n">
        <v>1</v>
      </c>
      <c r="H10" s="2">
        <f>G10*F10</f>
        <v/>
      </c>
    </row>
    <row r="11">
      <c r="A11" t="n">
        <v>10</v>
      </c>
      <c r="B11">
        <f>SUPPLY!A11</f>
        <v/>
      </c>
      <c r="C11" s="1">
        <f>SUM(SUPPLY!B11:AN11)</f>
        <v/>
      </c>
      <c r="D11" s="1">
        <f>USE!AJ11</f>
        <v/>
      </c>
      <c r="E11" s="1">
        <f>C11+D11</f>
        <v/>
      </c>
      <c r="F11" s="2">
        <f>IF(E11=0,0,D11/E11*100)</f>
        <v/>
      </c>
      <c r="G11" s="2" t="n">
        <v>2</v>
      </c>
      <c r="H11" s="2">
        <f>G11*F11</f>
        <v/>
      </c>
    </row>
    <row r="12">
      <c r="A12" t="n">
        <v>11</v>
      </c>
      <c r="B12">
        <f>SUPPLY!A12</f>
        <v/>
      </c>
      <c r="C12" s="1">
        <f>SUM(SUPPLY!B12:AN12)</f>
        <v/>
      </c>
      <c r="D12" s="1">
        <f>USE!AJ12</f>
        <v/>
      </c>
      <c r="E12" s="1">
        <f>C12+D12</f>
        <v/>
      </c>
      <c r="F12" s="2">
        <f>IF(E12=0,0,D12/E12*100)</f>
        <v/>
      </c>
      <c r="G12" s="2" t="n">
        <v>2</v>
      </c>
      <c r="H12" s="2">
        <f>G12*F12</f>
        <v/>
      </c>
    </row>
    <row r="13">
      <c r="A13" t="n">
        <v>12</v>
      </c>
      <c r="B13">
        <f>SUPPLY!A13</f>
        <v/>
      </c>
      <c r="C13" s="1">
        <f>SUM(SUPPLY!B13:AN13)</f>
        <v/>
      </c>
      <c r="D13" s="1">
        <f>USE!AJ13</f>
        <v/>
      </c>
      <c r="E13" s="1">
        <f>C13+D13</f>
        <v/>
      </c>
      <c r="F13" s="2">
        <f>IF(E13=0,0,D13/E13*100)</f>
        <v/>
      </c>
      <c r="G13" s="2" t="n">
        <v>2</v>
      </c>
      <c r="H13" s="2">
        <f>G13*F13</f>
        <v/>
      </c>
    </row>
    <row r="14">
      <c r="A14" t="n">
        <v>13</v>
      </c>
      <c r="B14">
        <f>SUPPLY!A14</f>
        <v/>
      </c>
      <c r="C14" s="1">
        <f>SUM(SUPPLY!B14:AN14)</f>
        <v/>
      </c>
      <c r="D14" s="1">
        <f>USE!AJ14</f>
        <v/>
      </c>
      <c r="E14" s="1">
        <f>C14+D14</f>
        <v/>
      </c>
      <c r="F14" s="2">
        <f>IF(E14=0,0,D14/E14*100)</f>
        <v/>
      </c>
      <c r="G14" s="2" t="n">
        <v>2</v>
      </c>
      <c r="H14" s="2">
        <f>G14*F14</f>
        <v/>
      </c>
    </row>
    <row r="15">
      <c r="A15" t="n">
        <v>14</v>
      </c>
      <c r="B15">
        <f>SUPPLY!A15</f>
        <v/>
      </c>
      <c r="C15" s="1">
        <f>SUM(SUPPLY!B15:AN15)</f>
        <v/>
      </c>
      <c r="D15" s="1">
        <f>USE!AJ15</f>
        <v/>
      </c>
      <c r="E15" s="1">
        <f>C15+D15</f>
        <v/>
      </c>
      <c r="F15" s="2">
        <f>IF(E15=0,0,D15/E15*100)</f>
        <v/>
      </c>
      <c r="G15" s="2" t="n">
        <v>1</v>
      </c>
      <c r="H15" s="2">
        <f>G15*F15</f>
        <v/>
      </c>
    </row>
    <row r="16">
      <c r="A16" t="n">
        <v>15</v>
      </c>
      <c r="B16">
        <f>SUPPLY!A16</f>
        <v/>
      </c>
      <c r="C16" s="1">
        <f>SUM(SUPPLY!B16:AN16)</f>
        <v/>
      </c>
      <c r="D16" s="1">
        <f>USE!AJ16</f>
        <v/>
      </c>
      <c r="E16" s="1">
        <f>C16+D16</f>
        <v/>
      </c>
      <c r="F16" s="2">
        <f>IF(E16=0,0,D16/E16*100)</f>
        <v/>
      </c>
      <c r="G16" s="2" t="n">
        <v>1</v>
      </c>
      <c r="H16" s="2">
        <f>G16*F16</f>
        <v/>
      </c>
    </row>
    <row r="17">
      <c r="A17" t="n">
        <v>16</v>
      </c>
      <c r="B17">
        <f>SUPPLY!A17</f>
        <v/>
      </c>
      <c r="C17" s="1">
        <f>SUM(SUPPLY!B17:AN17)</f>
        <v/>
      </c>
      <c r="D17" s="1">
        <f>USE!AJ17</f>
        <v/>
      </c>
      <c r="E17" s="1">
        <f>C17+D17</f>
        <v/>
      </c>
      <c r="F17" s="2">
        <f>IF(E17=0,0,D17/E17*100)</f>
        <v/>
      </c>
      <c r="G17" s="2" t="n">
        <v>2</v>
      </c>
      <c r="H17" s="2">
        <f>G17*F17</f>
        <v/>
      </c>
    </row>
    <row r="18">
      <c r="A18" t="n">
        <v>17</v>
      </c>
      <c r="B18">
        <f>SUPPLY!A18</f>
        <v/>
      </c>
      <c r="C18" s="1">
        <f>SUM(SUPPLY!B18:AN18)</f>
        <v/>
      </c>
      <c r="D18" s="1">
        <f>USE!AJ18</f>
        <v/>
      </c>
      <c r="E18" s="1">
        <f>C18+D18</f>
        <v/>
      </c>
      <c r="F18" s="2">
        <f>IF(E18=0,0,D18/E18*100)</f>
        <v/>
      </c>
      <c r="G18" s="2" t="n">
        <v>2</v>
      </c>
      <c r="H18" s="2">
        <f>G18*F18</f>
        <v/>
      </c>
    </row>
    <row r="19">
      <c r="A19" t="n">
        <v>18</v>
      </c>
      <c r="B19">
        <f>SUPPLY!A19</f>
        <v/>
      </c>
      <c r="C19" s="1">
        <f>SUM(SUPPLY!B19:AN19)</f>
        <v/>
      </c>
      <c r="D19" s="1">
        <f>USE!AJ19</f>
        <v/>
      </c>
      <c r="E19" s="1">
        <f>C19+D19</f>
        <v/>
      </c>
      <c r="F19" s="2">
        <f>IF(E19=0,0,D19/E19*100)</f>
        <v/>
      </c>
      <c r="G19" s="2" t="n">
        <v>1</v>
      </c>
      <c r="H19" s="2">
        <f>G19*F19</f>
        <v/>
      </c>
    </row>
    <row r="20">
      <c r="A20" t="n">
        <v>19</v>
      </c>
      <c r="B20">
        <f>SUPPLY!A20</f>
        <v/>
      </c>
      <c r="C20" s="1">
        <f>SUM(SUPPLY!B20:AN20)</f>
        <v/>
      </c>
      <c r="D20" s="1">
        <f>USE!AJ20</f>
        <v/>
      </c>
      <c r="E20" s="1">
        <f>C20+D20</f>
        <v/>
      </c>
      <c r="F20" s="2">
        <f>IF(E20=0,0,D20/E20*100)</f>
        <v/>
      </c>
      <c r="G20" s="2" t="n">
        <v>1</v>
      </c>
      <c r="H20" s="2">
        <f>G20*F20</f>
        <v/>
      </c>
    </row>
    <row r="21">
      <c r="A21" t="n">
        <v>20</v>
      </c>
      <c r="B21">
        <f>SUPPLY!A21</f>
        <v/>
      </c>
      <c r="C21" s="1">
        <f>SUM(SUPPLY!B21:AN21)</f>
        <v/>
      </c>
      <c r="D21" s="1">
        <f>USE!AJ21</f>
        <v/>
      </c>
      <c r="E21" s="1">
        <f>C21+D21</f>
        <v/>
      </c>
      <c r="F21" s="2">
        <f>IF(E21=0,0,D21/E21*100)</f>
        <v/>
      </c>
      <c r="G21" s="2" t="n">
        <v>1</v>
      </c>
      <c r="H21" s="2">
        <f>G21*F21</f>
        <v/>
      </c>
    </row>
    <row r="22">
      <c r="A22" t="n">
        <v>21</v>
      </c>
      <c r="B22">
        <f>SUPPLY!A22</f>
        <v/>
      </c>
      <c r="C22" s="1">
        <f>SUM(SUPPLY!B22:AN22)</f>
        <v/>
      </c>
      <c r="D22" s="1">
        <f>USE!AJ22</f>
        <v/>
      </c>
      <c r="E22" s="1">
        <f>C22+D22</f>
        <v/>
      </c>
      <c r="F22" s="2">
        <f>IF(E22=0,0,D22/E22*100)</f>
        <v/>
      </c>
      <c r="G22" s="2" t="n">
        <v>1</v>
      </c>
      <c r="H22" s="2">
        <f>G22*F22</f>
        <v/>
      </c>
    </row>
    <row r="23">
      <c r="A23" t="n">
        <v>22</v>
      </c>
      <c r="B23">
        <f>SUPPLY!A23</f>
        <v/>
      </c>
      <c r="C23" s="1">
        <f>SUM(SUPPLY!B23:AN23)</f>
        <v/>
      </c>
      <c r="D23" s="1">
        <f>USE!AJ23</f>
        <v/>
      </c>
      <c r="E23" s="1">
        <f>C23+D23</f>
        <v/>
      </c>
      <c r="F23" s="2">
        <f>IF(E23=0,0,D23/E23*100)</f>
        <v/>
      </c>
      <c r="G23" s="2" t="n">
        <v>1</v>
      </c>
      <c r="H23" s="2">
        <f>G23*F23</f>
        <v/>
      </c>
    </row>
    <row r="24">
      <c r="A24" t="n">
        <v>23</v>
      </c>
      <c r="B24">
        <f>SUPPLY!A24</f>
        <v/>
      </c>
      <c r="C24" s="1">
        <f>SUM(SUPPLY!B24:AN24)</f>
        <v/>
      </c>
      <c r="D24" s="1">
        <f>USE!AJ24</f>
        <v/>
      </c>
      <c r="E24" s="1">
        <f>C24+D24</f>
        <v/>
      </c>
      <c r="F24" s="2">
        <f>IF(E24=0,0,D24/E24*100)</f>
        <v/>
      </c>
      <c r="G24" s="2" t="n">
        <v>1</v>
      </c>
      <c r="H24" s="2">
        <f>G24*F24</f>
        <v/>
      </c>
    </row>
    <row r="25">
      <c r="A25" t="n">
        <v>24</v>
      </c>
      <c r="B25">
        <f>SUPPLY!A25</f>
        <v/>
      </c>
      <c r="C25" s="1">
        <f>SUM(SUPPLY!B25:AN25)</f>
        <v/>
      </c>
      <c r="D25" s="1">
        <f>USE!AJ25</f>
        <v/>
      </c>
      <c r="E25" s="1">
        <f>C25+D25</f>
        <v/>
      </c>
      <c r="F25" s="2">
        <f>IF(E25=0,0,D25/E25*100)</f>
        <v/>
      </c>
      <c r="G25" s="2" t="n">
        <v>1</v>
      </c>
      <c r="H25" s="2">
        <f>G25*F25</f>
        <v/>
      </c>
    </row>
    <row r="26">
      <c r="A26" t="n">
        <v>25</v>
      </c>
      <c r="B26">
        <f>SUPPLY!A26</f>
        <v/>
      </c>
      <c r="C26" s="1">
        <f>SUM(SUPPLY!B26:AN26)</f>
        <v/>
      </c>
      <c r="D26" s="1">
        <f>USE!AJ26</f>
        <v/>
      </c>
      <c r="E26" s="1">
        <f>C26+D26</f>
        <v/>
      </c>
      <c r="F26" s="2">
        <f>IF(E26=0,0,D26/E26*100)</f>
        <v/>
      </c>
      <c r="G26" s="2" t="n">
        <v>1</v>
      </c>
      <c r="H26" s="2">
        <f>G26*F26</f>
        <v/>
      </c>
    </row>
    <row r="27">
      <c r="A27" t="n">
        <v>26</v>
      </c>
      <c r="B27">
        <f>SUPPLY!A27</f>
        <v/>
      </c>
      <c r="C27" s="1">
        <f>SUM(SUPPLY!B27:AN27)</f>
        <v/>
      </c>
      <c r="D27" s="1">
        <f>USE!AJ27</f>
        <v/>
      </c>
      <c r="E27" s="1">
        <f>C27+D27</f>
        <v/>
      </c>
      <c r="F27" s="2">
        <f>IF(E27=0,0,D27/E27*100)</f>
        <v/>
      </c>
      <c r="G27" s="2" t="n">
        <v>1</v>
      </c>
      <c r="H27" s="2">
        <f>G27*F27</f>
        <v/>
      </c>
    </row>
    <row r="28">
      <c r="A28" t="n">
        <v>27</v>
      </c>
      <c r="B28">
        <f>SUPPLY!A28</f>
        <v/>
      </c>
      <c r="C28" s="1">
        <f>SUM(SUPPLY!B28:AN28)</f>
        <v/>
      </c>
      <c r="D28" s="1">
        <f>USE!AJ28</f>
        <v/>
      </c>
      <c r="E28" s="1">
        <f>C28+D28</f>
        <v/>
      </c>
      <c r="F28" s="2">
        <f>IF(E28=0,0,D28/E28*100)</f>
        <v/>
      </c>
      <c r="G28" s="2" t="n">
        <v>1</v>
      </c>
      <c r="H28" s="2">
        <f>G28*F28</f>
        <v/>
      </c>
    </row>
    <row r="29">
      <c r="A29" t="n">
        <v>28</v>
      </c>
      <c r="B29">
        <f>SUPPLY!A29</f>
        <v/>
      </c>
      <c r="C29" s="1">
        <f>SUM(SUPPLY!B29:AN29)</f>
        <v/>
      </c>
      <c r="D29" s="1">
        <f>USE!AJ29</f>
        <v/>
      </c>
      <c r="E29" s="1">
        <f>C29+D29</f>
        <v/>
      </c>
      <c r="F29" s="2">
        <f>IF(E29=0,0,D29/E29*100)</f>
        <v/>
      </c>
      <c r="G29" s="2" t="n">
        <v>1</v>
      </c>
      <c r="H29" s="2">
        <f>G29*F29</f>
        <v/>
      </c>
    </row>
    <row r="30">
      <c r="A30" t="n">
        <v>29</v>
      </c>
      <c r="B30">
        <f>SUPPLY!A30</f>
        <v/>
      </c>
      <c r="C30" s="1">
        <f>SUM(SUPPLY!B30:AN30)</f>
        <v/>
      </c>
      <c r="D30" s="1">
        <f>USE!AJ30</f>
        <v/>
      </c>
      <c r="E30" s="1">
        <f>C30+D30</f>
        <v/>
      </c>
      <c r="F30" s="2">
        <f>IF(E30=0,0,D30/E30*100)</f>
        <v/>
      </c>
      <c r="G30" s="2" t="n">
        <v>1</v>
      </c>
      <c r="H30" s="2">
        <f>G30*F30</f>
        <v/>
      </c>
    </row>
    <row r="31">
      <c r="A31" t="n">
        <v>30</v>
      </c>
      <c r="B31">
        <f>SUPPLY!A31</f>
        <v/>
      </c>
      <c r="C31" s="1">
        <f>SUM(SUPPLY!B31:AN31)</f>
        <v/>
      </c>
      <c r="D31" s="1">
        <f>USE!AJ31</f>
        <v/>
      </c>
      <c r="E31" s="1">
        <f>C31+D31</f>
        <v/>
      </c>
      <c r="F31" s="2">
        <f>IF(E31=0,0,D31/E31*100)</f>
        <v/>
      </c>
      <c r="G31" s="2" t="n">
        <v>1</v>
      </c>
      <c r="H31" s="2">
        <f>G31*F31</f>
        <v/>
      </c>
    </row>
    <row r="32">
      <c r="A32" t="n">
        <v>31</v>
      </c>
      <c r="B32">
        <f>SUPPLY!A32</f>
        <v/>
      </c>
      <c r="C32" s="1">
        <f>SUM(SUPPLY!B32:AN32)</f>
        <v/>
      </c>
      <c r="D32" s="1">
        <f>USE!AJ32</f>
        <v/>
      </c>
      <c r="E32" s="1">
        <f>C32+D32</f>
        <v/>
      </c>
      <c r="F32" s="2">
        <f>IF(E32=0,0,D32/E32*100)</f>
        <v/>
      </c>
      <c r="G32" s="2" t="n">
        <v>1</v>
      </c>
      <c r="H32" s="2">
        <f>G32*F32</f>
        <v/>
      </c>
    </row>
    <row r="33">
      <c r="A33" t="n">
        <v>32</v>
      </c>
      <c r="B33">
        <f>SUPPLY!A33</f>
        <v/>
      </c>
      <c r="C33" s="1">
        <f>SUM(SUPPLY!B33:AN33)</f>
        <v/>
      </c>
      <c r="D33" s="1">
        <f>USE!AJ33</f>
        <v/>
      </c>
      <c r="E33" s="1">
        <f>C33+D33</f>
        <v/>
      </c>
      <c r="F33" s="2">
        <f>IF(E33=0,0,D33/E33*100)</f>
        <v/>
      </c>
      <c r="G33" s="2" t="n">
        <v>1</v>
      </c>
      <c r="H33" s="2">
        <f>G33*F33</f>
        <v/>
      </c>
    </row>
    <row r="34">
      <c r="A34" t="n">
        <v>33</v>
      </c>
      <c r="B34">
        <f>SUPPLY!A34</f>
        <v/>
      </c>
      <c r="C34" s="1">
        <f>SUM(SUPPLY!B34:AN34)</f>
        <v/>
      </c>
      <c r="D34" s="1">
        <f>USE!AJ34</f>
        <v/>
      </c>
      <c r="E34" s="1">
        <f>C34+D34</f>
        <v/>
      </c>
      <c r="F34" s="2">
        <f>IF(E34=0,0,D34/E34*100)</f>
        <v/>
      </c>
      <c r="G34" s="2" t="n">
        <v>1</v>
      </c>
      <c r="H34" s="2">
        <f>G34*F34</f>
        <v/>
      </c>
    </row>
    <row r="35">
      <c r="A35" t="n">
        <v>34</v>
      </c>
      <c r="B35">
        <f>SUPPLY!A35</f>
        <v/>
      </c>
      <c r="C35" s="1">
        <f>SUM(SUPPLY!B35:AN35)</f>
        <v/>
      </c>
      <c r="D35" s="1">
        <f>USE!AJ35</f>
        <v/>
      </c>
      <c r="E35" s="1">
        <f>C35+D35</f>
        <v/>
      </c>
      <c r="F35" s="2">
        <f>IF(E35=0,0,D35/E35*100)</f>
        <v/>
      </c>
      <c r="G35" s="2" t="n">
        <v>1</v>
      </c>
      <c r="H35" s="2">
        <f>G35*F35</f>
        <v/>
      </c>
    </row>
    <row r="36">
      <c r="A36" t="n">
        <v>35</v>
      </c>
      <c r="B36">
        <f>SUPPLY!A36</f>
        <v/>
      </c>
      <c r="C36" s="1">
        <f>SUM(SUPPLY!B36:AN36)</f>
        <v/>
      </c>
      <c r="D36" s="1">
        <f>USE!AJ36</f>
        <v/>
      </c>
      <c r="E36" s="1">
        <f>C36+D36</f>
        <v/>
      </c>
      <c r="F36" s="2">
        <f>IF(E36=0,0,D36/E36*100)</f>
        <v/>
      </c>
      <c r="G36" s="2" t="n">
        <v>1</v>
      </c>
      <c r="H36" s="2">
        <f>G36*F36</f>
        <v/>
      </c>
    </row>
    <row r="37">
      <c r="A37" t="n">
        <v>36</v>
      </c>
      <c r="B37">
        <f>SUPPLY!A37</f>
        <v/>
      </c>
      <c r="C37" s="1">
        <f>SUM(SUPPLY!B37:AN37)</f>
        <v/>
      </c>
      <c r="D37" s="1">
        <f>USE!AJ37</f>
        <v/>
      </c>
      <c r="E37" s="1">
        <f>C37+D37</f>
        <v/>
      </c>
      <c r="F37" s="2">
        <f>IF(E37=0,0,D37/E37*100)</f>
        <v/>
      </c>
      <c r="G37" s="2" t="n">
        <v>1</v>
      </c>
      <c r="H37" s="2">
        <f>G37*F37</f>
        <v/>
      </c>
    </row>
    <row r="38">
      <c r="A38" t="n">
        <v>37</v>
      </c>
      <c r="B38">
        <f>SUPPLY!A38</f>
        <v/>
      </c>
      <c r="C38" s="1">
        <f>SUM(SUPPLY!B38:AN38)</f>
        <v/>
      </c>
      <c r="D38" s="1">
        <f>USE!AJ38</f>
        <v/>
      </c>
      <c r="E38" s="1">
        <f>C38+D38</f>
        <v/>
      </c>
      <c r="F38" s="2">
        <f>IF(E38=0,0,D38/E38*100)</f>
        <v/>
      </c>
      <c r="G38" s="2" t="n">
        <v>1</v>
      </c>
      <c r="H38" s="2">
        <f>G38*F38</f>
        <v/>
      </c>
    </row>
    <row r="39">
      <c r="A39" t="n">
        <v>38</v>
      </c>
      <c r="B39">
        <f>SUPPLY!A39</f>
        <v/>
      </c>
      <c r="C39" s="1">
        <f>SUM(SUPPLY!B39:AN39)</f>
        <v/>
      </c>
      <c r="D39" s="1">
        <f>USE!AJ39</f>
        <v/>
      </c>
      <c r="E39" s="1">
        <f>C39+D39</f>
        <v/>
      </c>
      <c r="F39" s="2">
        <f>IF(E39=0,0,D39/E39*100)</f>
        <v/>
      </c>
      <c r="G39" s="2" t="n">
        <v>1</v>
      </c>
      <c r="H39" s="2">
        <f>G39*F39</f>
        <v/>
      </c>
    </row>
    <row r="46">
      <c r="A46" t="inlineStr">
        <is>
          <t>TOTAL - Import Content Share</t>
        </is>
      </c>
      <c r="B46" s="7" t="inlineStr">
        <is>
          <t>Import Content Share (%)</t>
        </is>
      </c>
      <c r="C46" s="8">
        <f>SUMPRODUCT(F2:F39,G2:G39)/SUM(G2:G39)</f>
        <v/>
      </c>
    </row>
    <row r="47">
      <c r="A47" s="9" t="n"/>
      <c r="B47" s="9" t="n"/>
      <c r="C47" s="9" t="n"/>
      <c r="D47" s="9" t="n"/>
      <c r="E47" s="9" t="n"/>
      <c r="F47" s="10" t="n"/>
      <c r="G47" s="10" t="n"/>
      <c r="H47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NATIONAL ACCOUNTS - INVESTMENT SHOCK ANALYSIS (DEMAND-SIDE)</t>
        </is>
      </c>
    </row>
    <row r="2">
      <c r="A2" s="12" t="inlineStr">
        <is>
          <t>Georgia - 8-Year Investment Project (6.5 Billion USD, 2026-2033)</t>
        </is>
      </c>
    </row>
    <row r="4">
      <c r="A4" s="13" t="inlineStr">
        <is>
          <t>BASELINE SCENARIO</t>
        </is>
      </c>
    </row>
    <row r="5">
      <c r="A5" s="14" t="inlineStr">
        <is>
          <t>Economic Indicator</t>
        </is>
      </c>
      <c r="B5" s="14" t="inlineStr">
        <is>
          <t>Unit</t>
        </is>
      </c>
      <c r="C5" s="14" t="inlineStr">
        <is>
          <t>2024</t>
        </is>
      </c>
      <c r="D5" s="14" t="n">
        <v>2025</v>
      </c>
      <c r="E5" s="14" t="n">
        <v>2026</v>
      </c>
      <c r="F5" s="14" t="n">
        <v>2027</v>
      </c>
      <c r="G5" s="14" t="n">
        <v>2028</v>
      </c>
      <c r="H5" s="14" t="n">
        <v>2029</v>
      </c>
      <c r="I5" s="14" t="n">
        <v>2030</v>
      </c>
      <c r="J5" s="14" t="n">
        <v>2031</v>
      </c>
      <c r="K5" s="14" t="n">
        <v>2032</v>
      </c>
      <c r="L5" s="14" t="n">
        <v>2033</v>
      </c>
      <c r="M5" s="14" t="n">
        <v>2034</v>
      </c>
      <c r="N5" s="14" t="n">
        <v>2035</v>
      </c>
      <c r="O5" s="14" t="n">
        <v>2036</v>
      </c>
      <c r="P5" s="14" t="n">
        <v>2037</v>
      </c>
      <c r="Q5" s="14" t="n">
        <v>2038</v>
      </c>
      <c r="R5" s="14" t="n">
        <v>2039</v>
      </c>
      <c r="S5" s="14" t="n">
        <v>2040</v>
      </c>
      <c r="T5" s="14" t="n">
        <v>2041</v>
      </c>
      <c r="U5" s="14" t="n">
        <v>2042</v>
      </c>
      <c r="V5" s="14" t="n">
        <v>2043</v>
      </c>
    </row>
    <row r="6">
      <c r="A6" t="inlineStr">
        <is>
          <t>Real GDP - Baseline</t>
        </is>
      </c>
      <c r="B6" t="inlineStr">
        <is>
          <t>millions USD</t>
        </is>
      </c>
      <c r="C6" s="1">
        <f>WEO_Data!C4</f>
        <v/>
      </c>
      <c r="D6" s="1">
        <f>WEO_Data!D4</f>
        <v/>
      </c>
      <c r="E6" s="1">
        <f>WEO_Data!E4</f>
        <v/>
      </c>
      <c r="F6" s="1">
        <f>WEO_Data!F4</f>
        <v/>
      </c>
      <c r="G6" s="1">
        <f>WEO_Data!G4</f>
        <v/>
      </c>
      <c r="H6" s="1">
        <f>WEO_Data!H4</f>
        <v/>
      </c>
      <c r="I6" s="1">
        <f>WEO_Data!I4</f>
        <v/>
      </c>
      <c r="J6" s="1">
        <f>WEO_Data!J4</f>
        <v/>
      </c>
      <c r="K6" s="1">
        <f>WEO_Data!K4</f>
        <v/>
      </c>
      <c r="L6" s="1">
        <f>WEO_Data!L4</f>
        <v/>
      </c>
      <c r="M6" s="1">
        <f>WEO_Data!M4</f>
        <v/>
      </c>
      <c r="N6" s="1">
        <f>WEO_Data!N4</f>
        <v/>
      </c>
      <c r="O6" s="1">
        <f>WEO_Data!O4</f>
        <v/>
      </c>
      <c r="P6" s="1">
        <f>WEO_Data!P4</f>
        <v/>
      </c>
      <c r="Q6" s="1">
        <f>WEO_Data!Q4</f>
        <v/>
      </c>
      <c r="R6" s="1">
        <f>WEO_Data!R4</f>
        <v/>
      </c>
      <c r="S6" s="1">
        <f>WEO_Data!S4</f>
        <v/>
      </c>
      <c r="T6" s="1">
        <f>WEO_Data!T4</f>
        <v/>
      </c>
      <c r="U6" s="1">
        <f>WEO_Data!U4</f>
        <v/>
      </c>
      <c r="V6" s="1">
        <f>WEO_Data!V4</f>
        <v/>
      </c>
    </row>
    <row r="7">
      <c r="A7" t="inlineStr">
        <is>
          <t>GDP Deflator (2022=100)</t>
        </is>
      </c>
      <c r="B7" t="inlineStr">
        <is>
          <t>index</t>
        </is>
      </c>
      <c r="C7" s="17">
        <f>WEO_Data!C6</f>
        <v/>
      </c>
      <c r="D7" s="17">
        <f>WEO_Data!D6</f>
        <v/>
      </c>
      <c r="E7" s="17">
        <f>WEO_Data!E6</f>
        <v/>
      </c>
      <c r="F7" s="17">
        <f>WEO_Data!F6</f>
        <v/>
      </c>
      <c r="G7" s="17">
        <f>WEO_Data!G6</f>
        <v/>
      </c>
      <c r="H7" s="17">
        <f>WEO_Data!H6</f>
        <v/>
      </c>
      <c r="I7" s="17">
        <f>WEO_Data!I6</f>
        <v/>
      </c>
      <c r="J7" s="17">
        <f>WEO_Data!J6</f>
        <v/>
      </c>
      <c r="K7" s="17">
        <f>WEO_Data!K6</f>
        <v/>
      </c>
      <c r="L7" s="17">
        <f>WEO_Data!L6</f>
        <v/>
      </c>
      <c r="M7" s="17">
        <f>WEO_Data!M6</f>
        <v/>
      </c>
      <c r="N7" s="17">
        <f>WEO_Data!N6</f>
        <v/>
      </c>
      <c r="O7" s="17">
        <f>WEO_Data!O6</f>
        <v/>
      </c>
      <c r="P7" s="17">
        <f>WEO_Data!P6</f>
        <v/>
      </c>
      <c r="Q7" s="17">
        <f>WEO_Data!Q6</f>
        <v/>
      </c>
      <c r="R7" s="17">
        <f>WEO_Data!R6</f>
        <v/>
      </c>
      <c r="S7" s="17">
        <f>WEO_Data!S6</f>
        <v/>
      </c>
      <c r="T7" s="17">
        <f>WEO_Data!T6</f>
        <v/>
      </c>
      <c r="U7" s="17">
        <f>WEO_Data!U6</f>
        <v/>
      </c>
      <c r="V7" s="17">
        <f>WEO_Data!V6</f>
        <v/>
      </c>
    </row>
    <row r="8">
      <c r="A8" t="inlineStr">
        <is>
          <t>Nominal GDP - Baseline</t>
        </is>
      </c>
      <c r="B8" t="inlineStr">
        <is>
          <t>millions USD</t>
        </is>
      </c>
      <c r="C8" s="1">
        <f>WEO_Data!C3</f>
        <v/>
      </c>
      <c r="D8" s="1">
        <f>WEO_Data!D3</f>
        <v/>
      </c>
      <c r="E8" s="1">
        <f>WEO_Data!E3</f>
        <v/>
      </c>
      <c r="F8" s="1">
        <f>WEO_Data!F3</f>
        <v/>
      </c>
      <c r="G8" s="1">
        <f>WEO_Data!G3</f>
        <v/>
      </c>
      <c r="H8" s="1">
        <f>WEO_Data!H3</f>
        <v/>
      </c>
      <c r="I8" s="1">
        <f>WEO_Data!I3</f>
        <v/>
      </c>
      <c r="J8" s="1">
        <f>WEO_Data!J3</f>
        <v/>
      </c>
      <c r="K8" s="1">
        <f>WEO_Data!K3</f>
        <v/>
      </c>
      <c r="L8" s="1">
        <f>WEO_Data!L3</f>
        <v/>
      </c>
      <c r="M8" s="1">
        <f>WEO_Data!M3</f>
        <v/>
      </c>
      <c r="N8" s="1">
        <f>WEO_Data!N3</f>
        <v/>
      </c>
      <c r="O8" s="1">
        <f>WEO_Data!O3</f>
        <v/>
      </c>
      <c r="P8" s="1">
        <f>WEO_Data!P3</f>
        <v/>
      </c>
      <c r="Q8" s="1">
        <f>WEO_Data!Q3</f>
        <v/>
      </c>
      <c r="R8" s="1">
        <f>WEO_Data!R3</f>
        <v/>
      </c>
      <c r="S8" s="1">
        <f>WEO_Data!S3</f>
        <v/>
      </c>
      <c r="T8" s="1">
        <f>WEO_Data!T3</f>
        <v/>
      </c>
      <c r="U8" s="1">
        <f>WEO_Data!U3</f>
        <v/>
      </c>
      <c r="V8" s="1">
        <f>WEO_Data!V3</f>
        <v/>
      </c>
    </row>
    <row r="9">
      <c r="A9" t="inlineStr">
        <is>
          <t>Real GDP Growth Rate - Baseline</t>
        </is>
      </c>
      <c r="B9" t="inlineStr">
        <is>
          <t>percent</t>
        </is>
      </c>
      <c r="C9" s="18">
        <f>WEO_Data!C5</f>
        <v/>
      </c>
      <c r="D9" s="18">
        <f>WEO_Data!D5</f>
        <v/>
      </c>
      <c r="E9" s="18">
        <f>WEO_Data!E5</f>
        <v/>
      </c>
      <c r="F9" s="18">
        <f>WEO_Data!F5</f>
        <v/>
      </c>
      <c r="G9" s="18">
        <f>WEO_Data!G5</f>
        <v/>
      </c>
      <c r="H9" s="18">
        <f>WEO_Data!H5</f>
        <v/>
      </c>
      <c r="I9" s="18">
        <f>WEO_Data!I5</f>
        <v/>
      </c>
      <c r="J9" s="18">
        <f>WEO_Data!J5</f>
        <v/>
      </c>
      <c r="K9" s="18">
        <f>WEO_Data!K5</f>
        <v/>
      </c>
      <c r="L9" s="18">
        <f>WEO_Data!L5</f>
        <v/>
      </c>
      <c r="M9" s="18">
        <f>WEO_Data!M5</f>
        <v/>
      </c>
      <c r="N9" s="18">
        <f>WEO_Data!N5</f>
        <v/>
      </c>
      <c r="O9" s="18">
        <f>WEO_Data!O5</f>
        <v/>
      </c>
      <c r="P9" s="18">
        <f>WEO_Data!P5</f>
        <v/>
      </c>
      <c r="Q9" s="18">
        <f>WEO_Data!Q5</f>
        <v/>
      </c>
      <c r="R9" s="18">
        <f>WEO_Data!R5</f>
        <v/>
      </c>
      <c r="S9" s="18">
        <f>WEO_Data!S5</f>
        <v/>
      </c>
      <c r="T9" s="18">
        <f>WEO_Data!T5</f>
        <v/>
      </c>
      <c r="U9" s="18">
        <f>WEO_Data!U5</f>
        <v/>
      </c>
      <c r="V9" s="18">
        <f>WEO_Data!V5</f>
        <v/>
      </c>
    </row>
    <row r="10"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</row>
    <row r="11">
      <c r="A11" t="inlineStr">
        <is>
          <t>Investment Shock - Annual</t>
        </is>
      </c>
      <c r="B11" t="inlineStr">
        <is>
          <t>millions USD</t>
        </is>
      </c>
      <c r="C11" s="1" t="n">
        <v>0</v>
      </c>
      <c r="D11" s="1" t="n">
        <v>520</v>
      </c>
      <c r="E11" s="1" t="n">
        <v>780</v>
      </c>
      <c r="F11" s="1" t="n">
        <v>1170</v>
      </c>
      <c r="G11" s="1" t="n">
        <v>1300</v>
      </c>
      <c r="H11" s="1" t="n">
        <v>1300</v>
      </c>
      <c r="I11" s="1" t="n">
        <v>975</v>
      </c>
      <c r="J11" s="1" t="n">
        <v>325</v>
      </c>
      <c r="K11" s="1" t="n">
        <v>130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Project Allocation (%)</t>
        </is>
      </c>
      <c r="B12" t="inlineStr">
        <is>
          <t>percent</t>
        </is>
      </c>
      <c r="C12" s="19">
        <f>IF(C11=0,0,C11/6500)</f>
        <v/>
      </c>
      <c r="D12" s="19">
        <f>IF(D11=0,0,D11/6500)</f>
        <v/>
      </c>
      <c r="E12" s="19">
        <f>IF(E11=0,0,E11/6500)</f>
        <v/>
      </c>
      <c r="F12" s="19">
        <f>IF(F11=0,0,F11/6500)</f>
        <v/>
      </c>
      <c r="G12" s="19">
        <f>IF(G11=0,0,G11/6500)</f>
        <v/>
      </c>
      <c r="H12" s="19">
        <f>IF(H11=0,0,H11/6500)</f>
        <v/>
      </c>
      <c r="I12" s="19">
        <f>IF(I11=0,0,I11/6500)</f>
        <v/>
      </c>
      <c r="J12" s="19">
        <f>IF(J11=0,0,J11/6500)</f>
        <v/>
      </c>
      <c r="K12" s="19">
        <f>IF(K11=0,0,K11/6500)</f>
        <v/>
      </c>
      <c r="L12" s="19">
        <f>IF(L11=0,0,L11/6500)</f>
        <v/>
      </c>
      <c r="M12" s="19">
        <f>IF(M11=0,0,M11/6500)</f>
        <v/>
      </c>
      <c r="N12" s="19">
        <f>IF(N11=0,0,N11/6500)</f>
        <v/>
      </c>
      <c r="O12" s="19">
        <f>IF(O11=0,0,O11/6500)</f>
        <v/>
      </c>
      <c r="P12" s="19">
        <f>IF(P11=0,0,P11/6500)</f>
        <v/>
      </c>
      <c r="Q12" s="19">
        <f>IF(Q11=0,0,Q11/6500)</f>
        <v/>
      </c>
      <c r="R12" s="19">
        <f>IF(R11=0,0,R11/6500)</f>
        <v/>
      </c>
      <c r="S12" s="19">
        <f>IF(S11=0,0,S11/6500)</f>
        <v/>
      </c>
      <c r="T12" s="19">
        <f>IF(T11=0,0,T11/6500)</f>
        <v/>
      </c>
      <c r="U12" s="19">
        <f>IF(U11=0,0,U11/6500)</f>
        <v/>
      </c>
      <c r="V12" s="19">
        <f>IF(V11=0,0,V11/6500)</f>
        <v/>
      </c>
    </row>
    <row r="14">
      <c r="A14" t="inlineStr">
        <is>
          <t>Real GDP - Impact from Shock</t>
        </is>
      </c>
      <c r="B14" t="inlineStr">
        <is>
          <t>millions USD</t>
        </is>
      </c>
      <c r="C14" s="20">
        <f>C11*$D30*(1-$D32)</f>
        <v/>
      </c>
      <c r="D14" s="20">
        <f>D11*$D30*(1-$D32)</f>
        <v/>
      </c>
      <c r="E14" s="20">
        <f>E11*$D30*(1-$D32)</f>
        <v/>
      </c>
      <c r="F14" s="20">
        <f>F11*$D30*(1-$D32)</f>
        <v/>
      </c>
      <c r="G14" s="20">
        <f>G11*$D30*(1-$D32)</f>
        <v/>
      </c>
      <c r="H14" s="20">
        <f>H11*$D30*(1-$D32)</f>
        <v/>
      </c>
      <c r="I14" s="20">
        <f>I11*$D30*(1-$D32)</f>
        <v/>
      </c>
      <c r="J14" s="20">
        <f>J11*$D30*(1-$D32)</f>
        <v/>
      </c>
      <c r="K14" s="20">
        <f>K11*$D30*(1-$D32)</f>
        <v/>
      </c>
      <c r="L14" s="20">
        <f>L11*$D30*(1-$D32)</f>
        <v/>
      </c>
      <c r="M14" s="20">
        <f>M11*$D30*(1-$D32)</f>
        <v/>
      </c>
      <c r="N14" s="20">
        <f>N11*$D30*(1-$D32)</f>
        <v/>
      </c>
      <c r="O14" s="20">
        <f>O11*$D30*(1-$D32)</f>
        <v/>
      </c>
      <c r="P14" s="20">
        <f>P11*$D30*(1-$D32)</f>
        <v/>
      </c>
      <c r="Q14" s="20">
        <f>Q11*$D30*(1-$D32)</f>
        <v/>
      </c>
      <c r="R14" s="20">
        <f>R11*$D30*(1-$D32)</f>
        <v/>
      </c>
      <c r="S14" s="20">
        <f>S11*$D30*(1-$D32)</f>
        <v/>
      </c>
      <c r="T14" s="20">
        <f>T11*$D30*(1-$D32)</f>
        <v/>
      </c>
      <c r="U14" s="20">
        <f>U11*$D30*(1-$D32)</f>
        <v/>
      </c>
      <c r="V14" s="20">
        <f>V11*$D30*(1-$D32)</f>
        <v/>
      </c>
    </row>
    <row r="15">
      <c r="A15" t="inlineStr">
        <is>
          <t>Real GDP - Total (Baseline + Shock)</t>
        </is>
      </c>
      <c r="B15" t="inlineStr">
        <is>
          <t>millions USD</t>
        </is>
      </c>
      <c r="C15" s="1">
        <f>C6+C14</f>
        <v/>
      </c>
      <c r="D15" s="1">
        <f>D6+D14</f>
        <v/>
      </c>
      <c r="E15" s="1">
        <f>E6+E14</f>
        <v/>
      </c>
      <c r="F15" s="1">
        <f>F6+F14</f>
        <v/>
      </c>
      <c r="G15" s="1">
        <f>G6+G14</f>
        <v/>
      </c>
      <c r="H15" s="1">
        <f>H6+H14</f>
        <v/>
      </c>
      <c r="I15" s="1">
        <f>I6+I14</f>
        <v/>
      </c>
      <c r="J15" s="1">
        <f>J6+J14</f>
        <v/>
      </c>
      <c r="K15" s="1">
        <f>K6+K14</f>
        <v/>
      </c>
      <c r="L15" s="1">
        <f>L6+L14</f>
        <v/>
      </c>
      <c r="M15" s="1">
        <f>M6+M14</f>
        <v/>
      </c>
      <c r="N15" s="1">
        <f>N6+N14</f>
        <v/>
      </c>
      <c r="O15" s="1">
        <f>O6+O14</f>
        <v/>
      </c>
      <c r="P15" s="1">
        <f>P6+P14</f>
        <v/>
      </c>
      <c r="Q15" s="1">
        <f>Q6+Q14</f>
        <v/>
      </c>
      <c r="R15" s="1">
        <f>R6+R14</f>
        <v/>
      </c>
      <c r="S15" s="1">
        <f>S6+S14</f>
        <v/>
      </c>
      <c r="T15" s="1">
        <f>T6+T14</f>
        <v/>
      </c>
      <c r="U15" s="1">
        <f>U6+U14</f>
        <v/>
      </c>
      <c r="V15" s="1">
        <f>V6+V14</f>
        <v/>
      </c>
    </row>
    <row r="16">
      <c r="A16" t="inlineStr">
        <is>
          <t>Nominal GDP - Total (with Shock)</t>
        </is>
      </c>
      <c r="B16" t="inlineStr">
        <is>
          <t>millions USD</t>
        </is>
      </c>
      <c r="C16" s="20">
        <f>C15*C7/100</f>
        <v/>
      </c>
      <c r="D16" s="20">
        <f>D15*D7/100</f>
        <v/>
      </c>
      <c r="E16" s="20">
        <f>E15*E7/100</f>
        <v/>
      </c>
      <c r="F16" s="20">
        <f>F15*F7/100</f>
        <v/>
      </c>
      <c r="G16" s="20">
        <f>G15*G7/100</f>
        <v/>
      </c>
      <c r="H16" s="20">
        <f>H15*H7/100</f>
        <v/>
      </c>
      <c r="I16" s="20">
        <f>I15*I7/100</f>
        <v/>
      </c>
      <c r="J16" s="20">
        <f>J15*J7/100</f>
        <v/>
      </c>
      <c r="K16" s="20">
        <f>K15*K7/100</f>
        <v/>
      </c>
      <c r="L16" s="20">
        <f>L15*L7/100</f>
        <v/>
      </c>
      <c r="M16" s="20">
        <f>M15*M7/100</f>
        <v/>
      </c>
      <c r="N16" s="20">
        <f>N15*N7/100</f>
        <v/>
      </c>
      <c r="O16" s="20">
        <f>O15*O7/100</f>
        <v/>
      </c>
      <c r="P16" s="20">
        <f>P15*P7/100</f>
        <v/>
      </c>
      <c r="Q16" s="20">
        <f>Q15*Q7/100</f>
        <v/>
      </c>
      <c r="R16" s="20">
        <f>R15*R7/100</f>
        <v/>
      </c>
      <c r="S16" s="20">
        <f>S15*S7/100</f>
        <v/>
      </c>
      <c r="T16" s="20">
        <f>T15*T7/100</f>
        <v/>
      </c>
      <c r="U16" s="20">
        <f>U15*U7/100</f>
        <v/>
      </c>
      <c r="V16" s="20">
        <f>V15*V7/100</f>
        <v/>
      </c>
    </row>
    <row r="17">
      <c r="A17" t="inlineStr">
        <is>
          <t>Real GDP Growth Rate - with Shock</t>
        </is>
      </c>
      <c r="B17" t="inlineStr">
        <is>
          <t>percent</t>
        </is>
      </c>
      <c r="C17" s="3" t="inlineStr">
        <is>
          <t>=</t>
        </is>
      </c>
      <c r="D17" s="21">
        <f>(D15/C15-1)*100</f>
        <v/>
      </c>
      <c r="E17" s="21">
        <f>(E15/D15-1)*100</f>
        <v/>
      </c>
      <c r="F17" s="21">
        <f>(F15/E15-1)*100</f>
        <v/>
      </c>
      <c r="G17" s="21">
        <f>(G15/F15-1)*100</f>
        <v/>
      </c>
      <c r="H17" s="21">
        <f>(H15/G15-1)*100</f>
        <v/>
      </c>
      <c r="I17" s="21">
        <f>(I15/H15-1)*100</f>
        <v/>
      </c>
      <c r="J17" s="21">
        <f>(J15/I15-1)*100</f>
        <v/>
      </c>
      <c r="K17" s="21">
        <f>(K15/J15-1)*100</f>
        <v/>
      </c>
      <c r="L17" s="21">
        <f>(L15/K15-1)*100</f>
        <v/>
      </c>
      <c r="M17" s="21">
        <f>(M15/L15-1)*100</f>
        <v/>
      </c>
      <c r="N17" s="21">
        <f>(N15/M15-1)*100</f>
        <v/>
      </c>
      <c r="O17" s="21">
        <f>(O15/N15-1)*100</f>
        <v/>
      </c>
      <c r="P17" s="21">
        <f>(P15/O15-1)*100</f>
        <v/>
      </c>
      <c r="Q17" s="21">
        <f>(Q15/P15-1)*100</f>
        <v/>
      </c>
      <c r="R17" s="21">
        <f>(R15/Q15-1)*100</f>
        <v/>
      </c>
      <c r="S17" s="21">
        <f>(S15/R15-1)*100</f>
        <v/>
      </c>
      <c r="T17" s="21">
        <f>(T15/S15-1)*100</f>
        <v/>
      </c>
      <c r="U17" s="21">
        <f>(U15/T15-1)*100</f>
        <v/>
      </c>
      <c r="V17" s="21">
        <f>(V15/U15-1)*100</f>
        <v/>
      </c>
    </row>
    <row r="18">
      <c r="A18" s="16" t="n"/>
    </row>
    <row r="19">
      <c r="A19" t="inlineStr">
        <is>
          <t>Cumulative Investment (2026-2033)</t>
        </is>
      </c>
      <c r="B19" t="inlineStr">
        <is>
          <t>millions USD</t>
        </is>
      </c>
      <c r="D19" s="7">
        <f>SUM(D11:K11)</f>
        <v/>
      </c>
    </row>
    <row r="20">
      <c r="A20" t="inlineStr">
        <is>
          <t>Cumulative GDP Impact (2026-2033)</t>
        </is>
      </c>
      <c r="B20" t="inlineStr">
        <is>
          <t>millions USD</t>
        </is>
      </c>
      <c r="C20" s="7" t="n"/>
      <c r="D20" s="22">
        <f>SUM(D14:K14)</f>
        <v/>
      </c>
    </row>
    <row r="21">
      <c r="A21" t="inlineStr">
        <is>
          <t>Overall Multiplier</t>
        </is>
      </c>
      <c r="B21" t="inlineStr">
        <is>
          <t>ratio</t>
        </is>
      </c>
      <c r="D21" s="23">
        <f>D20/D19</f>
        <v/>
      </c>
    </row>
    <row r="29">
      <c r="A29" s="16" t="inlineStr">
        <is>
          <t>ASSUMPTIONS - BASELINE SCENARIO</t>
        </is>
      </c>
    </row>
    <row r="30">
      <c r="A30" s="7" t="inlineStr">
        <is>
          <t>Demand Multiplier</t>
        </is>
      </c>
      <c r="B30" t="inlineStr">
        <is>
          <t>dimensionless</t>
        </is>
      </c>
      <c r="C30" t="inlineStr">
        <is>
          <t>Baseline</t>
        </is>
      </c>
      <c r="D30" s="24" t="n">
        <v>0.8</v>
      </c>
    </row>
    <row r="31">
      <c r="A31" s="7" t="inlineStr">
        <is>
          <t>Exchange Rate</t>
        </is>
      </c>
      <c r="B31" t="inlineStr">
        <is>
          <t>Lari/USD</t>
        </is>
      </c>
      <c r="C31" t="inlineStr">
        <is>
          <t>Fixed</t>
        </is>
      </c>
      <c r="D31" s="25" t="n">
        <v>2.746</v>
      </c>
    </row>
    <row r="32">
      <c r="A32" s="7" t="inlineStr">
        <is>
          <t>Import Content Share</t>
        </is>
      </c>
      <c r="B32" t="inlineStr">
        <is>
          <t>ratio</t>
        </is>
      </c>
      <c r="C32" t="inlineStr">
        <is>
          <t>From SUT</t>
        </is>
      </c>
      <c r="D32" s="24">
        <f>SUT_Calc!C46/100</f>
        <v/>
      </c>
    </row>
    <row r="33">
      <c r="A33" s="7" t="inlineStr">
        <is>
          <t>Investment Deflator</t>
        </is>
      </c>
      <c r="B33" t="inlineStr">
        <is>
          <t>index</t>
        </is>
      </c>
      <c r="C33" t="inlineStr">
        <is>
          <t>GDP Deflator</t>
        </is>
      </c>
      <c r="D33" s="24">
        <f>WEO_Data!C6</f>
        <v/>
      </c>
    </row>
    <row r="40">
      <c r="A40" s="13" t="inlineStr">
        <is>
          <t>SCENARIO 2: Higher Demand Multiplier (m = 1.0)</t>
        </is>
      </c>
    </row>
    <row r="41">
      <c r="A41" t="inlineStr">
        <is>
          <t>Demand Multiplier</t>
        </is>
      </c>
      <c r="B41" t="inlineStr">
        <is>
          <t>dimensionless</t>
        </is>
      </c>
      <c r="D41" s="26" t="n">
        <v>1</v>
      </c>
    </row>
    <row r="42">
      <c r="A42" t="inlineStr">
        <is>
          <t>Import Content Share</t>
        </is>
      </c>
      <c r="B42" t="inlineStr">
        <is>
          <t>ratio</t>
        </is>
      </c>
      <c r="D42" s="26">
        <f>D32</f>
        <v/>
      </c>
    </row>
    <row r="44">
      <c r="A44" s="27" t="inlineStr">
        <is>
          <t>Economic Indicator</t>
        </is>
      </c>
      <c r="B44" s="27" t="inlineStr">
        <is>
          <t>Unit</t>
        </is>
      </c>
      <c r="C44" s="27" t="inlineStr">
        <is>
          <t>2024</t>
        </is>
      </c>
      <c r="D44" s="27" t="n">
        <v>2025</v>
      </c>
      <c r="E44" s="27" t="n">
        <v>2026</v>
      </c>
      <c r="F44" s="27" t="n">
        <v>2027</v>
      </c>
      <c r="G44" s="27" t="n">
        <v>2028</v>
      </c>
      <c r="H44" s="27" t="n">
        <v>2029</v>
      </c>
      <c r="I44" s="27" t="n">
        <v>2030</v>
      </c>
      <c r="J44" s="27" t="n">
        <v>2031</v>
      </c>
      <c r="K44" s="27" t="n">
        <v>2032</v>
      </c>
      <c r="L44" s="27" t="n">
        <v>2033</v>
      </c>
      <c r="M44" s="27" t="n">
        <v>2034</v>
      </c>
      <c r="N44" s="27" t="n">
        <v>2035</v>
      </c>
      <c r="O44" s="27" t="n">
        <v>2036</v>
      </c>
      <c r="P44" s="27" t="n">
        <v>2037</v>
      </c>
      <c r="Q44" s="27" t="n">
        <v>2038</v>
      </c>
      <c r="R44" s="27" t="n">
        <v>2039</v>
      </c>
      <c r="S44" s="27" t="n">
        <v>2040</v>
      </c>
      <c r="T44" s="27" t="n">
        <v>2041</v>
      </c>
      <c r="U44" s="27" t="n">
        <v>2042</v>
      </c>
      <c r="V44" s="27" t="n">
        <v>2043</v>
      </c>
    </row>
    <row r="45">
      <c r="A45" t="inlineStr">
        <is>
          <t>Economic Indicator</t>
        </is>
      </c>
      <c r="B45" t="inlineStr">
        <is>
          <t>Unit</t>
        </is>
      </c>
      <c r="C45" s="28" t="inlineStr">
        <is>
          <t>2024</t>
        </is>
      </c>
      <c r="D45" s="31" t="n">
        <v>520</v>
      </c>
      <c r="E45" s="31" t="n">
        <v>780</v>
      </c>
      <c r="F45" s="31" t="n">
        <v>1170</v>
      </c>
      <c r="G45" s="31" t="n">
        <v>1300</v>
      </c>
      <c r="H45" s="31" t="n">
        <v>1300</v>
      </c>
      <c r="I45" s="31" t="n">
        <v>975</v>
      </c>
      <c r="J45" s="31" t="n">
        <v>325</v>
      </c>
      <c r="K45" s="31" t="n">
        <v>130</v>
      </c>
      <c r="L45" s="28" t="n">
        <v>2033</v>
      </c>
      <c r="M45" s="28" t="n">
        <v>2034</v>
      </c>
      <c r="N45" s="28" t="n">
        <v>2035</v>
      </c>
      <c r="O45" s="28" t="n">
        <v>2036</v>
      </c>
      <c r="P45" s="28" t="n">
        <v>2037</v>
      </c>
      <c r="Q45" s="28" t="n">
        <v>2038</v>
      </c>
      <c r="R45" s="28" t="n">
        <v>2039</v>
      </c>
      <c r="S45" s="28" t="n">
        <v>2040</v>
      </c>
      <c r="T45" s="28" t="n">
        <v>2041</v>
      </c>
      <c r="U45" s="28" t="n">
        <v>2042</v>
      </c>
      <c r="V45" s="28" t="n">
        <v>2043</v>
      </c>
    </row>
    <row r="46">
      <c r="A46" t="inlineStr">
        <is>
          <t>Real GDP - Baseline</t>
        </is>
      </c>
      <c r="B46" t="inlineStr">
        <is>
          <t>millions USD</t>
        </is>
      </c>
      <c r="C46" s="1">
        <f>WEO_Data!C4</f>
        <v/>
      </c>
      <c r="D46" s="1">
        <f>WEO_Data!D4</f>
        <v/>
      </c>
      <c r="E46" s="1">
        <f>WEO_Data!E4</f>
        <v/>
      </c>
      <c r="F46" s="1">
        <f>WEO_Data!F4</f>
        <v/>
      </c>
      <c r="G46" s="1">
        <f>WEO_Data!G4</f>
        <v/>
      </c>
      <c r="H46" s="1">
        <f>WEO_Data!H4</f>
        <v/>
      </c>
      <c r="I46" s="1">
        <f>WEO_Data!I4</f>
        <v/>
      </c>
      <c r="J46" s="1">
        <f>WEO_Data!J4</f>
        <v/>
      </c>
      <c r="K46" s="1">
        <f>WEO_Data!K4</f>
        <v/>
      </c>
      <c r="L46" s="1">
        <f>WEO_Data!L4</f>
        <v/>
      </c>
      <c r="M46" s="1">
        <f>WEO_Data!M4</f>
        <v/>
      </c>
      <c r="N46" s="1">
        <f>WEO_Data!N4</f>
        <v/>
      </c>
      <c r="O46" s="1">
        <f>WEO_Data!O4</f>
        <v/>
      </c>
      <c r="P46" s="1">
        <f>WEO_Data!P4</f>
        <v/>
      </c>
      <c r="Q46" s="1">
        <f>WEO_Data!Q4</f>
        <v/>
      </c>
      <c r="R46" s="1">
        <f>WEO_Data!R4</f>
        <v/>
      </c>
      <c r="S46" s="1">
        <f>WEO_Data!S4</f>
        <v/>
      </c>
      <c r="T46" s="1">
        <f>WEO_Data!T4</f>
        <v/>
      </c>
      <c r="U46" s="1">
        <f>WEO_Data!U4</f>
        <v/>
      </c>
      <c r="V46" s="1">
        <f>WEO_Data!V4</f>
        <v/>
      </c>
    </row>
    <row r="47">
      <c r="A47" t="inlineStr">
        <is>
          <t>GDP Deflator (2022=100)</t>
        </is>
      </c>
      <c r="B47" t="inlineStr">
        <is>
          <t>index</t>
        </is>
      </c>
      <c r="C47" s="17">
        <f>WEO_Data!C6</f>
        <v/>
      </c>
      <c r="D47" s="17">
        <f>WEO_Data!D6</f>
        <v/>
      </c>
      <c r="E47" s="17">
        <f>WEO_Data!E6</f>
        <v/>
      </c>
      <c r="F47" s="17">
        <f>WEO_Data!F6</f>
        <v/>
      </c>
      <c r="G47" s="17">
        <f>WEO_Data!G6</f>
        <v/>
      </c>
      <c r="H47" s="17">
        <f>WEO_Data!H6</f>
        <v/>
      </c>
      <c r="I47" s="17">
        <f>WEO_Data!I6</f>
        <v/>
      </c>
      <c r="J47" s="17">
        <f>WEO_Data!J6</f>
        <v/>
      </c>
      <c r="K47" s="17">
        <f>WEO_Data!K6</f>
        <v/>
      </c>
      <c r="L47" s="17">
        <f>WEO_Data!L6</f>
        <v/>
      </c>
      <c r="M47" s="17">
        <f>WEO_Data!M6</f>
        <v/>
      </c>
      <c r="N47" s="17">
        <f>WEO_Data!N6</f>
        <v/>
      </c>
      <c r="O47" s="17">
        <f>WEO_Data!O6</f>
        <v/>
      </c>
      <c r="P47" s="17">
        <f>WEO_Data!P6</f>
        <v/>
      </c>
      <c r="Q47" s="17">
        <f>WEO_Data!Q6</f>
        <v/>
      </c>
      <c r="R47" s="17">
        <f>WEO_Data!R6</f>
        <v/>
      </c>
      <c r="S47" s="17">
        <f>WEO_Data!S6</f>
        <v/>
      </c>
      <c r="T47" s="17">
        <f>WEO_Data!T6</f>
        <v/>
      </c>
      <c r="U47" s="17">
        <f>WEO_Data!U6</f>
        <v/>
      </c>
      <c r="V47" s="17">
        <f>WEO_Data!V6</f>
        <v/>
      </c>
    </row>
    <row r="48">
      <c r="A48" t="inlineStr">
        <is>
          <t>Nominal GDP - Baseline</t>
        </is>
      </c>
      <c r="B48" t="inlineStr">
        <is>
          <t>millions USD</t>
        </is>
      </c>
      <c r="C48" s="1">
        <f>WEO_Data!C3</f>
        <v/>
      </c>
      <c r="D48" s="1">
        <f>WEO_Data!D3</f>
        <v/>
      </c>
      <c r="E48" s="1">
        <f>WEO_Data!E3</f>
        <v/>
      </c>
      <c r="F48" s="1">
        <f>WEO_Data!F3</f>
        <v/>
      </c>
      <c r="G48" s="1">
        <f>WEO_Data!G3</f>
        <v/>
      </c>
      <c r="H48" s="1">
        <f>WEO_Data!H3</f>
        <v/>
      </c>
      <c r="I48" s="1">
        <f>WEO_Data!I3</f>
        <v/>
      </c>
      <c r="J48" s="1">
        <f>WEO_Data!J3</f>
        <v/>
      </c>
      <c r="K48" s="1">
        <f>WEO_Data!K3</f>
        <v/>
      </c>
      <c r="L48" s="1">
        <f>WEO_Data!L3</f>
        <v/>
      </c>
      <c r="M48" s="1">
        <f>WEO_Data!M3</f>
        <v/>
      </c>
      <c r="N48" s="1">
        <f>WEO_Data!N3</f>
        <v/>
      </c>
      <c r="O48" s="1">
        <f>WEO_Data!O3</f>
        <v/>
      </c>
      <c r="P48" s="1">
        <f>WEO_Data!P3</f>
        <v/>
      </c>
      <c r="Q48" s="1">
        <f>WEO_Data!Q3</f>
        <v/>
      </c>
      <c r="R48" s="1">
        <f>WEO_Data!R3</f>
        <v/>
      </c>
      <c r="S48" s="1">
        <f>WEO_Data!S3</f>
        <v/>
      </c>
      <c r="T48" s="1">
        <f>WEO_Data!T3</f>
        <v/>
      </c>
      <c r="U48" s="1">
        <f>WEO_Data!U3</f>
        <v/>
      </c>
      <c r="V48" s="1">
        <f>WEO_Data!V3</f>
        <v/>
      </c>
    </row>
    <row r="49">
      <c r="A49" t="inlineStr">
        <is>
          <t>Real GDP Growth Rate - Baseline</t>
        </is>
      </c>
      <c r="B49" t="inlineStr">
        <is>
          <t>percent</t>
        </is>
      </c>
      <c r="C49" s="18">
        <f>WEO_Data!C5</f>
        <v/>
      </c>
      <c r="D49" s="18">
        <f>WEO_Data!D5</f>
        <v/>
      </c>
      <c r="E49" s="18">
        <f>WEO_Data!E5</f>
        <v/>
      </c>
      <c r="F49" s="18">
        <f>WEO_Data!F5</f>
        <v/>
      </c>
      <c r="G49" s="18">
        <f>WEO_Data!G5</f>
        <v/>
      </c>
      <c r="H49" s="18">
        <f>WEO_Data!H5</f>
        <v/>
      </c>
      <c r="I49" s="18">
        <f>WEO_Data!I5</f>
        <v/>
      </c>
      <c r="J49" s="18">
        <f>WEO_Data!J5</f>
        <v/>
      </c>
      <c r="K49" s="18">
        <f>WEO_Data!K5</f>
        <v/>
      </c>
      <c r="L49" s="18">
        <f>WEO_Data!L5</f>
        <v/>
      </c>
      <c r="M49" s="18">
        <f>WEO_Data!M5</f>
        <v/>
      </c>
      <c r="N49" s="18">
        <f>WEO_Data!N5</f>
        <v/>
      </c>
      <c r="O49" s="18">
        <f>WEO_Data!O5</f>
        <v/>
      </c>
      <c r="P49" s="18">
        <f>WEO_Data!P5</f>
        <v/>
      </c>
      <c r="Q49" s="18">
        <f>WEO_Data!Q5</f>
        <v/>
      </c>
      <c r="R49" s="18">
        <f>WEO_Data!R5</f>
        <v/>
      </c>
      <c r="S49" s="18">
        <f>WEO_Data!S5</f>
        <v/>
      </c>
      <c r="T49" s="18">
        <f>WEO_Data!T5</f>
        <v/>
      </c>
      <c r="U49" s="18">
        <f>WEO_Data!U5</f>
        <v/>
      </c>
      <c r="V49" s="18">
        <f>WEO_Data!V5</f>
        <v/>
      </c>
    </row>
    <row r="50"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</row>
    <row r="51">
      <c r="A51" t="inlineStr">
        <is>
          <t>Investment Shock - Annual</t>
        </is>
      </c>
      <c r="B51" t="inlineStr">
        <is>
          <t>millions USD</t>
        </is>
      </c>
      <c r="C51" s="1" t="n"/>
      <c r="D51" s="1" t="n">
        <v>520</v>
      </c>
      <c r="E51" s="1" t="n">
        <v>780</v>
      </c>
      <c r="F51" s="1" t="n">
        <v>1170</v>
      </c>
      <c r="G51" s="1" t="n">
        <v>1300</v>
      </c>
      <c r="H51" s="1" t="n">
        <v>1300</v>
      </c>
      <c r="I51" s="1" t="n">
        <v>975</v>
      </c>
      <c r="J51" s="1" t="n">
        <v>325</v>
      </c>
      <c r="K51" s="1" t="n">
        <v>130</v>
      </c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</row>
    <row r="52">
      <c r="A52" t="inlineStr">
        <is>
          <t>Project Allocation (%)</t>
        </is>
      </c>
      <c r="B52" t="inlineStr">
        <is>
          <t>percent</t>
        </is>
      </c>
      <c r="C52" s="19">
        <f>IF(C11=0,0,C11/6500)</f>
        <v/>
      </c>
      <c r="D52" s="19">
        <f>IF(D11=0,0,D11/6500)</f>
        <v/>
      </c>
      <c r="E52" s="19">
        <f>IF(E11=0,0,E11/6500)</f>
        <v/>
      </c>
      <c r="F52" s="19">
        <f>IF(F11=0,0,F11/6500)</f>
        <v/>
      </c>
      <c r="G52" s="19">
        <f>IF(G11=0,0,G11/6500)</f>
        <v/>
      </c>
      <c r="H52" s="19">
        <f>IF(H11=0,0,H11/6500)</f>
        <v/>
      </c>
      <c r="I52" s="19">
        <f>IF(I11=0,0,I11/6500)</f>
        <v/>
      </c>
      <c r="J52" s="19">
        <f>IF(J11=0,0,J11/6500)</f>
        <v/>
      </c>
      <c r="K52" s="19">
        <f>IF(K11=0,0,K11/6500)</f>
        <v/>
      </c>
      <c r="L52" s="19">
        <f>IF(L11=0,0,L11/6500)</f>
        <v/>
      </c>
      <c r="M52" s="19">
        <f>IF(M11=0,0,M11/6500)</f>
        <v/>
      </c>
      <c r="N52" s="19">
        <f>IF(N11=0,0,N11/6500)</f>
        <v/>
      </c>
      <c r="O52" s="19">
        <f>IF(O11=0,0,O11/6500)</f>
        <v/>
      </c>
      <c r="P52" s="19">
        <f>IF(P11=0,0,P11/6500)</f>
        <v/>
      </c>
      <c r="Q52" s="19">
        <f>IF(Q11=0,0,Q11/6500)</f>
        <v/>
      </c>
      <c r="R52" s="19">
        <f>IF(R11=0,0,R11/6500)</f>
        <v/>
      </c>
      <c r="S52" s="19">
        <f>IF(S11=0,0,S11/6500)</f>
        <v/>
      </c>
      <c r="T52" s="19">
        <f>IF(T11=0,0,T11/6500)</f>
        <v/>
      </c>
      <c r="U52" s="19">
        <f>IF(U11=0,0,U11/6500)</f>
        <v/>
      </c>
      <c r="V52" s="19">
        <f>IF(V11=0,0,V11/6500)</f>
        <v/>
      </c>
    </row>
    <row r="53">
      <c r="C53" s="20">
        <f>C50*$D$41*(1-$D$42)</f>
        <v/>
      </c>
      <c r="D53" s="20">
        <f>D50*$D$41*(1-$D$42)</f>
        <v/>
      </c>
      <c r="E53" s="20">
        <f>E50*$D$41*(1-$D$42)</f>
        <v/>
      </c>
      <c r="F53" s="20">
        <f>F50*$D$41*(1-$D$42)</f>
        <v/>
      </c>
      <c r="G53" s="20">
        <f>G50*$D$41*(1-$D$42)</f>
        <v/>
      </c>
      <c r="H53" s="20">
        <f>H50*$D$41*(1-$D$42)</f>
        <v/>
      </c>
      <c r="I53" s="20">
        <f>I50*$D$41*(1-$D$42)</f>
        <v/>
      </c>
      <c r="J53" s="20">
        <f>J50*$D$41*(1-$D$42)</f>
        <v/>
      </c>
      <c r="K53" s="20">
        <f>K50*$D$41*(1-$D$42)</f>
        <v/>
      </c>
      <c r="L53" s="20">
        <f>L50*$D$41*(1-$D$42)</f>
        <v/>
      </c>
      <c r="M53" s="20">
        <f>M50*$D$41*(1-$D$42)</f>
        <v/>
      </c>
      <c r="N53" s="20">
        <f>N50*$D$41*(1-$D$42)</f>
        <v/>
      </c>
      <c r="O53" s="20">
        <f>O50*$D$41*(1-$D$42)</f>
        <v/>
      </c>
      <c r="P53" s="20">
        <f>P50*$D$41*(1-$D$42)</f>
        <v/>
      </c>
      <c r="Q53" s="20">
        <f>Q50*$D$41*(1-$D$42)</f>
        <v/>
      </c>
      <c r="R53" s="20">
        <f>R50*$D$41*(1-$D$42)</f>
        <v/>
      </c>
      <c r="S53" s="20">
        <f>S50*$D$41*(1-$D$42)</f>
        <v/>
      </c>
      <c r="T53" s="20">
        <f>T50*$D$41*(1-$D$42)</f>
        <v/>
      </c>
      <c r="U53" s="20">
        <f>U50*$D$41*(1-$D$42)</f>
        <v/>
      </c>
      <c r="V53" s="20">
        <f>V50*$D$41*(1-$D$42)</f>
        <v/>
      </c>
    </row>
    <row r="54">
      <c r="A54" t="inlineStr">
        <is>
          <t>Real GDP - Impact from Shock</t>
        </is>
      </c>
      <c r="B54" t="inlineStr">
        <is>
          <t>millions USD</t>
        </is>
      </c>
      <c r="C54" s="20">
        <f>C11*$D30*(1-$D32)</f>
        <v/>
      </c>
      <c r="D54" s="20">
        <f>D11*$D30*(1-$D32)</f>
        <v/>
      </c>
      <c r="E54" s="20">
        <f>E11*$D30*(1-$D32)</f>
        <v/>
      </c>
      <c r="F54" s="20">
        <f>F11*$D30*(1-$D32)</f>
        <v/>
      </c>
      <c r="G54" s="20">
        <f>G11*$D30*(1-$D32)</f>
        <v/>
      </c>
      <c r="H54" s="20">
        <f>H11*$D30*(1-$D32)</f>
        <v/>
      </c>
      <c r="I54" s="20">
        <f>I11*$D30*(1-$D32)</f>
        <v/>
      </c>
      <c r="J54" s="20">
        <f>J11*$D30*(1-$D32)</f>
        <v/>
      </c>
      <c r="K54" s="20">
        <f>K11*$D30*(1-$D32)</f>
        <v/>
      </c>
      <c r="L54" s="20">
        <f>L11*$D30*(1-$D32)</f>
        <v/>
      </c>
      <c r="M54" s="20">
        <f>M11*$D30*(1-$D32)</f>
        <v/>
      </c>
      <c r="N54" s="20">
        <f>N11*$D30*(1-$D32)</f>
        <v/>
      </c>
      <c r="O54" s="20">
        <f>O11*$D30*(1-$D32)</f>
        <v/>
      </c>
      <c r="P54" s="20">
        <f>P11*$D30*(1-$D32)</f>
        <v/>
      </c>
      <c r="Q54" s="20">
        <f>Q11*$D30*(1-$D32)</f>
        <v/>
      </c>
      <c r="R54" s="20">
        <f>R11*$D30*(1-$D32)</f>
        <v/>
      </c>
      <c r="S54" s="20">
        <f>S11*$D30*(1-$D32)</f>
        <v/>
      </c>
      <c r="T54" s="20">
        <f>T11*$D30*(1-$D32)</f>
        <v/>
      </c>
      <c r="U54" s="20">
        <f>U11*$D30*(1-$D32)</f>
        <v/>
      </c>
      <c r="V54" s="20">
        <f>V11*$D30*(1-$D32)</f>
        <v/>
      </c>
    </row>
    <row r="55">
      <c r="A55" t="inlineStr">
        <is>
          <t>Real GDP - Total (Baseline + Shock)</t>
        </is>
      </c>
      <c r="B55" t="inlineStr">
        <is>
          <t>millions USD</t>
        </is>
      </c>
      <c r="C55" s="1">
        <f>C6+C14</f>
        <v/>
      </c>
      <c r="D55" s="1">
        <f>D6+D14</f>
        <v/>
      </c>
      <c r="E55" s="1">
        <f>E6+E14</f>
        <v/>
      </c>
      <c r="F55" s="1">
        <f>F6+F14</f>
        <v/>
      </c>
      <c r="G55" s="1">
        <f>G6+G14</f>
        <v/>
      </c>
      <c r="H55" s="1">
        <f>H6+H14</f>
        <v/>
      </c>
      <c r="I55" s="1">
        <f>I6+I14</f>
        <v/>
      </c>
      <c r="J55" s="1">
        <f>J6+J14</f>
        <v/>
      </c>
      <c r="K55" s="1">
        <f>K6+K14</f>
        <v/>
      </c>
      <c r="L55" s="1">
        <f>L6+L14</f>
        <v/>
      </c>
      <c r="M55" s="1">
        <f>M6+M14</f>
        <v/>
      </c>
      <c r="N55" s="1">
        <f>N6+N14</f>
        <v/>
      </c>
      <c r="O55" s="1">
        <f>O6+O14</f>
        <v/>
      </c>
      <c r="P55" s="1">
        <f>P6+P14</f>
        <v/>
      </c>
      <c r="Q55" s="1">
        <f>Q6+Q14</f>
        <v/>
      </c>
      <c r="R55" s="1">
        <f>R6+R14</f>
        <v/>
      </c>
      <c r="S55" s="1">
        <f>S6+S14</f>
        <v/>
      </c>
      <c r="T55" s="1">
        <f>T6+T14</f>
        <v/>
      </c>
      <c r="U55" s="1">
        <f>U6+U14</f>
        <v/>
      </c>
      <c r="V55" s="1">
        <f>V6+V14</f>
        <v/>
      </c>
    </row>
    <row r="56">
      <c r="A56" t="inlineStr">
        <is>
          <t>Nominal GDP - Total (with Shock)</t>
        </is>
      </c>
      <c r="B56" t="inlineStr">
        <is>
          <t>millions USD</t>
        </is>
      </c>
      <c r="C56" s="20">
        <f>C15*C7/100</f>
        <v/>
      </c>
      <c r="D56" s="20">
        <f>D15*D7/100</f>
        <v/>
      </c>
      <c r="E56" s="20">
        <f>E15*E7/100</f>
        <v/>
      </c>
      <c r="F56" s="20">
        <f>F15*F7/100</f>
        <v/>
      </c>
      <c r="G56" s="20">
        <f>G15*G7/100</f>
        <v/>
      </c>
      <c r="H56" s="20">
        <f>H15*H7/100</f>
        <v/>
      </c>
      <c r="I56" s="20">
        <f>I15*I7/100</f>
        <v/>
      </c>
      <c r="J56" s="20">
        <f>J15*J7/100</f>
        <v/>
      </c>
      <c r="K56" s="20">
        <f>K15*K7/100</f>
        <v/>
      </c>
      <c r="L56" s="20">
        <f>L15*L7/100</f>
        <v/>
      </c>
      <c r="M56" s="20">
        <f>M15*M7/100</f>
        <v/>
      </c>
      <c r="N56" s="20">
        <f>N15*N7/100</f>
        <v/>
      </c>
      <c r="O56" s="20">
        <f>O15*O7/100</f>
        <v/>
      </c>
      <c r="P56" s="20">
        <f>P15*P7/100</f>
        <v/>
      </c>
      <c r="Q56" s="20">
        <f>Q15*Q7/100</f>
        <v/>
      </c>
      <c r="R56" s="20">
        <f>R15*R7/100</f>
        <v/>
      </c>
      <c r="S56" s="20">
        <f>S15*S7/100</f>
        <v/>
      </c>
      <c r="T56" s="20">
        <f>T15*T7/100</f>
        <v/>
      </c>
      <c r="U56" s="20">
        <f>U15*U7/100</f>
        <v/>
      </c>
      <c r="V56" s="20">
        <f>V15*V7/100</f>
        <v/>
      </c>
    </row>
    <row r="58">
      <c r="A58" t="inlineStr">
        <is>
          <t>Cumulative Investment (2026-2033)</t>
        </is>
      </c>
      <c r="B58" t="inlineStr">
        <is>
          <t>millions USD</t>
        </is>
      </c>
      <c r="D58" s="7">
        <f>SUM(D50:K50)</f>
        <v/>
      </c>
    </row>
    <row r="59">
      <c r="A59" t="inlineStr">
        <is>
          <t>Cumulative GDP Impact (2026-2033)</t>
        </is>
      </c>
      <c r="B59" t="inlineStr">
        <is>
          <t>millions USD</t>
        </is>
      </c>
      <c r="D59" s="22">
        <f>SUM(D53:K53)</f>
        <v/>
      </c>
    </row>
    <row r="60">
      <c r="A60" t="inlineStr">
        <is>
          <t>Overall Multiplier</t>
        </is>
      </c>
      <c r="B60" t="inlineStr">
        <is>
          <t>ratio</t>
        </is>
      </c>
      <c r="D60" s="23">
        <f>D59/D58</f>
        <v/>
      </c>
    </row>
    <row r="76">
      <c r="A76" s="13" t="inlineStr">
        <is>
          <t>SCENARIO 3: Different Import Content Share (import_content = 0.5)</t>
        </is>
      </c>
    </row>
    <row r="77">
      <c r="A77" t="inlineStr">
        <is>
          <t>Demand Multiplier</t>
        </is>
      </c>
      <c r="B77" t="inlineStr">
        <is>
          <t>dimensionless</t>
        </is>
      </c>
      <c r="D77" s="29">
        <f>D30</f>
        <v/>
      </c>
    </row>
    <row r="78">
      <c r="A78" t="inlineStr">
        <is>
          <t>Import Content Share</t>
        </is>
      </c>
      <c r="B78" t="inlineStr">
        <is>
          <t>ratio</t>
        </is>
      </c>
      <c r="D78" s="29" t="n">
        <v>0.5</v>
      </c>
    </row>
    <row r="80">
      <c r="A80" s="30" t="inlineStr">
        <is>
          <t>Economic Indicator</t>
        </is>
      </c>
      <c r="B80" s="30" t="inlineStr">
        <is>
          <t>Unit</t>
        </is>
      </c>
      <c r="C80" s="30" t="inlineStr">
        <is>
          <t>2024</t>
        </is>
      </c>
      <c r="D80" s="30" t="n">
        <v>2025</v>
      </c>
      <c r="E80" s="30" t="n">
        <v>2026</v>
      </c>
      <c r="F80" s="30" t="n">
        <v>2027</v>
      </c>
      <c r="G80" s="30" t="n">
        <v>2028</v>
      </c>
      <c r="H80" s="30" t="n">
        <v>2029</v>
      </c>
      <c r="I80" s="30" t="n">
        <v>2030</v>
      </c>
      <c r="J80" s="30" t="n">
        <v>2031</v>
      </c>
      <c r="K80" s="30" t="n">
        <v>2032</v>
      </c>
      <c r="L80" s="30" t="n">
        <v>2033</v>
      </c>
      <c r="M80" s="30" t="n">
        <v>2034</v>
      </c>
      <c r="N80" s="30" t="n">
        <v>2035</v>
      </c>
      <c r="O80" s="30" t="n">
        <v>2036</v>
      </c>
      <c r="P80" s="30" t="n">
        <v>2037</v>
      </c>
      <c r="Q80" s="30" t="n">
        <v>2038</v>
      </c>
      <c r="R80" s="30" t="n">
        <v>2039</v>
      </c>
      <c r="S80" s="30" t="n">
        <v>2040</v>
      </c>
      <c r="T80" s="30" t="n">
        <v>2041</v>
      </c>
      <c r="U80" s="30" t="n">
        <v>2042</v>
      </c>
      <c r="V80" s="30" t="n">
        <v>2043</v>
      </c>
    </row>
    <row r="81">
      <c r="A81" t="inlineStr">
        <is>
          <t>Economic Indicator</t>
        </is>
      </c>
      <c r="B81" t="inlineStr">
        <is>
          <t>Unit</t>
        </is>
      </c>
      <c r="C81" s="28" t="inlineStr">
        <is>
          <t>2024</t>
        </is>
      </c>
      <c r="D81" s="31" t="n">
        <v>520</v>
      </c>
      <c r="E81" s="31" t="n">
        <v>780</v>
      </c>
      <c r="F81" s="31" t="n">
        <v>1170</v>
      </c>
      <c r="G81" s="31" t="n">
        <v>1300</v>
      </c>
      <c r="H81" s="31" t="n">
        <v>1300</v>
      </c>
      <c r="I81" s="31" t="n">
        <v>975</v>
      </c>
      <c r="J81" s="31" t="n">
        <v>325</v>
      </c>
      <c r="K81" s="31" t="n">
        <v>130</v>
      </c>
      <c r="L81" s="28" t="n">
        <v>2033</v>
      </c>
      <c r="M81" s="28" t="n">
        <v>2034</v>
      </c>
      <c r="N81" s="28" t="n">
        <v>2035</v>
      </c>
      <c r="O81" s="28" t="n">
        <v>2036</v>
      </c>
      <c r="P81" s="28" t="n">
        <v>2037</v>
      </c>
      <c r="Q81" s="28" t="n">
        <v>2038</v>
      </c>
      <c r="R81" s="28" t="n">
        <v>2039</v>
      </c>
      <c r="S81" s="28" t="n">
        <v>2040</v>
      </c>
      <c r="T81" s="28" t="n">
        <v>2041</v>
      </c>
      <c r="U81" s="28" t="n">
        <v>2042</v>
      </c>
      <c r="V81" s="28" t="n">
        <v>2043</v>
      </c>
    </row>
    <row r="82">
      <c r="A82" t="inlineStr">
        <is>
          <t>Real GDP - Baseline</t>
        </is>
      </c>
      <c r="B82" t="inlineStr">
        <is>
          <t>millions USD</t>
        </is>
      </c>
      <c r="C82" s="1">
        <f>WEO_Data!C4</f>
        <v/>
      </c>
      <c r="D82" s="1">
        <f>WEO_Data!D4</f>
        <v/>
      </c>
      <c r="E82" s="1">
        <f>WEO_Data!E4</f>
        <v/>
      </c>
      <c r="F82" s="1">
        <f>WEO_Data!F4</f>
        <v/>
      </c>
      <c r="G82" s="1">
        <f>WEO_Data!G4</f>
        <v/>
      </c>
      <c r="H82" s="1">
        <f>WEO_Data!H4</f>
        <v/>
      </c>
      <c r="I82" s="1">
        <f>WEO_Data!I4</f>
        <v/>
      </c>
      <c r="J82" s="1">
        <f>WEO_Data!J4</f>
        <v/>
      </c>
      <c r="K82" s="1">
        <f>WEO_Data!K4</f>
        <v/>
      </c>
      <c r="L82" s="1">
        <f>WEO_Data!L4</f>
        <v/>
      </c>
      <c r="M82" s="1">
        <f>WEO_Data!M4</f>
        <v/>
      </c>
      <c r="N82" s="1">
        <f>WEO_Data!N4</f>
        <v/>
      </c>
      <c r="O82" s="1">
        <f>WEO_Data!O4</f>
        <v/>
      </c>
      <c r="P82" s="1">
        <f>WEO_Data!P4</f>
        <v/>
      </c>
      <c r="Q82" s="1">
        <f>WEO_Data!Q4</f>
        <v/>
      </c>
      <c r="R82" s="1">
        <f>WEO_Data!R4</f>
        <v/>
      </c>
      <c r="S82" s="1">
        <f>WEO_Data!S4</f>
        <v/>
      </c>
      <c r="T82" s="1">
        <f>WEO_Data!T4</f>
        <v/>
      </c>
      <c r="U82" s="1">
        <f>WEO_Data!U4</f>
        <v/>
      </c>
      <c r="V82" s="1">
        <f>WEO_Data!V4</f>
        <v/>
      </c>
    </row>
    <row r="83">
      <c r="A83" t="inlineStr">
        <is>
          <t>GDP Deflator (2022=100)</t>
        </is>
      </c>
      <c r="B83" t="inlineStr">
        <is>
          <t>index</t>
        </is>
      </c>
      <c r="C83" s="17">
        <f>WEO_Data!C6</f>
        <v/>
      </c>
      <c r="D83" s="17">
        <f>WEO_Data!D6</f>
        <v/>
      </c>
      <c r="E83" s="17">
        <f>WEO_Data!E6</f>
        <v/>
      </c>
      <c r="F83" s="17">
        <f>WEO_Data!F6</f>
        <v/>
      </c>
      <c r="G83" s="17">
        <f>WEO_Data!G6</f>
        <v/>
      </c>
      <c r="H83" s="17">
        <f>WEO_Data!H6</f>
        <v/>
      </c>
      <c r="I83" s="17">
        <f>WEO_Data!I6</f>
        <v/>
      </c>
      <c r="J83" s="17">
        <f>WEO_Data!J6</f>
        <v/>
      </c>
      <c r="K83" s="17">
        <f>WEO_Data!K6</f>
        <v/>
      </c>
      <c r="L83" s="17">
        <f>WEO_Data!L6</f>
        <v/>
      </c>
      <c r="M83" s="17">
        <f>WEO_Data!M6</f>
        <v/>
      </c>
      <c r="N83" s="17">
        <f>WEO_Data!N6</f>
        <v/>
      </c>
      <c r="O83" s="17">
        <f>WEO_Data!O6</f>
        <v/>
      </c>
      <c r="P83" s="17">
        <f>WEO_Data!P6</f>
        <v/>
      </c>
      <c r="Q83" s="17">
        <f>WEO_Data!Q6</f>
        <v/>
      </c>
      <c r="R83" s="17">
        <f>WEO_Data!R6</f>
        <v/>
      </c>
      <c r="S83" s="17">
        <f>WEO_Data!S6</f>
        <v/>
      </c>
      <c r="T83" s="17">
        <f>WEO_Data!T6</f>
        <v/>
      </c>
      <c r="U83" s="17">
        <f>WEO_Data!U6</f>
        <v/>
      </c>
      <c r="V83" s="17">
        <f>WEO_Data!V6</f>
        <v/>
      </c>
    </row>
    <row r="84">
      <c r="A84" t="inlineStr">
        <is>
          <t>Nominal GDP - Baseline</t>
        </is>
      </c>
      <c r="B84" t="inlineStr">
        <is>
          <t>millions USD</t>
        </is>
      </c>
      <c r="C84" s="1">
        <f>WEO_Data!C3</f>
        <v/>
      </c>
      <c r="D84" s="1">
        <f>WEO_Data!D3</f>
        <v/>
      </c>
      <c r="E84" s="1">
        <f>WEO_Data!E3</f>
        <v/>
      </c>
      <c r="F84" s="1">
        <f>WEO_Data!F3</f>
        <v/>
      </c>
      <c r="G84" s="1">
        <f>WEO_Data!G3</f>
        <v/>
      </c>
      <c r="H84" s="1">
        <f>WEO_Data!H3</f>
        <v/>
      </c>
      <c r="I84" s="1">
        <f>WEO_Data!I3</f>
        <v/>
      </c>
      <c r="J84" s="1">
        <f>WEO_Data!J3</f>
        <v/>
      </c>
      <c r="K84" s="1">
        <f>WEO_Data!K3</f>
        <v/>
      </c>
      <c r="L84" s="1">
        <f>WEO_Data!L3</f>
        <v/>
      </c>
      <c r="M84" s="1">
        <f>WEO_Data!M3</f>
        <v/>
      </c>
      <c r="N84" s="1">
        <f>WEO_Data!N3</f>
        <v/>
      </c>
      <c r="O84" s="1">
        <f>WEO_Data!O3</f>
        <v/>
      </c>
      <c r="P84" s="1">
        <f>WEO_Data!P3</f>
        <v/>
      </c>
      <c r="Q84" s="1">
        <f>WEO_Data!Q3</f>
        <v/>
      </c>
      <c r="R84" s="1">
        <f>WEO_Data!R3</f>
        <v/>
      </c>
      <c r="S84" s="1">
        <f>WEO_Data!S3</f>
        <v/>
      </c>
      <c r="T84" s="1">
        <f>WEO_Data!T3</f>
        <v/>
      </c>
      <c r="U84" s="1">
        <f>WEO_Data!U3</f>
        <v/>
      </c>
      <c r="V84" s="1">
        <f>WEO_Data!V3</f>
        <v/>
      </c>
    </row>
    <row r="85">
      <c r="A85" t="inlineStr">
        <is>
          <t>Real GDP Growth Rate - Baseline</t>
        </is>
      </c>
      <c r="B85" t="inlineStr">
        <is>
          <t>percent</t>
        </is>
      </c>
      <c r="C85" s="18">
        <f>WEO_Data!C5</f>
        <v/>
      </c>
      <c r="D85" s="18">
        <f>WEO_Data!D5</f>
        <v/>
      </c>
      <c r="E85" s="18">
        <f>WEO_Data!E5</f>
        <v/>
      </c>
      <c r="F85" s="18">
        <f>WEO_Data!F5</f>
        <v/>
      </c>
      <c r="G85" s="18">
        <f>WEO_Data!G5</f>
        <v/>
      </c>
      <c r="H85" s="18">
        <f>WEO_Data!H5</f>
        <v/>
      </c>
      <c r="I85" s="18">
        <f>WEO_Data!I5</f>
        <v/>
      </c>
      <c r="J85" s="18">
        <f>WEO_Data!J5</f>
        <v/>
      </c>
      <c r="K85" s="18">
        <f>WEO_Data!K5</f>
        <v/>
      </c>
      <c r="L85" s="18">
        <f>WEO_Data!L5</f>
        <v/>
      </c>
      <c r="M85" s="18">
        <f>WEO_Data!M5</f>
        <v/>
      </c>
      <c r="N85" s="18">
        <f>WEO_Data!N5</f>
        <v/>
      </c>
      <c r="O85" s="18">
        <f>WEO_Data!O5</f>
        <v/>
      </c>
      <c r="P85" s="18">
        <f>WEO_Data!P5</f>
        <v/>
      </c>
      <c r="Q85" s="18">
        <f>WEO_Data!Q5</f>
        <v/>
      </c>
      <c r="R85" s="18">
        <f>WEO_Data!R5</f>
        <v/>
      </c>
      <c r="S85" s="18">
        <f>WEO_Data!S5</f>
        <v/>
      </c>
      <c r="T85" s="18">
        <f>WEO_Data!T5</f>
        <v/>
      </c>
      <c r="U85" s="18">
        <f>WEO_Data!U5</f>
        <v/>
      </c>
      <c r="V85" s="18">
        <f>WEO_Data!V5</f>
        <v/>
      </c>
    </row>
    <row r="86"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</row>
    <row r="87">
      <c r="A87" t="inlineStr">
        <is>
          <t>Investment Shock - Annual</t>
        </is>
      </c>
      <c r="B87" t="inlineStr">
        <is>
          <t>millions USD</t>
        </is>
      </c>
      <c r="C87" s="1" t="n"/>
      <c r="D87" s="1" t="n">
        <v>520</v>
      </c>
      <c r="E87" s="1" t="n">
        <v>780</v>
      </c>
      <c r="F87" s="1" t="n">
        <v>1170</v>
      </c>
      <c r="G87" s="1" t="n">
        <v>1300</v>
      </c>
      <c r="H87" s="1" t="n">
        <v>1300</v>
      </c>
      <c r="I87" s="1" t="n">
        <v>975</v>
      </c>
      <c r="J87" s="1" t="n">
        <v>325</v>
      </c>
      <c r="K87" s="1" t="n">
        <v>130</v>
      </c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</row>
    <row r="88">
      <c r="A88" t="inlineStr">
        <is>
          <t>Project Allocation (%)</t>
        </is>
      </c>
      <c r="B88" t="inlineStr">
        <is>
          <t>percent</t>
        </is>
      </c>
      <c r="C88" s="19">
        <f>IF(C11=0,0,C11/6500)</f>
        <v/>
      </c>
      <c r="D88" s="19">
        <f>IF(D11=0,0,D11/6500)</f>
        <v/>
      </c>
      <c r="E88" s="19">
        <f>IF(E11=0,0,E11/6500)</f>
        <v/>
      </c>
      <c r="F88" s="19">
        <f>IF(F11=0,0,F11/6500)</f>
        <v/>
      </c>
      <c r="G88" s="19">
        <f>IF(G11=0,0,G11/6500)</f>
        <v/>
      </c>
      <c r="H88" s="19">
        <f>IF(H11=0,0,H11/6500)</f>
        <v/>
      </c>
      <c r="I88" s="19">
        <f>IF(I11=0,0,I11/6500)</f>
        <v/>
      </c>
      <c r="J88" s="19">
        <f>IF(J11=0,0,J11/6500)</f>
        <v/>
      </c>
      <c r="K88" s="19">
        <f>IF(K11=0,0,K11/6500)</f>
        <v/>
      </c>
      <c r="L88" s="19">
        <f>IF(L11=0,0,L11/6500)</f>
        <v/>
      </c>
      <c r="M88" s="19">
        <f>IF(M11=0,0,M11/6500)</f>
        <v/>
      </c>
      <c r="N88" s="19">
        <f>IF(N11=0,0,N11/6500)</f>
        <v/>
      </c>
      <c r="O88" s="19">
        <f>IF(O11=0,0,O11/6500)</f>
        <v/>
      </c>
      <c r="P88" s="19">
        <f>IF(P11=0,0,P11/6500)</f>
        <v/>
      </c>
      <c r="Q88" s="19">
        <f>IF(Q11=0,0,Q11/6500)</f>
        <v/>
      </c>
      <c r="R88" s="19">
        <f>IF(R11=0,0,R11/6500)</f>
        <v/>
      </c>
      <c r="S88" s="19">
        <f>IF(S11=0,0,S11/6500)</f>
        <v/>
      </c>
      <c r="T88" s="19">
        <f>IF(T11=0,0,T11/6500)</f>
        <v/>
      </c>
      <c r="U88" s="19">
        <f>IF(U11=0,0,U11/6500)</f>
        <v/>
      </c>
      <c r="V88" s="19">
        <f>IF(V11=0,0,V11/6500)</f>
        <v/>
      </c>
    </row>
    <row r="89">
      <c r="C89" s="20">
        <f>C86*$D$77*(1-$D$78)</f>
        <v/>
      </c>
      <c r="D89" s="20">
        <f>D86*$D$77*(1-$D$78)</f>
        <v/>
      </c>
      <c r="E89" s="20">
        <f>E86*$D$77*(1-$D$78)</f>
        <v/>
      </c>
      <c r="F89" s="20">
        <f>F86*$D$77*(1-$D$78)</f>
        <v/>
      </c>
      <c r="G89" s="20">
        <f>G86*$D$77*(1-$D$78)</f>
        <v/>
      </c>
      <c r="H89" s="20">
        <f>H86*$D$77*(1-$D$78)</f>
        <v/>
      </c>
      <c r="I89" s="20">
        <f>I86*$D$77*(1-$D$78)</f>
        <v/>
      </c>
      <c r="J89" s="20">
        <f>J86*$D$77*(1-$D$78)</f>
        <v/>
      </c>
      <c r="K89" s="20">
        <f>K86*$D$77*(1-$D$78)</f>
        <v/>
      </c>
      <c r="L89" s="20">
        <f>L86*$D$77*(1-$D$78)</f>
        <v/>
      </c>
      <c r="M89" s="20">
        <f>M86*$D$77*(1-$D$78)</f>
        <v/>
      </c>
      <c r="N89" s="20">
        <f>N86*$D$77*(1-$D$78)</f>
        <v/>
      </c>
      <c r="O89" s="20">
        <f>O86*$D$77*(1-$D$78)</f>
        <v/>
      </c>
      <c r="P89" s="20">
        <f>P86*$D$77*(1-$D$78)</f>
        <v/>
      </c>
      <c r="Q89" s="20">
        <f>Q86*$D$77*(1-$D$78)</f>
        <v/>
      </c>
      <c r="R89" s="20">
        <f>R86*$D$77*(1-$D$78)</f>
        <v/>
      </c>
      <c r="S89" s="20">
        <f>S86*$D$77*(1-$D$78)</f>
        <v/>
      </c>
      <c r="T89" s="20">
        <f>T86*$D$77*(1-$D$78)</f>
        <v/>
      </c>
      <c r="U89" s="20">
        <f>U86*$D$77*(1-$D$78)</f>
        <v/>
      </c>
      <c r="V89" s="20">
        <f>V86*$D$77*(1-$D$78)</f>
        <v/>
      </c>
    </row>
    <row r="90">
      <c r="A90" t="inlineStr">
        <is>
          <t>Real GDP - Impact from Shock</t>
        </is>
      </c>
      <c r="B90" t="inlineStr">
        <is>
          <t>millions USD</t>
        </is>
      </c>
      <c r="C90" s="20">
        <f>C11*$D30*(1-$D32)</f>
        <v/>
      </c>
      <c r="D90" s="20">
        <f>D11*$D30*(1-$D32)</f>
        <v/>
      </c>
      <c r="E90" s="20">
        <f>E11*$D30*(1-$D32)</f>
        <v/>
      </c>
      <c r="F90" s="20">
        <f>F11*$D30*(1-$D32)</f>
        <v/>
      </c>
      <c r="G90" s="20">
        <f>G11*$D30*(1-$D32)</f>
        <v/>
      </c>
      <c r="H90" s="20">
        <f>H11*$D30*(1-$D32)</f>
        <v/>
      </c>
      <c r="I90" s="20">
        <f>I11*$D30*(1-$D32)</f>
        <v/>
      </c>
      <c r="J90" s="20">
        <f>J11*$D30*(1-$D32)</f>
        <v/>
      </c>
      <c r="K90" s="20">
        <f>K11*$D30*(1-$D32)</f>
        <v/>
      </c>
      <c r="L90" s="20">
        <f>L11*$D30*(1-$D32)</f>
        <v/>
      </c>
      <c r="M90" s="20">
        <f>M11*$D30*(1-$D32)</f>
        <v/>
      </c>
      <c r="N90" s="20">
        <f>N11*$D30*(1-$D32)</f>
        <v/>
      </c>
      <c r="O90" s="20">
        <f>O11*$D30*(1-$D32)</f>
        <v/>
      </c>
      <c r="P90" s="20">
        <f>P11*$D30*(1-$D32)</f>
        <v/>
      </c>
      <c r="Q90" s="20">
        <f>Q11*$D30*(1-$D32)</f>
        <v/>
      </c>
      <c r="R90" s="20">
        <f>R11*$D30*(1-$D32)</f>
        <v/>
      </c>
      <c r="S90" s="20">
        <f>S11*$D30*(1-$D32)</f>
        <v/>
      </c>
      <c r="T90" s="20">
        <f>T11*$D30*(1-$D32)</f>
        <v/>
      </c>
      <c r="U90" s="20">
        <f>U11*$D30*(1-$D32)</f>
        <v/>
      </c>
      <c r="V90" s="20">
        <f>V11*$D30*(1-$D32)</f>
        <v/>
      </c>
    </row>
    <row r="91">
      <c r="A91" t="inlineStr">
        <is>
          <t>Real GDP - Total (Baseline + Shock)</t>
        </is>
      </c>
      <c r="B91" t="inlineStr">
        <is>
          <t>millions USD</t>
        </is>
      </c>
      <c r="C91" s="1">
        <f>C6+C14</f>
        <v/>
      </c>
      <c r="D91" s="1">
        <f>D6+D14</f>
        <v/>
      </c>
      <c r="E91" s="1">
        <f>E6+E14</f>
        <v/>
      </c>
      <c r="F91" s="1">
        <f>F6+F14</f>
        <v/>
      </c>
      <c r="G91" s="1">
        <f>G6+G14</f>
        <v/>
      </c>
      <c r="H91" s="1">
        <f>H6+H14</f>
        <v/>
      </c>
      <c r="I91" s="1">
        <f>I6+I14</f>
        <v/>
      </c>
      <c r="J91" s="1">
        <f>J6+J14</f>
        <v/>
      </c>
      <c r="K91" s="1">
        <f>K6+K14</f>
        <v/>
      </c>
      <c r="L91" s="1">
        <f>L6+L14</f>
        <v/>
      </c>
      <c r="M91" s="1">
        <f>M6+M14</f>
        <v/>
      </c>
      <c r="N91" s="1">
        <f>N6+N14</f>
        <v/>
      </c>
      <c r="O91" s="1">
        <f>O6+O14</f>
        <v/>
      </c>
      <c r="P91" s="1">
        <f>P6+P14</f>
        <v/>
      </c>
      <c r="Q91" s="1">
        <f>Q6+Q14</f>
        <v/>
      </c>
      <c r="R91" s="1">
        <f>R6+R14</f>
        <v/>
      </c>
      <c r="S91" s="1">
        <f>S6+S14</f>
        <v/>
      </c>
      <c r="T91" s="1">
        <f>T6+T14</f>
        <v/>
      </c>
      <c r="U91" s="1">
        <f>U6+U14</f>
        <v/>
      </c>
      <c r="V91" s="1">
        <f>V6+V14</f>
        <v/>
      </c>
    </row>
    <row r="92">
      <c r="A92" t="inlineStr">
        <is>
          <t>Nominal GDP - Total (with Shock)</t>
        </is>
      </c>
      <c r="B92" t="inlineStr">
        <is>
          <t>millions USD</t>
        </is>
      </c>
      <c r="C92" s="20">
        <f>C15*C7/100</f>
        <v/>
      </c>
      <c r="D92" s="20">
        <f>D15*D7/100</f>
        <v/>
      </c>
      <c r="E92" s="20">
        <f>E15*E7/100</f>
        <v/>
      </c>
      <c r="F92" s="20">
        <f>F15*F7/100</f>
        <v/>
      </c>
      <c r="G92" s="20">
        <f>G15*G7/100</f>
        <v/>
      </c>
      <c r="H92" s="20">
        <f>H15*H7/100</f>
        <v/>
      </c>
      <c r="I92" s="20">
        <f>I15*I7/100</f>
        <v/>
      </c>
      <c r="J92" s="20">
        <f>J15*J7/100</f>
        <v/>
      </c>
      <c r="K92" s="20">
        <f>K15*K7/100</f>
        <v/>
      </c>
      <c r="L92" s="20">
        <f>L15*L7/100</f>
        <v/>
      </c>
      <c r="M92" s="20">
        <f>M15*M7/100</f>
        <v/>
      </c>
      <c r="N92" s="20">
        <f>N15*N7/100</f>
        <v/>
      </c>
      <c r="O92" s="20">
        <f>O15*O7/100</f>
        <v/>
      </c>
      <c r="P92" s="20">
        <f>P15*P7/100</f>
        <v/>
      </c>
      <c r="Q92" s="20">
        <f>Q15*Q7/100</f>
        <v/>
      </c>
      <c r="R92" s="20">
        <f>R15*R7/100</f>
        <v/>
      </c>
      <c r="S92" s="20">
        <f>S15*S7/100</f>
        <v/>
      </c>
      <c r="T92" s="20">
        <f>T15*T7/100</f>
        <v/>
      </c>
      <c r="U92" s="20">
        <f>U15*U7/100</f>
        <v/>
      </c>
      <c r="V92" s="20">
        <f>V15*V7/100</f>
        <v/>
      </c>
    </row>
    <row r="94">
      <c r="A94" t="inlineStr">
        <is>
          <t>Cumulative Investment (2026-2033)</t>
        </is>
      </c>
      <c r="B94" t="inlineStr">
        <is>
          <t>millions USD</t>
        </is>
      </c>
      <c r="D94" s="7">
        <f>SUM(D86:K86)</f>
        <v/>
      </c>
    </row>
    <row r="95">
      <c r="A95" t="inlineStr">
        <is>
          <t>Cumulative GDP Impact (2026-2033)</t>
        </is>
      </c>
      <c r="B95" t="inlineStr">
        <is>
          <t>millions USD</t>
        </is>
      </c>
      <c r="D95" s="22">
        <f>SUM(D89:K89)</f>
        <v/>
      </c>
    </row>
    <row r="96">
      <c r="A96" t="inlineStr">
        <is>
          <t>Overall Multiplier</t>
        </is>
      </c>
      <c r="B96" t="inlineStr">
        <is>
          <t>ratio</t>
        </is>
      </c>
      <c r="D96" s="23">
        <f>D95/D94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2026-01-29T06:11:00Z</dcterms:created>
  <dcterms:modified xsi:type="dcterms:W3CDTF">2026-01-29T06:16:40Z</dcterms:modified>
</cp:coreProperties>
</file>