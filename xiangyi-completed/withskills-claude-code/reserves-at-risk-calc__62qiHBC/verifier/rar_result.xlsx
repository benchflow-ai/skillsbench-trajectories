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<sst xmlns="http://schemas.openxmlformats.org/spreadsheetml/2006/main" count="866" uniqueCount="620">
  <si>
    <t xml:space="preserve">STEP 1</t>
  </si>
  <si>
    <t xml:space="preserve">STEP 2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</si>
  <si>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</si>
  <si>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</si>
  <si>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</si>
  <si>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</si>
  <si>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</si>
  <si>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</si>
  <si>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</si>
  <si>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</si>
  <si>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</si>
  <si>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STEP 3</t>
  </si>
  <si>
    <t xml:space="preserve">Gold, Fixing Committee of the London Bullion Market Association, London 3 PM fixed price, US$ per troy ounce</t>
  </si>
  <si>
    <t xml:space="preserve">Monthly log return</t>
  </si>
  <si>
    <t xml:space="preserve">3-month volatility</t>
  </si>
  <si>
    <t xml:space="preserve">12-month volatility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</si>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</sst>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6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n">
        <v>1.645</v>
      </c>
    </row>
    <row r="4" customFormat="false" ht="12.75" hidden="false" customHeight="true" outlineLevel="0" collapsed="false">
      <c r="B4" s="1" t="n">
        <f aca="false">'Gold price'!D430</f>
        <v>4.81332296229356</v>
      </c>
    </row>
    <row r="5" customFormat="false" ht="12.75" hidden="false" customHeight="true" outlineLevel="0" collapsed="false">
      <c r="B5" s="1" t="n">
        <f aca="false">AVERAGE('Gold price'!D5:D6)*SQRT(12)</f>
        <v>11.4794877832573</v>
      </c>
    </row>
    <row r="6" customFormat="false" ht="12.75" hidden="false" customHeight="true" outlineLevel="0" collapsed="false">
      <c r="B6" s="1" t="n">
        <f aca="false">'Gold price'!E430</f>
        <v>3.25907254969862</v>
      </c>
    </row>
    <row r="9" customFormat="false" ht="12.75" hidden="false" customHeight="true" outlineLevel="0" collapsed="false">
      <c r="B9" s="1" t="s">
        <v>1</v>
      </c>
    </row>
    <row r="11" customFormat="false" ht="12.75" hidden="false" customHeight="true" outlineLevel="0" collapsed="false"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</row>
    <row r="12" customFormat="false" ht="23.25" hidden="false" customHeight="true" outlineLevel="0" collapsed="false">
      <c r="B12" s="2" t="n">
        <v>7471</v>
      </c>
      <c r="C12" s="3" t="n">
        <v>1002</v>
      </c>
      <c r="D12" s="4" t="n">
        <v>10.71</v>
      </c>
      <c r="E12" s="5" t="n">
        <v>3877.64</v>
      </c>
      <c r="F12" s="5" t="n">
        <v>55092.42</v>
      </c>
      <c r="G12" s="5" t="n">
        <v>10121.89</v>
      </c>
      <c r="H12" s="5" t="n">
        <v>921.28</v>
      </c>
      <c r="I12" s="5" t="n">
        <v>807.1</v>
      </c>
      <c r="J12" s="3" t="n">
        <f aca="false">Volume!H17*AVERAGE('Gold price'!B422:B430)</f>
        <v>3263.67725679204</v>
      </c>
      <c r="K12" s="5"/>
    </row>
    <row r="13" customFormat="false" ht="12.75" hidden="false" customHeight="true" outlineLevel="0" collapsed="false">
      <c r="B13" s="1" t="n">
        <f aca="false">$B12*$B$3*$B$4/100</f>
        <v>591.547524753806</v>
      </c>
      <c r="C13" s="1" t="n">
        <f aca="false">$C12*$B$3*$B$4/100</f>
        <v>79.3375210551885</v>
      </c>
      <c r="D13" s="1" t="n">
        <f aca="false">$D12*$B$3*$B$4/100</f>
        <v>0.848008832835398</v>
      </c>
      <c r="E13" s="1" t="n">
        <f aca="false">$E12*$B$3*$B$4/100</f>
        <v>307.028288567306</v>
      </c>
      <c r="F13" s="1" t="n">
        <f aca="false">$F12*$B$3*$B$4/100</f>
        <v>4362.17168835458</v>
      </c>
      <c r="G13" s="1" t="n">
        <f aca="false">$G12*$B$3*$B$4/100</f>
        <v>801.442775442417</v>
      </c>
      <c r="H13" s="1" t="n">
        <f aca="false">$H12*$B$3*$B$4/100</f>
        <v>72.9461790396448</v>
      </c>
      <c r="I13" s="1" t="n">
        <f aca="false">$I12*$B$3*$B$4/100</f>
        <v>63.9055022391643</v>
      </c>
      <c r="J13" s="1" t="n">
        <f aca="false">$J12*$B$3*$B$4/100</f>
        <v>258.415232612853</v>
      </c>
    </row>
    <row r="16" customFormat="false" ht="12.75" hidden="false" customHeight="true" outlineLevel="0" collapsed="false">
      <c r="B16" s="1" t="s">
        <v>11</v>
      </c>
    </row>
    <row r="20" customFormat="false" ht="12.75" hidden="false" customHeight="true" outlineLevel="0" collapsed="false">
      <c r="B20" s="1" t="s">
        <v>2</v>
      </c>
      <c r="C20" s="1" t="s">
        <v>3</v>
      </c>
      <c r="D20" s="1" t="s">
        <v>4</v>
      </c>
      <c r="E20" s="1" t="s">
        <v>6</v>
      </c>
      <c r="F20" s="1" t="s">
        <v>7</v>
      </c>
      <c r="G20" s="1" t="s">
        <v>8</v>
      </c>
      <c r="H20" s="1" t="s">
        <v>9</v>
      </c>
    </row>
    <row r="21" customFormat="false" ht="23.25" hidden="false" customHeight="true" outlineLevel="0" collapsed="false">
      <c r="B21" s="2" t="n">
        <f aca="false">B12</f>
        <v>7471</v>
      </c>
      <c r="C21" s="3" t="n">
        <f aca="false">C12</f>
        <v>1002</v>
      </c>
      <c r="D21" s="4" t="n">
        <f aca="false">D12</f>
        <v>10.71</v>
      </c>
      <c r="E21" s="5" t="n">
        <f aca="false">F12</f>
        <v>55092.42</v>
      </c>
      <c r="F21" s="5" t="n">
        <f aca="false">G12</f>
        <v>10121.89</v>
      </c>
      <c r="G21" s="5" t="n">
        <f aca="false">H12</f>
        <v>921.28</v>
      </c>
      <c r="H21" s="3" t="n">
        <f aca="false">I12</f>
        <v>807.1</v>
      </c>
    </row>
    <row r="22" customFormat="false" ht="12.75" hidden="false" customHeight="true" outlineLevel="0" collapsed="false">
      <c r="B22" s="1" t="n">
        <f aca="false">B13</f>
        <v>591.547524753806</v>
      </c>
      <c r="C22" s="1" t="n">
        <f aca="false">C13</f>
        <v>79.3375210551885</v>
      </c>
      <c r="D22" s="1" t="n">
        <f aca="false">D13</f>
        <v>0.848008832835398</v>
      </c>
      <c r="E22" s="1" t="n">
        <f aca="false">F13</f>
        <v>4362.17168835458</v>
      </c>
      <c r="F22" s="1" t="n">
        <f aca="false">G13</f>
        <v>801.442775442417</v>
      </c>
      <c r="G22" s="1" t="n">
        <f aca="false">H13</f>
        <v>72.9461790396448</v>
      </c>
      <c r="H22" s="1" t="n">
        <f aca="false">I13</f>
        <v>63.9055022391643</v>
      </c>
    </row>
    <row r="23" customFormat="false" ht="12.75" hidden="false" customHeight="true" outlineLevel="0" collapsed="false">
      <c r="B23" s="3" t="n">
        <f aca="false">INDEX('Total Reserves'!$C$18:$P$18,MATCH(B20&amp;"*",'Total Reserves'!$C$1:$P$1,0))</f>
        <v>14425.9</v>
      </c>
      <c r="C23" s="5" t="n">
        <f aca="false">INDEX('Total Reserves'!$C$18:$P$18,MATCH(C20&amp;"*",'Total Reserves'!$C$1:$P$1,0))</f>
        <v>6158.7</v>
      </c>
      <c r="D23" s="5" t="n">
        <f aca="false">INDEX('Total Reserves'!$C$18:$P$18,MATCH(D20&amp;"*",'Total Reserves'!$C$1:$P$1,0))</f>
        <v>5999.34</v>
      </c>
      <c r="E23" s="5" t="n">
        <f aca="false">INDEX('Total Reserves'!$C$18:$P$18,MATCH(E20&amp;"*",'Total Reserves'!$C$1:$P$1,0))</f>
        <v>66311.75</v>
      </c>
      <c r="F23" s="5" t="n">
        <f aca="false">INDEX('Total Reserves'!$C$18:$P$18,MATCH(F20&amp;"*",'Total Reserves'!$C$1:$P$1,0))</f>
        <v>175830.49</v>
      </c>
      <c r="G23" s="5" t="n">
        <f aca="false">INDEX('Total Reserves'!$C$18:$P$18,MATCH(G20&amp;"*",'Total Reserves'!$C$1:$P$1,0))</f>
        <v>6076.9</v>
      </c>
      <c r="H23" s="3" t="n">
        <f aca="false">INDEX('Total Reserves'!$C$18:$P$18,MATCH(H20&amp;"*",'Total Reserves'!$C$1:$P$1,0))</f>
        <v>7082.7</v>
      </c>
    </row>
    <row r="24" customFormat="false" ht="12.75" hidden="false" customHeight="true" outlineLevel="0" collapsed="false">
      <c r="B24" s="1" t="n">
        <f aca="false">B22/B23*100</f>
        <v>4.10059354878244</v>
      </c>
      <c r="C24" s="1" t="n">
        <f aca="false">C22/C23*100</f>
        <v>1.28821863469869</v>
      </c>
      <c r="D24" s="1" t="n">
        <f aca="false">D22/D23*100</f>
        <v>0.0141350354011508</v>
      </c>
      <c r="E24" s="1" t="n">
        <f aca="false">E22/E23*100</f>
        <v>6.57827864345999</v>
      </c>
      <c r="F24" s="1" t="n">
        <f aca="false">F22/F23*100</f>
        <v>0.45580420974907</v>
      </c>
      <c r="G24" s="1" t="n">
        <f aca="false">G22/G23*100</f>
        <v>1.20038471983486</v>
      </c>
      <c r="H24" s="1" t="n">
        <f aca="false">H22/H23*100</f>
        <v>0.902275999818774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12</v>
      </c>
      <c r="C1" s="6" t="s">
        <v>13</v>
      </c>
      <c r="D1" s="6" t="s">
        <v>14</v>
      </c>
      <c r="E1" s="6" t="s">
        <v>15</v>
      </c>
    </row>
    <row r="2" customFormat="false" ht="15" hidden="false" customHeight="true" outlineLevel="0" collapsed="false">
      <c r="A2" s="6" t="s">
        <v>16</v>
      </c>
      <c r="B2" s="6" t="n">
        <v>409.819061279297</v>
      </c>
    </row>
    <row r="3" customFormat="false" ht="15" hidden="false" customHeight="true" outlineLevel="0" collapsed="false">
      <c r="A3" s="6" t="s">
        <v>17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18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19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20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21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22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23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24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25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26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27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28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29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30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31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32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33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34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35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36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37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38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39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40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41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42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43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44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45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46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47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48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49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50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51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52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53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54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55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56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57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58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59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60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61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62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63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64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65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66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67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68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69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70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71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72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73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74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75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76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77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78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79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80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81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82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83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84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85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86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87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88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89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90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91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92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93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94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95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96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97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98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99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100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101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102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103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104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105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106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107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108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109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110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111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112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113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114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115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116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117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118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119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120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121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122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123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124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125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126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127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128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129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130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131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132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133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134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135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136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137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138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139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140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141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142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143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144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145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146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147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148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149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150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151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152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153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154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155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156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157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158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159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160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161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162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163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164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165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166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167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168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169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170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171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172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173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174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175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176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177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178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179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180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181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182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183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184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185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186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187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188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189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190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191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192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193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194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195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196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197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198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199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200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201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202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203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204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205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206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207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208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209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210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211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212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213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214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215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216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217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218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219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220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221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222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223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224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225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226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227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228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229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230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231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232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233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234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235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236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237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238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239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240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241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242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243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244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245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246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247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248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249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250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251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252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253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254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255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256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257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258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259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260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261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262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263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264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265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266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267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268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269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270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271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272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273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274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275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276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277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278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279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280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281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282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283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284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285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286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287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288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289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290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291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292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293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294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295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296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297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298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299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300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301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302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303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304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305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306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307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308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309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310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311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312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313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314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315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316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317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318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319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320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321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322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323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324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325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326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327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328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329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330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331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332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333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334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335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336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337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338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339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340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341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342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343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344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345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346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347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348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349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350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351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352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353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354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355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356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357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358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359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360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361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362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363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364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365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366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367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368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369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370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371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372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373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374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375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376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377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378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379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380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381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382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383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384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385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386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387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388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389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390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391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392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393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394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395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396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397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398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399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400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401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402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403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404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405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406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407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408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409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410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411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412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413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414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415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416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417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418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419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420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421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422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423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424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425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426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427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428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429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430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431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432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433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434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435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436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437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438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439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440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441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442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443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444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456</v>
      </c>
      <c r="N1" s="1" t="s">
        <v>457</v>
      </c>
      <c r="O1" s="1" t="s">
        <v>458</v>
      </c>
      <c r="P1" s="1" t="s">
        <v>459</v>
      </c>
    </row>
    <row r="2" customFormat="false" ht="12.75" hidden="false" customHeight="true" outlineLevel="0" collapsed="false">
      <c r="A2" s="1" t="s">
        <v>460</v>
      </c>
      <c r="C2" s="1" t="s">
        <v>461</v>
      </c>
      <c r="D2" s="1" t="s">
        <v>462</v>
      </c>
      <c r="E2" s="1" t="s">
        <v>463</v>
      </c>
      <c r="F2" s="1" t="s">
        <v>464</v>
      </c>
      <c r="G2" s="1" t="s">
        <v>465</v>
      </c>
      <c r="H2" s="1" t="s">
        <v>466</v>
      </c>
      <c r="I2" s="1" t="s">
        <v>467</v>
      </c>
      <c r="J2" s="1" t="s">
        <v>468</v>
      </c>
      <c r="K2" s="1" t="s">
        <v>469</v>
      </c>
      <c r="L2" s="1" t="s">
        <v>470</v>
      </c>
      <c r="M2" s="1" t="s">
        <v>471</v>
      </c>
      <c r="N2" s="1" t="s">
        <v>472</v>
      </c>
      <c r="O2" s="1" t="s">
        <v>473</v>
      </c>
      <c r="P2" s="1" t="s">
        <v>461</v>
      </c>
    </row>
    <row r="3" customFormat="false" ht="12.75" hidden="false" customHeight="true" outlineLevel="0" collapsed="false">
      <c r="A3" s="1" t="s">
        <v>474</v>
      </c>
      <c r="C3" s="1" t="s">
        <v>475</v>
      </c>
      <c r="D3" s="1" t="s">
        <v>475</v>
      </c>
      <c r="E3" s="1" t="s">
        <v>475</v>
      </c>
      <c r="F3" s="1" t="s">
        <v>475</v>
      </c>
      <c r="G3" s="1" t="s">
        <v>476</v>
      </c>
      <c r="H3" s="1" t="s">
        <v>475</v>
      </c>
      <c r="I3" s="1" t="s">
        <v>475</v>
      </c>
      <c r="J3" s="1" t="s">
        <v>475</v>
      </c>
      <c r="K3" s="1" t="s">
        <v>475</v>
      </c>
      <c r="L3" s="1" t="s">
        <v>476</v>
      </c>
      <c r="M3" s="1" t="s">
        <v>476</v>
      </c>
      <c r="N3" s="1" t="s">
        <v>475</v>
      </c>
      <c r="O3" s="1" t="s">
        <v>477</v>
      </c>
      <c r="P3" s="1" t="s">
        <v>476</v>
      </c>
    </row>
    <row r="4" customFormat="false" ht="12.75" hidden="false" customHeight="true" outlineLevel="0" collapsed="false">
      <c r="A4" s="1" t="s">
        <v>478</v>
      </c>
      <c r="C4" s="1" t="s">
        <v>479</v>
      </c>
      <c r="D4" s="1" t="s">
        <v>480</v>
      </c>
      <c r="E4" s="1" t="s">
        <v>481</v>
      </c>
      <c r="F4" s="1" t="s">
        <v>482</v>
      </c>
      <c r="G4" s="1" t="s">
        <v>483</v>
      </c>
      <c r="H4" s="1" t="s">
        <v>484</v>
      </c>
      <c r="I4" s="1" t="s">
        <v>485</v>
      </c>
      <c r="J4" s="1" t="s">
        <v>486</v>
      </c>
      <c r="K4" s="1" t="s">
        <v>487</v>
      </c>
      <c r="L4" s="1" t="s">
        <v>488</v>
      </c>
      <c r="M4" s="1" t="s">
        <v>489</v>
      </c>
      <c r="N4" s="1" t="s">
        <v>490</v>
      </c>
      <c r="O4" s="1" t="s">
        <v>491</v>
      </c>
      <c r="P4" s="1" t="s">
        <v>492</v>
      </c>
    </row>
    <row r="5" customFormat="false" ht="12.75" hidden="false" customHeight="true" outlineLevel="0" collapsed="false">
      <c r="A5" s="1" t="s">
        <v>493</v>
      </c>
      <c r="C5" s="1" t="s">
        <v>494</v>
      </c>
      <c r="D5" s="1" t="s">
        <v>494</v>
      </c>
      <c r="E5" s="1" t="s">
        <v>494</v>
      </c>
      <c r="F5" s="1" t="s">
        <v>494</v>
      </c>
      <c r="G5" s="1" t="s">
        <v>494</v>
      </c>
      <c r="H5" s="1" t="s">
        <v>494</v>
      </c>
      <c r="I5" s="1" t="s">
        <v>494</v>
      </c>
      <c r="J5" s="1" t="s">
        <v>494</v>
      </c>
      <c r="K5" s="1" t="s">
        <v>494</v>
      </c>
      <c r="L5" s="1" t="s">
        <v>494</v>
      </c>
      <c r="M5" s="1" t="s">
        <v>494</v>
      </c>
      <c r="N5" s="1" t="s">
        <v>494</v>
      </c>
      <c r="O5" s="1" t="s">
        <v>494</v>
      </c>
      <c r="P5" s="1" t="s">
        <v>494</v>
      </c>
    </row>
    <row r="6" customFormat="false" ht="12.75" hidden="false" customHeight="true" outlineLevel="0" collapsed="false">
      <c r="A6" s="1" t="s">
        <v>495</v>
      </c>
      <c r="C6" s="1" t="s">
        <v>496</v>
      </c>
      <c r="D6" s="1" t="s">
        <v>497</v>
      </c>
      <c r="E6" s="1" t="s">
        <v>498</v>
      </c>
      <c r="F6" s="1" t="s">
        <v>499</v>
      </c>
      <c r="G6" s="1" t="s">
        <v>500</v>
      </c>
      <c r="H6" s="1" t="s">
        <v>501</v>
      </c>
      <c r="I6" s="1" t="s">
        <v>502</v>
      </c>
      <c r="J6" s="1" t="s">
        <v>503</v>
      </c>
      <c r="K6" s="1" t="s">
        <v>504</v>
      </c>
      <c r="L6" s="1" t="s">
        <v>505</v>
      </c>
      <c r="M6" s="1" t="s">
        <v>506</v>
      </c>
      <c r="N6" s="1" t="s">
        <v>507</v>
      </c>
      <c r="O6" s="1" t="s">
        <v>508</v>
      </c>
      <c r="P6" s="1" t="s">
        <v>509</v>
      </c>
    </row>
    <row r="7" customFormat="false" ht="12.75" hidden="false" customHeight="true" outlineLevel="0" collapsed="false">
      <c r="A7" s="1" t="s">
        <v>510</v>
      </c>
      <c r="C7" s="1" t="s">
        <v>511</v>
      </c>
      <c r="D7" s="1" t="s">
        <v>511</v>
      </c>
      <c r="E7" s="1" t="s">
        <v>511</v>
      </c>
      <c r="F7" s="1" t="s">
        <v>511</v>
      </c>
      <c r="G7" s="1" t="s">
        <v>511</v>
      </c>
      <c r="H7" s="1" t="s">
        <v>511</v>
      </c>
      <c r="I7" s="1" t="s">
        <v>511</v>
      </c>
      <c r="J7" s="1" t="s">
        <v>511</v>
      </c>
      <c r="K7" s="1" t="s">
        <v>511</v>
      </c>
      <c r="L7" s="1" t="s">
        <v>512</v>
      </c>
      <c r="M7" s="1" t="s">
        <v>511</v>
      </c>
      <c r="N7" s="1" t="s">
        <v>511</v>
      </c>
      <c r="O7" s="1" t="s">
        <v>511</v>
      </c>
      <c r="P7" s="1" t="s">
        <v>513</v>
      </c>
    </row>
    <row r="8" customFormat="false" ht="12.75" hidden="false" customHeight="true" outlineLevel="0" collapsed="false">
      <c r="A8" s="1" t="s">
        <v>514</v>
      </c>
      <c r="C8" s="1" t="s">
        <v>515</v>
      </c>
      <c r="D8" s="1" t="s">
        <v>516</v>
      </c>
      <c r="E8" s="1" t="s">
        <v>517</v>
      </c>
      <c r="F8" s="1" t="s">
        <v>518</v>
      </c>
      <c r="G8" s="1" t="s">
        <v>519</v>
      </c>
      <c r="H8" s="1" t="s">
        <v>520</v>
      </c>
      <c r="I8" s="1" t="s">
        <v>521</v>
      </c>
      <c r="J8" s="1" t="s">
        <v>522</v>
      </c>
      <c r="K8" s="1" t="s">
        <v>523</v>
      </c>
      <c r="L8" s="1" t="s">
        <v>524</v>
      </c>
      <c r="M8" s="1" t="s">
        <v>525</v>
      </c>
      <c r="N8" s="1" t="s">
        <v>526</v>
      </c>
      <c r="O8" s="1" t="s">
        <v>527</v>
      </c>
      <c r="P8" s="1" t="s">
        <v>528</v>
      </c>
    </row>
    <row r="9" customFormat="false" ht="12.75" hidden="false" customHeight="true" outlineLevel="0" collapsed="false">
      <c r="A9" s="1" t="s">
        <v>529</v>
      </c>
      <c r="C9" s="1" t="s">
        <v>530</v>
      </c>
      <c r="D9" s="1" t="s">
        <v>531</v>
      </c>
      <c r="E9" s="1" t="s">
        <v>532</v>
      </c>
      <c r="F9" s="1" t="s">
        <v>533</v>
      </c>
      <c r="G9" s="1" t="s">
        <v>534</v>
      </c>
      <c r="H9" s="1" t="s">
        <v>535</v>
      </c>
      <c r="I9" s="1" t="s">
        <v>536</v>
      </c>
      <c r="J9" s="1" t="s">
        <v>537</v>
      </c>
      <c r="K9" s="1" t="s">
        <v>538</v>
      </c>
      <c r="L9" s="1" t="s">
        <v>539</v>
      </c>
      <c r="M9" s="1" t="s">
        <v>540</v>
      </c>
      <c r="N9" s="1" t="s">
        <v>541</v>
      </c>
      <c r="O9" s="1" t="s">
        <v>542</v>
      </c>
      <c r="P9" s="1" t="s">
        <v>543</v>
      </c>
    </row>
    <row r="10" customFormat="false" ht="12.75" hidden="false" customHeight="true" outlineLevel="0" collapsed="false">
      <c r="A10" s="1" t="s">
        <v>544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545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546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547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548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549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550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551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552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445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562</v>
      </c>
      <c r="M1" s="1" t="s">
        <v>563</v>
      </c>
      <c r="N1" s="1" t="s">
        <v>564</v>
      </c>
      <c r="O1" s="1" t="s">
        <v>565</v>
      </c>
      <c r="P1" s="1" t="s">
        <v>566</v>
      </c>
      <c r="Q1" s="1" t="s">
        <v>567</v>
      </c>
      <c r="R1" s="1" t="s">
        <v>568</v>
      </c>
    </row>
    <row r="2" customFormat="false" ht="12.75" hidden="false" customHeight="true" outlineLevel="0" collapsed="false">
      <c r="A2" s="1" t="s">
        <v>460</v>
      </c>
      <c r="C2" s="1" t="s">
        <v>461</v>
      </c>
      <c r="D2" s="1" t="s">
        <v>462</v>
      </c>
      <c r="E2" s="1" t="s">
        <v>569</v>
      </c>
      <c r="F2" s="1" t="s">
        <v>463</v>
      </c>
      <c r="G2" s="1" t="s">
        <v>464</v>
      </c>
      <c r="H2" s="1" t="s">
        <v>570</v>
      </c>
      <c r="I2" s="1" t="s">
        <v>571</v>
      </c>
      <c r="J2" s="1" t="s">
        <v>466</v>
      </c>
      <c r="K2" s="1" t="s">
        <v>472</v>
      </c>
      <c r="L2" s="1" t="s">
        <v>461</v>
      </c>
      <c r="M2" s="1" t="s">
        <v>467</v>
      </c>
      <c r="N2" s="1" t="s">
        <v>468</v>
      </c>
      <c r="O2" s="1" t="s">
        <v>469</v>
      </c>
      <c r="P2" s="1" t="s">
        <v>572</v>
      </c>
      <c r="Q2" s="1" t="s">
        <v>573</v>
      </c>
      <c r="R2" s="1" t="s">
        <v>461</v>
      </c>
    </row>
    <row r="3" customFormat="false" ht="12.75" hidden="false" customHeight="true" outlineLevel="0" collapsed="false">
      <c r="A3" s="1" t="s">
        <v>474</v>
      </c>
      <c r="C3" s="1" t="s">
        <v>476</v>
      </c>
      <c r="D3" s="1" t="s">
        <v>475</v>
      </c>
      <c r="E3" s="1" t="s">
        <v>476</v>
      </c>
      <c r="F3" s="1" t="s">
        <v>475</v>
      </c>
      <c r="G3" s="1" t="s">
        <v>476</v>
      </c>
      <c r="H3" s="1" t="s">
        <v>476</v>
      </c>
      <c r="I3" s="1" t="s">
        <v>476</v>
      </c>
      <c r="J3" s="1" t="s">
        <v>475</v>
      </c>
      <c r="K3" s="1" t="s">
        <v>476</v>
      </c>
      <c r="L3" s="1" t="s">
        <v>475</v>
      </c>
      <c r="M3" s="1" t="s">
        <v>475</v>
      </c>
      <c r="N3" s="1" t="s">
        <v>475</v>
      </c>
      <c r="O3" s="1" t="s">
        <v>475</v>
      </c>
      <c r="P3" s="1" t="s">
        <v>476</v>
      </c>
      <c r="Q3" s="1" t="s">
        <v>475</v>
      </c>
      <c r="R3" s="1" t="s">
        <v>476</v>
      </c>
    </row>
    <row r="4" customFormat="false" ht="12.75" hidden="false" customHeight="true" outlineLevel="0" collapsed="false">
      <c r="A4" s="1" t="s">
        <v>478</v>
      </c>
      <c r="C4" s="1" t="s">
        <v>479</v>
      </c>
      <c r="D4" s="1" t="s">
        <v>480</v>
      </c>
      <c r="E4" s="1" t="s">
        <v>574</v>
      </c>
      <c r="F4" s="1" t="s">
        <v>481</v>
      </c>
      <c r="G4" s="1" t="s">
        <v>482</v>
      </c>
      <c r="H4" s="1" t="s">
        <v>483</v>
      </c>
      <c r="I4" s="1" t="s">
        <v>575</v>
      </c>
      <c r="J4" s="1" t="s">
        <v>484</v>
      </c>
      <c r="K4" s="1" t="s">
        <v>576</v>
      </c>
      <c r="L4" s="1" t="s">
        <v>577</v>
      </c>
      <c r="M4" s="1" t="s">
        <v>485</v>
      </c>
      <c r="N4" s="1" t="s">
        <v>486</v>
      </c>
      <c r="O4" s="1" t="s">
        <v>487</v>
      </c>
      <c r="P4" s="1" t="s">
        <v>488</v>
      </c>
      <c r="Q4" s="1" t="s">
        <v>490</v>
      </c>
      <c r="R4" s="1" t="s">
        <v>492</v>
      </c>
    </row>
    <row r="5" customFormat="false" ht="12.75" hidden="false" customHeight="true" outlineLevel="0" collapsed="false">
      <c r="A5" s="1" t="s">
        <v>493</v>
      </c>
      <c r="C5" s="1" t="s">
        <v>494</v>
      </c>
      <c r="D5" s="1" t="s">
        <v>494</v>
      </c>
      <c r="E5" s="1" t="s">
        <v>494</v>
      </c>
      <c r="F5" s="1" t="s">
        <v>494</v>
      </c>
      <c r="G5" s="1" t="s">
        <v>494</v>
      </c>
      <c r="H5" s="1" t="s">
        <v>494</v>
      </c>
      <c r="I5" s="1" t="s">
        <v>494</v>
      </c>
      <c r="J5" s="1" t="s">
        <v>494</v>
      </c>
      <c r="K5" s="1" t="s">
        <v>494</v>
      </c>
      <c r="L5" s="1" t="s">
        <v>494</v>
      </c>
      <c r="M5" s="1" t="s">
        <v>494</v>
      </c>
      <c r="N5" s="1" t="s">
        <v>494</v>
      </c>
      <c r="O5" s="1" t="s">
        <v>494</v>
      </c>
      <c r="P5" s="1" t="s">
        <v>494</v>
      </c>
      <c r="Q5" s="1" t="s">
        <v>494</v>
      </c>
      <c r="R5" s="1" t="s">
        <v>494</v>
      </c>
    </row>
    <row r="6" customFormat="false" ht="12.75" hidden="false" customHeight="true" outlineLevel="0" collapsed="false">
      <c r="A6" s="1" t="s">
        <v>495</v>
      </c>
      <c r="C6" s="1" t="s">
        <v>578</v>
      </c>
      <c r="D6" s="1" t="s">
        <v>497</v>
      </c>
      <c r="E6" s="1" t="s">
        <v>579</v>
      </c>
      <c r="F6" s="1" t="s">
        <v>498</v>
      </c>
      <c r="G6" s="1" t="s">
        <v>580</v>
      </c>
      <c r="H6" s="1" t="s">
        <v>581</v>
      </c>
      <c r="I6" s="1" t="s">
        <v>582</v>
      </c>
      <c r="J6" s="1" t="s">
        <v>501</v>
      </c>
      <c r="K6" s="1" t="s">
        <v>583</v>
      </c>
      <c r="L6" s="1" t="s">
        <v>584</v>
      </c>
      <c r="M6" s="1" t="s">
        <v>502</v>
      </c>
      <c r="N6" s="1" t="s">
        <v>503</v>
      </c>
      <c r="O6" s="1" t="s">
        <v>504</v>
      </c>
      <c r="P6" s="1" t="s">
        <v>505</v>
      </c>
      <c r="Q6" s="1" t="s">
        <v>507</v>
      </c>
      <c r="R6" s="1" t="s">
        <v>509</v>
      </c>
    </row>
    <row r="7" customFormat="false" ht="12.75" hidden="false" customHeight="true" outlineLevel="0" collapsed="false">
      <c r="A7" s="1" t="s">
        <v>510</v>
      </c>
      <c r="C7" s="1" t="s">
        <v>511</v>
      </c>
      <c r="D7" s="1" t="s">
        <v>511</v>
      </c>
      <c r="E7" s="1" t="s">
        <v>511</v>
      </c>
      <c r="F7" s="1" t="s">
        <v>511</v>
      </c>
      <c r="G7" s="1" t="s">
        <v>511</v>
      </c>
      <c r="H7" s="1" t="s">
        <v>511</v>
      </c>
      <c r="I7" s="1" t="s">
        <v>511</v>
      </c>
      <c r="J7" s="1" t="s">
        <v>511</v>
      </c>
      <c r="K7" s="1" t="s">
        <v>511</v>
      </c>
      <c r="L7" s="1" t="s">
        <v>511</v>
      </c>
      <c r="M7" s="1" t="s">
        <v>511</v>
      </c>
      <c r="N7" s="1" t="s">
        <v>511</v>
      </c>
      <c r="O7" s="1" t="s">
        <v>511</v>
      </c>
      <c r="P7" s="1" t="s">
        <v>512</v>
      </c>
      <c r="Q7" s="1" t="s">
        <v>511</v>
      </c>
      <c r="R7" s="1" t="s">
        <v>513</v>
      </c>
    </row>
    <row r="8" customFormat="false" ht="12.75" hidden="false" customHeight="true" outlineLevel="0" collapsed="false">
      <c r="A8" s="1" t="s">
        <v>514</v>
      </c>
      <c r="C8" s="1" t="s">
        <v>515</v>
      </c>
      <c r="D8" s="1" t="s">
        <v>516</v>
      </c>
      <c r="E8" s="1" t="s">
        <v>585</v>
      </c>
      <c r="F8" s="1" t="s">
        <v>517</v>
      </c>
      <c r="G8" s="1" t="s">
        <v>518</v>
      </c>
      <c r="H8" s="1" t="s">
        <v>586</v>
      </c>
      <c r="I8" s="1" t="s">
        <v>587</v>
      </c>
      <c r="J8" s="1" t="s">
        <v>520</v>
      </c>
      <c r="K8" s="1" t="s">
        <v>588</v>
      </c>
      <c r="L8" s="1" t="s">
        <v>589</v>
      </c>
      <c r="M8" s="1" t="s">
        <v>521</v>
      </c>
      <c r="N8" s="1" t="s">
        <v>522</v>
      </c>
      <c r="O8" s="1" t="s">
        <v>523</v>
      </c>
      <c r="P8" s="1" t="s">
        <v>524</v>
      </c>
      <c r="Q8" s="1" t="s">
        <v>526</v>
      </c>
      <c r="R8" s="1" t="s">
        <v>528</v>
      </c>
    </row>
    <row r="9" customFormat="false" ht="12.75" hidden="false" customHeight="true" outlineLevel="0" collapsed="false">
      <c r="A9" s="1" t="s">
        <v>529</v>
      </c>
      <c r="C9" s="1" t="s">
        <v>530</v>
      </c>
      <c r="D9" s="1" t="s">
        <v>531</v>
      </c>
      <c r="E9" s="1" t="s">
        <v>590</v>
      </c>
      <c r="F9" s="1" t="s">
        <v>532</v>
      </c>
      <c r="G9" s="1" t="s">
        <v>533</v>
      </c>
      <c r="H9" s="1" t="s">
        <v>534</v>
      </c>
      <c r="I9" s="1" t="s">
        <v>591</v>
      </c>
      <c r="J9" s="1" t="s">
        <v>535</v>
      </c>
      <c r="K9" s="1" t="s">
        <v>592</v>
      </c>
      <c r="L9" s="1" t="s">
        <v>593</v>
      </c>
      <c r="M9" s="1" t="s">
        <v>536</v>
      </c>
      <c r="N9" s="1" t="s">
        <v>537</v>
      </c>
      <c r="O9" s="1" t="s">
        <v>538</v>
      </c>
      <c r="P9" s="1" t="s">
        <v>539</v>
      </c>
      <c r="Q9" s="1" t="s">
        <v>541</v>
      </c>
      <c r="R9" s="1" t="s">
        <v>543</v>
      </c>
    </row>
    <row r="10" customFormat="false" ht="12.75" hidden="false" customHeight="true" outlineLevel="0" collapsed="false">
      <c r="A10" s="1" t="s">
        <v>544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545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546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547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548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549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550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551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552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445</v>
      </c>
      <c r="C1" s="1" t="s">
        <v>594</v>
      </c>
      <c r="D1" s="1" t="s">
        <v>595</v>
      </c>
      <c r="E1" s="1" t="s">
        <v>596</v>
      </c>
      <c r="F1" s="1" t="s">
        <v>597</v>
      </c>
      <c r="G1" s="1" t="s">
        <v>598</v>
      </c>
      <c r="H1" s="1" t="s">
        <v>599</v>
      </c>
      <c r="I1" s="1" t="s">
        <v>600</v>
      </c>
      <c r="J1" s="1" t="s">
        <v>601</v>
      </c>
      <c r="K1" s="1" t="s">
        <v>602</v>
      </c>
      <c r="L1" s="1" t="s">
        <v>603</v>
      </c>
    </row>
    <row r="2" customFormat="false" ht="12.75" hidden="false" customHeight="true" outlineLevel="0" collapsed="false">
      <c r="A2" s="1" t="s">
        <v>460</v>
      </c>
      <c r="C2" s="1" t="s">
        <v>604</v>
      </c>
      <c r="D2" s="1" t="s">
        <v>570</v>
      </c>
      <c r="E2" s="1" t="s">
        <v>605</v>
      </c>
      <c r="F2" s="1" t="s">
        <v>467</v>
      </c>
      <c r="G2" s="1" t="s">
        <v>606</v>
      </c>
      <c r="H2" s="1" t="s">
        <v>570</v>
      </c>
      <c r="I2" s="1" t="s">
        <v>607</v>
      </c>
      <c r="J2" s="1" t="s">
        <v>572</v>
      </c>
      <c r="K2" s="1" t="s">
        <v>461</v>
      </c>
      <c r="L2" s="1" t="s">
        <v>608</v>
      </c>
    </row>
    <row r="3" customFormat="false" ht="12.75" hidden="false" customHeight="true" outlineLevel="0" collapsed="false">
      <c r="A3" s="1" t="s">
        <v>474</v>
      </c>
      <c r="C3" s="1" t="s">
        <v>476</v>
      </c>
      <c r="D3" s="1" t="s">
        <v>476</v>
      </c>
      <c r="E3" s="1" t="s">
        <v>476</v>
      </c>
      <c r="F3" s="1" t="s">
        <v>475</v>
      </c>
      <c r="G3" s="1" t="s">
        <v>475</v>
      </c>
      <c r="H3" s="1" t="s">
        <v>475</v>
      </c>
      <c r="I3" s="1" t="s">
        <v>475</v>
      </c>
      <c r="J3" s="1" t="s">
        <v>476</v>
      </c>
      <c r="K3" s="1" t="s">
        <v>476</v>
      </c>
      <c r="L3" s="1" t="s">
        <v>476</v>
      </c>
    </row>
    <row r="4" customFormat="false" ht="12.75" hidden="false" customHeight="true" outlineLevel="0" collapsed="false">
      <c r="A4" s="1" t="s">
        <v>478</v>
      </c>
      <c r="C4" s="1" t="s">
        <v>574</v>
      </c>
      <c r="D4" s="1" t="s">
        <v>483</v>
      </c>
      <c r="E4" s="1" t="s">
        <v>576</v>
      </c>
      <c r="F4" s="1" t="s">
        <v>485</v>
      </c>
      <c r="G4" s="1" t="s">
        <v>486</v>
      </c>
      <c r="H4" s="1" t="s">
        <v>609</v>
      </c>
      <c r="I4" s="1" t="s">
        <v>487</v>
      </c>
      <c r="J4" s="1" t="s">
        <v>488</v>
      </c>
      <c r="K4" s="1" t="s">
        <v>492</v>
      </c>
      <c r="L4" s="1" t="s">
        <v>610</v>
      </c>
    </row>
    <row r="5" customFormat="false" ht="12.75" hidden="false" customHeight="true" outlineLevel="0" collapsed="false">
      <c r="A5" s="1" t="s">
        <v>493</v>
      </c>
      <c r="C5" s="1" t="s">
        <v>494</v>
      </c>
      <c r="D5" s="1" t="s">
        <v>494</v>
      </c>
      <c r="E5" s="1" t="s">
        <v>494</v>
      </c>
      <c r="F5" s="1" t="s">
        <v>494</v>
      </c>
      <c r="G5" s="1" t="s">
        <v>494</v>
      </c>
      <c r="H5" s="1" t="s">
        <v>494</v>
      </c>
      <c r="I5" s="1" t="s">
        <v>494</v>
      </c>
      <c r="J5" s="1" t="s">
        <v>494</v>
      </c>
      <c r="K5" s="1" t="s">
        <v>494</v>
      </c>
      <c r="L5" s="1" t="s">
        <v>494</v>
      </c>
    </row>
    <row r="6" customFormat="false" ht="12.75" hidden="false" customHeight="true" outlineLevel="0" collapsed="false">
      <c r="A6" s="1" t="s">
        <v>495</v>
      </c>
      <c r="C6" s="1" t="s">
        <v>579</v>
      </c>
      <c r="D6" s="1" t="s">
        <v>611</v>
      </c>
      <c r="E6" s="1" t="s">
        <v>583</v>
      </c>
      <c r="F6" s="1" t="s">
        <v>502</v>
      </c>
      <c r="G6" s="1" t="s">
        <v>503</v>
      </c>
      <c r="H6" s="1" t="s">
        <v>612</v>
      </c>
      <c r="I6" s="1" t="s">
        <v>613</v>
      </c>
      <c r="J6" s="1" t="s">
        <v>505</v>
      </c>
      <c r="K6" s="1" t="s">
        <v>509</v>
      </c>
      <c r="L6" s="1" t="s">
        <v>614</v>
      </c>
    </row>
    <row r="7" customFormat="false" ht="12.75" hidden="false" customHeight="true" outlineLevel="0" collapsed="false">
      <c r="A7" s="1" t="s">
        <v>510</v>
      </c>
      <c r="C7" s="1" t="s">
        <v>511</v>
      </c>
      <c r="D7" s="1" t="s">
        <v>615</v>
      </c>
      <c r="E7" s="1" t="s">
        <v>615</v>
      </c>
      <c r="F7" s="1" t="s">
        <v>615</v>
      </c>
      <c r="G7" s="1" t="s">
        <v>615</v>
      </c>
      <c r="H7" s="1" t="s">
        <v>615</v>
      </c>
      <c r="I7" s="1" t="s">
        <v>513</v>
      </c>
      <c r="J7" s="1" t="s">
        <v>615</v>
      </c>
      <c r="K7" s="1" t="s">
        <v>615</v>
      </c>
      <c r="L7" s="1" t="s">
        <v>615</v>
      </c>
    </row>
    <row r="8" customFormat="false" ht="12.75" hidden="false" customHeight="true" outlineLevel="0" collapsed="false">
      <c r="A8" s="1" t="s">
        <v>514</v>
      </c>
      <c r="C8" s="1" t="s">
        <v>585</v>
      </c>
      <c r="D8" s="1" t="s">
        <v>586</v>
      </c>
      <c r="E8" s="1" t="s">
        <v>588</v>
      </c>
      <c r="F8" s="1" t="s">
        <v>521</v>
      </c>
      <c r="G8" s="1" t="s">
        <v>522</v>
      </c>
      <c r="H8" s="1" t="s">
        <v>616</v>
      </c>
      <c r="I8" s="1" t="s">
        <v>523</v>
      </c>
      <c r="J8" s="1" t="s">
        <v>524</v>
      </c>
      <c r="K8" s="1" t="s">
        <v>528</v>
      </c>
      <c r="L8" s="1" t="s">
        <v>617</v>
      </c>
    </row>
    <row r="9" customFormat="false" ht="12.75" hidden="false" customHeight="true" outlineLevel="0" collapsed="false">
      <c r="A9" s="1" t="s">
        <v>529</v>
      </c>
      <c r="C9" s="1" t="s">
        <v>590</v>
      </c>
      <c r="D9" s="1" t="s">
        <v>534</v>
      </c>
      <c r="E9" s="1" t="s">
        <v>592</v>
      </c>
      <c r="F9" s="1" t="s">
        <v>536</v>
      </c>
      <c r="G9" s="1" t="s">
        <v>537</v>
      </c>
      <c r="H9" s="1" t="s">
        <v>618</v>
      </c>
      <c r="I9" s="1" t="s">
        <v>538</v>
      </c>
      <c r="J9" s="1" t="s">
        <v>539</v>
      </c>
      <c r="K9" s="1" t="s">
        <v>543</v>
      </c>
      <c r="L9" s="1" t="s">
        <v>619</v>
      </c>
    </row>
    <row r="10" customFormat="false" ht="12.75" hidden="false" customHeight="true" outlineLevel="0" collapsed="false">
      <c r="A10" s="1" t="s">
        <v>544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545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546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547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548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549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550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551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552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2026-01-29T02:51:13Z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