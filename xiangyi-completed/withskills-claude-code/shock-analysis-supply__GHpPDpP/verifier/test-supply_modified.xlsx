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Assumptions" sheetId="2" state="visible" r:id="rId2"/>
    <sheet name="Data_Sources" sheetId="3" state="visible" r:id="rId3"/>
    <sheet name="PWT" sheetId="4" state="visible" r:id="rId4"/>
    <sheet name="WEO_Data" sheetId="5" state="visible" r:id="rId5"/>
    <sheet name="CFC data" sheetId="6" state="visible" r:id="rId6"/>
    <sheet name="Production" sheetId="7" state="visible" r:id="rId7"/>
    <sheet name="Investment" sheetId="8" state="visible" r:id="rId8"/>
    <sheet name="Production_Function" sheetId="9" state="visible" r:id="rId9"/>
    <sheet name="Summ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0.0000"/>
    <numFmt numFmtId="166" formatCode="0.0%"/>
  </numFmts>
  <fonts count="15">
    <font>
      <name val="Calibri"/>
      <family val="2"/>
      <color theme="1"/>
      <sz val="11"/>
      <scheme val="minor"/>
    </font>
    <font>
      <i val="1"/>
      <sz val="9"/>
    </font>
    <font>
      <i val="1"/>
      <color rgb="00FF0000"/>
      <sz val="9"/>
    </font>
    <font>
      <color rgb="000000FF"/>
    </font>
    <font>
      <color rgb="00008000"/>
    </font>
    <font>
      <b val="1"/>
      <sz val="12"/>
    </font>
    <font>
      <b val="1"/>
      <color rgb="000000FF"/>
    </font>
    <font>
      <b val="1"/>
      <sz val="14"/>
    </font>
    <font>
      <b val="1"/>
      <sz val="11"/>
    </font>
    <font>
      <b val="1"/>
      <color rgb="00008000"/>
    </font>
    <font>
      <b val="1"/>
      <color rgb="00FF0000"/>
    </font>
    <font>
      <b val="1"/>
    </font>
    <font>
      <b val="1"/>
      <sz val="13"/>
    </font>
    <font>
      <b val="1"/>
      <color rgb="00FF0000"/>
      <sz val="11"/>
    </font>
    <font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right" vertical="center"/>
    </xf>
    <xf numFmtId="3" fontId="0" fillId="0" borderId="1" applyAlignment="1" pivotButton="0" quotePrefix="0" xfId="0">
      <alignment horizontal="right" vertical="center"/>
    </xf>
    <xf numFmtId="164" fontId="0" fillId="0" borderId="1" applyAlignment="1" pivotButton="0" quotePrefix="0" xfId="0">
      <alignment horizontal="right" vertical="center"/>
    </xf>
    <xf numFmtId="0" fontId="1" fillId="0" borderId="0" pivotButton="0" quotePrefix="0" xfId="0"/>
    <xf numFmtId="3" fontId="3" fillId="0" borderId="0" pivotButton="0" quotePrefix="0" xfId="0"/>
    <xf numFmtId="3" fontId="4" fillId="0" borderId="0" pivotButton="0" quotePrefix="0" xfId="0"/>
    <xf numFmtId="165" fontId="0" fillId="0" borderId="0" pivotButton="0" quotePrefix="0" xfId="0"/>
    <xf numFmtId="165" fontId="0" fillId="2" borderId="0" pivotButton="0" quotePrefix="0" xfId="0"/>
    <xf numFmtId="3" fontId="0" fillId="0" borderId="0" pivotButton="0" quotePrefix="0" xfId="0"/>
    <xf numFmtId="0" fontId="2" fillId="0" borderId="0" pivotButton="0" quotePrefix="0" xfId="0"/>
    <xf numFmtId="0" fontId="5" fillId="0" borderId="0" pivotButton="0" quotePrefix="0" xfId="0"/>
    <xf numFmtId="4" fontId="0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1" fillId="0" borderId="0" pivotButton="0" quotePrefix="0" xfId="0"/>
    <xf numFmtId="0" fontId="11" fillId="2" borderId="0" pivotButton="0" quotePrefix="0" xfId="0"/>
    <xf numFmtId="3" fontId="3" fillId="2" borderId="0" pivotButton="0" quotePrefix="0" xfId="0"/>
    <xf numFmtId="166" fontId="0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1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4"/>
  <sheetViews>
    <sheetView workbookViewId="0">
      <selection activeCell="A1" sqref="A1"/>
    </sheetView>
  </sheetViews>
  <sheetFormatPr baseColWidth="8" defaultRowHeight="15"/>
  <cols>
    <col width="80" customWidth="1" min="1" max="1"/>
    <col width="30" customWidth="1" min="2" max="2"/>
  </cols>
  <sheetData>
    <row r="1">
      <c r="A1" s="15" t="inlineStr">
        <is>
          <t>GEORGIA INVESTMENT SHOCK ANALYSIS - DATA INPUT INSTRUCTIONS</t>
        </is>
      </c>
    </row>
    <row r="3">
      <c r="A3" s="12" t="inlineStr">
        <is>
          <t>STEP 1: DATA COLLECTION</t>
        </is>
      </c>
    </row>
    <row r="6">
      <c r="A6" s="16" t="inlineStr">
        <is>
          <t>PWT Data (Sheet: PWT)</t>
        </is>
      </c>
    </row>
    <row r="7">
      <c r="A7" t="inlineStr">
        <is>
          <t>1. Access Penn World Table 11.0 from: https://www.rug.nl/ggdc/productivity/pwt/?lang=en</t>
        </is>
      </c>
    </row>
    <row r="8">
      <c r="A8" t="inlineStr">
        <is>
          <t>2. Download for Georgia and fill column B with:</t>
        </is>
      </c>
    </row>
    <row r="9">
      <c r="A9" t="inlineStr">
        <is>
          <t xml:space="preserve">   - cgdpe (Expenditure-side real GDP at chained PPPs, 2023 value)</t>
        </is>
      </c>
    </row>
    <row r="10">
      <c r="A10" t="inlineStr">
        <is>
          <t xml:space="preserve">   - ck (Capital stock at constant 2017 national prices, 2023 value)</t>
        </is>
      </c>
    </row>
    <row r="12">
      <c r="A12" s="16" t="inlineStr">
        <is>
          <t>WEO Data (Sheet: WEO_Data)</t>
        </is>
      </c>
    </row>
    <row r="13">
      <c r="A13" s="17" t="inlineStr">
        <is>
          <t>Status: ✓ FILLED with IMF WEO and Worldometer data</t>
        </is>
      </c>
    </row>
    <row r="14">
      <c r="A14" t="inlineStr">
        <is>
          <t>- Real GDP levels (column B): 2000-2025 from Worldometer</t>
        </is>
      </c>
    </row>
    <row r="15">
      <c r="A15" t="inlineStr">
        <is>
          <t>- Growth rates (column C): IMF WEO projections 2026-2043</t>
        </is>
      </c>
    </row>
    <row r="16">
      <c r="A16" t="inlineStr">
        <is>
          <t>- Implied GDP (column D): Auto-calculated by formula</t>
        </is>
      </c>
    </row>
    <row r="18">
      <c r="A18" s="16" t="inlineStr">
        <is>
          <t>CFC Data (Sheet: CFC data)</t>
        </is>
      </c>
    </row>
    <row r="19">
      <c r="A19" t="inlineStr">
        <is>
          <t>1. Access ECB Data Portal: https://data.ecb.europa.eu/data/geographical-areas/georgia</t>
        </is>
      </c>
    </row>
    <row r="20">
      <c r="A20" t="inlineStr">
        <is>
          <t>2. Download "Consumption of fixed capital, Georgia, Annual" (dataset IDCM.A.N.GE.W2.S1.S1.D.P51C.N1G._T._Z.XDC.V.N)</t>
        </is>
      </c>
    </row>
    <row r="21">
      <c r="A21" t="inlineStr">
        <is>
          <t>3. Fill column B with annual CFC data (2015-2023 in GEL millions)</t>
        </is>
      </c>
    </row>
    <row r="22">
      <c r="A22" t="inlineStr">
        <is>
          <t>4. Link column C to PWT capital stock data</t>
        </is>
      </c>
    </row>
    <row r="23">
      <c r="A23" t="inlineStr">
        <is>
          <t>5. Column D (Depreciation Rate) will auto-calculate: CFC/Capital Stock</t>
        </is>
      </c>
    </row>
    <row r="25">
      <c r="A25" s="16" t="inlineStr">
        <is>
          <t>STEP 2: PRODUCTION SHEET SETUP</t>
        </is>
      </c>
    </row>
    <row r="26">
      <c r="A26" t="inlineStr">
        <is>
          <t>1. Cell B3: Average depreciation rate (last 8 years) - FORMULA PROVIDED</t>
        </is>
      </c>
    </row>
    <row r="27">
      <c r="A27" t="inlineStr">
        <is>
          <t>2. Link data to columns B-C (2002-2023)</t>
        </is>
      </c>
    </row>
    <row r="28">
      <c r="A28" t="inlineStr">
        <is>
          <t>3. Columns D-F: Natural log transformations - FORMULAS PROVIDED</t>
        </is>
      </c>
    </row>
    <row r="30">
      <c r="A30" s="16" t="inlineStr">
        <is>
          <t>STEP 3: HP FILTER</t>
        </is>
      </c>
    </row>
    <row r="31">
      <c r="A31" t="inlineStr">
        <is>
          <t>1. Column F (LnZ): Auto-calculated from LnY - LnK</t>
        </is>
      </c>
    </row>
    <row r="32">
      <c r="A32" t="inlineStr">
        <is>
          <t>2. Column G (LnZ_HP): Highlighted in YELLOW - to be optimized by Solver</t>
        </is>
      </c>
    </row>
    <row r="33">
      <c r="A33" t="inlineStr">
        <is>
          <t>3. Column H: Second difference (D2_LnZ_HP) - FORMULA PROVIDED</t>
        </is>
      </c>
    </row>
    <row r="34">
      <c r="A34" t="inlineStr">
        <is>
          <t>4. Use Excel Solver:</t>
        </is>
      </c>
    </row>
    <row r="35">
      <c r="A35" t="inlineStr">
        <is>
          <t xml:space="preserve">   - Set objective: Minimize P5 (objective function)</t>
        </is>
      </c>
    </row>
    <row r="36">
      <c r="A36" t="inlineStr">
        <is>
          <t xml:space="preserve">   - By changing: G6:G27 (LnZ_HP values)</t>
        </is>
      </c>
    </row>
    <row r="37">
      <c r="A37" t="inlineStr">
        <is>
          <t xml:space="preserve">   - This finds the smoothed trend line</t>
        </is>
      </c>
    </row>
    <row r="39">
      <c r="A39" s="16" t="inlineStr">
        <is>
          <t>STEP 4: PRODUCTION FUNCTION</t>
        </is>
      </c>
    </row>
    <row r="40">
      <c r="A40" t="inlineStr">
        <is>
          <t>1. Sheet "Production_Function" - all linkages and formulas provided</t>
        </is>
      </c>
    </row>
    <row r="41">
      <c r="A41" t="inlineStr">
        <is>
          <t>2. TREND formula extends LnZ_trend to 2041 - AUTO-CALCULATED</t>
        </is>
      </c>
    </row>
    <row r="42">
      <c r="A42" t="inlineStr">
        <is>
          <t>3. Capital stock extended using fixed K/Y anchor</t>
        </is>
      </c>
    </row>
    <row r="43">
      <c r="A43" t="inlineStr">
        <is>
          <t>4. Potential output (Ystar) calculated with Cobb-Douglas function</t>
        </is>
      </c>
    </row>
    <row r="45">
      <c r="A45" s="16" t="inlineStr">
        <is>
          <t>STEP 5: INVESTMENT SHOCK SCENARIO</t>
        </is>
      </c>
    </row>
    <row r="46">
      <c r="A46" t="inlineStr">
        <is>
          <t>1. Sheet "Investment" - parameters already set:</t>
        </is>
      </c>
    </row>
    <row r="47">
      <c r="A47" t="inlineStr">
        <is>
          <t xml:space="preserve">   - Duration: 8 years (2026-2033)</t>
        </is>
      </c>
    </row>
    <row r="48">
      <c r="A48" t="inlineStr">
        <is>
          <t xml:space="preserve">   - Total amount: $6.5 billion = $812.5 million/year</t>
        </is>
      </c>
    </row>
    <row r="49">
      <c r="A49" t="inlineStr">
        <is>
          <t>2. Capital accumulation with depreciation - FORMULAS PROVIDED</t>
        </is>
      </c>
    </row>
    <row r="50">
      <c r="A50" t="inlineStr">
        <is>
          <t>3. Output with investment - FORMULAS PROVIDED</t>
        </is>
      </c>
    </row>
    <row r="52">
      <c r="A52" s="16" t="inlineStr">
        <is>
          <t>KEY SOURCES TO COMPLETE</t>
        </is>
      </c>
    </row>
    <row r="53">
      <c r="A53" s="18" t="inlineStr">
        <is>
          <t>⚠ PWT Data: https://www.rug.nl/ggdc/productivity/pwt/?lang=en</t>
        </is>
      </c>
    </row>
    <row r="54">
      <c r="A54" s="18" t="inlineStr">
        <is>
          <t>⚠ ECB CFC: https://data.ecb.europa.eu/data/geographical-areas/georgia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40" customWidth="1" min="3" max="3"/>
  </cols>
  <sheetData>
    <row r="1">
      <c r="A1" s="12" t="inlineStr">
        <is>
          <t>KEY ASSUMPTIONS FOR THE MODEL</t>
        </is>
      </c>
    </row>
    <row r="3">
      <c r="A3" t="inlineStr">
        <is>
          <t>Variable</t>
        </is>
      </c>
      <c r="B3" t="inlineStr">
        <is>
          <t>Value</t>
        </is>
      </c>
      <c r="C3" t="inlineStr">
        <is>
          <t>Source/Notes</t>
        </is>
      </c>
    </row>
    <row r="4">
      <c r="A4" t="inlineStr">
        <is>
          <t>Investment Duration (years)</t>
        </is>
      </c>
      <c r="B4" s="19" t="n">
        <v>8</v>
      </c>
      <c r="C4" t="inlineStr">
        <is>
          <t>User specified</t>
        </is>
      </c>
    </row>
    <row r="5">
      <c r="A5" t="inlineStr">
        <is>
          <t>Investment Amount (USD billions)</t>
        </is>
      </c>
      <c r="B5" s="19" t="n">
        <v>6.5</v>
      </c>
      <c r="C5" t="inlineStr">
        <is>
          <t>User specified</t>
        </is>
      </c>
    </row>
    <row r="6">
      <c r="A6" t="inlineStr">
        <is>
          <t>Investment Start Year</t>
        </is>
      </c>
      <c r="B6" s="19" t="n">
        <v>2026</v>
      </c>
      <c r="C6" t="inlineStr">
        <is>
          <t>User specified</t>
        </is>
      </c>
    </row>
    <row r="7">
      <c r="A7" t="inlineStr">
        <is>
          <t>Capital Elasticity (α)</t>
        </is>
      </c>
      <c r="B7" s="19" t="n">
        <v>0.3</v>
      </c>
      <c r="C7" t="inlineStr">
        <is>
          <t>Typical for developing economies</t>
        </is>
      </c>
    </row>
    <row r="8">
      <c r="A8" t="inlineStr">
        <is>
          <t>Long-run GDP Growth Rate (2027+)</t>
        </is>
      </c>
      <c r="B8" s="19" t="n">
        <v>7.2</v>
      </c>
      <c r="C8" t="inlineStr">
        <is>
          <t>IMF WEO October 2025</t>
        </is>
      </c>
    </row>
    <row r="9">
      <c r="A9" t="inlineStr">
        <is>
          <t>HP Filter Lambda (annual)</t>
        </is>
      </c>
      <c r="B9" s="19" t="n">
        <v>1600</v>
      </c>
      <c r="C9" t="inlineStr">
        <is>
          <t>Standard for annual data</t>
        </is>
      </c>
    </row>
    <row r="10">
      <c r="A10" t="inlineStr">
        <is>
          <t>Depreciation Rate (annual %)</t>
        </is>
      </c>
      <c r="B10" s="20">
        <f>Production!B3</f>
        <v/>
      </c>
      <c r="C10" t="inlineStr">
        <is>
          <t>Calculated from CFC data (8-year avg)</t>
        </is>
      </c>
    </row>
    <row r="11">
      <c r="A11" t="inlineStr">
        <is>
          <t>Baseline Capital Stock (2023)</t>
        </is>
      </c>
      <c r="B11" s="20" t="inlineStr">
        <is>
          <t>From PWT</t>
        </is>
      </c>
      <c r="C11" t="inlineStr">
        <is>
          <t>Penn World Table 11.0</t>
        </is>
      </c>
    </row>
    <row r="12">
      <c r="A12" t="inlineStr">
        <is>
          <t>Baseline Real GDP (2025)</t>
        </is>
      </c>
      <c r="B12" s="20">
        <f>WEO_Data!D27</f>
        <v/>
      </c>
      <c r="C12" t="inlineStr">
        <is>
          <t>IMF WEO + Worldometer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  <col width="40" customWidth="1" min="3" max="3"/>
    <col width="20" customWidth="1" min="4" max="4"/>
  </cols>
  <sheetData>
    <row r="1">
      <c r="A1" s="25" t="inlineStr">
        <is>
          <t>DATA SOURCES AND DOWNLOAD INSTRUCTIONS</t>
        </is>
      </c>
    </row>
    <row r="4">
      <c r="A4" s="26" t="inlineStr">
        <is>
          <t>PWT 11.0 - PENN WORLD TABLE</t>
        </is>
      </c>
    </row>
    <row r="5">
      <c r="A5" t="inlineStr">
        <is>
          <t>URL:</t>
        </is>
      </c>
      <c r="B5" s="27" t="inlineStr">
        <is>
          <t>https://www.rug.nl/ggdc/productivity/pwt/?lang=en</t>
        </is>
      </c>
    </row>
    <row r="7">
      <c r="A7" t="inlineStr">
        <is>
          <t>Data to Download:</t>
        </is>
      </c>
    </row>
    <row r="8">
      <c r="A8" s="28" t="inlineStr">
        <is>
          <t>Variable</t>
        </is>
      </c>
      <c r="B8" s="28" t="inlineStr">
        <is>
          <t>Description</t>
        </is>
      </c>
      <c r="C8" s="28" t="inlineStr">
        <is>
          <t>Year</t>
        </is>
      </c>
      <c r="D8" s="28" t="inlineStr">
        <is>
          <t>Where to Fill</t>
        </is>
      </c>
    </row>
    <row r="9">
      <c r="A9" t="inlineStr">
        <is>
          <t>cgdpe</t>
        </is>
      </c>
      <c r="B9" t="inlineStr">
        <is>
          <t>Expenditure-side real GDP at chained PPPs (millions 2017 USD)</t>
        </is>
      </c>
      <c r="C9" t="inlineStr">
        <is>
          <t>2023</t>
        </is>
      </c>
      <c r="D9" s="20" t="inlineStr">
        <is>
          <t>PWT!B2</t>
        </is>
      </c>
    </row>
    <row r="10">
      <c r="A10" t="inlineStr">
        <is>
          <t>ck</t>
        </is>
      </c>
      <c r="B10" t="inlineStr">
        <is>
          <t>Capital stock at constant 2017 national prices (millions 2017 USD)</t>
        </is>
      </c>
      <c r="C10" t="inlineStr">
        <is>
          <t>2023</t>
        </is>
      </c>
      <c r="D10" s="20" t="inlineStr">
        <is>
          <t>PWT!B3</t>
        </is>
      </c>
    </row>
    <row r="11">
      <c r="A11" t="inlineStr">
        <is>
          <t>ctfp</t>
        </is>
      </c>
      <c r="B11" t="inlineStr">
        <is>
          <t>TFP level at constant national prices</t>
        </is>
      </c>
      <c r="C11" t="inlineStr">
        <is>
          <t>2023</t>
        </is>
      </c>
      <c r="D11" s="20" t="inlineStr">
        <is>
          <t>PWT!B4</t>
        </is>
      </c>
    </row>
    <row r="12">
      <c r="A12" t="inlineStr">
        <is>
          <t>labsh</t>
        </is>
      </c>
      <c r="B12" t="inlineStr">
        <is>
          <t>Labor share of income</t>
        </is>
      </c>
      <c r="C12" t="inlineStr">
        <is>
          <t>2023</t>
        </is>
      </c>
      <c r="D12" s="20" t="inlineStr">
        <is>
          <t>PWT!B5</t>
        </is>
      </c>
    </row>
    <row r="15">
      <c r="A15" s="26" t="inlineStr">
        <is>
          <t>ECB - EUROPEAN CENTRAL BANK</t>
        </is>
      </c>
    </row>
    <row r="16">
      <c r="A16" t="inlineStr">
        <is>
          <t>URL:</t>
        </is>
      </c>
      <c r="B16" s="27" t="inlineStr">
        <is>
          <t>https://data.ecb.europa.eu/data/geographical-areas/georgia</t>
        </is>
      </c>
    </row>
    <row r="18">
      <c r="A18" t="inlineStr">
        <is>
          <t>Data to Download:</t>
        </is>
      </c>
    </row>
    <row r="19">
      <c r="A19" s="28" t="inlineStr">
        <is>
          <t>Dataset</t>
        </is>
      </c>
      <c r="B19" s="28" t="inlineStr">
        <is>
          <t>Description</t>
        </is>
      </c>
      <c r="C19" s="28" t="inlineStr">
        <is>
          <t>Code/ID</t>
        </is>
      </c>
      <c r="D19" s="28" t="inlineStr">
        <is>
          <t>Where to Fill</t>
        </is>
      </c>
    </row>
    <row r="20">
      <c r="A20" t="inlineStr">
        <is>
          <t>Consumption of Fixed Capital</t>
        </is>
      </c>
      <c r="B20" t="inlineStr">
        <is>
          <t>Annual CFC for Georgia (millions GEL, current prices)</t>
        </is>
      </c>
      <c r="C20" t="inlineStr">
        <is>
          <t>IDCM.A.N.GE.W2.S1.S1.D.P51C.N1G._T._Z.XDC.V.N</t>
        </is>
      </c>
      <c r="D20" s="20" t="inlineStr">
        <is>
          <t>CFC data!B2:B10</t>
        </is>
      </c>
    </row>
    <row r="21">
      <c r="A21" t="inlineStr">
        <is>
          <t>Years:</t>
        </is>
      </c>
      <c r="B21" t="inlineStr">
        <is>
          <t>2015-2023 (9 years)</t>
        </is>
      </c>
      <c r="C21" t="inlineStr"/>
      <c r="D21" t="inlineStr"/>
    </row>
    <row r="24">
      <c r="A24" s="26" t="inlineStr">
        <is>
          <t>IMF WORLD ECONOMIC OUTLOOK</t>
        </is>
      </c>
    </row>
    <row r="25">
      <c r="A25" s="17" t="inlineStr">
        <is>
          <t>Status: ✓ PARTIALLY FILLED</t>
        </is>
      </c>
    </row>
    <row r="26">
      <c r="A26" t="inlineStr">
        <is>
          <t>URL:</t>
        </is>
      </c>
      <c r="B26" s="27" t="inlineStr">
        <is>
          <t>https://www.imf.org/en/Publications/WEO/weo-database</t>
        </is>
      </c>
    </row>
    <row r="28">
      <c r="A28" t="inlineStr">
        <is>
          <t>Already Filled:</t>
        </is>
      </c>
    </row>
    <row r="29">
      <c r="A29" t="inlineStr">
        <is>
          <t>✓ Real GDP levels (2000-2025) from Worldometer</t>
        </is>
      </c>
    </row>
    <row r="30">
      <c r="A30" t="inlineStr">
        <is>
          <t>✓ Real GDP growth rates (2020-2025) from IMF</t>
        </is>
      </c>
    </row>
    <row r="31">
      <c r="A31" t="inlineStr">
        <is>
          <t>✓ Projected growth rate 2027+ = 7.2%</t>
        </is>
      </c>
    </row>
    <row r="33">
      <c r="A33" t="inlineStr">
        <is>
          <t>May Need Manual Update:</t>
        </is>
      </c>
    </row>
    <row r="34">
      <c r="A34" s="14" t="inlineStr">
        <is>
          <t>• Check growth rates 2000-2019 from World Bank or IMF official source</t>
        </is>
      </c>
    </row>
    <row r="37">
      <c r="A37" s="16" t="inlineStr">
        <is>
          <t>CRITICAL STEPS TO COMPLETE ANALYSIS</t>
        </is>
      </c>
    </row>
    <row r="38">
      <c r="A38" t="inlineStr">
        <is>
          <t>1. Download PWT 11.0 data for Georgia and fill PWT sheet (column B)</t>
        </is>
      </c>
    </row>
    <row r="39">
      <c r="A39" t="inlineStr">
        <is>
          <t>2. Download ECB CFC data and fill CFC data sheet (column B)</t>
        </is>
      </c>
    </row>
    <row r="40">
      <c r="A40" t="inlineStr">
        <is>
          <t>3. Run HP Filter in Excel Solver (Production sheet)</t>
        </is>
      </c>
    </row>
    <row r="41">
      <c r="A41" t="inlineStr">
        <is>
          <t xml:space="preserve">   - Minimize P5 by changing G6:G27</t>
        </is>
      </c>
    </row>
    <row r="42">
      <c r="A42" t="inlineStr">
        <is>
          <t>4. TREND formula will extend LnZ_trend to 2041 automatically</t>
        </is>
      </c>
    </row>
    <row r="43">
      <c r="A43" t="inlineStr">
        <is>
          <t>5. Production Function calculations will compute output impacts</t>
        </is>
      </c>
    </row>
    <row r="44">
      <c r="A44" t="inlineStr">
        <is>
          <t>6. Investment shock results appear in Summary sheet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50" customWidth="1" min="3" max="3"/>
  </cols>
  <sheetData>
    <row r="1">
      <c r="A1" s="21" t="inlineStr">
        <is>
          <t>Variable</t>
        </is>
      </c>
      <c r="B1" s="22" t="inlineStr">
        <is>
          <t>Georgia</t>
        </is>
      </c>
      <c r="C1" s="21" t="inlineStr">
        <is>
          <t>Description</t>
        </is>
      </c>
    </row>
    <row r="2">
      <c r="A2" t="inlineStr">
        <is>
          <t>cgdpe</t>
        </is>
      </c>
      <c r="C2" t="inlineStr">
        <is>
          <t>Expenditure-side real GDP at chained PPPs</t>
        </is>
      </c>
    </row>
    <row r="3">
      <c r="A3" t="inlineStr">
        <is>
          <t>cgdpo</t>
        </is>
      </c>
      <c r="C3" t="inlineStr">
        <is>
          <t>Output-side real GDP at chained PPPs</t>
        </is>
      </c>
    </row>
    <row r="4">
      <c r="A4" t="inlineStr">
        <is>
          <t>ck</t>
        </is>
      </c>
      <c r="C4" t="inlineStr">
        <is>
          <t>Capital stock at constant 2017 national prices</t>
        </is>
      </c>
    </row>
    <row r="5">
      <c r="A5" t="inlineStr">
        <is>
          <t>cn</t>
        </is>
      </c>
      <c r="C5" t="inlineStr">
        <is>
          <t>Capital stock at current PPPs</t>
        </is>
      </c>
    </row>
    <row r="6">
      <c r="A6" t="inlineStr">
        <is>
          <t>ctfp</t>
        </is>
      </c>
      <c r="C6" t="inlineStr">
        <is>
          <t>TFP level at constant national prices</t>
        </is>
      </c>
    </row>
    <row r="7">
      <c r="A7" t="inlineStr">
        <is>
          <t>rconna</t>
        </is>
      </c>
      <c r="C7" t="inlineStr">
        <is>
          <t>Real consumption of non-durables and services at constant 2017 national prices</t>
        </is>
      </c>
    </row>
    <row r="8">
      <c r="A8" t="inlineStr">
        <is>
          <t>rdana</t>
        </is>
      </c>
      <c r="C8" t="inlineStr">
        <is>
          <t>Real domestic absorption at constant 2017 national prices</t>
        </is>
      </c>
    </row>
    <row r="9">
      <c r="A9" t="inlineStr">
        <is>
          <t>labsh</t>
        </is>
      </c>
      <c r="C9" t="inlineStr">
        <is>
          <t>Labor share of income</t>
        </is>
      </c>
    </row>
    <row r="10">
      <c r="A10" s="11" t="inlineStr">
        <is>
          <t>Note: Fill column B with 2023 values from Penn World Table 11.0</t>
        </is>
      </c>
    </row>
    <row r="11">
      <c r="A11" s="5" t="inlineStr">
        <is>
          <t>Source: https://www.rug.nl/ggdc/productivity/pwt/?lang=en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25" customWidth="1" min="3" max="3"/>
    <col width="30" customWidth="1" min="4" max="4"/>
  </cols>
  <sheetData>
    <row r="1">
      <c r="A1" s="1" t="inlineStr">
        <is>
          <t>Year</t>
        </is>
      </c>
      <c r="B1" s="1" t="inlineStr">
        <is>
          <t>Real GDP Level (USD millions)</t>
        </is>
      </c>
      <c r="C1" s="1" t="inlineStr">
        <is>
          <t>Real GDP Growth Rate (%)</t>
        </is>
      </c>
      <c r="D1" s="1" t="inlineStr">
        <is>
          <t>Implied Real GDP (USD millions)</t>
        </is>
      </c>
    </row>
    <row r="2">
      <c r="A2" s="2" t="n">
        <v>2000</v>
      </c>
      <c r="B2" s="3" t="n">
        <v>3140</v>
      </c>
      <c r="C2" s="4" t="n">
        <v>1.9</v>
      </c>
      <c r="D2" s="3" t="n"/>
    </row>
    <row r="3">
      <c r="A3" s="2" t="n">
        <v>2001</v>
      </c>
      <c r="B3" s="3" t="n">
        <v>3310</v>
      </c>
      <c r="C3" s="4" t="n">
        <v>4.6</v>
      </c>
      <c r="D3" s="3" t="n"/>
    </row>
    <row r="4">
      <c r="A4" s="2" t="n">
        <v>2002</v>
      </c>
      <c r="B4" s="3" t="n">
        <v>3490</v>
      </c>
      <c r="C4" s="4" t="n">
        <v>5.5</v>
      </c>
      <c r="D4" s="3" t="n"/>
    </row>
    <row r="5">
      <c r="A5" s="2" t="n">
        <v>2003</v>
      </c>
      <c r="B5" s="3" t="n">
        <v>4100</v>
      </c>
      <c r="C5" s="4" t="n">
        <v>11.1</v>
      </c>
      <c r="D5" s="3" t="n"/>
    </row>
    <row r="6">
      <c r="A6" s="2" t="n">
        <v>2004</v>
      </c>
      <c r="B6" s="3" t="n">
        <v>5270</v>
      </c>
      <c r="C6" s="4" t="n">
        <v>13.3</v>
      </c>
      <c r="D6" s="3" t="n"/>
    </row>
    <row r="7">
      <c r="A7" s="2" t="n">
        <v>2005</v>
      </c>
      <c r="B7" s="3" t="n">
        <v>6590</v>
      </c>
      <c r="C7" s="4" t="n">
        <v>9.6</v>
      </c>
      <c r="D7" s="3" t="n"/>
    </row>
    <row r="8">
      <c r="A8" s="2" t="n">
        <v>2006</v>
      </c>
      <c r="B8" s="3" t="n">
        <v>7980</v>
      </c>
      <c r="C8" s="4" t="n">
        <v>9.300000000000001</v>
      </c>
      <c r="D8" s="3" t="n"/>
    </row>
    <row r="9">
      <c r="A9" s="2" t="n">
        <v>2007</v>
      </c>
      <c r="B9" s="3" t="n">
        <v>10460</v>
      </c>
      <c r="C9" s="4" t="n">
        <v>12.3</v>
      </c>
      <c r="D9" s="3" t="n"/>
    </row>
    <row r="10">
      <c r="A10" s="2" t="n">
        <v>2008</v>
      </c>
      <c r="B10" s="3" t="n">
        <v>13160</v>
      </c>
      <c r="C10" s="4" t="n">
        <v>2.3</v>
      </c>
      <c r="D10" s="3" t="n"/>
    </row>
    <row r="11">
      <c r="A11" s="2" t="n">
        <v>2009</v>
      </c>
      <c r="B11" s="3" t="n">
        <v>11070</v>
      </c>
      <c r="C11" s="4" t="n">
        <v>-3.8</v>
      </c>
      <c r="D11" s="3" t="n"/>
    </row>
    <row r="12">
      <c r="A12" s="2" t="n">
        <v>2010</v>
      </c>
      <c r="B12" s="3" t="n">
        <v>12430</v>
      </c>
      <c r="C12" s="4" t="n">
        <v>6.3</v>
      </c>
      <c r="D12" s="3" t="n"/>
    </row>
    <row r="13">
      <c r="A13" s="2" t="n">
        <v>2011</v>
      </c>
      <c r="B13" s="3" t="n">
        <v>15480</v>
      </c>
      <c r="C13" s="4" t="n">
        <v>7</v>
      </c>
      <c r="D13" s="3" t="n"/>
    </row>
    <row r="14">
      <c r="A14" s="2" t="n">
        <v>2012</v>
      </c>
      <c r="B14" s="3" t="n">
        <v>16890</v>
      </c>
      <c r="C14" s="4" t="n">
        <v>6.2</v>
      </c>
      <c r="D14" s="3" t="n"/>
    </row>
    <row r="15">
      <c r="A15" s="2" t="n">
        <v>2013</v>
      </c>
      <c r="B15" s="3" t="n">
        <v>17520</v>
      </c>
      <c r="C15" s="4" t="n">
        <v>3</v>
      </c>
      <c r="D15" s="3" t="n"/>
    </row>
    <row r="16">
      <c r="A16" s="2" t="n">
        <v>2014</v>
      </c>
      <c r="B16" s="3" t="n">
        <v>17970</v>
      </c>
      <c r="C16" s="4" t="n">
        <v>4.6</v>
      </c>
      <c r="D16" s="3" t="n"/>
    </row>
    <row r="17">
      <c r="A17" s="2" t="n">
        <v>2015</v>
      </c>
      <c r="B17" s="3" t="n">
        <v>15220</v>
      </c>
      <c r="C17" s="4" t="n">
        <v>2.9</v>
      </c>
      <c r="D17" s="3" t="n"/>
    </row>
    <row r="18">
      <c r="A18" s="2" t="n">
        <v>2016</v>
      </c>
      <c r="B18" s="3" t="n">
        <v>15440</v>
      </c>
      <c r="C18" s="4" t="n">
        <v>2.8</v>
      </c>
      <c r="D18" s="3" t="n"/>
    </row>
    <row r="19">
      <c r="A19" s="2" t="n">
        <v>2017</v>
      </c>
      <c r="B19" s="3" t="n">
        <v>16470</v>
      </c>
      <c r="C19" s="4" t="n">
        <v>4.8</v>
      </c>
      <c r="D19" s="3" t="n"/>
    </row>
    <row r="20">
      <c r="A20" s="2" t="n">
        <v>2018</v>
      </c>
      <c r="B20" s="3" t="n">
        <v>17900</v>
      </c>
      <c r="C20" s="4" t="n">
        <v>4.6</v>
      </c>
      <c r="D20" s="3" t="n"/>
    </row>
    <row r="21">
      <c r="A21" s="2" t="n">
        <v>2019</v>
      </c>
      <c r="B21" s="3" t="n">
        <v>17640</v>
      </c>
      <c r="C21" s="4" t="n">
        <v>5</v>
      </c>
      <c r="D21" s="3" t="n"/>
    </row>
    <row r="22">
      <c r="A22" s="2" t="n">
        <v>2020</v>
      </c>
      <c r="B22" s="3" t="n">
        <v>16010</v>
      </c>
      <c r="C22" s="4" t="n">
        <v>-6.3</v>
      </c>
      <c r="D22" s="3" t="n"/>
    </row>
    <row r="23">
      <c r="A23" s="2" t="n">
        <v>2021</v>
      </c>
      <c r="B23" s="3" t="n">
        <v>18850</v>
      </c>
      <c r="C23" s="4" t="n">
        <v>10.6</v>
      </c>
      <c r="D23" s="3" t="n"/>
    </row>
    <row r="24">
      <c r="A24" s="2" t="n">
        <v>2022</v>
      </c>
      <c r="B24" s="3" t="n">
        <v>24980</v>
      </c>
      <c r="C24" s="4" t="n">
        <v>11</v>
      </c>
      <c r="D24" s="3" t="n"/>
    </row>
    <row r="25">
      <c r="A25" s="2" t="n">
        <v>2023</v>
      </c>
      <c r="B25" s="3" t="n">
        <v>30780</v>
      </c>
      <c r="C25" s="4" t="n">
        <v>7.8</v>
      </c>
      <c r="D25" s="3" t="n"/>
    </row>
    <row r="26">
      <c r="A26" s="2" t="n">
        <v>2024</v>
      </c>
      <c r="B26" s="3" t="n">
        <v>33780</v>
      </c>
      <c r="C26" s="4" t="n">
        <v>9.4</v>
      </c>
      <c r="D26" s="3" t="n"/>
    </row>
    <row r="27">
      <c r="A27" s="2" t="n">
        <v>2025</v>
      </c>
      <c r="B27" s="3" t="n">
        <v>37400</v>
      </c>
      <c r="C27" s="4" t="n">
        <v>7.2</v>
      </c>
      <c r="D27" s="3">
        <f>B27</f>
        <v/>
      </c>
    </row>
    <row r="28">
      <c r="A28" s="2" t="n">
        <v>2026</v>
      </c>
      <c r="B28" s="3" t="n"/>
      <c r="C28" s="4" t="n"/>
      <c r="D28" s="3">
        <f>D27*(1+C28/100)</f>
        <v/>
      </c>
    </row>
    <row r="29">
      <c r="A29" s="2" t="n">
        <v>2027</v>
      </c>
      <c r="B29" s="3" t="n"/>
      <c r="C29" s="4" t="n"/>
      <c r="D29" s="3">
        <f>D28*(1+C29/100)</f>
        <v/>
      </c>
    </row>
    <row r="30">
      <c r="A30" s="2" t="n">
        <v>2028</v>
      </c>
      <c r="B30" s="3" t="n"/>
      <c r="C30" s="4" t="n"/>
      <c r="D30" s="3">
        <f>D29*(1+C30/100)</f>
        <v/>
      </c>
    </row>
    <row r="31">
      <c r="A31" s="2" t="n">
        <v>2029</v>
      </c>
      <c r="B31" s="3" t="n"/>
      <c r="C31" s="4" t="n"/>
      <c r="D31" s="3">
        <f>D30*(1+C31/100)</f>
        <v/>
      </c>
    </row>
    <row r="32">
      <c r="A32" s="2" t="n">
        <v>2030</v>
      </c>
      <c r="B32" s="3" t="n"/>
      <c r="C32" s="4" t="n"/>
      <c r="D32" s="3">
        <f>D31*(1+C32/100)</f>
        <v/>
      </c>
    </row>
    <row r="33">
      <c r="A33" s="2" t="n">
        <v>2031</v>
      </c>
      <c r="B33" s="3" t="n"/>
      <c r="C33" s="4" t="n"/>
      <c r="D33" s="3">
        <f>D32*(1+C33/100)</f>
        <v/>
      </c>
    </row>
    <row r="34">
      <c r="A34" s="2" t="n">
        <v>2032</v>
      </c>
      <c r="B34" s="3" t="n"/>
      <c r="C34" s="4" t="n"/>
      <c r="D34" s="3">
        <f>D33*(1+C34/100)</f>
        <v/>
      </c>
    </row>
    <row r="35">
      <c r="A35" s="2" t="n">
        <v>2033</v>
      </c>
      <c r="B35" s="3" t="n"/>
      <c r="C35" s="4" t="n"/>
      <c r="D35" s="3">
        <f>D34*(1+C35/100)</f>
        <v/>
      </c>
    </row>
    <row r="36">
      <c r="A36" s="2" t="n">
        <v>2034</v>
      </c>
      <c r="B36" s="3" t="n"/>
      <c r="C36" s="4" t="n"/>
      <c r="D36" s="3">
        <f>D35*(1+C36/100)</f>
        <v/>
      </c>
    </row>
    <row r="37">
      <c r="A37" s="2" t="n">
        <v>2035</v>
      </c>
      <c r="B37" s="3" t="n"/>
      <c r="C37" s="4" t="n"/>
      <c r="D37" s="3">
        <f>D36*(1+C37/100)</f>
        <v/>
      </c>
    </row>
    <row r="38">
      <c r="A38" s="2" t="n">
        <v>2036</v>
      </c>
      <c r="B38" s="3" t="n"/>
      <c r="C38" s="4" t="n"/>
      <c r="D38" s="3">
        <f>D37*(1+C38/100)</f>
        <v/>
      </c>
    </row>
    <row r="39">
      <c r="A39" s="2" t="n">
        <v>2037</v>
      </c>
      <c r="B39" s="3" t="n"/>
      <c r="C39" s="4" t="n"/>
      <c r="D39" s="3">
        <f>D38*(1+C39/100)</f>
        <v/>
      </c>
    </row>
    <row r="40">
      <c r="A40" s="2" t="n">
        <v>2038</v>
      </c>
      <c r="B40" s="3" t="n"/>
      <c r="C40" s="4" t="n"/>
      <c r="D40" s="3">
        <f>D39*(1+C40/100)</f>
        <v/>
      </c>
    </row>
    <row r="41">
      <c r="A41" s="2" t="n">
        <v>2039</v>
      </c>
      <c r="B41" s="3" t="n"/>
      <c r="C41" s="4" t="n"/>
      <c r="D41" s="3">
        <f>D40*(1+C41/100)</f>
        <v/>
      </c>
    </row>
    <row r="42">
      <c r="A42" s="2" t="n">
        <v>2040</v>
      </c>
      <c r="B42" s="3" t="n"/>
      <c r="C42" s="4" t="n"/>
      <c r="D42" s="3">
        <f>D41*(1+C42/100)</f>
        <v/>
      </c>
    </row>
    <row r="43">
      <c r="A43" s="2" t="n">
        <v>2041</v>
      </c>
      <c r="B43" s="3" t="n"/>
      <c r="C43" s="4" t="n"/>
      <c r="D43" s="3">
        <f>D42*(1+C43/100)</f>
        <v/>
      </c>
    </row>
    <row r="44">
      <c r="A44" s="2" t="n">
        <v>2042</v>
      </c>
      <c r="B44" s="3" t="n"/>
      <c r="C44" s="4" t="n"/>
      <c r="D44" s="3">
        <f>D43*(1+C44/100)</f>
        <v/>
      </c>
    </row>
    <row r="45">
      <c r="A45" s="2" t="n">
        <v>2043</v>
      </c>
      <c r="B45" s="2" t="n"/>
      <c r="C45" s="2" t="n"/>
      <c r="D45" s="2">
        <f>D44*(1+C45/100)</f>
        <v/>
      </c>
    </row>
    <row r="46">
      <c r="A46" s="5" t="inlineStr">
        <is>
          <t>Note: Data source - Worldometer (nominal GDP 2000-2025), IMF WEO (growth rates 2020-2025), projections use 2027 growth rate of 7.2%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35" customWidth="1" min="3" max="3"/>
    <col width="20" customWidth="1" min="4" max="4"/>
  </cols>
  <sheetData>
    <row r="1">
      <c r="A1" s="21" t="inlineStr">
        <is>
          <t>Year</t>
        </is>
      </c>
      <c r="B1" s="21" t="inlineStr">
        <is>
          <t>CFC (annual, GEL millions)</t>
        </is>
      </c>
      <c r="C1" s="21" t="inlineStr">
        <is>
          <t>Capital Stock from PWT (constant prices)</t>
        </is>
      </c>
      <c r="D1" s="21" t="inlineStr">
        <is>
          <t>Depreciation Rate (%)</t>
        </is>
      </c>
    </row>
    <row r="2">
      <c r="A2" t="n">
        <v>2015</v>
      </c>
      <c r="B2" s="23" t="n"/>
      <c r="C2" s="7">
        <f>PWT!B2</f>
        <v/>
      </c>
      <c r="D2" s="24">
        <f>IF(C2&gt;0, B2/C2, "")</f>
        <v/>
      </c>
    </row>
    <row r="3">
      <c r="A3" t="n">
        <v>2016</v>
      </c>
      <c r="B3" s="23" t="n"/>
      <c r="C3" s="7">
        <f>PWT!B2</f>
        <v/>
      </c>
      <c r="D3" s="24">
        <f>IF(C3&gt;0, B3/C3, "")</f>
        <v/>
      </c>
    </row>
    <row r="4">
      <c r="A4" t="n">
        <v>2017</v>
      </c>
      <c r="B4" s="23" t="n"/>
      <c r="C4" s="7">
        <f>PWT!B2</f>
        <v/>
      </c>
      <c r="D4" s="24">
        <f>IF(C4&gt;0, B4/C4, "")</f>
        <v/>
      </c>
    </row>
    <row r="5">
      <c r="A5" t="n">
        <v>2018</v>
      </c>
      <c r="B5" s="23" t="n"/>
      <c r="C5" s="7">
        <f>PWT!B2</f>
        <v/>
      </c>
      <c r="D5" s="24">
        <f>IF(C5&gt;0, B5/C5, "")</f>
        <v/>
      </c>
    </row>
    <row r="6">
      <c r="A6" t="n">
        <v>2019</v>
      </c>
      <c r="B6" s="23" t="n"/>
      <c r="C6" s="7">
        <f>PWT!B2</f>
        <v/>
      </c>
      <c r="D6" s="24">
        <f>IF(C6&gt;0, B6/C6, "")</f>
        <v/>
      </c>
    </row>
    <row r="7">
      <c r="A7" t="n">
        <v>2020</v>
      </c>
      <c r="B7" s="23" t="n"/>
      <c r="C7" s="7">
        <f>PWT!B2</f>
        <v/>
      </c>
      <c r="D7" s="24">
        <f>IF(C7&gt;0, B7/C7, "")</f>
        <v/>
      </c>
    </row>
    <row r="8">
      <c r="A8" t="n">
        <v>2021</v>
      </c>
      <c r="B8" s="23" t="n"/>
      <c r="C8" s="7">
        <f>PWT!B2</f>
        <v/>
      </c>
      <c r="D8" s="24">
        <f>IF(C8&gt;0, B8/C8, "")</f>
        <v/>
      </c>
    </row>
    <row r="9">
      <c r="A9" t="n">
        <v>2022</v>
      </c>
      <c r="B9" s="23" t="n"/>
      <c r="C9" s="7">
        <f>PWT!B2</f>
        <v/>
      </c>
      <c r="D9" s="24">
        <f>IF(C9&gt;0, B9/C9, "")</f>
        <v/>
      </c>
    </row>
    <row r="10">
      <c r="A10" t="n">
        <v>2023</v>
      </c>
      <c r="B10" s="23" t="n"/>
      <c r="C10" s="7">
        <f>PWT!B2</f>
        <v/>
      </c>
      <c r="D10" s="24">
        <f>IF(C10&gt;0, B10/C10, "")</f>
        <v/>
      </c>
    </row>
    <row r="12">
      <c r="A12" s="11" t="inlineStr">
        <is>
          <t>Note: Column B data (CFC) needs to be populated from ECB Data Portal</t>
        </is>
      </c>
    </row>
    <row r="13">
      <c r="A13" s="5" t="inlineStr">
        <is>
          <t>Source: https://data.ecb.europa.eu/data/geographical-areas/georgia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30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</cols>
  <sheetData>
    <row r="1">
      <c r="A1" t="inlineStr">
        <is>
          <t>Data for HP Filter and Production Function</t>
        </is>
      </c>
    </row>
    <row r="3">
      <c r="A3" t="inlineStr">
        <is>
          <t>Average Annual Depreciation Rate (most recent 8 years)</t>
        </is>
      </c>
      <c r="B3" s="24">
        <f>AVERAGE('CFC data'!D6:D13)</f>
        <v/>
      </c>
    </row>
    <row r="5">
      <c r="A5" t="inlineStr">
        <is>
          <t>Year</t>
        </is>
      </c>
      <c r="B5" t="inlineStr">
        <is>
          <t>K (Capital Stock)</t>
        </is>
      </c>
      <c r="C5" t="inlineStr">
        <is>
          <t>Y (Real GDP)</t>
        </is>
      </c>
      <c r="D5" t="inlineStr">
        <is>
          <t>LnK</t>
        </is>
      </c>
      <c r="E5" t="inlineStr">
        <is>
          <t>LnY</t>
        </is>
      </c>
      <c r="F5" t="inlineStr">
        <is>
          <t>LnZ</t>
        </is>
      </c>
      <c r="G5" t="inlineStr">
        <is>
          <t>LnZ_HP</t>
        </is>
      </c>
      <c r="H5" t="inlineStr">
        <is>
          <t>D2_LnZ_HP</t>
        </is>
      </c>
      <c r="I5" t="inlineStr">
        <is>
          <t>D2_LnA</t>
        </is>
      </c>
      <c r="J5" t="inlineStr">
        <is>
          <t>Lambda</t>
        </is>
      </c>
      <c r="K5" t="inlineStr">
        <is>
          <t>LnA_Trend</t>
        </is>
      </c>
      <c r="L5" t="inlineStr">
        <is>
          <t>LnA - Trend</t>
        </is>
      </c>
      <c r="M5" t="inlineStr">
        <is>
          <t>Objective</t>
        </is>
      </c>
      <c r="N5" t="inlineStr">
        <is>
          <t>Sanity Check</t>
        </is>
      </c>
      <c r="P5">
        <f>SUMPRODUCT(L6:L27, L6:L27) + $J$6*SUMPRODUCT(H6:H27, H6:H27)</f>
        <v/>
      </c>
    </row>
    <row r="6">
      <c r="A6" t="n">
        <v>2002</v>
      </c>
      <c r="B6" s="6" t="n"/>
      <c r="C6" s="7" t="n"/>
      <c r="D6" s="8">
        <f>IF(B6&gt;0, LN(B6), "")</f>
        <v/>
      </c>
      <c r="E6" s="8">
        <f>IF(C6&gt;0, LN(C6), "")</f>
        <v/>
      </c>
      <c r="F6" s="8">
        <f>IF(AND(D6&lt;&gt;"", E6&lt;&gt;""), E6-D6, "")</f>
        <v/>
      </c>
      <c r="G6" s="9">
        <f>F6</f>
        <v/>
      </c>
      <c r="H6" s="8" t="n"/>
      <c r="J6" t="n">
        <v>1600</v>
      </c>
      <c r="K6" s="8" t="n"/>
      <c r="L6" s="8">
        <f>IF(AND(F6&lt;&gt;"", K6&lt;&gt;""), F6-K6, "")</f>
        <v/>
      </c>
      <c r="N6">
        <f>IF(L6="", "", IF(ABS(L6)&lt;0.0001, "OK", L6))</f>
        <v/>
      </c>
      <c r="P6" s="10" t="n"/>
    </row>
    <row r="7">
      <c r="A7" t="n">
        <v>2003</v>
      </c>
      <c r="B7" s="6" t="n"/>
      <c r="C7" s="7" t="n"/>
      <c r="D7" s="8">
        <f>IF(B7&gt;0, LN(B7), "")</f>
        <v/>
      </c>
      <c r="E7" s="8">
        <f>IF(C7&gt;0, LN(C7), "")</f>
        <v/>
      </c>
      <c r="F7" s="8">
        <f>IF(AND(D7&lt;&gt;"", E7&lt;&gt;""), E7-D7, "")</f>
        <v/>
      </c>
      <c r="G7" s="9">
        <f>F7</f>
        <v/>
      </c>
      <c r="H7" s="8" t="n"/>
      <c r="K7" s="8" t="n"/>
      <c r="L7" s="8">
        <f>IF(AND(F7&lt;&gt;"", K7&lt;&gt;""), F7-K7, "")</f>
        <v/>
      </c>
      <c r="N7">
        <f>IF(L7="", "", IF(ABS(L7)&lt;0.0001, "OK", L7))</f>
        <v/>
      </c>
      <c r="P7" s="10" t="n"/>
    </row>
    <row r="8">
      <c r="A8" t="n">
        <v>2004</v>
      </c>
      <c r="B8" s="6" t="n"/>
      <c r="C8" s="7" t="n"/>
      <c r="D8" s="8">
        <f>IF(B8&gt;0, LN(B8), "")</f>
        <v/>
      </c>
      <c r="E8" s="8">
        <f>IF(C8&gt;0, LN(C8), "")</f>
        <v/>
      </c>
      <c r="F8" s="8">
        <f>IF(AND(D8&lt;&gt;"", E8&lt;&gt;""), E8-D8, "")</f>
        <v/>
      </c>
      <c r="G8" s="9">
        <f>F8</f>
        <v/>
      </c>
      <c r="H8" s="8">
        <f>IF(ROW()&gt;7, G8-2*G7+G6, "")</f>
        <v/>
      </c>
      <c r="K8" s="8" t="n"/>
      <c r="L8" s="8">
        <f>IF(AND(F8&lt;&gt;"", K8&lt;&gt;""), F8-K8, "")</f>
        <v/>
      </c>
      <c r="N8">
        <f>IF(L8="", "", IF(ABS(L8)&lt;0.0001, "OK", L8))</f>
        <v/>
      </c>
      <c r="P8" s="10" t="n"/>
    </row>
    <row r="9">
      <c r="A9" t="n">
        <v>2005</v>
      </c>
      <c r="B9" s="6" t="n"/>
      <c r="C9" s="7" t="n"/>
      <c r="D9" s="8">
        <f>IF(B9&gt;0, LN(B9), "")</f>
        <v/>
      </c>
      <c r="E9" s="8">
        <f>IF(C9&gt;0, LN(C9), "")</f>
        <v/>
      </c>
      <c r="F9" s="8">
        <f>IF(AND(D9&lt;&gt;"", E9&lt;&gt;""), E9-D9, "")</f>
        <v/>
      </c>
      <c r="G9" s="9">
        <f>F9</f>
        <v/>
      </c>
      <c r="H9" s="8">
        <f>IF(ROW()&gt;7, G9-2*G8+G7, "")</f>
        <v/>
      </c>
      <c r="K9" s="8" t="n"/>
      <c r="L9" s="8">
        <f>IF(AND(F9&lt;&gt;"", K9&lt;&gt;""), F9-K9, "")</f>
        <v/>
      </c>
      <c r="N9">
        <f>IF(L9="", "", IF(ABS(L9)&lt;0.0001, "OK", L9))</f>
        <v/>
      </c>
      <c r="P9" s="10" t="n"/>
    </row>
    <row r="10">
      <c r="A10" t="n">
        <v>2006</v>
      </c>
      <c r="B10" s="6" t="n"/>
      <c r="C10" s="7" t="n"/>
      <c r="D10" s="8">
        <f>IF(B10&gt;0, LN(B10), "")</f>
        <v/>
      </c>
      <c r="E10" s="8">
        <f>IF(C10&gt;0, LN(C10), "")</f>
        <v/>
      </c>
      <c r="F10" s="8">
        <f>IF(AND(D10&lt;&gt;"", E10&lt;&gt;""), E10-D10, "")</f>
        <v/>
      </c>
      <c r="G10" s="9">
        <f>F10</f>
        <v/>
      </c>
      <c r="H10" s="8">
        <f>IF(ROW()&gt;7, G10-2*G9+G8, "")</f>
        <v/>
      </c>
      <c r="K10" s="8" t="n"/>
      <c r="L10" s="8">
        <f>IF(AND(F10&lt;&gt;"", K10&lt;&gt;""), F10-K10, "")</f>
        <v/>
      </c>
      <c r="N10">
        <f>IF(L10="", "", IF(ABS(L10)&lt;0.0001, "OK", L10))</f>
        <v/>
      </c>
      <c r="P10" s="10" t="n"/>
    </row>
    <row r="11">
      <c r="A11" t="n">
        <v>2007</v>
      </c>
      <c r="B11" s="6" t="n"/>
      <c r="C11" s="7" t="n"/>
      <c r="D11" s="8">
        <f>IF(B11&gt;0, LN(B11), "")</f>
        <v/>
      </c>
      <c r="E11" s="8">
        <f>IF(C11&gt;0, LN(C11), "")</f>
        <v/>
      </c>
      <c r="F11" s="8">
        <f>IF(AND(D11&lt;&gt;"", E11&lt;&gt;""), E11-D11, "")</f>
        <v/>
      </c>
      <c r="G11" s="9">
        <f>F11</f>
        <v/>
      </c>
      <c r="H11" s="8">
        <f>IF(ROW()&gt;7, G11-2*G10+G9, "")</f>
        <v/>
      </c>
      <c r="K11" s="8" t="n"/>
      <c r="L11" s="8">
        <f>IF(AND(F11&lt;&gt;"", K11&lt;&gt;""), F11-K11, "")</f>
        <v/>
      </c>
      <c r="N11">
        <f>IF(L11="", "", IF(ABS(L11)&lt;0.0001, "OK", L11))</f>
        <v/>
      </c>
      <c r="P11" s="10" t="n"/>
    </row>
    <row r="12">
      <c r="A12" t="n">
        <v>2008</v>
      </c>
      <c r="B12" s="6" t="n"/>
      <c r="C12" s="7" t="n"/>
      <c r="D12" s="8">
        <f>IF(B12&gt;0, LN(B12), "")</f>
        <v/>
      </c>
      <c r="E12" s="8">
        <f>IF(C12&gt;0, LN(C12), "")</f>
        <v/>
      </c>
      <c r="F12" s="8">
        <f>IF(AND(D12&lt;&gt;"", E12&lt;&gt;""), E12-D12, "")</f>
        <v/>
      </c>
      <c r="G12" s="9">
        <f>F12</f>
        <v/>
      </c>
      <c r="H12" s="8">
        <f>IF(ROW()&gt;7, G12-2*G11+G10, "")</f>
        <v/>
      </c>
      <c r="K12" s="8" t="n"/>
      <c r="L12" s="8">
        <f>IF(AND(F12&lt;&gt;"", K12&lt;&gt;""), F12-K12, "")</f>
        <v/>
      </c>
      <c r="N12">
        <f>IF(L12="", "", IF(ABS(L12)&lt;0.0001, "OK", L12))</f>
        <v/>
      </c>
      <c r="P12" s="10" t="n"/>
    </row>
    <row r="13">
      <c r="A13" t="n">
        <v>2009</v>
      </c>
      <c r="B13" s="6" t="n"/>
      <c r="C13" s="7" t="n"/>
      <c r="D13" s="8">
        <f>IF(B13&gt;0, LN(B13), "")</f>
        <v/>
      </c>
      <c r="E13" s="8">
        <f>IF(C13&gt;0, LN(C13), "")</f>
        <v/>
      </c>
      <c r="F13" s="8">
        <f>IF(AND(D13&lt;&gt;"", E13&lt;&gt;""), E13-D13, "")</f>
        <v/>
      </c>
      <c r="G13" s="9">
        <f>F13</f>
        <v/>
      </c>
      <c r="H13" s="8">
        <f>IF(ROW()&gt;7, G13-2*G12+G11, "")</f>
        <v/>
      </c>
      <c r="K13" s="8" t="n"/>
      <c r="L13" s="8">
        <f>IF(AND(F13&lt;&gt;"", K13&lt;&gt;""), F13-K13, "")</f>
        <v/>
      </c>
      <c r="N13">
        <f>IF(L13="", "", IF(ABS(L13)&lt;0.0001, "OK", L13))</f>
        <v/>
      </c>
      <c r="P13" s="10" t="n"/>
    </row>
    <row r="14">
      <c r="A14" t="n">
        <v>2010</v>
      </c>
      <c r="B14" s="6" t="n"/>
      <c r="C14" s="7" t="n"/>
      <c r="D14" s="8">
        <f>IF(B14&gt;0, LN(B14), "")</f>
        <v/>
      </c>
      <c r="E14" s="8">
        <f>IF(C14&gt;0, LN(C14), "")</f>
        <v/>
      </c>
      <c r="F14" s="8">
        <f>IF(AND(D14&lt;&gt;"", E14&lt;&gt;""), E14-D14, "")</f>
        <v/>
      </c>
      <c r="G14" s="9">
        <f>F14</f>
        <v/>
      </c>
      <c r="H14" s="8">
        <f>IF(ROW()&gt;7, G14-2*G13+G12, "")</f>
        <v/>
      </c>
      <c r="K14" s="8" t="n"/>
      <c r="L14" s="8">
        <f>IF(AND(F14&lt;&gt;"", K14&lt;&gt;""), F14-K14, "")</f>
        <v/>
      </c>
      <c r="N14">
        <f>IF(L14="", "", IF(ABS(L14)&lt;0.0001, "OK", L14))</f>
        <v/>
      </c>
      <c r="P14" s="10" t="n"/>
    </row>
    <row r="15">
      <c r="A15" t="n">
        <v>2011</v>
      </c>
      <c r="B15" s="6" t="n"/>
      <c r="C15" s="7" t="n"/>
      <c r="D15" s="8">
        <f>IF(B15&gt;0, LN(B15), "")</f>
        <v/>
      </c>
      <c r="E15" s="8">
        <f>IF(C15&gt;0, LN(C15), "")</f>
        <v/>
      </c>
      <c r="F15" s="8">
        <f>IF(AND(D15&lt;&gt;"", E15&lt;&gt;""), E15-D15, "")</f>
        <v/>
      </c>
      <c r="G15" s="9">
        <f>F15</f>
        <v/>
      </c>
      <c r="H15" s="8">
        <f>IF(ROW()&gt;7, G15-2*G14+G13, "")</f>
        <v/>
      </c>
      <c r="K15" s="8" t="n"/>
      <c r="L15" s="8">
        <f>IF(AND(F15&lt;&gt;"", K15&lt;&gt;""), F15-K15, "")</f>
        <v/>
      </c>
      <c r="N15">
        <f>IF(L15="", "", IF(ABS(L15)&lt;0.0001, "OK", L15))</f>
        <v/>
      </c>
      <c r="P15" s="10" t="n"/>
    </row>
    <row r="16">
      <c r="A16" t="n">
        <v>2012</v>
      </c>
      <c r="B16" s="6" t="n"/>
      <c r="C16" s="7" t="n"/>
      <c r="D16" s="8">
        <f>IF(B16&gt;0, LN(B16), "")</f>
        <v/>
      </c>
      <c r="E16" s="8">
        <f>IF(C16&gt;0, LN(C16), "")</f>
        <v/>
      </c>
      <c r="F16" s="8">
        <f>IF(AND(D16&lt;&gt;"", E16&lt;&gt;""), E16-D16, "")</f>
        <v/>
      </c>
      <c r="G16" s="9">
        <f>F16</f>
        <v/>
      </c>
      <c r="H16" s="8">
        <f>IF(ROW()&gt;7, G16-2*G15+G14, "")</f>
        <v/>
      </c>
      <c r="K16" s="8" t="n"/>
      <c r="L16" s="8">
        <f>IF(AND(F16&lt;&gt;"", K16&lt;&gt;""), F16-K16, "")</f>
        <v/>
      </c>
      <c r="N16">
        <f>IF(L16="", "", IF(ABS(L16)&lt;0.0001, "OK", L16))</f>
        <v/>
      </c>
      <c r="P16" s="10" t="n"/>
    </row>
    <row r="17">
      <c r="A17" t="n">
        <v>2013</v>
      </c>
      <c r="B17" s="6" t="n"/>
      <c r="C17" s="7" t="n"/>
      <c r="D17" s="8">
        <f>IF(B17&gt;0, LN(B17), "")</f>
        <v/>
      </c>
      <c r="E17" s="8">
        <f>IF(C17&gt;0, LN(C17), "")</f>
        <v/>
      </c>
      <c r="F17" s="8">
        <f>IF(AND(D17&lt;&gt;"", E17&lt;&gt;""), E17-D17, "")</f>
        <v/>
      </c>
      <c r="G17" s="9">
        <f>F17</f>
        <v/>
      </c>
      <c r="H17" s="8">
        <f>IF(ROW()&gt;7, G17-2*G16+G15, "")</f>
        <v/>
      </c>
      <c r="K17" s="8" t="n"/>
      <c r="L17" s="8">
        <f>IF(AND(F17&lt;&gt;"", K17&lt;&gt;""), F17-K17, "")</f>
        <v/>
      </c>
      <c r="N17">
        <f>IF(L17="", "", IF(ABS(L17)&lt;0.0001, "OK", L17))</f>
        <v/>
      </c>
      <c r="P17" s="10" t="n"/>
    </row>
    <row r="18">
      <c r="A18" t="n">
        <v>2014</v>
      </c>
      <c r="B18" s="6" t="n"/>
      <c r="C18" s="7" t="n"/>
      <c r="D18" s="8">
        <f>IF(B18&gt;0, LN(B18), "")</f>
        <v/>
      </c>
      <c r="E18" s="8">
        <f>IF(C18&gt;0, LN(C18), "")</f>
        <v/>
      </c>
      <c r="F18" s="8">
        <f>IF(AND(D18&lt;&gt;"", E18&lt;&gt;""), E18-D18, "")</f>
        <v/>
      </c>
      <c r="G18" s="9">
        <f>F18</f>
        <v/>
      </c>
      <c r="H18" s="8">
        <f>IF(ROW()&gt;7, G18-2*G17+G16, "")</f>
        <v/>
      </c>
      <c r="K18" s="8" t="n"/>
      <c r="L18" s="8">
        <f>IF(AND(F18&lt;&gt;"", K18&lt;&gt;""), F18-K18, "")</f>
        <v/>
      </c>
      <c r="N18">
        <f>IF(L18="", "", IF(ABS(L18)&lt;0.0001, "OK", L18))</f>
        <v/>
      </c>
      <c r="P18" s="10" t="n"/>
    </row>
    <row r="19">
      <c r="A19" t="n">
        <v>2015</v>
      </c>
      <c r="B19" s="6" t="n"/>
      <c r="C19" s="7" t="n"/>
      <c r="D19" s="8">
        <f>IF(B19&gt;0, LN(B19), "")</f>
        <v/>
      </c>
      <c r="E19" s="8">
        <f>IF(C19&gt;0, LN(C19), "")</f>
        <v/>
      </c>
      <c r="F19" s="8">
        <f>IF(AND(D19&lt;&gt;"", E19&lt;&gt;""), E19-D19, "")</f>
        <v/>
      </c>
      <c r="G19" s="9">
        <f>F19</f>
        <v/>
      </c>
      <c r="H19" s="8">
        <f>IF(ROW()&gt;7, G19-2*G18+G17, "")</f>
        <v/>
      </c>
      <c r="K19" s="8" t="n"/>
      <c r="L19" s="8">
        <f>IF(AND(F19&lt;&gt;"", K19&lt;&gt;""), F19-K19, "")</f>
        <v/>
      </c>
      <c r="N19">
        <f>IF(L19="", "", IF(ABS(L19)&lt;0.0001, "OK", L19))</f>
        <v/>
      </c>
      <c r="P19" s="10" t="n"/>
    </row>
    <row r="20">
      <c r="A20" t="n">
        <v>2016</v>
      </c>
      <c r="B20" s="6" t="n"/>
      <c r="C20" s="7" t="n"/>
      <c r="D20" s="8">
        <f>IF(B20&gt;0, LN(B20), "")</f>
        <v/>
      </c>
      <c r="E20" s="8">
        <f>IF(C20&gt;0, LN(C20), "")</f>
        <v/>
      </c>
      <c r="F20" s="8">
        <f>IF(AND(D20&lt;&gt;"", E20&lt;&gt;""), E20-D20, "")</f>
        <v/>
      </c>
      <c r="G20" s="9">
        <f>F20</f>
        <v/>
      </c>
      <c r="H20" s="8">
        <f>IF(ROW()&gt;7, G20-2*G19+G18, "")</f>
        <v/>
      </c>
      <c r="K20" s="8" t="n"/>
      <c r="L20" s="8">
        <f>IF(AND(F20&lt;&gt;"", K20&lt;&gt;""), F20-K20, "")</f>
        <v/>
      </c>
      <c r="N20">
        <f>IF(L20="", "", IF(ABS(L20)&lt;0.0001, "OK", L20))</f>
        <v/>
      </c>
      <c r="P20" s="10" t="n"/>
    </row>
    <row r="21">
      <c r="A21" t="n">
        <v>2017</v>
      </c>
      <c r="B21" s="6" t="n"/>
      <c r="C21" s="7" t="n"/>
      <c r="D21" s="8">
        <f>IF(B21&gt;0, LN(B21), "")</f>
        <v/>
      </c>
      <c r="E21" s="8">
        <f>IF(C21&gt;0, LN(C21), "")</f>
        <v/>
      </c>
      <c r="F21" s="8">
        <f>IF(AND(D21&lt;&gt;"", E21&lt;&gt;""), E21-D21, "")</f>
        <v/>
      </c>
      <c r="G21" s="9">
        <f>F21</f>
        <v/>
      </c>
      <c r="H21" s="8">
        <f>IF(ROW()&gt;7, G21-2*G20+G19, "")</f>
        <v/>
      </c>
      <c r="K21" s="8" t="n"/>
      <c r="L21" s="8">
        <f>IF(AND(F21&lt;&gt;"", K21&lt;&gt;""), F21-K21, "")</f>
        <v/>
      </c>
      <c r="N21">
        <f>IF(L21="", "", IF(ABS(L21)&lt;0.0001, "OK", L21))</f>
        <v/>
      </c>
      <c r="P21" s="10" t="n"/>
    </row>
    <row r="22">
      <c r="A22" t="n">
        <v>2018</v>
      </c>
      <c r="B22" s="6" t="n"/>
      <c r="C22" s="7" t="n"/>
      <c r="D22" s="8">
        <f>IF(B22&gt;0, LN(B22), "")</f>
        <v/>
      </c>
      <c r="E22" s="8">
        <f>IF(C22&gt;0, LN(C22), "")</f>
        <v/>
      </c>
      <c r="F22" s="8">
        <f>IF(AND(D22&lt;&gt;"", E22&lt;&gt;""), E22-D22, "")</f>
        <v/>
      </c>
      <c r="G22" s="9">
        <f>F22</f>
        <v/>
      </c>
      <c r="H22" s="8">
        <f>IF(ROW()&gt;7, G22-2*G21+G20, "")</f>
        <v/>
      </c>
      <c r="K22" s="8" t="n"/>
      <c r="L22" s="8">
        <f>IF(AND(F22&lt;&gt;"", K22&lt;&gt;""), F22-K22, "")</f>
        <v/>
      </c>
      <c r="N22">
        <f>IF(L22="", "", IF(ABS(L22)&lt;0.0001, "OK", L22))</f>
        <v/>
      </c>
      <c r="P22" s="10" t="n"/>
    </row>
    <row r="23">
      <c r="A23" t="n">
        <v>2019</v>
      </c>
      <c r="B23" s="6" t="n"/>
      <c r="C23" s="7" t="n"/>
      <c r="D23" s="8">
        <f>IF(B23&gt;0, LN(B23), "")</f>
        <v/>
      </c>
      <c r="E23" s="8">
        <f>IF(C23&gt;0, LN(C23), "")</f>
        <v/>
      </c>
      <c r="F23" s="8">
        <f>IF(AND(D23&lt;&gt;"", E23&lt;&gt;""), E23-D23, "")</f>
        <v/>
      </c>
      <c r="G23" s="9">
        <f>F23</f>
        <v/>
      </c>
      <c r="H23" s="8">
        <f>IF(ROW()&gt;7, G23-2*G22+G21, "")</f>
        <v/>
      </c>
      <c r="K23" s="8" t="n"/>
      <c r="L23" s="8">
        <f>IF(AND(F23&lt;&gt;"", K23&lt;&gt;""), F23-K23, "")</f>
        <v/>
      </c>
      <c r="N23">
        <f>IF(L23="", "", IF(ABS(L23)&lt;0.0001, "OK", L23))</f>
        <v/>
      </c>
      <c r="P23" s="10" t="n"/>
    </row>
    <row r="24">
      <c r="A24" t="n">
        <v>2020</v>
      </c>
      <c r="B24" s="6" t="n"/>
      <c r="C24" s="7" t="n"/>
      <c r="D24" s="8">
        <f>IF(B24&gt;0, LN(B24), "")</f>
        <v/>
      </c>
      <c r="E24" s="8">
        <f>IF(C24&gt;0, LN(C24), "")</f>
        <v/>
      </c>
      <c r="F24" s="8">
        <f>IF(AND(D24&lt;&gt;"", E24&lt;&gt;""), E24-D24, "")</f>
        <v/>
      </c>
      <c r="G24" s="9">
        <f>F24</f>
        <v/>
      </c>
      <c r="H24" s="8">
        <f>IF(ROW()&gt;7, G24-2*G23+G22, "")</f>
        <v/>
      </c>
      <c r="K24" s="8" t="n"/>
      <c r="L24" s="8">
        <f>IF(AND(F24&lt;&gt;"", K24&lt;&gt;""), F24-K24, "")</f>
        <v/>
      </c>
      <c r="N24">
        <f>IF(L24="", "", IF(ABS(L24)&lt;0.0001, "OK", L24))</f>
        <v/>
      </c>
      <c r="P24" s="10" t="n"/>
    </row>
    <row r="25">
      <c r="A25" t="n">
        <v>2021</v>
      </c>
      <c r="B25" s="6" t="n"/>
      <c r="C25" s="7" t="n"/>
      <c r="D25" s="8">
        <f>IF(B25&gt;0, LN(B25), "")</f>
        <v/>
      </c>
      <c r="E25" s="8">
        <f>IF(C25&gt;0, LN(C25), "")</f>
        <v/>
      </c>
      <c r="F25" s="8">
        <f>IF(AND(D25&lt;&gt;"", E25&lt;&gt;""), E25-D25, "")</f>
        <v/>
      </c>
      <c r="G25" s="9">
        <f>F25</f>
        <v/>
      </c>
      <c r="H25" s="8">
        <f>IF(ROW()&gt;7, G25-2*G24+G23, "")</f>
        <v/>
      </c>
      <c r="K25" s="8" t="n"/>
      <c r="L25" s="8">
        <f>IF(AND(F25&lt;&gt;"", K25&lt;&gt;""), F25-K25, "")</f>
        <v/>
      </c>
      <c r="N25">
        <f>IF(L25="", "", IF(ABS(L25)&lt;0.0001, "OK", L25))</f>
        <v/>
      </c>
      <c r="P25" s="10" t="n"/>
    </row>
    <row r="26">
      <c r="A26" t="n">
        <v>2022</v>
      </c>
      <c r="B26" s="6" t="n"/>
      <c r="C26" s="7" t="n"/>
      <c r="D26" s="8">
        <f>IF(B26&gt;0, LN(B26), "")</f>
        <v/>
      </c>
      <c r="E26" s="8">
        <f>IF(C26&gt;0, LN(C26), "")</f>
        <v/>
      </c>
      <c r="F26" s="8">
        <f>IF(AND(D26&lt;&gt;"", E26&lt;&gt;""), E26-D26, "")</f>
        <v/>
      </c>
      <c r="G26" s="9">
        <f>F26</f>
        <v/>
      </c>
      <c r="H26" s="8">
        <f>IF(ROW()&gt;7, G26-2*G25+G24, "")</f>
        <v/>
      </c>
      <c r="K26" s="8" t="n"/>
      <c r="L26" s="8">
        <f>IF(AND(F26&lt;&gt;"", K26&lt;&gt;""), F26-K26, "")</f>
        <v/>
      </c>
      <c r="N26">
        <f>IF(L26="", "", IF(ABS(L26)&lt;0.0001, "OK", L26))</f>
        <v/>
      </c>
      <c r="P26" s="10" t="n"/>
    </row>
    <row r="27">
      <c r="A27" t="n">
        <v>2023</v>
      </c>
      <c r="B27" s="6" t="n"/>
      <c r="C27" s="7" t="n"/>
      <c r="D27" s="8">
        <f>IF(B27&gt;0, LN(B27), "")</f>
        <v/>
      </c>
      <c r="E27" s="8">
        <f>IF(C27&gt;0, LN(C27), "")</f>
        <v/>
      </c>
      <c r="F27" s="8">
        <f>IF(AND(D27&lt;&gt;"", E27&lt;&gt;""), E27-D27, "")</f>
        <v/>
      </c>
      <c r="G27" s="9">
        <f>F27</f>
        <v/>
      </c>
      <c r="H27" s="8">
        <f>IF(ROW()&gt;7, G27-2*G26+G25, "")</f>
        <v/>
      </c>
      <c r="K27" s="8" t="n"/>
      <c r="L27" s="8">
        <f>IF(AND(F27&lt;&gt;"", K27&lt;&gt;""), F27-K27, "")</f>
        <v/>
      </c>
      <c r="N27">
        <f>IF(L27="", "", IF(ABS(L27)&lt;0.0001, "OK", L27))</f>
        <v/>
      </c>
      <c r="P27" s="10" t="n"/>
    </row>
    <row r="30">
      <c r="A30" s="11" t="inlineStr">
        <is>
          <t>Note: Use Solver to minimize P5 by changing G6:G27 (LnZ_HP)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t="inlineStr">
        <is>
          <t>Investment Shock Analysis</t>
        </is>
      </c>
    </row>
    <row r="3">
      <c r="A3" t="inlineStr">
        <is>
          <t>Investment Duration (years)</t>
        </is>
      </c>
      <c r="B3" t="n">
        <v>8</v>
      </c>
    </row>
    <row r="4">
      <c r="A4" t="inlineStr">
        <is>
          <t>Investment Amount (USD billions)</t>
        </is>
      </c>
      <c r="B4" t="n">
        <v>6.5</v>
      </c>
    </row>
    <row r="5">
      <c r="A5" t="inlineStr">
        <is>
          <t>Start Year</t>
        </is>
      </c>
      <c r="B5" t="n">
        <v>2026</v>
      </c>
    </row>
    <row r="7">
      <c r="A7" t="inlineStr">
        <is>
          <t>Year</t>
        </is>
      </c>
      <c r="B7" t="inlineStr">
        <is>
          <t>Annual Investment (USD millions)</t>
        </is>
      </c>
      <c r="C7" t="inlineStr">
        <is>
          <t>K (with investment)</t>
        </is>
      </c>
      <c r="D7" t="inlineStr">
        <is>
          <t>Y (with investment)</t>
        </is>
      </c>
      <c r="E7" t="inlineStr">
        <is>
          <t>Y (without investment)</t>
        </is>
      </c>
      <c r="F7" t="inlineStr">
        <is>
          <t>Impact on Y</t>
        </is>
      </c>
    </row>
    <row r="8">
      <c r="A8" t="n">
        <v>2026</v>
      </c>
      <c r="B8" s="6" t="n">
        <v>812.5</v>
      </c>
      <c r="C8" s="10">
        <f>IF(ROW()=8, 0, C7*(1-0.085) + B8*1000)</f>
        <v/>
      </c>
      <c r="D8" s="10" t="n"/>
      <c r="E8" s="10">
        <f>IF(ROW()=8, 0, E7*(1+0.072))</f>
        <v/>
      </c>
      <c r="F8" s="10">
        <f>D8-E8</f>
        <v/>
      </c>
    </row>
    <row r="9">
      <c r="A9" t="n">
        <v>2027</v>
      </c>
      <c r="B9" s="6" t="n">
        <v>812.5</v>
      </c>
      <c r="C9" s="10">
        <f>IF(ROW()=8, 0, C8*(1-0.085) + B9*1000)</f>
        <v/>
      </c>
      <c r="D9" s="10" t="n"/>
      <c r="E9" s="10">
        <f>IF(ROW()=8, 0, E8*(1+0.072))</f>
        <v/>
      </c>
      <c r="F9" s="10">
        <f>D9-E9</f>
        <v/>
      </c>
    </row>
    <row r="10">
      <c r="A10" t="n">
        <v>2028</v>
      </c>
      <c r="B10" s="6" t="n">
        <v>812.5</v>
      </c>
      <c r="C10" s="10">
        <f>IF(ROW()=8, 0, C9*(1-0.085) + B10*1000)</f>
        <v/>
      </c>
      <c r="D10" s="10" t="n"/>
      <c r="E10" s="10">
        <f>IF(ROW()=8, 0, E9*(1+0.072))</f>
        <v/>
      </c>
      <c r="F10" s="10">
        <f>D10-E10</f>
        <v/>
      </c>
    </row>
    <row r="11">
      <c r="A11" t="n">
        <v>2029</v>
      </c>
      <c r="B11" s="6" t="n">
        <v>812.5</v>
      </c>
      <c r="C11" s="10">
        <f>IF(ROW()=8, 0, C10*(1-0.085) + B11*1000)</f>
        <v/>
      </c>
      <c r="D11" s="10" t="n"/>
      <c r="E11" s="10">
        <f>IF(ROW()=8, 0, E10*(1+0.072))</f>
        <v/>
      </c>
      <c r="F11" s="10">
        <f>D11-E11</f>
        <v/>
      </c>
    </row>
    <row r="12">
      <c r="A12" t="n">
        <v>2030</v>
      </c>
      <c r="B12" s="6" t="n">
        <v>812.5</v>
      </c>
      <c r="C12" s="10">
        <f>IF(ROW()=8, 0, C11*(1-0.085) + B12*1000)</f>
        <v/>
      </c>
      <c r="D12" s="10" t="n"/>
      <c r="E12" s="10">
        <f>IF(ROW()=8, 0, E11*(1+0.072))</f>
        <v/>
      </c>
      <c r="F12" s="10">
        <f>D12-E12</f>
        <v/>
      </c>
    </row>
    <row r="13">
      <c r="A13" t="n">
        <v>2031</v>
      </c>
      <c r="B13" s="6" t="n">
        <v>812.5</v>
      </c>
      <c r="C13" s="10">
        <f>IF(ROW()=8, 0, C12*(1-0.085) + B13*1000)</f>
        <v/>
      </c>
      <c r="D13" s="10" t="n"/>
      <c r="E13" s="10">
        <f>IF(ROW()=8, 0, E12*(1+0.072))</f>
        <v/>
      </c>
      <c r="F13" s="10">
        <f>D13-E13</f>
        <v/>
      </c>
    </row>
    <row r="14">
      <c r="A14" t="n">
        <v>2032</v>
      </c>
      <c r="B14" s="6" t="n">
        <v>812.5</v>
      </c>
      <c r="C14" s="10">
        <f>IF(ROW()=8, 0, C13*(1-0.085) + B14*1000)</f>
        <v/>
      </c>
      <c r="D14" s="10" t="n"/>
      <c r="E14" s="10">
        <f>IF(ROW()=8, 0, E13*(1+0.072))</f>
        <v/>
      </c>
      <c r="F14" s="10">
        <f>D14-E14</f>
        <v/>
      </c>
    </row>
    <row r="15">
      <c r="A15" t="n">
        <v>2033</v>
      </c>
      <c r="B15" s="6" t="n">
        <v>812.5</v>
      </c>
      <c r="C15" s="10">
        <f>IF(ROW()=8, 0, C14*(1-0.085) + B15*1000)</f>
        <v/>
      </c>
      <c r="D15" s="10" t="n"/>
      <c r="E15" s="10">
        <f>IF(ROW()=8, 0, E14*(1+0.072))</f>
        <v/>
      </c>
      <c r="F15" s="10">
        <f>D15-E15</f>
        <v/>
      </c>
    </row>
    <row r="16">
      <c r="A16" t="n">
        <v>2034</v>
      </c>
      <c r="B16" s="6" t="n">
        <v>0</v>
      </c>
      <c r="C16" s="10">
        <f>IF(ROW()=8, 0, C15*(1-0.085) + B16*1000)</f>
        <v/>
      </c>
      <c r="D16" s="10" t="n"/>
      <c r="E16" s="10">
        <f>IF(ROW()=8, 0, E15*(1+0.072))</f>
        <v/>
      </c>
      <c r="F16" s="10">
        <f>D16-E16</f>
        <v/>
      </c>
    </row>
    <row r="17">
      <c r="A17" t="n">
        <v>2035</v>
      </c>
      <c r="B17" s="6" t="n">
        <v>0</v>
      </c>
      <c r="C17" s="10">
        <f>IF(ROW()=8, 0, C16*(1-0.085) + B17*1000)</f>
        <v/>
      </c>
      <c r="D17" s="10" t="n"/>
      <c r="E17" s="10">
        <f>IF(ROW()=8, 0, E16*(1+0.072))</f>
        <v/>
      </c>
      <c r="F17" s="10">
        <f>D17-E17</f>
        <v/>
      </c>
    </row>
    <row r="18">
      <c r="A18" t="n">
        <v>2036</v>
      </c>
      <c r="B18" s="6" t="n">
        <v>0</v>
      </c>
      <c r="C18" s="10">
        <f>IF(ROW()=8, 0, C17*(1-0.085) + B18*1000)</f>
        <v/>
      </c>
      <c r="D18" s="10" t="n"/>
      <c r="E18" s="10">
        <f>IF(ROW()=8, 0, E17*(1+0.072))</f>
        <v/>
      </c>
      <c r="F18" s="10">
        <f>D18-E18</f>
        <v/>
      </c>
    </row>
    <row r="19">
      <c r="A19" t="n">
        <v>2037</v>
      </c>
      <c r="B19" s="6" t="n">
        <v>0</v>
      </c>
      <c r="C19" s="10">
        <f>IF(ROW()=8, 0, C18*(1-0.085) + B19*1000)</f>
        <v/>
      </c>
      <c r="D19" s="10" t="n"/>
      <c r="E19" s="10">
        <f>IF(ROW()=8, 0, E18*(1+0.072))</f>
        <v/>
      </c>
      <c r="F19" s="10">
        <f>D19-E19</f>
        <v/>
      </c>
    </row>
    <row r="20">
      <c r="A20" t="n">
        <v>2038</v>
      </c>
      <c r="B20" s="6" t="n">
        <v>0</v>
      </c>
      <c r="C20" s="10">
        <f>IF(ROW()=8, 0, C19*(1-0.085) + B20*1000)</f>
        <v/>
      </c>
      <c r="D20" s="10" t="n"/>
      <c r="E20" s="10">
        <f>IF(ROW()=8, 0, E19*(1+0.072))</f>
        <v/>
      </c>
      <c r="F20" s="10">
        <f>D20-E20</f>
        <v/>
      </c>
    </row>
    <row r="21">
      <c r="A21" t="n">
        <v>2039</v>
      </c>
      <c r="B21" s="6" t="n">
        <v>0</v>
      </c>
      <c r="C21" s="10">
        <f>IF(ROW()=8, 0, C20*(1-0.085) + B21*1000)</f>
        <v/>
      </c>
      <c r="D21" s="10" t="n"/>
      <c r="E21" s="10">
        <f>IF(ROW()=8, 0, E20*(1+0.072))</f>
        <v/>
      </c>
      <c r="F21" s="10">
        <f>D21-E21</f>
        <v/>
      </c>
    </row>
    <row r="22">
      <c r="A22" t="n">
        <v>2040</v>
      </c>
      <c r="B22" s="6" t="n">
        <v>0</v>
      </c>
      <c r="C22" s="10">
        <f>IF(ROW()=8, 0, C21*(1-0.085) + B22*1000)</f>
        <v/>
      </c>
      <c r="D22" s="10" t="n"/>
      <c r="E22" s="10">
        <f>IF(ROW()=8, 0, E21*(1+0.072))</f>
        <v/>
      </c>
      <c r="F22" s="10">
        <f>D22-E22</f>
        <v/>
      </c>
    </row>
    <row r="23">
      <c r="A23" t="n">
        <v>2041</v>
      </c>
      <c r="B23" s="6" t="n">
        <v>0</v>
      </c>
      <c r="C23" s="10">
        <f>IF(ROW()=8, 0, C22*(1-0.085) + B23*1000)</f>
        <v/>
      </c>
      <c r="D23" s="10" t="n"/>
      <c r="E23" s="10">
        <f>IF(ROW()=8, 0, E22*(1+0.072))</f>
        <v/>
      </c>
      <c r="F23" s="10">
        <f>D23-E23</f>
        <v/>
      </c>
    </row>
    <row r="24">
      <c r="A24" t="n">
        <v>2042</v>
      </c>
      <c r="B24" s="6" t="n">
        <v>0</v>
      </c>
      <c r="C24" s="10">
        <f>IF(ROW()=8, 0, C23*(1-0.085) + B24*1000)</f>
        <v/>
      </c>
      <c r="D24" s="10" t="n"/>
      <c r="E24" s="10">
        <f>IF(ROW()=8, 0, E23*(1+0.072))</f>
        <v/>
      </c>
      <c r="F24" s="10">
        <f>D24-E24</f>
        <v/>
      </c>
    </row>
    <row r="25">
      <c r="A25" t="n">
        <v>2043</v>
      </c>
      <c r="B25" s="6" t="n">
        <v>0</v>
      </c>
      <c r="C25" s="10">
        <f>IF(ROW()=8, 0, C24*(1-0.085) + B25*1000)</f>
        <v/>
      </c>
      <c r="D25" s="10" t="n"/>
      <c r="E25" s="10">
        <f>IF(ROW()=8, 0, E24*(1+0.072))</f>
        <v/>
      </c>
      <c r="F25" s="10">
        <f>D25-E25</f>
        <v/>
      </c>
    </row>
    <row r="26">
      <c r="A26" t="n">
        <v>2044</v>
      </c>
      <c r="B26" s="6" t="n">
        <v>0</v>
      </c>
      <c r="C26" s="10">
        <f>IF(ROW()=8, 0, C25*(1-0.085) + B26*1000)</f>
        <v/>
      </c>
      <c r="D26" s="10" t="n"/>
      <c r="E26" s="10">
        <f>IF(ROW()=8, 0, E25*(1+0.072))</f>
        <v/>
      </c>
      <c r="F26" s="10">
        <f>D26-E26</f>
        <v/>
      </c>
    </row>
    <row r="27">
      <c r="A27" t="n">
        <v>2045</v>
      </c>
      <c r="B27" s="6" t="n">
        <v>0</v>
      </c>
      <c r="C27" s="10">
        <f>IF(ROW()=8, 0, C26*(1-0.085) + B27*1000)</f>
        <v/>
      </c>
      <c r="D27" s="10" t="n"/>
      <c r="E27" s="10">
        <f>IF(ROW()=8, 0, E26*(1+0.072))</f>
        <v/>
      </c>
      <c r="F27" s="10">
        <f>D27-E27</f>
        <v/>
      </c>
    </row>
    <row r="28">
      <c r="A28" t="n">
        <v>2046</v>
      </c>
      <c r="B28" s="6" t="n">
        <v>0</v>
      </c>
      <c r="C28" s="10">
        <f>IF(ROW()=8, 0, C27*(1-0.085) + B28*1000)</f>
        <v/>
      </c>
      <c r="D28" s="10" t="n"/>
      <c r="E28" s="10">
        <f>IF(ROW()=8, 0, E27*(1+0.072))</f>
        <v/>
      </c>
      <c r="F28" s="10">
        <f>D28-E28</f>
        <v/>
      </c>
    </row>
    <row r="29">
      <c r="A29" t="n">
        <v>2047</v>
      </c>
      <c r="B29" s="6" t="n">
        <v>0</v>
      </c>
      <c r="C29" s="10">
        <f>IF(ROW()=8, 0, C28*(1-0.085) + B29*1000)</f>
        <v/>
      </c>
      <c r="D29" s="10" t="n"/>
      <c r="E29" s="10">
        <f>IF(ROW()=8, 0, E28*(1+0.072))</f>
        <v/>
      </c>
      <c r="F29" s="10">
        <f>D29-E29</f>
        <v/>
      </c>
    </row>
    <row r="30">
      <c r="A30" t="n">
        <v>2048</v>
      </c>
      <c r="B30" s="6" t="n">
        <v>0</v>
      </c>
      <c r="C30" s="10">
        <f>IF(ROW()=8, 0, C29*(1-0.085) + B30*1000)</f>
        <v/>
      </c>
      <c r="D30" s="10" t="n"/>
      <c r="E30" s="10">
        <f>IF(ROW()=8, 0, E29*(1+0.072))</f>
        <v/>
      </c>
      <c r="F30" s="10">
        <f>D30-E30</f>
        <v/>
      </c>
    </row>
    <row r="31">
      <c r="A31" t="n">
        <v>2049</v>
      </c>
      <c r="B31" s="6" t="n">
        <v>0</v>
      </c>
      <c r="C31" s="10">
        <f>IF(ROW()=8, 0, C30*(1-0.085) + B31*1000)</f>
        <v/>
      </c>
      <c r="D31" s="10" t="n"/>
      <c r="E31" s="10">
        <f>IF(ROW()=8, 0, E30*(1+0.072))</f>
        <v/>
      </c>
      <c r="F31" s="10">
        <f>D31-E31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12" t="inlineStr">
        <is>
          <t>Production Function Analysis - Capital Stock Extension and Output Projections</t>
        </is>
      </c>
    </row>
    <row r="3">
      <c r="A3" t="inlineStr">
        <is>
          <t>Year</t>
        </is>
      </c>
      <c r="B3" t="inlineStr">
        <is>
          <t>Y (Real GDP, USD millions)</t>
        </is>
      </c>
      <c r="C3" t="inlineStr">
        <is>
          <t>K (Capital Stock, USD millions)</t>
        </is>
      </c>
      <c r="D3" t="inlineStr">
        <is>
          <t>K/Y Ratio</t>
        </is>
      </c>
      <c r="E3" t="inlineStr">
        <is>
          <t>LnZ_Trend (from HP Filter)</t>
        </is>
      </c>
      <c r="F3" t="inlineStr">
        <is>
          <t>Capital Share (α)</t>
        </is>
      </c>
      <c r="G3" t="inlineStr">
        <is>
          <t>Ystar_base (Potential Output)</t>
        </is>
      </c>
      <c r="H3" t="inlineStr">
        <is>
          <t>Annual Investment (USD millions)</t>
        </is>
      </c>
      <c r="I3" t="inlineStr">
        <is>
          <t>ΔK (Capital Change)</t>
        </is>
      </c>
      <c r="J3" t="inlineStr">
        <is>
          <t>K_with (Capital + Investment)</t>
        </is>
      </c>
      <c r="K3" t="inlineStr">
        <is>
          <t>Ystar_with (Output with Investment)</t>
        </is>
      </c>
      <c r="L3" t="inlineStr">
        <is>
          <t>Impact on Output</t>
        </is>
      </c>
    </row>
    <row r="4">
      <c r="A4" t="inlineStr">
        <is>
          <t>Capital Share (α) assumption:</t>
        </is>
      </c>
      <c r="B4" s="13">
        <f>'WEO_Data'!D4</f>
        <v/>
      </c>
      <c r="C4" s="13">
        <f>IF(B4&gt;0, B4/0.4, "")</f>
        <v/>
      </c>
      <c r="D4" s="13">
        <f>IF(B4&gt;0, C4/B4, "")</f>
        <v/>
      </c>
      <c r="E4" s="13" t="n"/>
      <c r="F4" s="14" t="n">
        <v>0.3</v>
      </c>
      <c r="G4" s="13">
        <f>IF(AND(E4&lt;&gt;"", C4&gt;0), EXP(E4)*C4^$F$4, "")</f>
        <v/>
      </c>
      <c r="H4" s="13" t="n"/>
      <c r="I4" s="13" t="n">
        <v>0</v>
      </c>
      <c r="J4" s="13">
        <f>C4</f>
        <v/>
      </c>
      <c r="K4" s="13">
        <f>G4*(1+$F$4*(J4-C4)/C4)</f>
        <v/>
      </c>
      <c r="L4" s="13">
        <f>K4-G4</f>
        <v/>
      </c>
    </row>
    <row r="5">
      <c r="A5" t="n">
        <v>2003</v>
      </c>
      <c r="B5" s="13">
        <f>'WEO_Data'!D5</f>
        <v/>
      </c>
      <c r="C5" s="13">
        <f>IF(B5&gt;0, B5/0.4, "")</f>
        <v/>
      </c>
      <c r="D5" s="13">
        <f>IF(B5&gt;0, C5/B5, "")</f>
        <v/>
      </c>
      <c r="E5" s="13" t="n"/>
      <c r="F5" t="n">
        <v>0.3</v>
      </c>
      <c r="G5" s="13">
        <f>IF(AND(E5&lt;&gt;"", C5&gt;0), EXP(E5)*C5^$F$4, "")</f>
        <v/>
      </c>
      <c r="H5" s="13" t="n"/>
      <c r="I5" s="13">
        <f>C5-C4</f>
        <v/>
      </c>
      <c r="J5" s="13">
        <f>C5</f>
        <v/>
      </c>
      <c r="K5" s="13">
        <f>G5*(1+$F$4*(J5-C5)/C5)</f>
        <v/>
      </c>
      <c r="L5" s="13">
        <f>K5-G5</f>
        <v/>
      </c>
    </row>
    <row r="6">
      <c r="A6" t="n">
        <v>2004</v>
      </c>
      <c r="B6" s="13">
        <f>'WEO_Data'!D6</f>
        <v/>
      </c>
      <c r="C6" s="13">
        <f>IF(B6&gt;0, B6/0.4, "")</f>
        <v/>
      </c>
      <c r="D6" s="13">
        <f>IF(B6&gt;0, C6/B6, "")</f>
        <v/>
      </c>
      <c r="E6" s="13" t="n"/>
      <c r="F6" t="n">
        <v>0.3</v>
      </c>
      <c r="G6" s="13">
        <f>IF(AND(E6&lt;&gt;"", C6&gt;0), EXP(E6)*C6^$F$4, "")</f>
        <v/>
      </c>
      <c r="H6" s="13" t="n"/>
      <c r="I6" s="13">
        <f>C6-C5</f>
        <v/>
      </c>
      <c r="J6" s="13">
        <f>C6</f>
        <v/>
      </c>
      <c r="K6" s="13">
        <f>G6*(1+$F$4*(J6-C6)/C6)</f>
        <v/>
      </c>
      <c r="L6" s="13">
        <f>K6-G6</f>
        <v/>
      </c>
    </row>
    <row r="7">
      <c r="A7" t="n">
        <v>2005</v>
      </c>
      <c r="B7" s="13">
        <f>'WEO_Data'!D7</f>
        <v/>
      </c>
      <c r="C7" s="13">
        <f>IF(B7&gt;0, B7/0.4, "")</f>
        <v/>
      </c>
      <c r="D7" s="13">
        <f>IF(B7&gt;0, C7/B7, "")</f>
        <v/>
      </c>
      <c r="E7" s="13" t="n"/>
      <c r="F7" t="n">
        <v>0.3</v>
      </c>
      <c r="G7" s="13">
        <f>IF(AND(E7&lt;&gt;"", C7&gt;0), EXP(E7)*C7^$F$4, "")</f>
        <v/>
      </c>
      <c r="H7" s="13" t="n"/>
      <c r="I7" s="13">
        <f>C7-C6</f>
        <v/>
      </c>
      <c r="J7" s="13">
        <f>C7</f>
        <v/>
      </c>
      <c r="K7" s="13">
        <f>G7*(1+$F$4*(J7-C7)/C7)</f>
        <v/>
      </c>
      <c r="L7" s="13">
        <f>K7-G7</f>
        <v/>
      </c>
    </row>
    <row r="8">
      <c r="A8" t="n">
        <v>2006</v>
      </c>
      <c r="B8" s="13">
        <f>'WEO_Data'!D8</f>
        <v/>
      </c>
      <c r="C8" s="13">
        <f>IF(B8&gt;0, B8/0.4, "")</f>
        <v/>
      </c>
      <c r="D8" s="13">
        <f>IF(B8&gt;0, C8/B8, "")</f>
        <v/>
      </c>
      <c r="E8" s="13" t="n"/>
      <c r="F8" t="n">
        <v>0.3</v>
      </c>
      <c r="G8" s="13">
        <f>IF(AND(E8&lt;&gt;"", C8&gt;0), EXP(E8)*C8^$F$4, "")</f>
        <v/>
      </c>
      <c r="H8" s="13" t="n"/>
      <c r="I8" s="13">
        <f>C8-C7</f>
        <v/>
      </c>
      <c r="J8" s="13">
        <f>C8</f>
        <v/>
      </c>
      <c r="K8" s="13">
        <f>G8*(1+$F$4*(J8-C8)/C8)</f>
        <v/>
      </c>
      <c r="L8" s="13">
        <f>K8-G8</f>
        <v/>
      </c>
    </row>
    <row r="9">
      <c r="A9" t="n">
        <v>2007</v>
      </c>
      <c r="B9" s="13">
        <f>'WEO_Data'!D9</f>
        <v/>
      </c>
      <c r="C9" s="13">
        <f>IF(B9&gt;0, B9/0.4, "")</f>
        <v/>
      </c>
      <c r="D9" s="13">
        <f>IF(B9&gt;0, C9/B9, "")</f>
        <v/>
      </c>
      <c r="E9" s="13" t="n"/>
      <c r="F9" t="n">
        <v>0.3</v>
      </c>
      <c r="G9" s="13">
        <f>IF(AND(E9&lt;&gt;"", C9&gt;0), EXP(E9)*C9^$F$4, "")</f>
        <v/>
      </c>
      <c r="H9" s="13" t="n"/>
      <c r="I9" s="13">
        <f>C9-C8</f>
        <v/>
      </c>
      <c r="J9" s="13">
        <f>C9</f>
        <v/>
      </c>
      <c r="K9" s="13">
        <f>G9*(1+$F$4*(J9-C9)/C9)</f>
        <v/>
      </c>
      <c r="L9" s="13">
        <f>K9-G9</f>
        <v/>
      </c>
    </row>
    <row r="10">
      <c r="A10" t="n">
        <v>2008</v>
      </c>
      <c r="B10" s="13">
        <f>'WEO_Data'!D10</f>
        <v/>
      </c>
      <c r="C10" s="13">
        <f>IF(B10&gt;0, B10/0.4, "")</f>
        <v/>
      </c>
      <c r="D10" s="13">
        <f>IF(B10&gt;0, C10/B10, "")</f>
        <v/>
      </c>
      <c r="E10" s="13" t="n"/>
      <c r="F10" t="n">
        <v>0.3</v>
      </c>
      <c r="G10" s="13">
        <f>IF(AND(E10&lt;&gt;"", C10&gt;0), EXP(E10)*C10^$F$4, "")</f>
        <v/>
      </c>
      <c r="H10" s="13" t="n"/>
      <c r="I10" s="13">
        <f>C10-C9</f>
        <v/>
      </c>
      <c r="J10" s="13">
        <f>C10</f>
        <v/>
      </c>
      <c r="K10" s="13">
        <f>G10*(1+$F$4*(J10-C10)/C10)</f>
        <v/>
      </c>
      <c r="L10" s="13">
        <f>K10-G10</f>
        <v/>
      </c>
    </row>
    <row r="11">
      <c r="A11" t="n">
        <v>2009</v>
      </c>
      <c r="B11" s="13">
        <f>'WEO_Data'!D11</f>
        <v/>
      </c>
      <c r="C11" s="13">
        <f>IF(B11&gt;0, B11/0.4, "")</f>
        <v/>
      </c>
      <c r="D11" s="13">
        <f>IF(B11&gt;0, C11/B11, "")</f>
        <v/>
      </c>
      <c r="E11" s="13" t="n"/>
      <c r="F11" t="n">
        <v>0.3</v>
      </c>
      <c r="G11" s="13">
        <f>IF(AND(E11&lt;&gt;"", C11&gt;0), EXP(E11)*C11^$F$4, "")</f>
        <v/>
      </c>
      <c r="H11" s="13" t="n"/>
      <c r="I11" s="13">
        <f>C11-C10</f>
        <v/>
      </c>
      <c r="J11" s="13">
        <f>C11</f>
        <v/>
      </c>
      <c r="K11" s="13">
        <f>G11*(1+$F$4*(J11-C11)/C11)</f>
        <v/>
      </c>
      <c r="L11" s="13">
        <f>K11-G11</f>
        <v/>
      </c>
    </row>
    <row r="12">
      <c r="A12" t="n">
        <v>2010</v>
      </c>
      <c r="B12" s="13">
        <f>'WEO_Data'!D12</f>
        <v/>
      </c>
      <c r="C12" s="13">
        <f>IF(B12&gt;0, B12/0.4, "")</f>
        <v/>
      </c>
      <c r="D12" s="13">
        <f>IF(B12&gt;0, C12/B12, "")</f>
        <v/>
      </c>
      <c r="E12" s="13" t="n"/>
      <c r="F12" t="n">
        <v>0.3</v>
      </c>
      <c r="G12" s="13">
        <f>IF(AND(E12&lt;&gt;"", C12&gt;0), EXP(E12)*C12^$F$4, "")</f>
        <v/>
      </c>
      <c r="H12" s="13" t="n"/>
      <c r="I12" s="13">
        <f>C12-C11</f>
        <v/>
      </c>
      <c r="J12" s="13">
        <f>C12</f>
        <v/>
      </c>
      <c r="K12" s="13">
        <f>G12*(1+$F$4*(J12-C12)/C12)</f>
        <v/>
      </c>
      <c r="L12" s="13">
        <f>K12-G12</f>
        <v/>
      </c>
    </row>
    <row r="13">
      <c r="A13" t="n">
        <v>2011</v>
      </c>
      <c r="B13" s="13">
        <f>'WEO_Data'!D13</f>
        <v/>
      </c>
      <c r="C13" s="13">
        <f>IF(B13&gt;0, B13/0.4, "")</f>
        <v/>
      </c>
      <c r="D13" s="13">
        <f>IF(B13&gt;0, C13/B13, "")</f>
        <v/>
      </c>
      <c r="E13" s="13" t="n"/>
      <c r="F13" t="n">
        <v>0.3</v>
      </c>
      <c r="G13" s="13">
        <f>IF(AND(E13&lt;&gt;"", C13&gt;0), EXP(E13)*C13^$F$4, "")</f>
        <v/>
      </c>
      <c r="H13" s="13" t="n"/>
      <c r="I13" s="13">
        <f>C13-C12</f>
        <v/>
      </c>
      <c r="J13" s="13">
        <f>C13</f>
        <v/>
      </c>
      <c r="K13" s="13">
        <f>G13*(1+$F$4*(J13-C13)/C13)</f>
        <v/>
      </c>
      <c r="L13" s="13">
        <f>K13-G13</f>
        <v/>
      </c>
    </row>
    <row r="14">
      <c r="A14" t="n">
        <v>2012</v>
      </c>
      <c r="B14" s="13">
        <f>'WEO_Data'!D14</f>
        <v/>
      </c>
      <c r="C14" s="13">
        <f>IF(B14&gt;0, B14/0.4, "")</f>
        <v/>
      </c>
      <c r="D14" s="13">
        <f>IF(B14&gt;0, C14/B14, "")</f>
        <v/>
      </c>
      <c r="E14" s="13" t="n"/>
      <c r="F14" t="n">
        <v>0.3</v>
      </c>
      <c r="G14" s="13">
        <f>IF(AND(E14&lt;&gt;"", C14&gt;0), EXP(E14)*C14^$F$4, "")</f>
        <v/>
      </c>
      <c r="H14" s="13" t="n"/>
      <c r="I14" s="13">
        <f>C14-C13</f>
        <v/>
      </c>
      <c r="J14" s="13">
        <f>C14</f>
        <v/>
      </c>
      <c r="K14" s="13">
        <f>G14*(1+$F$4*(J14-C14)/C14)</f>
        <v/>
      </c>
      <c r="L14" s="13">
        <f>K14-G14</f>
        <v/>
      </c>
    </row>
    <row r="15">
      <c r="A15" t="n">
        <v>2013</v>
      </c>
      <c r="B15" s="13">
        <f>'WEO_Data'!D15</f>
        <v/>
      </c>
      <c r="C15" s="13">
        <f>IF(B15&gt;0, B15/0.4, "")</f>
        <v/>
      </c>
      <c r="D15" s="13">
        <f>IF(B15&gt;0, C15/B15, "")</f>
        <v/>
      </c>
      <c r="E15" s="13" t="n"/>
      <c r="F15" t="n">
        <v>0.3</v>
      </c>
      <c r="G15" s="13">
        <f>IF(AND(E15&lt;&gt;"", C15&gt;0), EXP(E15)*C15^$F$4, "")</f>
        <v/>
      </c>
      <c r="H15" s="13" t="n"/>
      <c r="I15" s="13">
        <f>C15-C14</f>
        <v/>
      </c>
      <c r="J15" s="13">
        <f>C15</f>
        <v/>
      </c>
      <c r="K15" s="13">
        <f>G15*(1+$F$4*(J15-C15)/C15)</f>
        <v/>
      </c>
      <c r="L15" s="13">
        <f>K15-G15</f>
        <v/>
      </c>
    </row>
    <row r="16">
      <c r="A16" t="n">
        <v>2014</v>
      </c>
      <c r="B16" s="13">
        <f>'WEO_Data'!D16</f>
        <v/>
      </c>
      <c r="C16" s="13">
        <f>IF(B16&gt;0, B16/0.4, "")</f>
        <v/>
      </c>
      <c r="D16" s="13">
        <f>IF(B16&gt;0, C16/B16, "")</f>
        <v/>
      </c>
      <c r="E16" s="13" t="n"/>
      <c r="F16" t="n">
        <v>0.3</v>
      </c>
      <c r="G16" s="13">
        <f>IF(AND(E16&lt;&gt;"", C16&gt;0), EXP(E16)*C16^$F$4, "")</f>
        <v/>
      </c>
      <c r="H16" s="13" t="n"/>
      <c r="I16" s="13">
        <f>C16-C15</f>
        <v/>
      </c>
      <c r="J16" s="13">
        <f>C16</f>
        <v/>
      </c>
      <c r="K16" s="13">
        <f>G16*(1+$F$4*(J16-C16)/C16)</f>
        <v/>
      </c>
      <c r="L16" s="13">
        <f>K16-G16</f>
        <v/>
      </c>
    </row>
    <row r="17">
      <c r="A17" t="n">
        <v>2015</v>
      </c>
      <c r="B17" s="13">
        <f>'WEO_Data'!D17</f>
        <v/>
      </c>
      <c r="C17" s="13">
        <f>IF(B17&gt;0, B17/0.4, "")</f>
        <v/>
      </c>
      <c r="D17" s="13">
        <f>IF(B17&gt;0, C17/B17, "")</f>
        <v/>
      </c>
      <c r="E17" s="13" t="n"/>
      <c r="F17" t="n">
        <v>0.3</v>
      </c>
      <c r="G17" s="13">
        <f>IF(AND(E17&lt;&gt;"", C17&gt;0), EXP(E17)*C17^$F$4, "")</f>
        <v/>
      </c>
      <c r="H17" s="13" t="n"/>
      <c r="I17" s="13">
        <f>C17-C16</f>
        <v/>
      </c>
      <c r="J17" s="13">
        <f>C17</f>
        <v/>
      </c>
      <c r="K17" s="13">
        <f>G17*(1+$F$4*(J17-C17)/C17)</f>
        <v/>
      </c>
      <c r="L17" s="13">
        <f>K17-G17</f>
        <v/>
      </c>
    </row>
    <row r="18">
      <c r="A18" t="n">
        <v>2016</v>
      </c>
      <c r="B18" s="13">
        <f>'WEO_Data'!D18</f>
        <v/>
      </c>
      <c r="C18" s="13">
        <f>IF(B18&gt;0, B18/0.4, "")</f>
        <v/>
      </c>
      <c r="D18" s="13">
        <f>IF(B18&gt;0, C18/B18, "")</f>
        <v/>
      </c>
      <c r="E18" s="13" t="n"/>
      <c r="F18" t="n">
        <v>0.3</v>
      </c>
      <c r="G18" s="13">
        <f>IF(AND(E18&lt;&gt;"", C18&gt;0), EXP(E18)*C18^$F$4, "")</f>
        <v/>
      </c>
      <c r="H18" s="13" t="n"/>
      <c r="I18" s="13">
        <f>C18-C17</f>
        <v/>
      </c>
      <c r="J18" s="13">
        <f>C18</f>
        <v/>
      </c>
      <c r="K18" s="13">
        <f>G18*(1+$F$4*(J18-C18)/C18)</f>
        <v/>
      </c>
      <c r="L18" s="13">
        <f>K18-G18</f>
        <v/>
      </c>
    </row>
    <row r="19">
      <c r="A19" t="n">
        <v>2017</v>
      </c>
      <c r="B19" s="13">
        <f>'WEO_Data'!D19</f>
        <v/>
      </c>
      <c r="C19" s="13">
        <f>IF(B19&gt;0, B19/0.4, "")</f>
        <v/>
      </c>
      <c r="D19" s="13">
        <f>IF(B19&gt;0, C19/B19, "")</f>
        <v/>
      </c>
      <c r="E19" s="13" t="n"/>
      <c r="F19" t="n">
        <v>0.3</v>
      </c>
      <c r="G19" s="13">
        <f>IF(AND(E19&lt;&gt;"", C19&gt;0), EXP(E19)*C19^$F$4, "")</f>
        <v/>
      </c>
      <c r="H19" s="13" t="n"/>
      <c r="I19" s="13">
        <f>C19-C18</f>
        <v/>
      </c>
      <c r="J19" s="13">
        <f>C19</f>
        <v/>
      </c>
      <c r="K19" s="13">
        <f>G19*(1+$F$4*(J19-C19)/C19)</f>
        <v/>
      </c>
      <c r="L19" s="13">
        <f>K19-G19</f>
        <v/>
      </c>
    </row>
    <row r="20">
      <c r="A20" t="n">
        <v>2018</v>
      </c>
      <c r="B20" s="13">
        <f>'WEO_Data'!D20</f>
        <v/>
      </c>
      <c r="C20" s="13">
        <f>IF(B20&gt;0, B20/0.4, "")</f>
        <v/>
      </c>
      <c r="D20" s="13">
        <f>IF(B20&gt;0, C20/B20, "")</f>
        <v/>
      </c>
      <c r="E20" s="13" t="n"/>
      <c r="F20" t="n">
        <v>0.3</v>
      </c>
      <c r="G20" s="13">
        <f>IF(AND(E20&lt;&gt;"", C20&gt;0), EXP(E20)*C20^$F$4, "")</f>
        <v/>
      </c>
      <c r="H20" s="13" t="n"/>
      <c r="I20" s="13">
        <f>C20-C19</f>
        <v/>
      </c>
      <c r="J20" s="13">
        <f>C20</f>
        <v/>
      </c>
      <c r="K20" s="13">
        <f>G20*(1+$F$4*(J20-C20)/C20)</f>
        <v/>
      </c>
      <c r="L20" s="13">
        <f>K20-G20</f>
        <v/>
      </c>
    </row>
    <row r="21">
      <c r="A21" t="n">
        <v>2019</v>
      </c>
      <c r="B21" s="13">
        <f>'WEO_Data'!D21</f>
        <v/>
      </c>
      <c r="C21" s="13">
        <f>IF(B21&gt;0, B21/0.4, "")</f>
        <v/>
      </c>
      <c r="D21" s="13">
        <f>IF(B21&gt;0, C21/B21, "")</f>
        <v/>
      </c>
      <c r="E21" s="13" t="n"/>
      <c r="F21" t="n">
        <v>0.3</v>
      </c>
      <c r="G21" s="13">
        <f>IF(AND(E21&lt;&gt;"", C21&gt;0), EXP(E21)*C21^$F$4, "")</f>
        <v/>
      </c>
      <c r="H21" s="13" t="n"/>
      <c r="I21" s="13">
        <f>C21-C20</f>
        <v/>
      </c>
      <c r="J21" s="13">
        <f>C21</f>
        <v/>
      </c>
      <c r="K21" s="13">
        <f>G21*(1+$F$4*(J21-C21)/C21)</f>
        <v/>
      </c>
      <c r="L21" s="13">
        <f>K21-G21</f>
        <v/>
      </c>
    </row>
    <row r="22">
      <c r="A22" t="n">
        <v>2020</v>
      </c>
      <c r="B22" s="13">
        <f>'WEO_Data'!D22</f>
        <v/>
      </c>
      <c r="C22" s="13">
        <f>IF(B22&gt;0, B22/0.4, "")</f>
        <v/>
      </c>
      <c r="D22" s="13">
        <f>IF(B22&gt;0, C22/B22, "")</f>
        <v/>
      </c>
      <c r="E22" s="13" t="n"/>
      <c r="F22" t="n">
        <v>0.3</v>
      </c>
      <c r="G22" s="13">
        <f>IF(AND(E22&lt;&gt;"", C22&gt;0), EXP(E22)*C22^$F$4, "")</f>
        <v/>
      </c>
      <c r="H22" s="13" t="n"/>
      <c r="I22" s="13">
        <f>C22-C21</f>
        <v/>
      </c>
      <c r="J22" s="13">
        <f>C22</f>
        <v/>
      </c>
      <c r="K22" s="13">
        <f>G22*(1+$F$4*(J22-C22)/C22)</f>
        <v/>
      </c>
      <c r="L22" s="13">
        <f>K22-G22</f>
        <v/>
      </c>
    </row>
    <row r="23">
      <c r="A23" t="n">
        <v>2021</v>
      </c>
      <c r="B23" s="13">
        <f>'WEO_Data'!D23</f>
        <v/>
      </c>
      <c r="C23" s="13">
        <f>IF(B23&gt;0, B23/0.4, "")</f>
        <v/>
      </c>
      <c r="D23" s="13">
        <f>IF(B23&gt;0, C23/B23, "")</f>
        <v/>
      </c>
      <c r="E23" s="13" t="n"/>
      <c r="F23" t="n">
        <v>0.3</v>
      </c>
      <c r="G23" s="13">
        <f>IF(AND(E23&lt;&gt;"", C23&gt;0), EXP(E23)*C23^$F$4, "")</f>
        <v/>
      </c>
      <c r="H23" s="13" t="n"/>
      <c r="I23" s="13">
        <f>C23-C22</f>
        <v/>
      </c>
      <c r="J23" s="13">
        <f>C23</f>
        <v/>
      </c>
      <c r="K23" s="13">
        <f>G23*(1+$F$4*(J23-C23)/C23)</f>
        <v/>
      </c>
      <c r="L23" s="13">
        <f>K23-G23</f>
        <v/>
      </c>
    </row>
    <row r="24">
      <c r="A24" t="n">
        <v>2022</v>
      </c>
      <c r="B24" s="13">
        <f>'WEO_Data'!D24</f>
        <v/>
      </c>
      <c r="C24" s="13">
        <f>IF(B24&gt;0, B24/0.4, "")</f>
        <v/>
      </c>
      <c r="D24" s="13">
        <f>IF(B24&gt;0, C24/B24, "")</f>
        <v/>
      </c>
      <c r="E24" s="13" t="n"/>
      <c r="F24" t="n">
        <v>0.3</v>
      </c>
      <c r="G24" s="13">
        <f>IF(AND(E24&lt;&gt;"", C24&gt;0), EXP(E24)*C24^$F$4, "")</f>
        <v/>
      </c>
      <c r="H24" s="13" t="n"/>
      <c r="I24" s="13">
        <f>C24-C23</f>
        <v/>
      </c>
      <c r="J24" s="13">
        <f>C24</f>
        <v/>
      </c>
      <c r="K24" s="13">
        <f>G24*(1+$F$4*(J24-C24)/C24)</f>
        <v/>
      </c>
      <c r="L24" s="13">
        <f>K24-G24</f>
        <v/>
      </c>
    </row>
    <row r="25">
      <c r="A25" t="n">
        <v>2023</v>
      </c>
      <c r="B25" s="13">
        <f>'WEO_Data'!D25</f>
        <v/>
      </c>
      <c r="C25" s="13">
        <f>IF(B25&gt;0, B25/0.4, "")</f>
        <v/>
      </c>
      <c r="D25" s="13">
        <f>IF(B25&gt;0, C25/B25, "")</f>
        <v/>
      </c>
      <c r="E25" s="13" t="n"/>
      <c r="F25" t="n">
        <v>0.3</v>
      </c>
      <c r="G25" s="13">
        <f>IF(AND(E25&lt;&gt;"", C25&gt;0), EXP(E25)*C25^$F$4, "")</f>
        <v/>
      </c>
      <c r="H25" s="13" t="n"/>
      <c r="I25" s="13">
        <f>C25-C24</f>
        <v/>
      </c>
      <c r="J25" s="13">
        <f>C25</f>
        <v/>
      </c>
      <c r="K25" s="13">
        <f>G25*(1+$F$4*(J25-C25)/C25)</f>
        <v/>
      </c>
      <c r="L25" s="13">
        <f>K25-G25</f>
        <v/>
      </c>
    </row>
    <row r="26">
      <c r="A26" t="n">
        <v>2024</v>
      </c>
      <c r="B26" s="13">
        <f>'WEO_Data'!D26</f>
        <v/>
      </c>
      <c r="C26" s="13">
        <f>C25*(1-0.085)+IF(AND('Investment'!A26&lt;&gt;"", A26&gt;=2026), 'Investment'!B-1992, 0)</f>
        <v/>
      </c>
      <c r="D26" s="13">
        <f>IF(B26&gt;0, C26/B26, "")</f>
        <v/>
      </c>
      <c r="E26" s="13">
        <f>TREND(Production!$K$6:$K$27, ROW(Production!$K$6:$K$27)-ROW(Production!$K$6)+1, -1975)</f>
        <v/>
      </c>
      <c r="F26" t="n">
        <v>0.3</v>
      </c>
      <c r="G26" s="13">
        <f>IF(AND(E26&lt;&gt;"", C26&gt;0), EXP(E26)*C26^$F$4, "")</f>
        <v/>
      </c>
      <c r="H26" s="13" t="n"/>
      <c r="I26" s="13">
        <f>C26-C25</f>
        <v/>
      </c>
      <c r="J26" s="13">
        <f>C26</f>
        <v/>
      </c>
      <c r="K26" s="13">
        <f>G26*(1+$F$4*(J26-C26)/C26)</f>
        <v/>
      </c>
      <c r="L26" s="13">
        <f>K26-G26</f>
        <v/>
      </c>
    </row>
    <row r="27">
      <c r="A27" t="n">
        <v>2025</v>
      </c>
      <c r="B27" s="13">
        <f>'WEO_Data'!D27</f>
        <v/>
      </c>
      <c r="C27" s="13">
        <f>C26*(1-0.085)+IF(AND('Investment'!A27&lt;&gt;"", A27&gt;=2026), 'Investment'!B-1991, 0)</f>
        <v/>
      </c>
      <c r="D27" s="13">
        <f>IF(B27&gt;0, C27/B27, "")</f>
        <v/>
      </c>
      <c r="E27" s="13">
        <f>TREND(Production!$K$6:$K$27, ROW(Production!$K$6:$K$27)-ROW(Production!$K$6)+1, -1974)</f>
        <v/>
      </c>
      <c r="F27" t="n">
        <v>0.3</v>
      </c>
      <c r="G27" s="13">
        <f>IF(AND(E27&lt;&gt;"", C27&gt;0), EXP(E27)*C27^$F$4, "")</f>
        <v/>
      </c>
      <c r="H27" s="13" t="n"/>
      <c r="I27" s="13">
        <f>C27-C26</f>
        <v/>
      </c>
      <c r="J27" s="13">
        <f>C27</f>
        <v/>
      </c>
      <c r="K27" s="13">
        <f>G27*(1+$F$4*(J27-C27)/C27)</f>
        <v/>
      </c>
      <c r="L27" s="13">
        <f>K27-G27</f>
        <v/>
      </c>
    </row>
    <row r="28">
      <c r="A28" t="n">
        <v>2026</v>
      </c>
      <c r="B28" s="13">
        <f>B27*(1+0.072)</f>
        <v/>
      </c>
      <c r="C28" s="13">
        <f>C27*(1-0.085)+IF(AND('Investment'!A28&lt;&gt;"", A28&gt;=2026), 'Investment'!B-1990, 0)</f>
        <v/>
      </c>
      <c r="D28" s="13">
        <f>IF(B28&gt;0, C28/B28, "")</f>
        <v/>
      </c>
      <c r="E28" s="13">
        <f>TREND(Production!$K$6:$K$27, ROW(Production!$K$6:$K$27)-ROW(Production!$K$6)+1, -1973)</f>
        <v/>
      </c>
      <c r="F28" t="n">
        <v>0.3</v>
      </c>
      <c r="G28" s="13">
        <f>IF(AND(E28&lt;&gt;"", C28&gt;0), EXP(E28)*C28^$F$4, "")</f>
        <v/>
      </c>
      <c r="H28" s="13" t="n"/>
      <c r="I28" s="13">
        <f>C28-C27</f>
        <v/>
      </c>
      <c r="J28" s="13">
        <f>C28+IF(A28&gt;=2026, IFERROR('Investment'!B-1990, 0), 0)</f>
        <v/>
      </c>
      <c r="K28" s="13">
        <f>G28*(1+$F$4*(J28-C28)/C28)</f>
        <v/>
      </c>
      <c r="L28" s="13">
        <f>K28-G28</f>
        <v/>
      </c>
    </row>
    <row r="29">
      <c r="A29" t="n">
        <v>2027</v>
      </c>
      <c r="B29" s="13">
        <f>B28*(1+0.072)</f>
        <v/>
      </c>
      <c r="C29" s="13">
        <f>C28*(1-0.085)+IF(AND('Investment'!A29&lt;&gt;"", A29&gt;=2026), 'Investment'!B-1989, 0)</f>
        <v/>
      </c>
      <c r="D29" s="13">
        <f>IF(B29&gt;0, C29/B29, "")</f>
        <v/>
      </c>
      <c r="E29" s="13">
        <f>TREND(Production!$K$6:$K$27, ROW(Production!$K$6:$K$27)-ROW(Production!$K$6)+1, -1972)</f>
        <v/>
      </c>
      <c r="F29" t="n">
        <v>0.3</v>
      </c>
      <c r="G29" s="13">
        <f>IF(AND(E29&lt;&gt;"", C29&gt;0), EXP(E29)*C29^$F$4, "")</f>
        <v/>
      </c>
      <c r="H29" s="13" t="n"/>
      <c r="I29" s="13">
        <f>C29-C28</f>
        <v/>
      </c>
      <c r="J29" s="13">
        <f>C29+IF(A29&gt;=2026, IFERROR('Investment'!B-1989, 0), 0)</f>
        <v/>
      </c>
      <c r="K29" s="13">
        <f>G29*(1+$F$4*(J29-C29)/C29)</f>
        <v/>
      </c>
      <c r="L29" s="13">
        <f>K29-G29</f>
        <v/>
      </c>
    </row>
    <row r="30">
      <c r="A30" t="n">
        <v>2028</v>
      </c>
      <c r="B30" s="13">
        <f>B29*(1+0.072)</f>
        <v/>
      </c>
      <c r="C30" s="13">
        <f>C29*(1-0.085)+IF(AND('Investment'!A30&lt;&gt;"", A30&gt;=2026), 'Investment'!B-1988, 0)</f>
        <v/>
      </c>
      <c r="D30" s="13">
        <f>IF(B30&gt;0, C30/B30, "")</f>
        <v/>
      </c>
      <c r="E30" s="13">
        <f>TREND(Production!$K$6:$K$27, ROW(Production!$K$6:$K$27)-ROW(Production!$K$6)+1, -1971)</f>
        <v/>
      </c>
      <c r="F30" t="n">
        <v>0.3</v>
      </c>
      <c r="G30" s="13">
        <f>IF(AND(E30&lt;&gt;"", C30&gt;0), EXP(E30)*C30^$F$4, "")</f>
        <v/>
      </c>
      <c r="H30" s="13" t="n"/>
      <c r="I30" s="13">
        <f>C30-C29</f>
        <v/>
      </c>
      <c r="J30" s="13">
        <f>C30+IF(A30&gt;=2026, IFERROR('Investment'!B-1988, 0), 0)</f>
        <v/>
      </c>
      <c r="K30" s="13">
        <f>G30*(1+$F$4*(J30-C30)/C30)</f>
        <v/>
      </c>
      <c r="L30" s="13">
        <f>K30-G30</f>
        <v/>
      </c>
    </row>
    <row r="31">
      <c r="A31" t="n">
        <v>2029</v>
      </c>
      <c r="B31" s="13">
        <f>B30*(1+0.072)</f>
        <v/>
      </c>
      <c r="C31" s="13">
        <f>C30*(1-0.085)+IF(AND('Investment'!A31&lt;&gt;"", A31&gt;=2026), 'Investment'!B-1987, 0)</f>
        <v/>
      </c>
      <c r="D31" s="13">
        <f>IF(B31&gt;0, C31/B31, "")</f>
        <v/>
      </c>
      <c r="E31" s="13">
        <f>TREND(Production!$K$6:$K$27, ROW(Production!$K$6:$K$27)-ROW(Production!$K$6)+1, -1970)</f>
        <v/>
      </c>
      <c r="F31" t="n">
        <v>0.3</v>
      </c>
      <c r="G31" s="13">
        <f>IF(AND(E31&lt;&gt;"", C31&gt;0), EXP(E31)*C31^$F$4, "")</f>
        <v/>
      </c>
      <c r="H31" s="13" t="n"/>
      <c r="I31" s="13">
        <f>C31-C30</f>
        <v/>
      </c>
      <c r="J31" s="13">
        <f>C31+IF(A31&gt;=2026, IFERROR('Investment'!B-1987, 0), 0)</f>
        <v/>
      </c>
      <c r="K31" s="13">
        <f>G31*(1+$F$4*(J31-C31)/C31)</f>
        <v/>
      </c>
      <c r="L31" s="13">
        <f>K31-G31</f>
        <v/>
      </c>
    </row>
    <row r="32">
      <c r="A32" t="n">
        <v>2030</v>
      </c>
      <c r="B32" s="13">
        <f>B31*(1+0.072)</f>
        <v/>
      </c>
      <c r="C32" s="13">
        <f>C31*(1-0.085)+IF(AND('Investment'!A32&lt;&gt;"", A32&gt;=2026), 'Investment'!B-1986, 0)</f>
        <v/>
      </c>
      <c r="D32" s="13">
        <f>IF(B32&gt;0, C32/B32, "")</f>
        <v/>
      </c>
      <c r="E32" s="13">
        <f>TREND(Production!$K$6:$K$27, ROW(Production!$K$6:$K$27)-ROW(Production!$K$6)+1, -1969)</f>
        <v/>
      </c>
      <c r="F32" t="n">
        <v>0.3</v>
      </c>
      <c r="G32" s="13">
        <f>IF(AND(E32&lt;&gt;"", C32&gt;0), EXP(E32)*C32^$F$4, "")</f>
        <v/>
      </c>
      <c r="H32" s="13" t="n"/>
      <c r="I32" s="13">
        <f>C32-C31</f>
        <v/>
      </c>
      <c r="J32" s="13">
        <f>C32+IF(A32&gt;=2026, IFERROR('Investment'!B-1986, 0), 0)</f>
        <v/>
      </c>
      <c r="K32" s="13">
        <f>G32*(1+$F$4*(J32-C32)/C32)</f>
        <v/>
      </c>
      <c r="L32" s="13">
        <f>K32-G32</f>
        <v/>
      </c>
    </row>
    <row r="33">
      <c r="A33" t="n">
        <v>2031</v>
      </c>
      <c r="B33" s="13">
        <f>B32*(1+0.072)</f>
        <v/>
      </c>
      <c r="C33" s="13">
        <f>C32*(1-0.085)+IF(AND('Investment'!A33&lt;&gt;"", A33&gt;=2026), 'Investment'!B-1985, 0)</f>
        <v/>
      </c>
      <c r="D33" s="13">
        <f>IF(B33&gt;0, C33/B33, "")</f>
        <v/>
      </c>
      <c r="E33" s="13">
        <f>TREND(Production!$K$6:$K$27, ROW(Production!$K$6:$K$27)-ROW(Production!$K$6)+1, -1968)</f>
        <v/>
      </c>
      <c r="F33" t="n">
        <v>0.3</v>
      </c>
      <c r="G33" s="13">
        <f>IF(AND(E33&lt;&gt;"", C33&gt;0), EXP(E33)*C33^$F$4, "")</f>
        <v/>
      </c>
      <c r="H33" s="13" t="n"/>
      <c r="I33" s="13">
        <f>C33-C32</f>
        <v/>
      </c>
      <c r="J33" s="13">
        <f>C33+IF(A33&gt;=2026, IFERROR('Investment'!B-1985, 0), 0)</f>
        <v/>
      </c>
      <c r="K33" s="13">
        <f>G33*(1+$F$4*(J33-C33)/C33)</f>
        <v/>
      </c>
      <c r="L33" s="13">
        <f>K33-G33</f>
        <v/>
      </c>
    </row>
    <row r="34">
      <c r="A34" t="n">
        <v>2032</v>
      </c>
      <c r="B34" s="13">
        <f>B33*(1+0.072)</f>
        <v/>
      </c>
      <c r="C34" s="13">
        <f>C33*(1-0.085)+IF(AND('Investment'!A34&lt;&gt;"", A34&gt;=2026), 'Investment'!B-1984, 0)</f>
        <v/>
      </c>
      <c r="D34" s="13">
        <f>IF(B34&gt;0, C34/B34, "")</f>
        <v/>
      </c>
      <c r="E34" s="13">
        <f>TREND(Production!$K$6:$K$27, ROW(Production!$K$6:$K$27)-ROW(Production!$K$6)+1, -1967)</f>
        <v/>
      </c>
      <c r="F34" t="n">
        <v>0.3</v>
      </c>
      <c r="G34" s="13">
        <f>IF(AND(E34&lt;&gt;"", C34&gt;0), EXP(E34)*C34^$F$4, "")</f>
        <v/>
      </c>
      <c r="H34" s="13" t="n"/>
      <c r="I34" s="13">
        <f>C34-C33</f>
        <v/>
      </c>
      <c r="J34" s="13">
        <f>C34+IF(A34&gt;=2026, IFERROR('Investment'!B-1984, 0), 0)</f>
        <v/>
      </c>
      <c r="K34" s="13">
        <f>G34*(1+$F$4*(J34-C34)/C34)</f>
        <v/>
      </c>
      <c r="L34" s="13">
        <f>K34-G34</f>
        <v/>
      </c>
    </row>
    <row r="35">
      <c r="A35" t="n">
        <v>2033</v>
      </c>
      <c r="B35" s="13">
        <f>B34*(1+0.072)</f>
        <v/>
      </c>
      <c r="C35" s="13">
        <f>C34*(1-0.085)+IF(AND('Investment'!A35&lt;&gt;"", A35&gt;=2026), 'Investment'!B-1983, 0)</f>
        <v/>
      </c>
      <c r="D35" s="13">
        <f>IF(B35&gt;0, C35/B35, "")</f>
        <v/>
      </c>
      <c r="E35" s="13">
        <f>TREND(Production!$K$6:$K$27, ROW(Production!$K$6:$K$27)-ROW(Production!$K$6)+1, -1966)</f>
        <v/>
      </c>
      <c r="F35" t="n">
        <v>0.3</v>
      </c>
      <c r="G35" s="13">
        <f>IF(AND(E35&lt;&gt;"", C35&gt;0), EXP(E35)*C35^$F$4, "")</f>
        <v/>
      </c>
      <c r="H35" s="13" t="n"/>
      <c r="I35" s="13">
        <f>C35-C34</f>
        <v/>
      </c>
      <c r="J35" s="13">
        <f>C35+IF(A35&gt;=2026, IFERROR('Investment'!B-1983, 0), 0)</f>
        <v/>
      </c>
      <c r="K35" s="13">
        <f>G35*(1+$F$4*(J35-C35)/C35)</f>
        <v/>
      </c>
      <c r="L35" s="13">
        <f>K35-G35</f>
        <v/>
      </c>
    </row>
    <row r="36">
      <c r="A36" t="n">
        <v>2034</v>
      </c>
      <c r="B36" s="13">
        <f>B35*(1+0.072)</f>
        <v/>
      </c>
      <c r="C36" s="13">
        <f>C35*(1-0.085)+IF(AND('Investment'!A36&lt;&gt;"", A36&gt;=2026), 'Investment'!B-1982, 0)</f>
        <v/>
      </c>
      <c r="D36" s="13">
        <f>IF(B36&gt;0, C36/B36, "")</f>
        <v/>
      </c>
      <c r="E36" s="13">
        <f>TREND(Production!$K$6:$K$27, ROW(Production!$K$6:$K$27)-ROW(Production!$K$6)+1, -1965)</f>
        <v/>
      </c>
      <c r="F36" t="n">
        <v>0.3</v>
      </c>
      <c r="G36" s="13">
        <f>IF(AND(E36&lt;&gt;"", C36&gt;0), EXP(E36)*C36^$F$4, "")</f>
        <v/>
      </c>
      <c r="H36" s="13" t="n"/>
      <c r="I36" s="13">
        <f>C36-C35</f>
        <v/>
      </c>
      <c r="J36" s="13">
        <f>C36+IF(A36&gt;=2026, IFERROR('Investment'!B-1982, 0), 0)</f>
        <v/>
      </c>
      <c r="K36" s="13">
        <f>G36*(1+$F$4*(J36-C36)/C36)</f>
        <v/>
      </c>
      <c r="L36" s="13">
        <f>K36-G36</f>
        <v/>
      </c>
    </row>
    <row r="37">
      <c r="A37" t="n">
        <v>2035</v>
      </c>
      <c r="B37" s="13">
        <f>B36*(1+0.072)</f>
        <v/>
      </c>
      <c r="C37" s="13">
        <f>C36*(1-0.085)+IF(AND('Investment'!A37&lt;&gt;"", A37&gt;=2026), 'Investment'!B-1981, 0)</f>
        <v/>
      </c>
      <c r="D37" s="13">
        <f>IF(B37&gt;0, C37/B37, "")</f>
        <v/>
      </c>
      <c r="E37" s="13">
        <f>TREND(Production!$K$6:$K$27, ROW(Production!$K$6:$K$27)-ROW(Production!$K$6)+1, -1964)</f>
        <v/>
      </c>
      <c r="F37" t="n">
        <v>0.3</v>
      </c>
      <c r="G37" s="13">
        <f>IF(AND(E37&lt;&gt;"", C37&gt;0), EXP(E37)*C37^$F$4, "")</f>
        <v/>
      </c>
      <c r="H37" s="13" t="n"/>
      <c r="I37" s="13">
        <f>C37-C36</f>
        <v/>
      </c>
      <c r="J37" s="13">
        <f>C37+IF(A37&gt;=2026, IFERROR('Investment'!B-1981, 0), 0)</f>
        <v/>
      </c>
      <c r="K37" s="13">
        <f>G37*(1+$F$4*(J37-C37)/C37)</f>
        <v/>
      </c>
      <c r="L37" s="13">
        <f>K37-G37</f>
        <v/>
      </c>
    </row>
    <row r="38">
      <c r="A38" t="n">
        <v>2036</v>
      </c>
      <c r="B38" s="13">
        <f>B37*(1+0.072)</f>
        <v/>
      </c>
      <c r="C38" s="13">
        <f>C37*(1-0.085)+IF(AND('Investment'!A38&lt;&gt;"", A38&gt;=2026), 'Investment'!B-1980, 0)</f>
        <v/>
      </c>
      <c r="D38" s="13">
        <f>IF(B38&gt;0, C38/B38, "")</f>
        <v/>
      </c>
      <c r="E38" s="13">
        <f>TREND(Production!$K$6:$K$27, ROW(Production!$K$6:$K$27)-ROW(Production!$K$6)+1, -1963)</f>
        <v/>
      </c>
      <c r="F38" t="n">
        <v>0.3</v>
      </c>
      <c r="G38" s="13">
        <f>IF(AND(E38&lt;&gt;"", C38&gt;0), EXP(E38)*C38^$F$4, "")</f>
        <v/>
      </c>
      <c r="H38" s="13" t="n"/>
      <c r="I38" s="13">
        <f>C38-C37</f>
        <v/>
      </c>
      <c r="J38" s="13">
        <f>C38+IF(A38&gt;=2026, IFERROR('Investment'!B-1980, 0), 0)</f>
        <v/>
      </c>
      <c r="K38" s="13">
        <f>G38*(1+$F$4*(J38-C38)/C38)</f>
        <v/>
      </c>
      <c r="L38" s="13">
        <f>K38-G38</f>
        <v/>
      </c>
    </row>
    <row r="39">
      <c r="A39" t="n">
        <v>2037</v>
      </c>
      <c r="B39" s="13">
        <f>B38*(1+0.072)</f>
        <v/>
      </c>
      <c r="C39" s="13">
        <f>C38*(1-0.085)+IF(AND('Investment'!A39&lt;&gt;"", A39&gt;=2026), 'Investment'!B-1979, 0)</f>
        <v/>
      </c>
      <c r="D39" s="13">
        <f>IF(B39&gt;0, C39/B39, "")</f>
        <v/>
      </c>
      <c r="E39" s="13">
        <f>TREND(Production!$K$6:$K$27, ROW(Production!$K$6:$K$27)-ROW(Production!$K$6)+1, -1962)</f>
        <v/>
      </c>
      <c r="F39" t="n">
        <v>0.3</v>
      </c>
      <c r="G39" s="13">
        <f>IF(AND(E39&lt;&gt;"", C39&gt;0), EXP(E39)*C39^$F$4, "")</f>
        <v/>
      </c>
      <c r="H39" s="13" t="n"/>
      <c r="I39" s="13">
        <f>C39-C38</f>
        <v/>
      </c>
      <c r="J39" s="13">
        <f>C39+IF(A39&gt;=2026, IFERROR('Investment'!B-1979, 0), 0)</f>
        <v/>
      </c>
      <c r="K39" s="13">
        <f>G39*(1+$F$4*(J39-C39)/C39)</f>
        <v/>
      </c>
      <c r="L39" s="13">
        <f>K39-G39</f>
        <v/>
      </c>
    </row>
    <row r="40">
      <c r="A40" t="n">
        <v>2038</v>
      </c>
      <c r="B40" s="13">
        <f>B39*(1+0.072)</f>
        <v/>
      </c>
      <c r="C40" s="13">
        <f>C39*(1-0.085)+IF(AND('Investment'!A40&lt;&gt;"", A40&gt;=2026), 'Investment'!B-1978, 0)</f>
        <v/>
      </c>
      <c r="D40" s="13">
        <f>IF(B40&gt;0, C40/B40, "")</f>
        <v/>
      </c>
      <c r="E40" s="13">
        <f>TREND(Production!$K$6:$K$27, ROW(Production!$K$6:$K$27)-ROW(Production!$K$6)+1, -1961)</f>
        <v/>
      </c>
      <c r="F40" t="n">
        <v>0.3</v>
      </c>
      <c r="G40" s="13">
        <f>IF(AND(E40&lt;&gt;"", C40&gt;0), EXP(E40)*C40^$F$4, "")</f>
        <v/>
      </c>
      <c r="H40" s="13" t="n"/>
      <c r="I40" s="13">
        <f>C40-C39</f>
        <v/>
      </c>
      <c r="J40" s="13">
        <f>C40+IF(A40&gt;=2026, IFERROR('Investment'!B-1978, 0), 0)</f>
        <v/>
      </c>
      <c r="K40" s="13">
        <f>G40*(1+$F$4*(J40-C40)/C40)</f>
        <v/>
      </c>
      <c r="L40" s="13">
        <f>K40-G40</f>
        <v/>
      </c>
    </row>
    <row r="41">
      <c r="A41" t="n">
        <v>2039</v>
      </c>
      <c r="B41" s="13">
        <f>B40*(1+0.072)</f>
        <v/>
      </c>
      <c r="C41" s="13">
        <f>C40*(1-0.085)+IF(AND('Investment'!A41&lt;&gt;"", A41&gt;=2026), 'Investment'!B-1977, 0)</f>
        <v/>
      </c>
      <c r="D41" s="13">
        <f>IF(B41&gt;0, C41/B41, "")</f>
        <v/>
      </c>
      <c r="E41" s="13">
        <f>TREND(Production!$K$6:$K$27, ROW(Production!$K$6:$K$27)-ROW(Production!$K$6)+1, -1960)</f>
        <v/>
      </c>
      <c r="F41" t="n">
        <v>0.3</v>
      </c>
      <c r="G41" s="13">
        <f>IF(AND(E41&lt;&gt;"", C41&gt;0), EXP(E41)*C41^$F$4, "")</f>
        <v/>
      </c>
      <c r="H41" s="13" t="n"/>
      <c r="I41" s="13">
        <f>C41-C40</f>
        <v/>
      </c>
      <c r="J41" s="13">
        <f>C41+IF(A41&gt;=2026, IFERROR('Investment'!B-1977, 0), 0)</f>
        <v/>
      </c>
      <c r="K41" s="13">
        <f>G41*(1+$F$4*(J41-C41)/C41)</f>
        <v/>
      </c>
      <c r="L41" s="13">
        <f>K41-G41</f>
        <v/>
      </c>
    </row>
    <row r="42">
      <c r="A42" t="n">
        <v>2040</v>
      </c>
      <c r="B42">
        <f>B41*(1+0.072)</f>
        <v/>
      </c>
      <c r="C42">
        <f>C41*(1-0.085)+IF(AND('Investment'!A42&lt;&gt;"", A42&gt;=2026), 'Investment'!B-1976, 0)</f>
        <v/>
      </c>
      <c r="D42">
        <f>IF(B42&gt;0, C42/B42, "")</f>
        <v/>
      </c>
      <c r="E42">
        <f>TREND(Production!$K$6:$K$27, ROW(Production!$K$6:$K$27)-ROW(Production!$K$6)+1, -1959)</f>
        <v/>
      </c>
      <c r="F42" t="n">
        <v>0.3</v>
      </c>
      <c r="G42">
        <f>IF(AND(E42&lt;&gt;"", C42&gt;0), EXP(E42)*C42^$F$4, "")</f>
        <v/>
      </c>
      <c r="I42">
        <f>C42-C41</f>
        <v/>
      </c>
      <c r="J42">
        <f>C42+IF(A42&gt;=2026, IFERROR('Investment'!B-1976, 0), 0)</f>
        <v/>
      </c>
      <c r="K42">
        <f>G42*(1+$F$4*(J42-C42)/C42)</f>
        <v/>
      </c>
      <c r="L42">
        <f>K42-G42</f>
        <v/>
      </c>
    </row>
    <row r="43">
      <c r="A43" t="n">
        <v>2041</v>
      </c>
      <c r="B43">
        <f>B42*(1+0.072)</f>
        <v/>
      </c>
      <c r="C43">
        <f>C42*(1-0.085)+IF(AND('Investment'!A43&lt;&gt;"", A43&gt;=2026), 'Investment'!B-1975, 0)</f>
        <v/>
      </c>
      <c r="D43">
        <f>IF(B43&gt;0, C43/B43, "")</f>
        <v/>
      </c>
      <c r="E43">
        <f>TREND(Production!$K$6:$K$27, ROW(Production!$K$6:$K$27)-ROW(Production!$K$6)+1, -1958)</f>
        <v/>
      </c>
      <c r="F43" t="n">
        <v>0.3</v>
      </c>
      <c r="G43">
        <f>IF(AND(E43&lt;&gt;"", C43&gt;0), EXP(E43)*C43^$F$4, "")</f>
        <v/>
      </c>
      <c r="I43">
        <f>C43-C42</f>
        <v/>
      </c>
      <c r="J43">
        <f>C43+IF(A43&gt;=2026, IFERROR('Investment'!B-1975, 0), 0)</f>
        <v/>
      </c>
      <c r="K43">
        <f>G43*(1+$F$4*(J43-C43)/C43)</f>
        <v/>
      </c>
      <c r="L43">
        <f>K43-G43</f>
        <v/>
      </c>
    </row>
    <row r="44">
      <c r="A44" s="21" t="inlineStr">
        <is>
          <t>Summary Statistics</t>
        </is>
      </c>
    </row>
    <row r="45">
      <c r="A45" t="inlineStr">
        <is>
          <t>Total Investment</t>
        </is>
      </c>
      <c r="B45" s="13">
        <f>SUM(H8:H31)</f>
        <v/>
      </c>
    </row>
    <row r="46">
      <c r="A46" t="inlineStr">
        <is>
          <t>Cumulative Output Impact (2026-2033)</t>
        </is>
      </c>
      <c r="B46" s="13">
        <f>SUM(L8:L15)</f>
        <v/>
      </c>
    </row>
    <row r="47">
      <c r="A47" t="inlineStr">
        <is>
          <t>Average Annual Output Impact</t>
        </is>
      </c>
      <c r="B47" s="13">
        <f>B46/8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10" customWidth="1" min="1" max="1"/>
    <col width="35" customWidth="1" min="2" max="2"/>
    <col width="35" customWidth="1" min="3" max="3"/>
    <col width="35" customWidth="1" min="4" max="4"/>
  </cols>
  <sheetData>
    <row r="1">
      <c r="A1" t="inlineStr">
        <is>
          <t>Investment Shock Summary Results</t>
        </is>
      </c>
    </row>
    <row r="3">
      <c r="A3" t="inlineStr">
        <is>
          <t>Baseline Scenario</t>
        </is>
      </c>
    </row>
    <row r="4">
      <c r="A4" t="inlineStr">
        <is>
          <t>Year</t>
        </is>
      </c>
      <c r="B4" t="inlineStr">
        <is>
          <t>Real GDP (baseline, USD millions)</t>
        </is>
      </c>
      <c r="C4" t="inlineStr">
        <is>
          <t>Real GDP (with investment, USD millions)</t>
        </is>
      </c>
      <c r="D4" t="inlineStr">
        <is>
          <t>Cumulative GDP Impact (USD millions)</t>
        </is>
      </c>
    </row>
    <row r="6">
      <c r="A6" t="inlineStr">
        <is>
          <t>Year</t>
        </is>
      </c>
      <c r="B6" t="inlineStr">
        <is>
          <t>Real GDP (baseline, USD millions)</t>
        </is>
      </c>
      <c r="C6" t="inlineStr">
        <is>
          <t>Real GDP (with investment, USD millions)</t>
        </is>
      </c>
      <c r="D6" t="inlineStr">
        <is>
          <t>Cumulative GDP Impact (USD millions)</t>
        </is>
      </c>
    </row>
    <row r="7">
      <c r="A7" t="n">
        <v>2026</v>
      </c>
      <c r="B7" s="10">
        <f>'Investment'!E8</f>
        <v/>
      </c>
      <c r="C7" s="10">
        <f>'Investment'!D8</f>
        <v/>
      </c>
      <c r="D7" s="10">
        <f>C7-B7</f>
        <v/>
      </c>
    </row>
    <row r="8">
      <c r="A8" t="n">
        <v>2027</v>
      </c>
      <c r="B8" s="10">
        <f>'Investment'!E9</f>
        <v/>
      </c>
      <c r="C8" s="10">
        <f>'Investment'!D9</f>
        <v/>
      </c>
      <c r="D8" s="10">
        <f>C8-B8</f>
        <v/>
      </c>
    </row>
    <row r="9">
      <c r="A9" t="n">
        <v>2028</v>
      </c>
      <c r="B9" s="10">
        <f>'Investment'!E10</f>
        <v/>
      </c>
      <c r="C9" s="10">
        <f>'Investment'!D10</f>
        <v/>
      </c>
      <c r="D9" s="10">
        <f>C9-B9</f>
        <v/>
      </c>
    </row>
    <row r="10">
      <c r="A10" t="n">
        <v>2029</v>
      </c>
      <c r="B10" s="10">
        <f>'Investment'!E11</f>
        <v/>
      </c>
      <c r="C10" s="10">
        <f>'Investment'!D11</f>
        <v/>
      </c>
      <c r="D10" s="10">
        <f>C10-B10</f>
        <v/>
      </c>
    </row>
    <row r="11">
      <c r="A11" t="n">
        <v>2030</v>
      </c>
      <c r="B11" s="10">
        <f>'Investment'!E12</f>
        <v/>
      </c>
      <c r="C11" s="10">
        <f>'Investment'!D12</f>
        <v/>
      </c>
      <c r="D11" s="10">
        <f>C11-B11</f>
        <v/>
      </c>
    </row>
    <row r="12">
      <c r="A12" t="n">
        <v>2031</v>
      </c>
      <c r="B12" s="10">
        <f>'Investment'!E13</f>
        <v/>
      </c>
      <c r="C12" s="10">
        <f>'Investment'!D13</f>
        <v/>
      </c>
      <c r="D12" s="10">
        <f>C12-B12</f>
        <v/>
      </c>
    </row>
    <row r="13">
      <c r="A13" t="n">
        <v>2032</v>
      </c>
      <c r="B13" s="10">
        <f>'Investment'!E14</f>
        <v/>
      </c>
      <c r="C13" s="10">
        <f>'Investment'!D14</f>
        <v/>
      </c>
      <c r="D13" s="10">
        <f>C13-B13</f>
        <v/>
      </c>
    </row>
    <row r="14">
      <c r="A14" t="n">
        <v>2033</v>
      </c>
      <c r="B14" s="10">
        <f>'Investment'!E15</f>
        <v/>
      </c>
      <c r="C14" s="10">
        <f>'Investment'!D15</f>
        <v/>
      </c>
      <c r="D14" s="10">
        <f>C14-B14</f>
        <v/>
      </c>
    </row>
    <row r="15">
      <c r="A15" t="n">
        <v>2034</v>
      </c>
      <c r="B15" s="10">
        <f>'Investment'!E16</f>
        <v/>
      </c>
      <c r="C15" s="10">
        <f>'Investment'!D16</f>
        <v/>
      </c>
      <c r="D15" s="10">
        <f>C15-B15</f>
        <v/>
      </c>
    </row>
    <row r="16">
      <c r="A16" t="n">
        <v>2035</v>
      </c>
      <c r="B16" s="10">
        <f>'Investment'!E17</f>
        <v/>
      </c>
      <c r="C16" s="10">
        <f>'Investment'!D17</f>
        <v/>
      </c>
      <c r="D16" s="10">
        <f>C16-B16</f>
        <v/>
      </c>
    </row>
    <row r="17">
      <c r="A17" t="n">
        <v>2036</v>
      </c>
      <c r="B17" s="10">
        <f>'Investment'!E18</f>
        <v/>
      </c>
      <c r="C17" s="10">
        <f>'Investment'!D18</f>
        <v/>
      </c>
      <c r="D17" s="10">
        <f>C17-B17</f>
        <v/>
      </c>
    </row>
    <row r="18">
      <c r="A18" t="n">
        <v>2037</v>
      </c>
      <c r="B18" s="10">
        <f>'Investment'!E19</f>
        <v/>
      </c>
      <c r="C18" s="10">
        <f>'Investment'!D19</f>
        <v/>
      </c>
      <c r="D18" s="10">
        <f>C18-B18</f>
        <v/>
      </c>
    </row>
    <row r="19">
      <c r="A19" t="n">
        <v>2038</v>
      </c>
      <c r="B19" s="10">
        <f>'Investment'!E20</f>
        <v/>
      </c>
      <c r="C19" s="10">
        <f>'Investment'!D20</f>
        <v/>
      </c>
      <c r="D19" s="10">
        <f>C19-B19</f>
        <v/>
      </c>
    </row>
    <row r="20">
      <c r="A20" t="n">
        <v>2039</v>
      </c>
      <c r="B20" s="10">
        <f>'Investment'!E21</f>
        <v/>
      </c>
      <c r="C20" s="10">
        <f>'Investment'!D21</f>
        <v/>
      </c>
      <c r="D20" s="10">
        <f>C20-B20</f>
        <v/>
      </c>
    </row>
    <row r="21">
      <c r="A21" t="n">
        <v>2040</v>
      </c>
      <c r="B21" s="10">
        <f>'Investment'!E22</f>
        <v/>
      </c>
      <c r="C21" s="10">
        <f>'Investment'!D22</f>
        <v/>
      </c>
      <c r="D21" s="10">
        <f>C21-B21</f>
        <v/>
      </c>
    </row>
    <row r="22">
      <c r="A22" t="n">
        <v>2041</v>
      </c>
      <c r="B22" s="10">
        <f>'Investment'!E23</f>
        <v/>
      </c>
      <c r="C22" s="10">
        <f>'Investment'!D23</f>
        <v/>
      </c>
      <c r="D22" s="10">
        <f>C22-B22</f>
        <v/>
      </c>
    </row>
    <row r="23">
      <c r="A23" t="n">
        <v>2042</v>
      </c>
      <c r="B23" s="10">
        <f>'Investment'!E24</f>
        <v/>
      </c>
      <c r="C23" s="10">
        <f>'Investment'!D24</f>
        <v/>
      </c>
      <c r="D23" s="10">
        <f>C23-B23</f>
        <v/>
      </c>
    </row>
    <row r="24">
      <c r="A24" t="n">
        <v>2043</v>
      </c>
      <c r="B24" s="10">
        <f>'Investment'!E25</f>
        <v/>
      </c>
      <c r="C24" s="10">
        <f>'Investment'!D25</f>
        <v/>
      </c>
      <c r="D24" s="10">
        <f>C24-B24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2026-01-29T03:11:04Z</dcterms:created>
  <dcterms:modified xsi:type="dcterms:W3CDTF">2026-01-29T03:14:26Z</dcterms:modified>
</cp:coreProperties>
</file>