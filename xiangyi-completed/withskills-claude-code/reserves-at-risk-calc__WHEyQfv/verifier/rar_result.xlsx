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<sst xmlns="http://schemas.openxmlformats.org/spreadsheetml/2006/main" count="878" uniqueCount="627">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</sst>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'Gold price'!D5*SQRT(12)</f>
        <v>14.5697041811813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C12*($C$3*$C$6/100)</f>
        <v>400.533335259234</v>
      </c>
      <c r="D13" s="1" t="n">
        <f aca="false">D12*($C$3*$C$6/100)</f>
        <v>53.7189669294274</v>
      </c>
      <c r="E13" s="1" t="n">
        <f aca="false">E12*($C$3*$C$6/100)</f>
        <v>0.574181772269629</v>
      </c>
      <c r="F13" s="1" t="n">
        <f aca="false">F12*($C$3*$C$6/100)</f>
        <v>207.88704084254</v>
      </c>
      <c r="G13" s="1" t="n">
        <f aca="false">G12*($C$3*$C$6/100)</f>
        <v>2953.60068666879</v>
      </c>
      <c r="H13" s="1" t="n">
        <f aca="false">H12*($C$3*$C$6/100)</f>
        <v>542.652169833635</v>
      </c>
      <c r="I13" s="1" t="n">
        <f aca="false">I12*($C$3*$C$6/100)</f>
        <v>49.3914269987454</v>
      </c>
      <c r="J13" s="1" t="n">
        <f aca="false">J12*($C$3*$C$6/100)</f>
        <v>43.2700381324759</v>
      </c>
      <c r="K13" s="1" t="n">
        <f aca="false">K12*($C$3*$C$6/100)</f>
        <v>174.971427770395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$C$12</f>
        <v>7471</v>
      </c>
      <c r="D21" s="4" t="n">
        <f aca="false">$D$12</f>
        <v>1002</v>
      </c>
      <c r="E21" s="5" t="n">
        <f aca="false">$E$12</f>
        <v>10.71</v>
      </c>
      <c r="F21" s="5" t="n">
        <f aca="false">$G$12</f>
        <v>55092.42</v>
      </c>
      <c r="G21" s="5" t="n">
        <f aca="false">$H$12</f>
        <v>10121.89</v>
      </c>
      <c r="H21" s="3" t="n">
        <f aca="false">$I$12</f>
        <v>921.28</v>
      </c>
      <c r="I21" s="3" t="n">
        <f aca="false">$J$12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$C$13</f>
        <v>400.533335259234</v>
      </c>
      <c r="D22" s="1" t="n">
        <f aca="false">$D$13</f>
        <v>53.7189669294274</v>
      </c>
      <c r="E22" s="1" t="n">
        <f aca="false">$E$13</f>
        <v>0.574181772269629</v>
      </c>
      <c r="F22" s="1" t="n">
        <f aca="false">$G$13</f>
        <v>2953.60068666879</v>
      </c>
      <c r="G22" s="1" t="n">
        <f aca="false">$H$13</f>
        <v>542.652169833635</v>
      </c>
      <c r="H22" s="1" t="n">
        <f aca="false">$I$13</f>
        <v>49.3914269987454</v>
      </c>
      <c r="I22" s="1" t="n">
        <f aca="false">$J$13</f>
        <v>43.2700381324759</v>
      </c>
    </row>
    <row r="23" customFormat="false" ht="12.75" hidden="false" customHeight="true" outlineLevel="0" collapsed="false">
      <c r="B23" s="1" t="s">
        <v>19</v>
      </c>
      <c r="C23" s="5" t="n">
        <f aca="false">'Total Reserves'!D18</f>
        <v>14425.9</v>
      </c>
      <c r="D23" s="4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2.77648767327677</v>
      </c>
      <c r="D24" s="1" t="n">
        <f aca="false">D22/D23*100</f>
        <v>0.872245229178681</v>
      </c>
      <c r="E24" s="1" t="n">
        <f aca="false">E22/E23*100</f>
        <v>0.00957074898688237</v>
      </c>
      <c r="F24" s="1" t="n">
        <f aca="false">F22/F23*100</f>
        <v>4.45411361737368</v>
      </c>
      <c r="G24" s="1" t="n">
        <f aca="false">G22/G23*100</f>
        <v>0.308622338386042</v>
      </c>
      <c r="H24" s="1" t="n">
        <f aca="false">H22/H23*100</f>
        <v>0.812773404182156</v>
      </c>
      <c r="I24" s="1" t="n">
        <f aca="false">I22/I23*100</f>
        <v>0.61092575052559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2026-01-29T04:01:41Z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