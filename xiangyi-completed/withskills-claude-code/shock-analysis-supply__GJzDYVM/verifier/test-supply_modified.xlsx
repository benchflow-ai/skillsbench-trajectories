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3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0" fontId="7" fillId="0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SUMSQ(N6:N27)+100*SUMSQ(M8:M27)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N7" s="5">
        <f>K7-L7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L8-2*L7+L6</f>
        <v/>
      </c>
      <c r="N8" s="5">
        <f>K8-L8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L9-2*L8+L7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L10-2*L9+L8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L11-2*L10+L9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L12-2*L11+L10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L13-2*L12+L11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L14-2*L13+L12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L15-2*L14+L13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L16-2*L15+L14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L17-2*L16+L15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L18-2*L17+L16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L19-2*L18+L17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L20-2*L19+L18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L21-2*L20+L19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L22-2*L21+L20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L23-2*L22+L21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L24-2*L23+L22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L25-2*L24+L23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L26-2*L25+L24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L27-2*L26+L25</f>
        <v/>
      </c>
      <c r="N27" s="8">
        <f>K27-L27</f>
        <v/>
      </c>
    </row>
    <row r="30">
      <c r="A30" s="22" t="inlineStr">
        <is>
          <t>SOLVER INSTRUCTIONS FOR HP FILTER:</t>
        </is>
      </c>
    </row>
    <row r="31">
      <c r="A31" t="inlineStr">
        <is>
          <t>1. Go to Data &gt; Solver (or Data &gt; What-If Analysis &gt; Solver)</t>
        </is>
      </c>
    </row>
    <row r="32">
      <c r="A32" t="inlineStr">
        <is>
          <t>2. Set Objective: P5 (minimize)</t>
        </is>
      </c>
    </row>
    <row r="33">
      <c r="A33" t="inlineStr">
        <is>
          <t>3. By Changing Variable Cells: L6:L27</t>
        </is>
      </c>
    </row>
    <row r="34">
      <c r="A34" t="inlineStr">
        <is>
          <t>4. Click Solve</t>
        </is>
      </c>
    </row>
    <row r="35">
      <c r="A35" t="inlineStr">
        <is>
          <t>5. After solving, N6:N27 should be close to 0</t>
        </is>
      </c>
      <c r="D35" t="inlineStr">
        <is>
          <t>K/Y</t>
        </is>
      </c>
      <c r="E35">
        <f>AVERAGE(D49:D57)</f>
        <v/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PWT!B14</f>
        <v/>
      </c>
      <c r="F36">
        <f>WEO_Data!C10</f>
        <v/>
      </c>
      <c r="G36">
        <f>L6</f>
        <v/>
      </c>
      <c r="H36">
        <f>EXP(G36)*E36^$B$2</f>
        <v/>
      </c>
      <c r="I36" t="n">
        <v>0</v>
      </c>
      <c r="J36" t="n">
        <v>0</v>
      </c>
      <c r="K36" s="19">
        <f>E36</f>
        <v/>
      </c>
      <c r="L36">
        <f>EXP(G36)*K36^$B$2</f>
        <v/>
      </c>
      <c r="M36">
        <f>L36-H36</f>
        <v/>
      </c>
      <c r="N36">
        <f>L36</f>
        <v/>
      </c>
    </row>
    <row r="37">
      <c r="C37" t="n">
        <v>2003</v>
      </c>
      <c r="D37">
        <f>E37/F37</f>
        <v/>
      </c>
      <c r="E37" s="19">
        <f>PWT!B15</f>
        <v/>
      </c>
      <c r="F37">
        <f>WEO_Data!C11</f>
        <v/>
      </c>
      <c r="G37">
        <f>L7</f>
        <v/>
      </c>
      <c r="H37">
        <f>EXP(G37)*E37^$B$2</f>
        <v/>
      </c>
      <c r="I37" t="n">
        <v>0</v>
      </c>
      <c r="J37" t="n">
        <v>0</v>
      </c>
      <c r="K37" s="19">
        <f>E37</f>
        <v/>
      </c>
      <c r="L37">
        <f>EXP(G37)*K37^$B$2</f>
        <v/>
      </c>
      <c r="M37">
        <f>L37-H37</f>
        <v/>
      </c>
      <c r="N37">
        <f>L37</f>
        <v/>
      </c>
    </row>
    <row r="38">
      <c r="C38" t="n">
        <v>2004</v>
      </c>
      <c r="D38">
        <f>E38/F38</f>
        <v/>
      </c>
      <c r="E38" s="19">
        <f>PWT!B16</f>
        <v/>
      </c>
      <c r="F38">
        <f>WEO_Data!C12</f>
        <v/>
      </c>
      <c r="G38">
        <f>L8</f>
        <v/>
      </c>
      <c r="H38">
        <f>EXP(G38)*E38^$B$2</f>
        <v/>
      </c>
      <c r="I38" t="n">
        <v>0</v>
      </c>
      <c r="J38" t="n">
        <v>0</v>
      </c>
      <c r="K38" s="19">
        <f>E38</f>
        <v/>
      </c>
      <c r="L38">
        <f>EXP(G38)*K38^$B$2</f>
        <v/>
      </c>
      <c r="M38">
        <f>L38-H38</f>
        <v/>
      </c>
      <c r="N38">
        <f>L38</f>
        <v/>
      </c>
    </row>
    <row r="39">
      <c r="C39" t="n">
        <v>2005</v>
      </c>
      <c r="D39">
        <f>E39/F39</f>
        <v/>
      </c>
      <c r="E39" s="19">
        <f>PWT!B17</f>
        <v/>
      </c>
      <c r="F39">
        <f>WEO_Data!C13</f>
        <v/>
      </c>
      <c r="G39">
        <f>L9</f>
        <v/>
      </c>
      <c r="H39">
        <f>EXP(G39)*E39^$B$2</f>
        <v/>
      </c>
      <c r="I39" t="n">
        <v>0</v>
      </c>
      <c r="J39" t="n">
        <v>0</v>
      </c>
      <c r="K39" s="19">
        <f>E39</f>
        <v/>
      </c>
      <c r="L39">
        <f>EXP(G39)*K39^$B$2</f>
        <v/>
      </c>
      <c r="M39">
        <f>L39-H39</f>
        <v/>
      </c>
      <c r="N39">
        <f>L39</f>
        <v/>
      </c>
    </row>
    <row r="40">
      <c r="C40" t="n">
        <v>2006</v>
      </c>
      <c r="D40">
        <f>E40/F40</f>
        <v/>
      </c>
      <c r="E40" s="19">
        <f>PWT!B18</f>
        <v/>
      </c>
      <c r="F40">
        <f>WEO_Data!C14</f>
        <v/>
      </c>
      <c r="G40">
        <f>L10</f>
        <v/>
      </c>
      <c r="H40">
        <f>EXP(G40)*E40^$B$2</f>
        <v/>
      </c>
      <c r="I40" t="n">
        <v>0</v>
      </c>
      <c r="J40" t="n">
        <v>0</v>
      </c>
      <c r="K40" s="19">
        <f>E40</f>
        <v/>
      </c>
      <c r="L40">
        <f>EXP(G40)*K40^$B$2</f>
        <v/>
      </c>
      <c r="M40">
        <f>L40-H40</f>
        <v/>
      </c>
      <c r="N40">
        <f>L40</f>
        <v/>
      </c>
    </row>
    <row r="41">
      <c r="C41" t="n">
        <v>2007</v>
      </c>
      <c r="D41">
        <f>E41/F41</f>
        <v/>
      </c>
      <c r="E41" s="19">
        <f>PWT!B19</f>
        <v/>
      </c>
      <c r="F41">
        <f>WEO_Data!C15</f>
        <v/>
      </c>
      <c r="G41">
        <f>L11</f>
        <v/>
      </c>
      <c r="H41">
        <f>EXP(G41)*E41^$B$2</f>
        <v/>
      </c>
      <c r="I41" t="n">
        <v>0</v>
      </c>
      <c r="J41" t="n">
        <v>0</v>
      </c>
      <c r="K41" s="19">
        <f>E41</f>
        <v/>
      </c>
      <c r="L41">
        <f>EXP(G41)*K41^$B$2</f>
        <v/>
      </c>
      <c r="M41">
        <f>L41-H41</f>
        <v/>
      </c>
      <c r="N41">
        <f>L41</f>
        <v/>
      </c>
    </row>
    <row r="42">
      <c r="C42" t="n">
        <v>2008</v>
      </c>
      <c r="D42">
        <f>E42/F42</f>
        <v/>
      </c>
      <c r="E42" s="19">
        <f>PWT!B20</f>
        <v/>
      </c>
      <c r="F42">
        <f>WEO_Data!C16</f>
        <v/>
      </c>
      <c r="G42">
        <f>L12</f>
        <v/>
      </c>
      <c r="H42">
        <f>EXP(G42)*E42^$B$2</f>
        <v/>
      </c>
      <c r="I42" t="n">
        <v>0</v>
      </c>
      <c r="J42" t="n">
        <v>0</v>
      </c>
      <c r="K42" s="19">
        <f>E42</f>
        <v/>
      </c>
      <c r="L42">
        <f>EXP(G42)*K42^$B$2</f>
        <v/>
      </c>
      <c r="M42">
        <f>L42-H42</f>
        <v/>
      </c>
      <c r="N42">
        <f>L42</f>
        <v/>
      </c>
    </row>
    <row r="43">
      <c r="C43" t="n">
        <v>2009</v>
      </c>
      <c r="D43">
        <f>E43/F43</f>
        <v/>
      </c>
      <c r="E43" s="19">
        <f>PWT!B21</f>
        <v/>
      </c>
      <c r="F43">
        <f>WEO_Data!C17</f>
        <v/>
      </c>
      <c r="G43">
        <f>L13</f>
        <v/>
      </c>
      <c r="H43">
        <f>EXP(G43)*E43^$B$2</f>
        <v/>
      </c>
      <c r="I43" t="n">
        <v>0</v>
      </c>
      <c r="J43" t="n">
        <v>0</v>
      </c>
      <c r="K43" s="19">
        <f>E43</f>
        <v/>
      </c>
      <c r="L43">
        <f>EXP(G43)*K43^$B$2</f>
        <v/>
      </c>
      <c r="M43">
        <f>L43-H43</f>
        <v/>
      </c>
      <c r="N43">
        <f>L43</f>
        <v/>
      </c>
    </row>
    <row r="44">
      <c r="C44" t="n">
        <v>2010</v>
      </c>
      <c r="D44">
        <f>E44/F44</f>
        <v/>
      </c>
      <c r="E44" s="19">
        <f>PWT!B22</f>
        <v/>
      </c>
      <c r="F44">
        <f>WEO_Data!C18</f>
        <v/>
      </c>
      <c r="G44">
        <f>L14</f>
        <v/>
      </c>
      <c r="H44">
        <f>EXP(G44)*E44^$B$2</f>
        <v/>
      </c>
      <c r="I44" t="n">
        <v>0</v>
      </c>
      <c r="J44" t="n">
        <v>0</v>
      </c>
      <c r="K44" s="19">
        <f>E44</f>
        <v/>
      </c>
      <c r="L44">
        <f>EXP(G44)*K44^$B$2</f>
        <v/>
      </c>
      <c r="M44">
        <f>L44-H44</f>
        <v/>
      </c>
      <c r="N44">
        <f>L44</f>
        <v/>
      </c>
    </row>
    <row r="45">
      <c r="C45" t="n">
        <v>2011</v>
      </c>
      <c r="D45">
        <f>E45/F45</f>
        <v/>
      </c>
      <c r="E45" s="19">
        <f>PWT!B23</f>
        <v/>
      </c>
      <c r="F45">
        <f>WEO_Data!C19</f>
        <v/>
      </c>
      <c r="G45">
        <f>L15</f>
        <v/>
      </c>
      <c r="H45">
        <f>EXP(G45)*E45^$B$2</f>
        <v/>
      </c>
      <c r="I45" t="n">
        <v>0</v>
      </c>
      <c r="J45" t="n">
        <v>0</v>
      </c>
      <c r="K45" s="19">
        <f>E45</f>
        <v/>
      </c>
      <c r="L45">
        <f>EXP(G45)*K45^$B$2</f>
        <v/>
      </c>
      <c r="M45">
        <f>L45-H45</f>
        <v/>
      </c>
      <c r="N45">
        <f>L45</f>
        <v/>
      </c>
    </row>
    <row r="46">
      <c r="C46" t="n">
        <v>2012</v>
      </c>
      <c r="D46">
        <f>E46/F46</f>
        <v/>
      </c>
      <c r="E46" s="19">
        <f>PWT!B24</f>
        <v/>
      </c>
      <c r="F46">
        <f>WEO_Data!C20</f>
        <v/>
      </c>
      <c r="G46">
        <f>L16</f>
        <v/>
      </c>
      <c r="H46">
        <f>EXP(G46)*E46^$B$2</f>
        <v/>
      </c>
      <c r="I46" t="n">
        <v>0</v>
      </c>
      <c r="J46" t="n">
        <v>0</v>
      </c>
      <c r="K46" s="19">
        <f>E46</f>
        <v/>
      </c>
      <c r="L46">
        <f>EXP(G46)*K46^$B$2</f>
        <v/>
      </c>
      <c r="M46">
        <f>L46-H46</f>
        <v/>
      </c>
      <c r="N46">
        <f>L46</f>
        <v/>
      </c>
    </row>
    <row r="47">
      <c r="C47" t="n">
        <v>2013</v>
      </c>
      <c r="D47">
        <f>E47/F47</f>
        <v/>
      </c>
      <c r="E47" s="19">
        <f>PWT!B25</f>
        <v/>
      </c>
      <c r="F47">
        <f>WEO_Data!C21</f>
        <v/>
      </c>
      <c r="G47">
        <f>L17</f>
        <v/>
      </c>
      <c r="H47">
        <f>EXP(G47)*E47^$B$2</f>
        <v/>
      </c>
      <c r="I47" t="n">
        <v>0</v>
      </c>
      <c r="J47" t="n">
        <v>0</v>
      </c>
      <c r="K47" s="19">
        <f>E47</f>
        <v/>
      </c>
      <c r="L47">
        <f>EXP(G47)*K47^$B$2</f>
        <v/>
      </c>
      <c r="M47">
        <f>L47-H47</f>
        <v/>
      </c>
      <c r="N47">
        <f>L47</f>
        <v/>
      </c>
    </row>
    <row r="48">
      <c r="C48" t="n">
        <v>2014</v>
      </c>
      <c r="D48">
        <f>E48/F48</f>
        <v/>
      </c>
      <c r="E48" s="19">
        <f>PWT!B26</f>
        <v/>
      </c>
      <c r="F48">
        <f>WEO_Data!C22</f>
        <v/>
      </c>
      <c r="G48">
        <f>L18</f>
        <v/>
      </c>
      <c r="H48">
        <f>EXP(G48)*E48^$B$2</f>
        <v/>
      </c>
      <c r="I48" t="n">
        <v>0</v>
      </c>
      <c r="J48" t="n">
        <v>0</v>
      </c>
      <c r="K48" s="19">
        <f>E48</f>
        <v/>
      </c>
      <c r="L48">
        <f>EXP(G48)*K48^$B$2</f>
        <v/>
      </c>
      <c r="M48">
        <f>L48-H48</f>
        <v/>
      </c>
      <c r="N48">
        <f>L48</f>
        <v/>
      </c>
    </row>
    <row r="49">
      <c r="C49" t="n">
        <v>2015</v>
      </c>
      <c r="D49">
        <f>E49/F49</f>
        <v/>
      </c>
      <c r="E49" s="19">
        <f>PWT!B27</f>
        <v/>
      </c>
      <c r="F49">
        <f>WEO_Data!C23</f>
        <v/>
      </c>
      <c r="G49">
        <f>L19</f>
        <v/>
      </c>
      <c r="H49">
        <f>EXP(G49)*E49^$B$2</f>
        <v/>
      </c>
      <c r="I49" t="n">
        <v>0</v>
      </c>
      <c r="J49" t="n">
        <v>0</v>
      </c>
      <c r="K49" s="19">
        <f>E49</f>
        <v/>
      </c>
      <c r="L49">
        <f>EXP(G49)*K49^$B$2</f>
        <v/>
      </c>
      <c r="M49">
        <f>L49-H49</f>
        <v/>
      </c>
      <c r="N49">
        <f>L49</f>
        <v/>
      </c>
    </row>
    <row r="50">
      <c r="C50" t="n">
        <v>2016</v>
      </c>
      <c r="D50">
        <f>E50/F50</f>
        <v/>
      </c>
      <c r="E50" s="19">
        <f>PWT!B28</f>
        <v/>
      </c>
      <c r="F50">
        <f>WEO_Data!C24</f>
        <v/>
      </c>
      <c r="G50">
        <f>L20</f>
        <v/>
      </c>
      <c r="H50">
        <f>EXP(G50)*E50^$B$2</f>
        <v/>
      </c>
      <c r="I50" t="n">
        <v>0</v>
      </c>
      <c r="J50" t="n">
        <v>0</v>
      </c>
      <c r="K50" s="19">
        <f>E50</f>
        <v/>
      </c>
      <c r="L50">
        <f>EXP(G50)*K50^$B$2</f>
        <v/>
      </c>
      <c r="M50">
        <f>L50-H50</f>
        <v/>
      </c>
      <c r="N50">
        <f>L50</f>
        <v/>
      </c>
    </row>
    <row r="51">
      <c r="C51" t="n">
        <v>2017</v>
      </c>
      <c r="D51">
        <f>E51/F51</f>
        <v/>
      </c>
      <c r="E51" s="19">
        <f>PWT!B29</f>
        <v/>
      </c>
      <c r="F51">
        <f>WEO_Data!C25</f>
        <v/>
      </c>
      <c r="G51">
        <f>L21</f>
        <v/>
      </c>
      <c r="H51">
        <f>EXP(G51)*E51^$B$2</f>
        <v/>
      </c>
      <c r="I51" t="n">
        <v>0</v>
      </c>
      <c r="J51" t="n">
        <v>0</v>
      </c>
      <c r="K51" s="19">
        <f>E51</f>
        <v/>
      </c>
      <c r="L51">
        <f>EXP(G51)*K51^$B$2</f>
        <v/>
      </c>
      <c r="M51">
        <f>L51-H51</f>
        <v/>
      </c>
      <c r="N51">
        <f>L51</f>
        <v/>
      </c>
    </row>
    <row r="52">
      <c r="C52" t="n">
        <v>2018</v>
      </c>
      <c r="D52">
        <f>E52/F52</f>
        <v/>
      </c>
      <c r="E52" s="19">
        <f>PWT!B30</f>
        <v/>
      </c>
      <c r="F52">
        <f>WEO_Data!C26</f>
        <v/>
      </c>
      <c r="G52">
        <f>L22</f>
        <v/>
      </c>
      <c r="H52">
        <f>EXP(G52)*E52^$B$2</f>
        <v/>
      </c>
      <c r="I52" t="n">
        <v>0</v>
      </c>
      <c r="J52" t="n">
        <v>0</v>
      </c>
      <c r="K52" s="19">
        <f>E52</f>
        <v/>
      </c>
      <c r="L52">
        <f>EXP(G52)*K52^$B$2</f>
        <v/>
      </c>
      <c r="M52">
        <f>L52-H52</f>
        <v/>
      </c>
      <c r="N52">
        <f>L52</f>
        <v/>
      </c>
    </row>
    <row r="53">
      <c r="C53" t="n">
        <v>2019</v>
      </c>
      <c r="D53">
        <f>E53/F53</f>
        <v/>
      </c>
      <c r="E53" s="19">
        <f>PWT!B31</f>
        <v/>
      </c>
      <c r="F53">
        <f>WEO_Data!C27</f>
        <v/>
      </c>
      <c r="G53">
        <f>L23</f>
        <v/>
      </c>
      <c r="H53">
        <f>EXP(G53)*E53^$B$2</f>
        <v/>
      </c>
      <c r="I53" t="n">
        <v>0</v>
      </c>
      <c r="J53" t="n">
        <v>0</v>
      </c>
      <c r="K53" s="19">
        <f>E53</f>
        <v/>
      </c>
      <c r="L53">
        <f>EXP(G53)*K53^$B$2</f>
        <v/>
      </c>
      <c r="M53">
        <f>L53-H53</f>
        <v/>
      </c>
      <c r="N53">
        <f>L53</f>
        <v/>
      </c>
    </row>
    <row r="54">
      <c r="C54" t="n">
        <v>2020</v>
      </c>
      <c r="D54">
        <f>E54/F54</f>
        <v/>
      </c>
      <c r="E54" s="19">
        <f>PWT!B32</f>
        <v/>
      </c>
      <c r="F54">
        <f>WEO_Data!C28</f>
        <v/>
      </c>
      <c r="G54">
        <f>L24</f>
        <v/>
      </c>
      <c r="H54">
        <f>EXP(G54)*E54^$B$2</f>
        <v/>
      </c>
      <c r="I54" t="n">
        <v>0</v>
      </c>
      <c r="J54" t="n">
        <v>0</v>
      </c>
      <c r="K54" s="19">
        <f>E54</f>
        <v/>
      </c>
      <c r="L54">
        <f>EXP(G54)*K54^$B$2</f>
        <v/>
      </c>
      <c r="M54">
        <f>L54-H54</f>
        <v/>
      </c>
      <c r="N54">
        <f>L54</f>
        <v/>
      </c>
    </row>
    <row r="55">
      <c r="C55" t="n">
        <v>2021</v>
      </c>
      <c r="D55">
        <f>E55/F55</f>
        <v/>
      </c>
      <c r="E55" s="19">
        <f>PWT!B33</f>
        <v/>
      </c>
      <c r="F55">
        <f>WEO_Data!C29</f>
        <v/>
      </c>
      <c r="G55">
        <f>L25</f>
        <v/>
      </c>
      <c r="H55">
        <f>EXP(G55)*E55^$B$2</f>
        <v/>
      </c>
      <c r="I55" t="n">
        <v>0</v>
      </c>
      <c r="J55" t="n">
        <v>0</v>
      </c>
      <c r="K55" s="19">
        <f>E55</f>
        <v/>
      </c>
      <c r="L55">
        <f>EXP(G55)*K55^$B$2</f>
        <v/>
      </c>
      <c r="M55">
        <f>L55-H55</f>
        <v/>
      </c>
      <c r="N55">
        <f>L55</f>
        <v/>
      </c>
    </row>
    <row r="56">
      <c r="C56" t="n">
        <v>2022</v>
      </c>
      <c r="D56">
        <f>E56/F56</f>
        <v/>
      </c>
      <c r="E56" s="19">
        <f>PWT!B34</f>
        <v/>
      </c>
      <c r="F56">
        <f>WEO_Data!C30</f>
        <v/>
      </c>
      <c r="G56">
        <f>L26</f>
        <v/>
      </c>
      <c r="H56">
        <f>EXP(G56)*E56^$B$2</f>
        <v/>
      </c>
      <c r="I56" t="n">
        <v>0</v>
      </c>
      <c r="J56" t="n">
        <v>0</v>
      </c>
      <c r="K56" s="19">
        <f>E56</f>
        <v/>
      </c>
      <c r="L56">
        <f>EXP(G56)*K56^$B$2</f>
        <v/>
      </c>
      <c r="M56">
        <f>L56-H56</f>
        <v/>
      </c>
      <c r="N56">
        <f>L56</f>
        <v/>
      </c>
    </row>
    <row r="57">
      <c r="C57" t="n">
        <v>2023</v>
      </c>
      <c r="D57">
        <f>E57/F57</f>
        <v/>
      </c>
      <c r="E57" s="19">
        <f>PWT!B35</f>
        <v/>
      </c>
      <c r="F57">
        <f>WEO_Data!C31</f>
        <v/>
      </c>
      <c r="G57">
        <f>L27</f>
        <v/>
      </c>
      <c r="H57">
        <f>EXP(G57)*E57^$B$2</f>
        <v/>
      </c>
      <c r="I57" t="n">
        <v>0</v>
      </c>
      <c r="J57" t="n">
        <v>0</v>
      </c>
      <c r="K57" s="19">
        <f>E57</f>
        <v/>
      </c>
      <c r="L57">
        <f>EXP(G57)*K57^$B$2</f>
        <v/>
      </c>
      <c r="M57">
        <f>L57-H57</f>
        <v/>
      </c>
      <c r="N57">
        <f>L57</f>
        <v/>
      </c>
    </row>
    <row r="58">
      <c r="C58" t="n">
        <v>2024</v>
      </c>
      <c r="D58">
        <f>E58/F58</f>
        <v/>
      </c>
      <c r="E58" s="21">
        <f>F58*$E$35</f>
        <v/>
      </c>
      <c r="F58">
        <f>WEO_Data!C32</f>
        <v/>
      </c>
      <c r="G58" s="20">
        <f>TREND($G$36:$G$57,$C$36:$C$57,C58)</f>
        <v/>
      </c>
      <c r="H58">
        <f>EXP(G58)*E58^$B$2</f>
        <v/>
      </c>
      <c r="I58" t="n">
        <v>0</v>
      </c>
      <c r="J58" t="n">
        <v>0</v>
      </c>
      <c r="K58" s="19">
        <f>E58</f>
        <v/>
      </c>
      <c r="L58">
        <f>EXP(G58)*K58^$B$2</f>
        <v/>
      </c>
      <c r="M58">
        <f>L58-H58</f>
        <v/>
      </c>
      <c r="N58">
        <f>L58</f>
        <v/>
      </c>
    </row>
    <row r="59">
      <c r="C59" t="n">
        <v>2025</v>
      </c>
      <c r="D59">
        <f>E59/F59</f>
        <v/>
      </c>
      <c r="E59" s="21">
        <f>F59*$E$35</f>
        <v/>
      </c>
      <c r="F59">
        <f>WEO_Data!C33</f>
        <v/>
      </c>
      <c r="G59" s="20">
        <f>TREND($G$36:$G$57,$C$36:$C$57,C59)</f>
        <v/>
      </c>
      <c r="H59">
        <f>EXP(G59)*E59^$B$2</f>
        <v/>
      </c>
      <c r="I59" t="n">
        <v>0</v>
      </c>
      <c r="J59" t="n">
        <v>0</v>
      </c>
      <c r="K59" s="19">
        <f>E59</f>
        <v/>
      </c>
      <c r="L59">
        <f>EXP(G59)*K59^$B$2</f>
        <v/>
      </c>
      <c r="M59">
        <f>L59-H59</f>
        <v/>
      </c>
      <c r="N59">
        <f>L59</f>
        <v/>
      </c>
    </row>
    <row r="60">
      <c r="C60" t="n">
        <v>2026</v>
      </c>
      <c r="D60">
        <f>E60/F60</f>
        <v/>
      </c>
      <c r="E60" s="21">
        <f>F60*$E$35</f>
        <v/>
      </c>
      <c r="F60" s="20">
        <f>WEO_Data!C34</f>
        <v/>
      </c>
      <c r="G60" s="20">
        <f>TREND($G$36:$G$57,$C$36:$C$57,C60)</f>
        <v/>
      </c>
      <c r="H60">
        <f>EXP(G60)*E60^$B$2</f>
        <v/>
      </c>
      <c r="I60" s="17">
        <f>Investment!C2</f>
        <v/>
      </c>
      <c r="J60">
        <f>I60-$B$3*E59</f>
        <v/>
      </c>
      <c r="K60" s="19">
        <f>E60+J60</f>
        <v/>
      </c>
      <c r="L60">
        <f>EXP(G60)*K60^$B$2</f>
        <v/>
      </c>
      <c r="M60">
        <f>L60-H60</f>
        <v/>
      </c>
      <c r="N60">
        <f>L60</f>
        <v/>
      </c>
    </row>
    <row r="61">
      <c r="C61" t="n">
        <v>2027</v>
      </c>
      <c r="D61">
        <f>E61/F61</f>
        <v/>
      </c>
      <c r="E61" s="21">
        <f>F61*$E$35</f>
        <v/>
      </c>
      <c r="F61" s="20">
        <f>WEO_Data!C35</f>
        <v/>
      </c>
      <c r="G61" s="20">
        <f>TREND($G$36:$G$57,$C$36:$C$57,C61)</f>
        <v/>
      </c>
      <c r="H61">
        <f>EXP(G61)*E61^$B$2</f>
        <v/>
      </c>
      <c r="I61" s="17">
        <f>Investment!C3</f>
        <v/>
      </c>
      <c r="J61">
        <f>I61-$B$3*K60</f>
        <v/>
      </c>
      <c r="K61" s="19">
        <f>K60+J61</f>
        <v/>
      </c>
      <c r="L61">
        <f>EXP(G61)*K61^$B$2</f>
        <v/>
      </c>
      <c r="M61">
        <f>L61-H61</f>
        <v/>
      </c>
      <c r="N61">
        <f>L61</f>
        <v/>
      </c>
    </row>
    <row r="62">
      <c r="C62" t="n">
        <v>2028</v>
      </c>
      <c r="D62">
        <f>E62/F62</f>
        <v/>
      </c>
      <c r="E62" s="21">
        <f>F62*$E$35</f>
        <v/>
      </c>
      <c r="F62" s="20">
        <f>WEO_Data!C36</f>
        <v/>
      </c>
      <c r="G62" s="20">
        <f>TREND($G$36:$G$57,$C$36:$C$57,C62)</f>
        <v/>
      </c>
      <c r="H62">
        <f>EXP(G62)*E62^$B$2</f>
        <v/>
      </c>
      <c r="I62" s="17">
        <f>Investment!C4</f>
        <v/>
      </c>
      <c r="J62">
        <f>I62-$B$3*K61</f>
        <v/>
      </c>
      <c r="K62" s="19">
        <f>K61+J62</f>
        <v/>
      </c>
      <c r="L62">
        <f>EXP(G62)*K62^$B$2</f>
        <v/>
      </c>
      <c r="M62">
        <f>L62-H62</f>
        <v/>
      </c>
      <c r="N62">
        <f>L62</f>
        <v/>
      </c>
    </row>
    <row r="63">
      <c r="C63" t="n">
        <v>2029</v>
      </c>
      <c r="D63">
        <f>E63/F63</f>
        <v/>
      </c>
      <c r="E63" s="21">
        <f>F63*$E$35</f>
        <v/>
      </c>
      <c r="F63" s="20">
        <f>WEO_Data!C37</f>
        <v/>
      </c>
      <c r="G63" s="20">
        <f>TREND($G$36:$G$57,$C$36:$C$57,C63)</f>
        <v/>
      </c>
      <c r="H63">
        <f>EXP(G63)*E63^$B$2</f>
        <v/>
      </c>
      <c r="I63" s="17">
        <f>Investment!C5</f>
        <v/>
      </c>
      <c r="J63">
        <f>I63-$B$3*K62</f>
        <v/>
      </c>
      <c r="K63" s="19">
        <f>K62+J63</f>
        <v/>
      </c>
      <c r="L63">
        <f>EXP(G63)*K63^$B$2</f>
        <v/>
      </c>
      <c r="M63">
        <f>L63-H63</f>
        <v/>
      </c>
      <c r="N63">
        <f>L63</f>
        <v/>
      </c>
    </row>
    <row r="64">
      <c r="C64" t="n">
        <v>2030</v>
      </c>
      <c r="D64">
        <f>E64/F64</f>
        <v/>
      </c>
      <c r="E64" s="21">
        <f>F64*$E$35</f>
        <v/>
      </c>
      <c r="F64" s="20">
        <f>WEO_Data!C38</f>
        <v/>
      </c>
      <c r="G64" s="20">
        <f>TREND($G$36:$G$57,$C$36:$C$57,C64)</f>
        <v/>
      </c>
      <c r="H64">
        <f>EXP(G64)*E64^$B$2</f>
        <v/>
      </c>
      <c r="I64" s="17">
        <f>Investment!C6</f>
        <v/>
      </c>
      <c r="J64">
        <f>I64-$B$3*K63</f>
        <v/>
      </c>
      <c r="K64" s="19">
        <f>K63+J64</f>
        <v/>
      </c>
      <c r="L64">
        <f>EXP(G64)*K64^$B$2</f>
        <v/>
      </c>
      <c r="M64">
        <f>L64-H64</f>
        <v/>
      </c>
      <c r="N64">
        <f>L64</f>
        <v/>
      </c>
    </row>
    <row r="65">
      <c r="C65" t="n">
        <v>2031</v>
      </c>
      <c r="D65">
        <f>E65/F65</f>
        <v/>
      </c>
      <c r="E65" s="21">
        <f>F65*$E$35</f>
        <v/>
      </c>
      <c r="F65" s="20">
        <f>WEO_Data!C39</f>
        <v/>
      </c>
      <c r="G65" s="20">
        <f>TREND($G$36:$G$57,$C$36:$C$57,C65)</f>
        <v/>
      </c>
      <c r="H65">
        <f>EXP(G65)*E65^$B$2</f>
        <v/>
      </c>
      <c r="I65" s="17">
        <f>Investment!C7</f>
        <v/>
      </c>
      <c r="J65">
        <f>I65-$B$3*K64</f>
        <v/>
      </c>
      <c r="K65" s="19">
        <f>K64+J65</f>
        <v/>
      </c>
      <c r="L65">
        <f>EXP(G65)*K65^$B$2</f>
        <v/>
      </c>
      <c r="M65">
        <f>L65-H65</f>
        <v/>
      </c>
      <c r="N65">
        <f>L65</f>
        <v/>
      </c>
    </row>
    <row r="66">
      <c r="C66" t="n">
        <v>2032</v>
      </c>
      <c r="D66">
        <f>E66/F66</f>
        <v/>
      </c>
      <c r="E66" s="21">
        <f>F66*$E$35</f>
        <v/>
      </c>
      <c r="F66" s="20">
        <f>WEO_Data!C40</f>
        <v/>
      </c>
      <c r="G66" s="20">
        <f>TREND($G$36:$G$57,$C$36:$C$57,C66)</f>
        <v/>
      </c>
      <c r="H66">
        <f>EXP(G66)*E66^$B$2</f>
        <v/>
      </c>
      <c r="I66" s="17">
        <f>Investment!C8</f>
        <v/>
      </c>
      <c r="J66">
        <f>I66-$B$3*K65</f>
        <v/>
      </c>
      <c r="K66" s="19">
        <f>K65+J66</f>
        <v/>
      </c>
      <c r="L66">
        <f>EXP(G66)*K66^$B$2</f>
        <v/>
      </c>
      <c r="M66">
        <f>L66-H66</f>
        <v/>
      </c>
      <c r="N66">
        <f>L66</f>
        <v/>
      </c>
    </row>
    <row r="67">
      <c r="C67" t="n">
        <v>2033</v>
      </c>
      <c r="D67">
        <f>E67/F67</f>
        <v/>
      </c>
      <c r="E67" s="21">
        <f>F67*$E$35</f>
        <v/>
      </c>
      <c r="F67" s="20">
        <f>WEO_Data!C41</f>
        <v/>
      </c>
      <c r="G67" s="20">
        <f>TREND($G$36:$G$57,$C$36:$C$57,C67)</f>
        <v/>
      </c>
      <c r="H67">
        <f>EXP(G67)*E67^$B$2</f>
        <v/>
      </c>
      <c r="I67" s="17">
        <f>Investment!C9</f>
        <v/>
      </c>
      <c r="J67">
        <f>I67-$B$3*K66</f>
        <v/>
      </c>
      <c r="K67" s="19">
        <f>K66+J67</f>
        <v/>
      </c>
      <c r="L67">
        <f>EXP(G67)*K67^$B$2</f>
        <v/>
      </c>
      <c r="M67">
        <f>L67-H67</f>
        <v/>
      </c>
      <c r="N67">
        <f>L67</f>
        <v/>
      </c>
    </row>
    <row r="68">
      <c r="C68" t="n">
        <v>2034</v>
      </c>
      <c r="D68">
        <f>E68/F68</f>
        <v/>
      </c>
      <c r="E68" s="21">
        <f>F68*$E$35</f>
        <v/>
      </c>
      <c r="F68" s="20">
        <f>WEO_Data!C42</f>
        <v/>
      </c>
      <c r="G68" s="20">
        <f>TREND($G$36:$G$57,$C$36:$C$57,C68)</f>
        <v/>
      </c>
      <c r="H68">
        <f>EXP(G68)*E68^$B$2</f>
        <v/>
      </c>
      <c r="I68" t="n">
        <v>0</v>
      </c>
      <c r="J68">
        <f>I68-$B$3*K67</f>
        <v/>
      </c>
      <c r="K68" s="19">
        <f>K67+J68</f>
        <v/>
      </c>
      <c r="L68">
        <f>EXP(G68)*K68^$B$2</f>
        <v/>
      </c>
      <c r="M68">
        <f>L68-H68</f>
        <v/>
      </c>
      <c r="N68">
        <f>L68</f>
        <v/>
      </c>
    </row>
    <row r="69">
      <c r="C69" t="n">
        <v>2035</v>
      </c>
      <c r="D69">
        <f>E69/F69</f>
        <v/>
      </c>
      <c r="E69" s="21">
        <f>F69*$E$35</f>
        <v/>
      </c>
      <c r="F69" s="20">
        <f>WEO_Data!C43</f>
        <v/>
      </c>
      <c r="G69" s="20">
        <f>TREND($G$36:$G$57,$C$36:$C$57,C69)</f>
        <v/>
      </c>
      <c r="H69">
        <f>EXP(G69)*E69^$B$2</f>
        <v/>
      </c>
      <c r="I69" t="n">
        <v>0</v>
      </c>
      <c r="J69">
        <f>I69-$B$3*K68</f>
        <v/>
      </c>
      <c r="K69" s="19">
        <f>K68+J69</f>
        <v/>
      </c>
      <c r="L69">
        <f>EXP(G69)*K69^$B$2</f>
        <v/>
      </c>
      <c r="M69">
        <f>L69-H69</f>
        <v/>
      </c>
      <c r="N69">
        <f>L69</f>
        <v/>
      </c>
    </row>
    <row r="70">
      <c r="C70" t="n">
        <v>2036</v>
      </c>
      <c r="D70">
        <f>E70/F70</f>
        <v/>
      </c>
      <c r="E70" s="21">
        <f>F70*$E$35</f>
        <v/>
      </c>
      <c r="F70" s="20">
        <f>WEO_Data!C44</f>
        <v/>
      </c>
      <c r="G70" s="20">
        <f>TREND($G$36:$G$57,$C$36:$C$57,C70)</f>
        <v/>
      </c>
      <c r="H70">
        <f>EXP(G70)*E70^$B$2</f>
        <v/>
      </c>
      <c r="I70" t="n">
        <v>0</v>
      </c>
      <c r="J70">
        <f>I70-$B$3*K69</f>
        <v/>
      </c>
      <c r="K70" s="19">
        <f>K69+J70</f>
        <v/>
      </c>
      <c r="L70">
        <f>EXP(G70)*K70^$B$2</f>
        <v/>
      </c>
      <c r="M70">
        <f>L70-H70</f>
        <v/>
      </c>
      <c r="N70">
        <f>L70</f>
        <v/>
      </c>
    </row>
    <row r="71">
      <c r="C71" t="n">
        <v>2037</v>
      </c>
      <c r="D71">
        <f>E71/F71</f>
        <v/>
      </c>
      <c r="E71" s="21">
        <f>F71*$E$35</f>
        <v/>
      </c>
      <c r="F71" s="20">
        <f>WEO_Data!C45</f>
        <v/>
      </c>
      <c r="G71" s="20">
        <f>TREND($G$36:$G$57,$C$36:$C$57,C71)</f>
        <v/>
      </c>
      <c r="H71">
        <f>EXP(G71)*E71^$B$2</f>
        <v/>
      </c>
      <c r="I71" t="n">
        <v>0</v>
      </c>
      <c r="J71">
        <f>I71-$B$3*K70</f>
        <v/>
      </c>
      <c r="K71" s="19">
        <f>K70+J71</f>
        <v/>
      </c>
      <c r="L71">
        <f>EXP(G71)*K71^$B$2</f>
        <v/>
      </c>
      <c r="M71">
        <f>L71-H71</f>
        <v/>
      </c>
      <c r="N71">
        <f>L71</f>
        <v/>
      </c>
    </row>
    <row r="72">
      <c r="C72" t="n">
        <v>2038</v>
      </c>
      <c r="D72">
        <f>E72/F72</f>
        <v/>
      </c>
      <c r="E72" s="21">
        <f>F72*$E$35</f>
        <v/>
      </c>
      <c r="F72" s="20">
        <f>WEO_Data!C46</f>
        <v/>
      </c>
      <c r="G72" s="20">
        <f>TREND($G$36:$G$57,$C$36:$C$57,C72)</f>
        <v/>
      </c>
      <c r="H72">
        <f>EXP(G72)*E72^$B$2</f>
        <v/>
      </c>
      <c r="I72" t="n">
        <v>0</v>
      </c>
      <c r="J72">
        <f>I72-$B$3*K71</f>
        <v/>
      </c>
      <c r="K72" s="19">
        <f>K71+J72</f>
        <v/>
      </c>
      <c r="L72">
        <f>EXP(G72)*K72^$B$2</f>
        <v/>
      </c>
      <c r="M72">
        <f>L72-H72</f>
        <v/>
      </c>
      <c r="N72">
        <f>L72</f>
        <v/>
      </c>
    </row>
    <row r="73">
      <c r="C73" t="n">
        <v>2039</v>
      </c>
      <c r="D73">
        <f>E73/F73</f>
        <v/>
      </c>
      <c r="E73" s="21">
        <f>F73*$E$35</f>
        <v/>
      </c>
      <c r="F73" s="20">
        <f>WEO_Data!C47</f>
        <v/>
      </c>
      <c r="G73" s="20">
        <f>TREND($G$36:$G$57,$C$36:$C$57,C73)</f>
        <v/>
      </c>
      <c r="H73">
        <f>EXP(G73)*E73^$B$2</f>
        <v/>
      </c>
      <c r="I73" t="n">
        <v>0</v>
      </c>
      <c r="J73">
        <f>I73-$B$3*K72</f>
        <v/>
      </c>
      <c r="K73" s="19">
        <f>K72+J73</f>
        <v/>
      </c>
      <c r="L73">
        <f>EXP(G73)*K73^$B$2</f>
        <v/>
      </c>
      <c r="M73">
        <f>L73-H73</f>
        <v/>
      </c>
      <c r="N73">
        <f>L73</f>
        <v/>
      </c>
    </row>
    <row r="74">
      <c r="C74" t="n">
        <v>2040</v>
      </c>
      <c r="D74">
        <f>E74/F74</f>
        <v/>
      </c>
      <c r="E74" s="21">
        <f>F74*$E$35</f>
        <v/>
      </c>
      <c r="F74" s="20">
        <f>WEO_Data!C48</f>
        <v/>
      </c>
      <c r="G74" s="20">
        <f>TREND($G$36:$G$57,$C$36:$C$57,C74)</f>
        <v/>
      </c>
      <c r="H74">
        <f>EXP(G74)*E74^$B$2</f>
        <v/>
      </c>
      <c r="I74" t="n">
        <v>0</v>
      </c>
      <c r="J74">
        <f>I74-$B$3*K73</f>
        <v/>
      </c>
      <c r="K74" s="19">
        <f>K73+J74</f>
        <v/>
      </c>
      <c r="L74">
        <f>EXP(G74)*K74^$B$2</f>
        <v/>
      </c>
      <c r="M74">
        <f>L74-H74</f>
        <v/>
      </c>
      <c r="N74">
        <f>L74</f>
        <v/>
      </c>
    </row>
    <row r="75">
      <c r="C75" t="n">
        <v>2041</v>
      </c>
      <c r="D75">
        <f>E75/F75</f>
        <v/>
      </c>
      <c r="E75" s="21">
        <f>F75*$E$35</f>
        <v/>
      </c>
      <c r="F75" s="20">
        <f>WEO_Data!C49</f>
        <v/>
      </c>
      <c r="G75" s="20">
        <f>TREND($G$36:$G$57,$C$36:$C$57,C75)</f>
        <v/>
      </c>
      <c r="H75">
        <f>EXP(G75)*E75^$B$2</f>
        <v/>
      </c>
      <c r="I75" t="n">
        <v>0</v>
      </c>
      <c r="J75">
        <f>I75-$B$3*K74</f>
        <v/>
      </c>
      <c r="K75" s="19">
        <f>K74+J75</f>
        <v/>
      </c>
      <c r="L75">
        <f>EXP(G75)*K75^$B$2</f>
        <v/>
      </c>
      <c r="M75">
        <f>L75-H75</f>
        <v/>
      </c>
      <c r="N75">
        <f>L75</f>
        <v/>
      </c>
    </row>
    <row r="76">
      <c r="C76" t="n">
        <v>2042</v>
      </c>
    </row>
    <row r="77">
      <c r="C77" t="n">
        <v>2043</v>
      </c>
    </row>
    <row r="78">
      <c r="C78" t="n">
        <v>2044</v>
      </c>
    </row>
    <row r="79">
      <c r="C79" t="n">
        <v>2045</v>
      </c>
    </row>
    <row r="80">
      <c r="C80" t="n">
        <v>2046</v>
      </c>
    </row>
    <row r="81">
      <c r="C81" t="n">
        <v>2047</v>
      </c>
    </row>
    <row r="82">
      <c r="C82" t="n">
        <v>2048</v>
      </c>
    </row>
    <row r="83">
      <c r="C83" t="n">
        <v>2049</v>
      </c>
    </row>
    <row r="84">
      <c r="C84" t="n">
        <v>2050</v>
      </c>
    </row>
    <row r="85">
      <c r="C85" t="n">
        <v>2051</v>
      </c>
    </row>
    <row r="86">
      <c r="C86" t="n">
        <v>2052</v>
      </c>
    </row>
    <row r="87">
      <c r="C87" t="n">
        <v>2053</v>
      </c>
    </row>
    <row r="88">
      <c r="C88" t="n">
        <v>2054</v>
      </c>
    </row>
    <row r="89">
      <c r="C89" t="n">
        <v>2055</v>
      </c>
    </row>
    <row r="90">
      <c r="C90" t="n">
        <v>2056</v>
      </c>
    </row>
    <row r="91">
      <c r="C91" t="n">
        <v>2057</v>
      </c>
    </row>
    <row r="92">
      <c r="C92" t="n">
        <v>2058</v>
      </c>
    </row>
    <row r="93">
      <c r="C93" t="n">
        <v>2059</v>
      </c>
    </row>
    <row r="94">
      <c r="C94" t="n">
        <v>2060</v>
      </c>
    </row>
    <row r="95">
      <c r="C95" t="n">
        <v>2061</v>
      </c>
    </row>
    <row r="96">
      <c r="C96" t="n">
        <v>2062</v>
      </c>
    </row>
    <row r="97">
      <c r="C97" t="n">
        <v>2063</v>
      </c>
    </row>
    <row r="98">
      <c r="C98" t="n">
        <v>2064</v>
      </c>
    </row>
    <row r="99">
      <c r="C99" t="n">
        <v>2065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0.3045150917602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0.383641663608596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0.516397121222809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0.6616038344292311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0.63170100088782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0.706983726789065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0.790112565198609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0.932916219671159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0.976818537799271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1.11345005859263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1.30637308413224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1.61702996625711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1.7580492676717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1.75136668488131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2.04641323466733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2.35051240590543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2.64360288796874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1.55593215231816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2.9848904686878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3.65728067254249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4.00482871985304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4.49292133490825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4.84361644028627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5.452957379350041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6.15276926161805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7.07262534889823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7.661448474881071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9.41065784371035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rkna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  <c r="C6" t="n">
        <v>0.693819880485535</v>
      </c>
    </row>
    <row r="7">
      <c r="A7" s="19" t="n">
        <v>1995</v>
      </c>
      <c r="B7" s="19" t="n">
        <v>305633.28125</v>
      </c>
      <c r="C7" t="n">
        <v>0.663533091545105</v>
      </c>
    </row>
    <row r="8">
      <c r="A8" s="19" t="n">
        <v>1996</v>
      </c>
      <c r="B8" s="19" t="n">
        <v>301706.46875</v>
      </c>
      <c r="C8" t="n">
        <v>0.646936058998108</v>
      </c>
    </row>
    <row r="9">
      <c r="A9" s="19" t="n">
        <v>1997</v>
      </c>
      <c r="B9" s="19" t="n">
        <v>298764.625</v>
      </c>
      <c r="C9" t="n">
        <v>0.636244714260101</v>
      </c>
    </row>
    <row r="10">
      <c r="A10" s="19" t="n">
        <v>1998</v>
      </c>
      <c r="B10" s="19" t="n">
        <v>298990.5</v>
      </c>
      <c r="C10" t="n">
        <v>0.639280378818512</v>
      </c>
    </row>
    <row r="11">
      <c r="A11" s="19" t="n">
        <v>1999</v>
      </c>
      <c r="B11" s="19" t="n">
        <v>299754.78125</v>
      </c>
      <c r="C11" t="n">
        <v>0.643343687057495</v>
      </c>
    </row>
    <row r="12">
      <c r="A12" s="19" t="n">
        <v>2000</v>
      </c>
      <c r="B12" s="19" t="n">
        <v>300383.3125</v>
      </c>
      <c r="C12" t="n">
        <v>0.645317256450653</v>
      </c>
    </row>
    <row r="13">
      <c r="A13" s="19" t="n">
        <v>2001</v>
      </c>
      <c r="B13" s="19" t="n">
        <v>302284.0625</v>
      </c>
      <c r="C13" t="n">
        <v>0.650818169116974</v>
      </c>
    </row>
    <row r="14">
      <c r="A14" s="19" t="n">
        <v>2002</v>
      </c>
      <c r="B14" s="19" t="n">
        <v>303592.625</v>
      </c>
      <c r="C14" t="n">
        <v>0.651715517044067</v>
      </c>
    </row>
    <row r="15">
      <c r="A15" s="19" t="n">
        <v>2003</v>
      </c>
      <c r="B15" s="19" t="n">
        <v>307310.28125</v>
      </c>
      <c r="C15" t="n">
        <v>0.658994793891907</v>
      </c>
    </row>
    <row r="16">
      <c r="A16" s="19" t="n">
        <v>2004</v>
      </c>
      <c r="B16" s="19" t="n">
        <v>311984.28125</v>
      </c>
      <c r="C16" t="n">
        <v>0.676426887512207</v>
      </c>
    </row>
    <row r="17">
      <c r="A17" s="19" t="n">
        <v>2005</v>
      </c>
      <c r="B17" s="19" t="n">
        <v>317837.8125</v>
      </c>
      <c r="C17" t="n">
        <v>0.697964012622833</v>
      </c>
    </row>
    <row r="18">
      <c r="A18" s="19" t="n">
        <v>2006</v>
      </c>
      <c r="B18" s="19" t="n">
        <v>322943.65625</v>
      </c>
      <c r="C18" t="n">
        <v>0.720032036304474</v>
      </c>
    </row>
    <row r="19">
      <c r="A19" s="19" t="n">
        <v>2007</v>
      </c>
      <c r="B19" s="19" t="n">
        <v>329445.875</v>
      </c>
      <c r="C19" t="n">
        <v>0.74526309967041</v>
      </c>
    </row>
    <row r="20">
      <c r="A20" s="19" t="n">
        <v>2008</v>
      </c>
      <c r="B20" s="19" t="n">
        <v>332604.46875</v>
      </c>
      <c r="C20" t="n">
        <v>0.759231209754944</v>
      </c>
    </row>
    <row r="21">
      <c r="A21" s="19" t="n">
        <v>2009</v>
      </c>
      <c r="B21" s="19" t="n">
        <v>330608.28125</v>
      </c>
      <c r="C21" t="n">
        <v>0.752109229564667</v>
      </c>
    </row>
    <row r="22">
      <c r="A22" s="19" t="n">
        <v>2010</v>
      </c>
      <c r="B22" s="19" t="n">
        <v>332551.53125</v>
      </c>
      <c r="C22" t="n">
        <v>0.7580080628395079</v>
      </c>
    </row>
    <row r="23">
      <c r="A23" s="19" t="n">
        <v>2011</v>
      </c>
      <c r="B23" s="19" t="n">
        <v>336560.28125</v>
      </c>
      <c r="C23" t="n">
        <v>0.7690709233284</v>
      </c>
    </row>
    <row r="24">
      <c r="A24" s="19" t="n">
        <v>2012</v>
      </c>
      <c r="B24" s="19" t="n">
        <v>341471.1875</v>
      </c>
      <c r="C24" t="n">
        <v>0.782711386680603</v>
      </c>
    </row>
    <row r="25">
      <c r="A25" s="19" t="n">
        <v>2013</v>
      </c>
      <c r="B25" s="19" t="n">
        <v>344239.03125</v>
      </c>
      <c r="C25" t="n">
        <v>0.79158365726471</v>
      </c>
    </row>
    <row r="26">
      <c r="A26" s="19" t="n">
        <v>2014</v>
      </c>
      <c r="B26" s="19" t="n">
        <v>350962.15625</v>
      </c>
      <c r="C26" t="n">
        <v>0.812366306781769</v>
      </c>
    </row>
    <row r="27">
      <c r="A27" s="19" t="n">
        <v>2015</v>
      </c>
      <c r="B27" s="19" t="n">
        <v>360259.8125</v>
      </c>
      <c r="C27" t="n">
        <v>0.841849863529205</v>
      </c>
    </row>
    <row r="28">
      <c r="A28" s="19" t="n">
        <v>2016</v>
      </c>
      <c r="B28" s="19" t="n">
        <v>370547.65625</v>
      </c>
      <c r="C28" t="n">
        <v>0.875286102294922</v>
      </c>
    </row>
    <row r="29">
      <c r="A29" s="19" t="n">
        <v>2017</v>
      </c>
      <c r="B29" s="19" t="n">
        <v>380655.78125</v>
      </c>
      <c r="C29" t="n">
        <v>0.909835457801819</v>
      </c>
    </row>
    <row r="30">
      <c r="A30" s="19" t="n">
        <v>2018</v>
      </c>
      <c r="B30" s="19" t="n">
        <v>390625.1875</v>
      </c>
      <c r="C30" t="n">
        <v>0.938847839832306</v>
      </c>
    </row>
    <row r="31">
      <c r="A31" s="19" t="n">
        <v>2019</v>
      </c>
      <c r="B31" s="19" t="n">
        <v>399934.28125</v>
      </c>
      <c r="C31" t="n">
        <v>0.970234096050263</v>
      </c>
    </row>
    <row r="32">
      <c r="A32" s="19" t="n">
        <v>2020</v>
      </c>
      <c r="B32" s="19" t="n">
        <v>405156.15625</v>
      </c>
      <c r="C32" t="n">
        <v>0.9879248142242431</v>
      </c>
    </row>
    <row r="33">
      <c r="A33" s="19" t="n">
        <v>2021</v>
      </c>
      <c r="B33" s="19" t="n">
        <v>409189.75</v>
      </c>
      <c r="C33" t="n">
        <v>1</v>
      </c>
    </row>
    <row r="34">
      <c r="A34" s="19" t="n">
        <v>2022</v>
      </c>
      <c r="B34" s="19" t="n">
        <v>415085.84375</v>
      </c>
      <c r="C34" t="n">
        <v>1.01787507534027</v>
      </c>
    </row>
    <row r="35">
      <c r="A35" s="19" t="n">
        <v>2023</v>
      </c>
      <c r="B35" s="19" t="n">
        <v>426190.5</v>
      </c>
      <c r="C35" t="n">
        <v>1.05426597595215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25.42516796875</v>
      </c>
    </row>
    <row r="9">
      <c r="B9" t="n">
        <v>2001</v>
      </c>
      <c r="C9" t="n">
        <v>26.6469609375</v>
      </c>
      <c r="D9">
        <f>(C9/C8-1)*100</f>
        <v/>
      </c>
    </row>
    <row r="10">
      <c r="B10" t="n">
        <v>2002</v>
      </c>
      <c r="C10" t="n">
        <v>28.105572265625</v>
      </c>
      <c r="D10">
        <f>(C10/C9-1)*100</f>
        <v/>
      </c>
    </row>
    <row r="11">
      <c r="B11" t="n">
        <v>2003</v>
      </c>
      <c r="C11" t="n">
        <v>31.213515625</v>
      </c>
      <c r="D11">
        <f>(C11/C10-1)*100</f>
        <v/>
      </c>
    </row>
    <row r="12">
      <c r="B12" t="n">
        <v>2004</v>
      </c>
      <c r="C12" t="n">
        <v>33.02264453125</v>
      </c>
      <c r="D12">
        <f>(C12/C11-1)*100</f>
        <v/>
      </c>
    </row>
    <row r="13">
      <c r="B13" t="n">
        <v>2005</v>
      </c>
      <c r="C13" t="n">
        <v>36.188953125</v>
      </c>
      <c r="D13">
        <f>(C13/C12-1)*100</f>
        <v/>
      </c>
    </row>
    <row r="14">
      <c r="B14" t="n">
        <v>2006</v>
      </c>
      <c r="C14" t="n">
        <v>39.59822265625</v>
      </c>
      <c r="D14">
        <f>(C14/C13-1)*100</f>
        <v/>
      </c>
    </row>
    <row r="15">
      <c r="B15" t="n">
        <v>2007</v>
      </c>
      <c r="C15" t="n">
        <v>44.57919140625</v>
      </c>
      <c r="D15">
        <f>(C15/C14-1)*100</f>
        <v/>
      </c>
    </row>
    <row r="16">
      <c r="B16" t="n">
        <v>2008</v>
      </c>
      <c r="C16" t="n">
        <v>45.65716015625</v>
      </c>
      <c r="D16">
        <f>(C16/C15-1)*100</f>
        <v/>
      </c>
    </row>
    <row r="17">
      <c r="B17" t="n">
        <v>2009</v>
      </c>
      <c r="C17" t="n">
        <v>43.9906328125</v>
      </c>
      <c r="D17">
        <f>(C17/C16-1)*100</f>
        <v/>
      </c>
    </row>
    <row r="18">
      <c r="B18" t="n">
        <v>2010</v>
      </c>
      <c r="C18" t="n">
        <v>46.7397890625</v>
      </c>
      <c r="D18">
        <f>(C18/C17-1)*100</f>
        <v/>
      </c>
    </row>
    <row r="19">
      <c r="B19" t="n">
        <v>2011</v>
      </c>
      <c r="C19" t="n">
        <v>50.4552109375</v>
      </c>
      <c r="D19">
        <f>(C19/C18-1)*100</f>
        <v/>
      </c>
    </row>
    <row r="20">
      <c r="B20" t="n">
        <v>2012</v>
      </c>
      <c r="C20" t="n">
        <v>53.7746796875</v>
      </c>
      <c r="D20">
        <f>(C20/C19-1)*100</f>
        <v/>
      </c>
    </row>
    <row r="21">
      <c r="B21" t="n">
        <v>2013</v>
      </c>
      <c r="C21" t="n">
        <v>56.53523046875</v>
      </c>
      <c r="D21">
        <f>(C21/C20-1)*100</f>
        <v/>
      </c>
    </row>
    <row r="22">
      <c r="B22" t="n">
        <v>2014</v>
      </c>
      <c r="C22" t="n">
        <v>58.84786328125</v>
      </c>
      <c r="D22">
        <f>(C22/C21-1)*100</f>
        <v/>
      </c>
    </row>
    <row r="23">
      <c r="B23" t="n">
        <v>2015</v>
      </c>
      <c r="C23" t="n">
        <v>60.8197421875</v>
      </c>
      <c r="D23">
        <f>(C23/C22-1)*100</f>
        <v/>
      </c>
    </row>
    <row r="24">
      <c r="B24" t="n">
        <v>2016</v>
      </c>
      <c r="C24" t="n">
        <v>62.9179765625</v>
      </c>
      <c r="D24">
        <f>(C24/C23-1)*100</f>
        <v/>
      </c>
    </row>
    <row r="25">
      <c r="B25" t="n">
        <v>2017</v>
      </c>
      <c r="C25" t="n">
        <v>66.165234375</v>
      </c>
      <c r="D25">
        <f>(C25/C24-1)*100</f>
        <v/>
      </c>
    </row>
    <row r="26">
      <c r="B26" t="n">
        <v>2018</v>
      </c>
      <c r="C26" t="n">
        <v>70.17629687500001</v>
      </c>
      <c r="D26">
        <f>(C26/C25-1)*100</f>
        <v/>
      </c>
    </row>
    <row r="27">
      <c r="B27" t="n">
        <v>2019</v>
      </c>
      <c r="C27" t="n">
        <v>73.95197656249999</v>
      </c>
      <c r="D27">
        <f>(C27/C26-1)*100</f>
        <v/>
      </c>
    </row>
    <row r="28">
      <c r="B28" t="n">
        <v>2020</v>
      </c>
      <c r="C28" t="n">
        <v>69.29946875</v>
      </c>
      <c r="D28">
        <f>(C28/C27-1)*100</f>
        <v/>
      </c>
    </row>
    <row r="29">
      <c r="B29" t="n">
        <v>2021</v>
      </c>
      <c r="C29" t="n">
        <v>76.67571875</v>
      </c>
      <c r="D29">
        <f>(C29/C28-1)*100</f>
        <v/>
      </c>
    </row>
    <row r="30">
      <c r="B30" t="n">
        <v>2022</v>
      </c>
      <c r="C30" t="n">
        <v>85.0790234375</v>
      </c>
      <c r="D30">
        <f>(C30/C29-1)*100</f>
        <v/>
      </c>
    </row>
    <row r="31">
      <c r="B31" t="n">
        <v>2023</v>
      </c>
      <c r="C31" t="n">
        <v>91.43781250000001</v>
      </c>
      <c r="D31">
        <f>(C31/C30-1)*100</f>
        <v/>
      </c>
    </row>
    <row r="32">
      <c r="B32" t="n">
        <v>2024</v>
      </c>
      <c r="C32">
        <f>C31*(1+0.09)</f>
        <v/>
      </c>
      <c r="D32" t="n">
        <v>9</v>
      </c>
    </row>
    <row r="33">
      <c r="B33" t="n">
        <v>2025</v>
      </c>
      <c r="C33">
        <f>C32*(1+0.06)</f>
        <v/>
      </c>
      <c r="D33" t="n">
        <v>6</v>
      </c>
    </row>
    <row r="34">
      <c r="B34" t="n">
        <v>2026</v>
      </c>
      <c r="C34">
        <f>C33*(1+0.053)</f>
        <v/>
      </c>
      <c r="D34" t="n">
        <v>5.3</v>
      </c>
    </row>
    <row r="35">
      <c r="B35" t="n">
        <v>2027</v>
      </c>
      <c r="C35">
        <f>C34*(1+0.053)</f>
        <v/>
      </c>
      <c r="D35" t="n">
        <v>5.3</v>
      </c>
    </row>
    <row r="36">
      <c r="B36" t="n">
        <v>2028</v>
      </c>
      <c r="C36">
        <f>C35*(1+D35/100)</f>
        <v/>
      </c>
      <c r="D36" t="n">
        <v>5.3</v>
      </c>
    </row>
    <row r="37">
      <c r="B37" t="n">
        <v>2029</v>
      </c>
      <c r="C37">
        <f>C36*(1+D36/100)</f>
        <v/>
      </c>
      <c r="D37" t="n">
        <v>5.3</v>
      </c>
    </row>
    <row r="38">
      <c r="B38" t="n">
        <v>2030</v>
      </c>
      <c r="C38">
        <f>C37*(1+D37/100)</f>
        <v/>
      </c>
      <c r="D38" t="n">
        <v>5.3</v>
      </c>
    </row>
    <row r="39">
      <c r="B39" t="n">
        <v>2031</v>
      </c>
      <c r="C39">
        <f>C38*(1+D38/100)</f>
        <v/>
      </c>
      <c r="D39" t="n">
        <v>5.3</v>
      </c>
    </row>
    <row r="40">
      <c r="B40" t="n">
        <v>2032</v>
      </c>
      <c r="C40">
        <f>C39*(1+D39/100)</f>
        <v/>
      </c>
      <c r="D40" t="n">
        <v>5.3</v>
      </c>
    </row>
    <row r="41">
      <c r="B41" t="n">
        <v>2033</v>
      </c>
      <c r="C41">
        <f>C40*(1+D40/100)</f>
        <v/>
      </c>
      <c r="D41" t="n">
        <v>5.3</v>
      </c>
    </row>
    <row r="42">
      <c r="B42" t="n">
        <v>2034</v>
      </c>
      <c r="C42">
        <f>C41*(1+D41/100)</f>
        <v/>
      </c>
      <c r="D42" t="n">
        <v>5.3</v>
      </c>
    </row>
    <row r="43">
      <c r="B43" t="n">
        <v>2035</v>
      </c>
      <c r="C43">
        <f>C42*(1+D42/100)</f>
        <v/>
      </c>
      <c r="D43" t="n">
        <v>5.3</v>
      </c>
    </row>
    <row r="44">
      <c r="B44" t="n">
        <v>2036</v>
      </c>
      <c r="C44">
        <f>C43*(1+D43/100)</f>
        <v/>
      </c>
      <c r="D44" t="n">
        <v>5.3</v>
      </c>
    </row>
    <row r="45">
      <c r="B45" t="n">
        <v>2037</v>
      </c>
      <c r="C45">
        <f>C44*(1+D44/100)</f>
        <v/>
      </c>
      <c r="D45" t="n">
        <v>5.3</v>
      </c>
    </row>
    <row r="46">
      <c r="B46" t="n">
        <v>2038</v>
      </c>
      <c r="C46">
        <f>C45*(1+D45/100)</f>
        <v/>
      </c>
      <c r="D46" t="n">
        <v>5.3</v>
      </c>
    </row>
    <row r="47">
      <c r="B47" t="n">
        <v>2039</v>
      </c>
      <c r="C47">
        <f>C46*(1+D46/100)</f>
        <v/>
      </c>
      <c r="D47" t="n">
        <v>5.3</v>
      </c>
    </row>
    <row r="48">
      <c r="B48" t="n">
        <v>2040</v>
      </c>
      <c r="C48">
        <f>C47*(1+D47/100)</f>
        <v/>
      </c>
      <c r="D48" t="n">
        <v>5.3</v>
      </c>
    </row>
    <row r="49">
      <c r="B49" t="n">
        <v>2041</v>
      </c>
      <c r="C49">
        <f>C48*(1+D48/100)</f>
        <v/>
      </c>
      <c r="D49" t="n">
        <v>5.3</v>
      </c>
    </row>
    <row r="50">
      <c r="B50" t="n">
        <v>2042</v>
      </c>
      <c r="C50">
        <f>C49*(1+D49/100)</f>
        <v/>
      </c>
      <c r="D50" t="n">
        <v>5.3</v>
      </c>
    </row>
    <row r="51">
      <c r="B51" t="n">
        <v>2043</v>
      </c>
      <c r="C51">
        <f>C50*(1+D50/100)</f>
        <v/>
      </c>
      <c r="D51" t="n">
        <v>5.3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2026-01-29T04:03:34Z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