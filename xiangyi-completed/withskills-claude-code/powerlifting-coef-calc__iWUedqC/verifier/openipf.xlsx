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<sst xmlns="http://schemas.openxmlformats.org/spreadsheetml/2006/main" count="433" uniqueCount="183">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</sst>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false" outlineLevel="0" collapsed="false">
      <c r="A2" s="0" t="str">
        <f aca="false">Data!A2</f>
        <v>Julien Comte</v>
      </c>
      <c r="B2" s="0" t="str">
        <f aca="false">Data!B2</f>
        <v>M</v>
      </c>
      <c r="C2" s="5" t="n">
        <f aca="false">Data!I2</f>
        <v>82.25</v>
      </c>
      <c r="D2" s="5" t="n">
        <f aca="false">Data!K2</f>
        <v>215</v>
      </c>
      <c r="E2" s="5" t="n">
        <f aca="false">Data!L2</f>
        <v>132.5</v>
      </c>
      <c r="F2" s="5" t="n">
        <f aca="false">Data!M2</f>
        <v>260</v>
      </c>
      <c r="G2" s="0" t="n">
        <f aca="false">ROUND(D2+E2+F2,3)</f>
        <v>607.5</v>
      </c>
      <c r="H2" s="0" t="n">
        <f aca="false">ROUND(IF(B2="M",G2*500/(-307.75076+24.0900756*C2-0.1918759221*C2^2+0.0007391293*C2^3-0.000001093*C2^4),G2*500/(-57.96288+13.6175032*C2-0.1126655495*C2^2+0.0005158568*C2^3-0.0000010706*C2^4)),3)</f>
        <v>412.225</v>
      </c>
    </row>
    <row r="3" customFormat="false" ht="15" hidden="false" customHeight="false" outlineLevel="0" collapsed="false">
      <c r="A3" s="0" t="str">
        <f aca="false">Data!A3</f>
        <v>Matthew Starkey</v>
      </c>
      <c r="B3" s="0" t="str">
        <f aca="false">Data!B3</f>
        <v>M</v>
      </c>
      <c r="C3" s="5" t="n">
        <f aca="false">Data!I3</f>
        <v>82.9</v>
      </c>
      <c r="D3" s="5" t="n">
        <f aca="false">Data!K3</f>
        <v>205</v>
      </c>
      <c r="E3" s="5" t="n">
        <f aca="false">Data!L3</f>
        <v>130</v>
      </c>
      <c r="F3" s="5" t="n">
        <f aca="false">Data!M3</f>
        <v>227.5</v>
      </c>
      <c r="G3" s="0" t="n">
        <f aca="false">ROUND(D3+E3+F3,3)</f>
        <v>562.5</v>
      </c>
      <c r="H3" s="0" t="n">
        <f aca="false">ROUND(IF(B3="M",G3*500/(-307.75076+24.0900756*C3-0.1918759221*C3^2+0.0007391293*C3^3-0.000001093*C3^4),G3*500/(-57.96288+13.6175032*C3-0.1126655495*C3^2+0.0005158568*C3^3-0.0000010706*C3^4)),3)</f>
        <v>379.994</v>
      </c>
    </row>
    <row r="4" customFormat="false" ht="15" hidden="false" customHeight="false" outlineLevel="0" collapsed="false">
      <c r="A4" s="0" t="str">
        <f aca="false">Data!A4</f>
        <v>Austin Keanu</v>
      </c>
      <c r="B4" s="0" t="str">
        <f aca="false">Data!B4</f>
        <v>M</v>
      </c>
      <c r="C4" s="5" t="n">
        <f aca="false">Data!I4</f>
        <v>122.4</v>
      </c>
      <c r="D4" s="5" t="n">
        <f aca="false">Data!K4</f>
        <v>275</v>
      </c>
      <c r="E4" s="5" t="n">
        <f aca="false">Data!L4</f>
        <v>142.5</v>
      </c>
      <c r="F4" s="5" t="n">
        <f aca="false">Data!M4</f>
        <v>235</v>
      </c>
      <c r="G4" s="0" t="n">
        <f aca="false">ROUND(D4+E4+F4,3)</f>
        <v>652.5</v>
      </c>
      <c r="H4" s="0" t="n">
        <f aca="false">ROUND(IF(B4="M",G4*500/(-307.75076+24.0900756*C4-0.1918759221*C4^2+0.0007391293*C4^3-0.000001093*C4^4),G4*500/(-57.96288+13.6175032*C4-0.1126655495*C4^2+0.0005158568*C4^3-0.0000010706*C4^4)),3)</f>
        <v>372.304</v>
      </c>
    </row>
    <row r="5" customFormat="false" ht="15" hidden="false" customHeight="false" outlineLevel="0" collapsed="false">
      <c r="A5" s="0" t="str">
        <f aca="false">Data!A5</f>
        <v>Michelle McKeaveney</v>
      </c>
      <c r="B5" s="0" t="str">
        <f aca="false">Data!B5</f>
        <v>F</v>
      </c>
      <c r="C5" s="5" t="n">
        <f aca="false">Data!I5</f>
        <v>96.8</v>
      </c>
      <c r="D5" s="5" t="n">
        <f aca="false">Data!K5</f>
        <v>102.5</v>
      </c>
      <c r="E5" s="5" t="n">
        <f aca="false">Data!L5</f>
        <v>50</v>
      </c>
      <c r="F5" s="5" t="n">
        <f aca="false">Data!M5</f>
        <v>137.5</v>
      </c>
      <c r="G5" s="0" t="n">
        <f aca="false">ROUND(D5+E5+F5,3)</f>
        <v>290</v>
      </c>
      <c r="H5" s="0" t="n">
        <f aca="false">ROUND(IF(B5="M",G5*500/(-307.75076+24.0900756*C5-0.1918759221*C5^2+0.0007391293*C5^3-0.000001093*C5^4),G5*500/(-57.96288+13.6175032*C5-0.1126655495*C5^2+0.0005158568*C5^3-0.0000010706*C5^4)),3)</f>
        <v>250.687</v>
      </c>
    </row>
    <row r="6" customFormat="false" ht="15" hidden="false" customHeight="false" outlineLevel="0" collapsed="false">
      <c r="A6" s="0" t="str">
        <f aca="false">Data!A6</f>
        <v>Tracy Klinger</v>
      </c>
      <c r="B6" s="0" t="str">
        <f aca="false">Data!B6</f>
        <v>F</v>
      </c>
      <c r="C6" s="5" t="n">
        <f aca="false">Data!I6</f>
        <v>130.82</v>
      </c>
      <c r="D6" s="5" t="n">
        <f aca="false">Data!K6</f>
        <v>62.5</v>
      </c>
      <c r="E6" s="5" t="n">
        <f aca="false">Data!L6</f>
        <v>57.5</v>
      </c>
      <c r="F6" s="5" t="n">
        <f aca="false">Data!M6</f>
        <v>117.5</v>
      </c>
      <c r="G6" s="0" t="n">
        <f aca="false">ROUND(D6+E6+F6,3)</f>
        <v>237.5</v>
      </c>
      <c r="H6" s="0" t="n">
        <f aca="false">ROUND(IF(B6="M",G6*500/(-307.75076+24.0900756*C6-0.1918759221*C6^2+0.0007391293*C6^3-0.000001093*C6^4),G6*500/(-57.96288+13.6175032*C6-0.1126655495*C6^2+0.0005158568*C6^3-0.0000010706*C6^4)),3)</f>
        <v>186.511</v>
      </c>
    </row>
    <row r="7" customFormat="false" ht="15" hidden="false" customHeight="false" outlineLevel="0" collapsed="false">
      <c r="A7" s="0" t="str">
        <f aca="false">Data!A7</f>
        <v>Mohanad Ibrahiem</v>
      </c>
      <c r="B7" s="0" t="str">
        <f aca="false">Data!B7</f>
        <v>M</v>
      </c>
      <c r="C7" s="5" t="n">
        <f aca="false">Data!I7</f>
        <v>103.94</v>
      </c>
      <c r="D7" s="5" t="n">
        <f aca="false">Data!K7</f>
        <v>255</v>
      </c>
      <c r="E7" s="5" t="n">
        <f aca="false">Data!L7</f>
        <v>165</v>
      </c>
      <c r="F7" s="5" t="n">
        <f aca="false">Data!M7</f>
        <v>292.5</v>
      </c>
      <c r="G7" s="0" t="n">
        <f aca="false">ROUND(D7+E7+F7,3)</f>
        <v>712.5</v>
      </c>
      <c r="H7" s="0" t="n">
        <f aca="false">ROUND(IF(B7="M",G7*500/(-307.75076+24.0900756*C7-0.1918759221*C7^2+0.0007391293*C7^3-0.000001093*C7^4),G7*500/(-57.96288+13.6175032*C7-0.1126655495*C7^2+0.0005158568*C7^3-0.0000010706*C7^4)),3)</f>
        <v>431.48</v>
      </c>
    </row>
    <row r="8" customFormat="false" ht="15" hidden="false" customHeight="false" outlineLevel="0" collapsed="false">
      <c r="A8" s="0" t="str">
        <f aca="false">Data!A8</f>
        <v>Pamela Cresci</v>
      </c>
      <c r="B8" s="0" t="str">
        <f aca="false">Data!B8</f>
        <v>F</v>
      </c>
      <c r="C8" s="5" t="n">
        <f aca="false">Data!I8</f>
        <v>58.2</v>
      </c>
      <c r="D8" s="5" t="n">
        <f aca="false">Data!K8</f>
        <v>82.5</v>
      </c>
      <c r="E8" s="5" t="n">
        <f aca="false">Data!L8</f>
        <v>47.5</v>
      </c>
      <c r="F8" s="5" t="n">
        <f aca="false">Data!M8</f>
        <v>130</v>
      </c>
      <c r="G8" s="0" t="n">
        <f aca="false">ROUND(D8+E8+F8,3)</f>
        <v>260</v>
      </c>
      <c r="H8" s="0" t="n">
        <f aca="false">ROUND(IF(B8="M",G8*500/(-307.75076+24.0900756*C8-0.1918759221*C8^2+0.0007391293*C8^3-0.000001093*C8^4),G8*500/(-57.96288+13.6175032*C8-0.1126655495*C8^2+0.0005158568*C8^3-0.0000010706*C8^4)),3)</f>
        <v>293.877</v>
      </c>
    </row>
    <row r="9" customFormat="false" ht="15" hidden="false" customHeight="false" outlineLevel="0" collapsed="false">
      <c r="A9" s="0" t="str">
        <f aca="false">Data!A9</f>
        <v>Wilie Carpentier</v>
      </c>
      <c r="B9" s="0" t="str">
        <f aca="false">Data!B9</f>
        <v>M</v>
      </c>
      <c r="C9" s="5" t="n">
        <f aca="false">Data!I9</f>
        <v>81.8</v>
      </c>
      <c r="D9" s="5" t="n">
        <f aca="false">Data!K9</f>
        <v>200</v>
      </c>
      <c r="E9" s="5" t="n">
        <f aca="false">Data!L9</f>
        <v>130</v>
      </c>
      <c r="F9" s="5" t="n">
        <f aca="false">Data!M9</f>
        <v>237.5</v>
      </c>
      <c r="G9" s="0" t="n">
        <f aca="false">ROUND(D9+E9+F9,3)</f>
        <v>567.5</v>
      </c>
      <c r="H9" s="0" t="n">
        <f aca="false">ROUND(IF(B9="M",G9*500/(-307.75076+24.0900756*C9-0.1918759221*C9^2+0.0007391293*C9^3-0.000001093*C9^4),G9*500/(-57.96288+13.6175032*C9-0.1126655495*C9^2+0.0005158568*C9^3-0.0000010706*C9^4)),3)</f>
        <v>386.291</v>
      </c>
    </row>
    <row r="10" customFormat="false" ht="15" hidden="false" customHeight="false" outlineLevel="0" collapsed="false">
      <c r="A10" s="0" t="str">
        <f aca="false">Data!A10</f>
        <v>Joshua Noble</v>
      </c>
      <c r="B10" s="0" t="str">
        <f aca="false">Data!B10</f>
        <v>M</v>
      </c>
      <c r="C10" s="5" t="n">
        <f aca="false">Data!I10</f>
        <v>90.5</v>
      </c>
      <c r="D10" s="5" t="n">
        <f aca="false">Data!K10</f>
        <v>242.5</v>
      </c>
      <c r="E10" s="5" t="n">
        <f aca="false">Data!L10</f>
        <v>132.5</v>
      </c>
      <c r="F10" s="5" t="n">
        <f aca="false">Data!M10</f>
        <v>232.5</v>
      </c>
      <c r="G10" s="0" t="n">
        <f aca="false">ROUND(D10+E10+F10,3)</f>
        <v>607.5</v>
      </c>
      <c r="H10" s="0" t="n">
        <f aca="false">ROUND(IF(B10="M",G10*500/(-307.75076+24.0900756*C10-0.1918759221*C10^2+0.0007391293*C10^3-0.000001093*C10^4),G10*500/(-57.96288+13.6175032*C10-0.1126655495*C10^2+0.0005158568*C10^3-0.0000010706*C10^4)),3)</f>
        <v>391.72</v>
      </c>
    </row>
    <row r="11" customFormat="false" ht="15" hidden="false" customHeight="false" outlineLevel="0" collapsed="false">
      <c r="A11" s="0" t="str">
        <f aca="false">Data!A11</f>
        <v>Amber Gomez</v>
      </c>
      <c r="B11" s="0" t="str">
        <f aca="false">Data!B11</f>
        <v>F</v>
      </c>
      <c r="C11" s="5" t="n">
        <f aca="false">Data!I11</f>
        <v>75.9</v>
      </c>
      <c r="D11" s="5" t="n">
        <f aca="false">Data!K11</f>
        <v>137.5</v>
      </c>
      <c r="E11" s="5" t="n">
        <f aca="false">Data!L11</f>
        <v>75</v>
      </c>
      <c r="F11" s="5" t="n">
        <f aca="false">Data!M11</f>
        <v>167.5</v>
      </c>
      <c r="G11" s="0" t="n">
        <f aca="false">ROUND(D11+E11+F11,3)</f>
        <v>380</v>
      </c>
      <c r="H11" s="0" t="n">
        <f aca="false">ROUND(IF(B11="M",G11*500/(-307.75076+24.0900756*C11-0.1918759221*C11^2+0.0007391293*C11^3-0.000001093*C11^4),G11*500/(-57.96288+13.6175032*C11-0.1126655495*C11^2+0.0005158568*C11^3-0.0000010706*C11^4)),3)</f>
        <v>367.799</v>
      </c>
    </row>
    <row r="12" customFormat="false" ht="15" hidden="false" customHeight="false" outlineLevel="0" collapsed="false">
      <c r="A12" s="0" t="str">
        <f aca="false">Data!A12</f>
        <v>Arlene van Diepen</v>
      </c>
      <c r="B12" s="0" t="str">
        <f aca="false">Data!B12</f>
        <v>F</v>
      </c>
      <c r="C12" s="5" t="n">
        <f aca="false">Data!I12</f>
        <v>79.3</v>
      </c>
      <c r="D12" s="5" t="n">
        <f aca="false">Data!K12</f>
        <v>107.5</v>
      </c>
      <c r="E12" s="5" t="n">
        <f aca="false">Data!L12</f>
        <v>50</v>
      </c>
      <c r="F12" s="5" t="n">
        <f aca="false">Data!M12</f>
        <v>140</v>
      </c>
      <c r="G12" s="0" t="n">
        <f aca="false">ROUND(D12+E12+F12,3)</f>
        <v>297.5</v>
      </c>
      <c r="H12" s="0" t="n">
        <f aca="false">ROUND(IF(B12="M",G12*500/(-307.75076+24.0900756*C12-0.1918759221*C12^2+0.0007391293*C12^3-0.000001093*C12^4),G12*500/(-57.96288+13.6175032*C12-0.1126655495*C12^2+0.0005158568*C12^3-0.0000010706*C12^4)),3)</f>
        <v>281.554</v>
      </c>
    </row>
    <row r="13" customFormat="false" ht="15" hidden="false" customHeight="false" outlineLevel="0" collapsed="false">
      <c r="A13" s="0" t="str">
        <f aca="false">Data!A13</f>
        <v>Alma Kimura</v>
      </c>
      <c r="B13" s="0" t="str">
        <f aca="false">Data!B13</f>
        <v>F</v>
      </c>
      <c r="C13" s="5" t="n">
        <f aca="false">Data!I13</f>
        <v>61.81</v>
      </c>
      <c r="D13" s="5" t="n">
        <f aca="false">Data!K13</f>
        <v>107.5</v>
      </c>
      <c r="E13" s="5" t="n">
        <f aca="false">Data!L13</f>
        <v>52.5</v>
      </c>
      <c r="F13" s="5" t="n">
        <f aca="false">Data!M13</f>
        <v>130</v>
      </c>
      <c r="G13" s="0" t="n">
        <f aca="false">ROUND(D13+E13+F13,3)</f>
        <v>290</v>
      </c>
      <c r="H13" s="0" t="n">
        <f aca="false">ROUND(IF(B13="M",G13*500/(-307.75076+24.0900756*C13-0.1918759221*C13^2+0.0007391293*C13^3-0.000001093*C13^4),G13*500/(-57.96288+13.6175032*C13-0.1126655495*C13^2+0.0005158568*C13^3-0.0000010706*C13^4)),3)</f>
        <v>315.568</v>
      </c>
    </row>
    <row r="14" customFormat="false" ht="15" hidden="false" customHeight="false" outlineLevel="0" collapsed="false">
      <c r="A14" s="0" t="str">
        <f aca="false">Data!A14</f>
        <v>Jonathan Cruz #1</v>
      </c>
      <c r="B14" s="0" t="str">
        <f aca="false">Data!B14</f>
        <v>M</v>
      </c>
      <c r="C14" s="5" t="n">
        <f aca="false">Data!I14</f>
        <v>72.5</v>
      </c>
      <c r="D14" s="5" t="n">
        <f aca="false">Data!K14</f>
        <v>245</v>
      </c>
      <c r="E14" s="5" t="n">
        <f aca="false">Data!L14</f>
        <v>152.5</v>
      </c>
      <c r="F14" s="5" t="n">
        <f aca="false">Data!M14</f>
        <v>290</v>
      </c>
      <c r="G14" s="0" t="n">
        <f aca="false">ROUND(D14+E14+F14,3)</f>
        <v>687.5</v>
      </c>
      <c r="H14" s="0" t="n">
        <f aca="false">ROUND(IF(B14="M",G14*500/(-307.75076+24.0900756*C14-0.1918759221*C14^2+0.0007391293*C14^3-0.000001093*C14^4),G14*500/(-57.96288+13.6175032*C14-0.1126655495*C14^2+0.0005158568*C14^3-0.0000010706*C14^4)),3)</f>
        <v>504.254</v>
      </c>
    </row>
    <row r="15" customFormat="false" ht="15" hidden="false" customHeight="false" outlineLevel="0" collapsed="false">
      <c r="A15" s="0" t="str">
        <f aca="false">Data!A15</f>
        <v>Serena Abweh</v>
      </c>
      <c r="B15" s="0" t="str">
        <f aca="false">Data!B15</f>
        <v>F</v>
      </c>
      <c r="C15" s="5" t="n">
        <f aca="false">Data!I15</f>
        <v>46.1</v>
      </c>
      <c r="D15" s="5" t="n">
        <f aca="false">Data!K15</f>
        <v>82.5</v>
      </c>
      <c r="E15" s="5" t="n">
        <f aca="false">Data!L15</f>
        <v>52.5</v>
      </c>
      <c r="F15" s="5" t="n">
        <f aca="false">Data!M15</f>
        <v>125.5</v>
      </c>
      <c r="G15" s="0" t="n">
        <f aca="false">ROUND(D15+E15+F15,3)</f>
        <v>260.5</v>
      </c>
      <c r="H15" s="0" t="n">
        <f aca="false">ROUND(IF(B15="M",G15*500/(-307.75076+24.0900756*C15-0.1918759221*C15^2+0.0007391293*C15^3-0.000001093*C15^4),G15*500/(-57.96288+13.6175032*C15-0.1126655495*C15^2+0.0005158568*C15^3-0.0000010706*C15^4)),3)</f>
        <v>346.345</v>
      </c>
    </row>
    <row r="16" customFormat="false" ht="15" hidden="false" customHeight="false" outlineLevel="0" collapsed="false">
      <c r="A16" s="0" t="str">
        <f aca="false">Data!A16</f>
        <v>Ashleigh Sutton</v>
      </c>
      <c r="B16" s="0" t="str">
        <f aca="false">Data!B16</f>
        <v>F</v>
      </c>
      <c r="C16" s="5" t="n">
        <f aca="false">Data!I16</f>
        <v>74.2</v>
      </c>
      <c r="D16" s="5" t="n">
        <f aca="false">Data!K16</f>
        <v>170</v>
      </c>
      <c r="E16" s="5" t="n">
        <f aca="false">Data!L16</f>
        <v>85</v>
      </c>
      <c r="F16" s="5" t="n">
        <f aca="false">Data!M16</f>
        <v>197.5</v>
      </c>
      <c r="G16" s="0" t="n">
        <f aca="false">ROUND(D16+E16+F16,3)</f>
        <v>452.5</v>
      </c>
      <c r="H16" s="0" t="n">
        <f aca="false">ROUND(IF(B16="M",G16*500/(-307.75076+24.0900756*C16-0.1918759221*C16^2+0.0007391293*C16^3-0.000001093*C16^4),G16*500/(-57.96288+13.6175032*C16-0.1126655495*C16^2+0.0005158568*C16^3-0.0000010706*C16^4)),3)</f>
        <v>443.241</v>
      </c>
    </row>
    <row r="17" customFormat="false" ht="15" hidden="false" customHeight="false" outlineLevel="0" collapsed="false">
      <c r="A17" s="0" t="str">
        <f aca="false">Data!A17</f>
        <v>Aaron Ziffle</v>
      </c>
      <c r="B17" s="0" t="str">
        <f aca="false">Data!B17</f>
        <v>M</v>
      </c>
      <c r="C17" s="5" t="n">
        <f aca="false">Data!I17</f>
        <v>92.8</v>
      </c>
      <c r="D17" s="5" t="n">
        <f aca="false">Data!K17</f>
        <v>255</v>
      </c>
      <c r="E17" s="5" t="n">
        <f aca="false">Data!L17</f>
        <v>182.5</v>
      </c>
      <c r="F17" s="5" t="n">
        <f aca="false">Data!M17</f>
        <v>245</v>
      </c>
      <c r="G17" s="0" t="n">
        <f aca="false">ROUND(D17+E17+F17,3)</f>
        <v>682.5</v>
      </c>
      <c r="H17" s="0" t="n">
        <f aca="false">ROUND(IF(B17="M",G17*500/(-307.75076+24.0900756*C17-0.1918759221*C17^2+0.0007391293*C17^3-0.000001093*C17^4),G17*500/(-57.96288+13.6175032*C17-0.1126655495*C17^2+0.0005158568*C17^3-0.0000010706*C17^4)),3)</f>
        <v>434.692</v>
      </c>
    </row>
    <row r="18" customFormat="false" ht="15" hidden="false" customHeight="false" outlineLevel="0" collapsed="false">
      <c r="A18" s="0" t="str">
        <f aca="false">Data!A18</f>
        <v>Adelaide Hurlbert</v>
      </c>
      <c r="B18" s="0" t="str">
        <f aca="false">Data!B18</f>
        <v>F</v>
      </c>
      <c r="C18" s="5" t="n">
        <f aca="false">Data!I18</f>
        <v>61.8</v>
      </c>
      <c r="D18" s="5" t="n">
        <f aca="false">Data!K18</f>
        <v>87.5</v>
      </c>
      <c r="E18" s="5" t="n">
        <f aca="false">Data!L18</f>
        <v>57.5</v>
      </c>
      <c r="F18" s="5" t="n">
        <f aca="false">Data!M18</f>
        <v>110</v>
      </c>
      <c r="G18" s="0" t="n">
        <f aca="false">ROUND(D18+E18+F18,3)</f>
        <v>255</v>
      </c>
      <c r="H18" s="0" t="n">
        <f aca="false">ROUND(IF(B18="M",G18*500/(-307.75076+24.0900756*C18-0.1918759221*C18^2+0.0007391293*C18^3-0.000001093*C18^4),G18*500/(-57.96288+13.6175032*C18-0.1126655495*C18^2+0.0005158568*C18^3-0.0000010706*C18^4)),3)</f>
        <v>277.51</v>
      </c>
    </row>
    <row r="19" customFormat="false" ht="15" hidden="false" customHeight="false" outlineLevel="0" collapsed="false">
      <c r="A19" s="0" t="str">
        <f aca="false">Data!A19</f>
        <v>Coralee Traurig</v>
      </c>
      <c r="B19" s="0" t="str">
        <f aca="false">Data!B19</f>
        <v>F</v>
      </c>
      <c r="C19" s="5" t="n">
        <f aca="false">Data!I19</f>
        <v>71.1</v>
      </c>
      <c r="D19" s="5" t="n">
        <f aca="false">Data!K19</f>
        <v>107.5</v>
      </c>
      <c r="E19" s="5" t="n">
        <f aca="false">Data!L19</f>
        <v>65</v>
      </c>
      <c r="F19" s="5" t="n">
        <f aca="false">Data!M19</f>
        <v>115</v>
      </c>
      <c r="G19" s="0" t="n">
        <f aca="false">ROUND(D19+E19+F19,3)</f>
        <v>287.5</v>
      </c>
      <c r="H19" s="0" t="n">
        <f aca="false">ROUND(IF(B19="M",G19*500/(-307.75076+24.0900756*C19-0.1918759221*C19^2+0.0007391293*C19^3-0.000001093*C19^4),G19*500/(-57.96288+13.6175032*C19-0.1126655495*C19^2+0.0005158568*C19^3-0.0000010706*C19^4)),3)</f>
        <v>288.223</v>
      </c>
    </row>
    <row r="20" customFormat="false" ht="15" hidden="false" customHeight="false" outlineLevel="0" collapsed="false">
      <c r="A20" s="0" t="str">
        <f aca="false">Data!A20</f>
        <v>Hugo Laliberté</v>
      </c>
      <c r="B20" s="0" t="str">
        <f aca="false">Data!B20</f>
        <v>M</v>
      </c>
      <c r="C20" s="5" t="n">
        <f aca="false">Data!I20</f>
        <v>80.2</v>
      </c>
      <c r="D20" s="5" t="n">
        <f aca="false">Data!K20</f>
        <v>162.5</v>
      </c>
      <c r="E20" s="5" t="n">
        <f aca="false">Data!L20</f>
        <v>102.5</v>
      </c>
      <c r="F20" s="5" t="n">
        <f aca="false">Data!M20</f>
        <v>205</v>
      </c>
      <c r="G20" s="0" t="n">
        <f aca="false">ROUND(D20+E20+F20,3)</f>
        <v>470</v>
      </c>
      <c r="H20" s="0" t="n">
        <f aca="false">ROUND(IF(B20="M",G20*500/(-307.75076+24.0900756*C20-0.1918759221*C20^2+0.0007391293*C20^3-0.000001093*C20^4),G20*500/(-57.96288+13.6175032*C20-0.1126655495*C20^2+0.0005158568*C20^3-0.0000010706*C20^4)),3)</f>
        <v>323.611</v>
      </c>
    </row>
    <row r="21" customFormat="false" ht="15" hidden="false" customHeight="false" outlineLevel="0" collapsed="false">
      <c r="A21" s="0" t="str">
        <f aca="false">Data!A21</f>
        <v>Curtis Laird</v>
      </c>
      <c r="B21" s="0" t="str">
        <f aca="false">Data!B21</f>
        <v>M</v>
      </c>
      <c r="C21" s="5" t="n">
        <f aca="false">Data!I21</f>
        <v>108.98</v>
      </c>
      <c r="D21" s="5" t="n">
        <f aca="false">Data!K21</f>
        <v>226.8</v>
      </c>
      <c r="E21" s="5" t="n">
        <f aca="false">Data!L21</f>
        <v>165.56</v>
      </c>
      <c r="F21" s="5" t="n">
        <f aca="false">Data!M21</f>
        <v>242.67</v>
      </c>
      <c r="G21" s="0" t="n">
        <f aca="false">ROUND(D21+E21+F21,3)</f>
        <v>635.03</v>
      </c>
      <c r="H21" s="0" t="n">
        <f aca="false">ROUND(IF(B21="M",G21*500/(-307.75076+24.0900756*C21-0.1918759221*C21^2+0.0007391293*C21^3-0.000001093*C21^4),G21*500/(-57.96288+13.6175032*C21-0.1126655495*C21^2+0.0005158568*C21^3-0.0000010706*C21^4)),3)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2026-01-29T04:16:05Z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