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WT" sheetId="2" state="visible" r:id="rId4"/>
    <sheet name="WEO_Data" sheetId="3" state="visible" r:id="rId5"/>
    <sheet name="CFC_data" sheetId="4" state="visible" r:id="rId6"/>
    <sheet name="Investment" sheetId="5" state="visible" r:id="rId7"/>
    <sheet name="Production" sheetId="6" state="visible" r:id="rId8"/>
    <sheet name="HP_Filter" sheetId="7" state="visible" r:id="rId9"/>
    <sheet name="Documenta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<sst xmlns="http://schemas.openxmlformats.org/spreadsheetml/2006/main" count="142" uniqueCount="130">
  <si>
    <t xml:space="preserve">Investment Shock Analysis Summary - Georgia</t>
  </si>
  <si>
    <t xml:space="preserve">Key Parameters</t>
  </si>
  <si>
    <t xml:space="preserve">Investment Amount (billions USD):</t>
  </si>
  <si>
    <t xml:space="preserve">Investment Period (years):</t>
  </si>
  <si>
    <t xml:space="preserve">Investment Start Year:</t>
  </si>
  <si>
    <t xml:space="preserve">Investment End Year:</t>
  </si>
  <si>
    <t xml:space="preserve">Annual Investment (billions USD):</t>
  </si>
  <si>
    <t xml:space="preserve">Capital Share (alpha):</t>
  </si>
  <si>
    <t xml:space="preserve">Annual Depreciation Rate:</t>
  </si>
  <si>
    <t xml:space="preserve">Model Results</t>
  </si>
  <si>
    <t xml:space="preserve">Baseline Real GDP 2025 (billions USD):</t>
  </si>
  <si>
    <t xml:space="preserve">Real GDP 2033 - Baseline (billions USD):</t>
  </si>
  <si>
    <t xml:space="preserve">Cumulative Additional Capital (billions USD):</t>
  </si>
  <si>
    <t xml:space="preserve">Peak Output Shock (2033, billions USD):</t>
  </si>
  <si>
    <t xml:space="preserve">Peak Output Shock (2033, % of baseline):</t>
  </si>
  <si>
    <t xml:space="preserve">Shock Analysis (2026-2043)</t>
  </si>
  <si>
    <t xml:space="preserve">PWT 11.0 - Georgia Data</t>
  </si>
  <si>
    <t xml:space="preserve">Variable</t>
  </si>
  <si>
    <t xml:space="preserve">Code</t>
  </si>
  <si>
    <t xml:space="preserve">Value</t>
  </si>
  <si>
    <t xml:space="preserve">Real GDP at national accounts growth rates (RGDPNA)</t>
  </si>
  <si>
    <t xml:space="preserve">RGDPNA</t>
  </si>
  <si>
    <t xml:space="preserve">Data Source: Penn World Table 11.0</t>
  </si>
  <si>
    <t xml:space="preserve">K</t>
  </si>
  <si>
    <t xml:space="preserve">University of Groningen GGDC</t>
  </si>
  <si>
    <t xml:space="preserve">L</t>
  </si>
  <si>
    <t xml:space="preserve">IMF WEO - Georgia Real GDP Data</t>
  </si>
  <si>
    <t xml:space="preserve">Year</t>
  </si>
  <si>
    <t xml:space="preserve">Real GDP (Billions USD)</t>
  </si>
  <si>
    <t xml:space="preserve">Growth Rate (%)</t>
  </si>
  <si>
    <t xml:space="preserve">Source: IMF World Economic Outlook Database, 2025</t>
  </si>
  <si>
    <t xml:space="preserve">Assumption: 2027 growth rate (7.2%) extends through 2043</t>
  </si>
  <si>
    <t xml:space="preserve">ECB Consumption of Fixed Capital - Georgia</t>
  </si>
  <si>
    <t xml:space="preserve">CFC (Millions Lari)</t>
  </si>
  <si>
    <t xml:space="preserve">Capital Stock (from PWT)</t>
  </si>
  <si>
    <t xml:space="preserve">Depreciation Rate</t>
  </si>
  <si>
    <t xml:space="preserve">Avg Depreciation (Last 8 years, 2015-2022):</t>
  </si>
  <si>
    <t xml:space="preserve">Annual Depreciation Rate (%):</t>
  </si>
  <si>
    <t xml:space="preserve">Investment Shock Parameters</t>
  </si>
  <si>
    <t xml:space="preserve">Investment Period:</t>
  </si>
  <si>
    <t xml:space="preserve">Total Investment (billions USD):</t>
  </si>
  <si>
    <t xml:space="preserve">Capital Share (Cobb-Douglas alpha):</t>
  </si>
  <si>
    <t xml:space="preserve">Investment Shock - 8 years, 6.5 billion USD</t>
  </si>
  <si>
    <t xml:space="preserve">Investment (Billions USD)</t>
  </si>
  <si>
    <t xml:space="preserve">Total Investment:</t>
  </si>
  <si>
    <t xml:space="preserve">Production Function Analysis - Cobb-Douglas</t>
  </si>
  <si>
    <t xml:space="preserve">Production Function Model</t>
  </si>
  <si>
    <t xml:space="preserve">Cobb-Douglas: Y = A * K^alpha * L^(1-alpha)</t>
  </si>
  <si>
    <t xml:space="preserve">HP Filter Objective:</t>
  </si>
  <si>
    <t xml:space="preserve">Y</t>
  </si>
  <si>
    <t xml:space="preserve">LnK</t>
  </si>
  <si>
    <t xml:space="preserve">LnY</t>
  </si>
  <si>
    <t xml:space="preserve">LnZ</t>
  </si>
  <si>
    <t xml:space="preserve">LnZ_HP</t>
  </si>
  <si>
    <t xml:space="preserve">Diff_2nd</t>
  </si>
  <si>
    <t xml:space="preserve">LnA-Trend</t>
  </si>
  <si>
    <t xml:space="preserve">Lambda</t>
  </si>
  <si>
    <t xml:space="preserve">1600</t>
  </si>
  <si>
    <t xml:space="preserve">Objective</t>
  </si>
  <si>
    <t xml:space="preserve">Lambda:</t>
  </si>
  <si>
    <t xml:space="preserve">HP FILTER SOLVER INSTRUCTIONS:</t>
  </si>
  <si>
    <t xml:space="preserve">1. Use Excel Solver (Data &gt; Solver) to optimize LnZ_HP (column G, rows 6-29)</t>
  </si>
  <si>
    <t xml:space="preserve">2. Objective: Minimize cell P5</t>
  </si>
  <si>
    <t xml:space="preserve">3. By changing: L6:L29 (these are the HP filtered LnZ values)</t>
  </si>
  <si>
    <t xml:space="preserve">4. Lambda (L3) = 1600 is the smoothing parameter</t>
  </si>
  <si>
    <t xml:space="preserve">K/Y</t>
  </si>
  <si>
    <t xml:space="preserve">LnZ_Trend</t>
  </si>
  <si>
    <t xml:space="preserve">LnY_Base</t>
  </si>
  <si>
    <t xml:space="preserve">Ystar_Base</t>
  </si>
  <si>
    <t xml:space="preserve">Investment</t>
  </si>
  <si>
    <t xml:space="preserve">DeltaK</t>
  </si>
  <si>
    <t xml:space="preserve">K_With</t>
  </si>
  <si>
    <t xml:space="preserve">LnY_With</t>
  </si>
  <si>
    <t xml:space="preserve">Ystar_With</t>
  </si>
  <si>
    <t xml:space="preserve">Ystar_Shock</t>
  </si>
  <si>
    <t xml:space="preserve">HP Filter Workspace</t>
  </si>
  <si>
    <t xml:space="preserve">LnZ values</t>
  </si>
  <si>
    <t xml:space="preserve">Investment Shock Model Documentation</t>
  </si>
  <si>
    <t xml:space="preserve">Model Overview</t>
  </si>
  <si>
    <t xml:space="preserve">This model estimates the impact of a USD 6.5 billion investment shock to Georgia's economy over 8 years (2026-2033) using a Cobb-Douglas production function with HP filtering.</t>
  </si>
  <si>
    <t xml:space="preserve">Key Sheets and Contents</t>
  </si>
  <si>
    <t xml:space="preserve">Summary</t>
  </si>
  <si>
    <t xml:space="preserve">Key results and shock impact metrics</t>
  </si>
  <si>
    <t xml:space="preserve">PWT</t>
  </si>
  <si>
    <t xml:space="preserve">Penn World Table data - sources and variable definitions</t>
  </si>
  <si>
    <t xml:space="preserve">WEO_Data</t>
  </si>
  <si>
    <t xml:space="preserve">IMF World Economic Outlook - Real GDP levels and growth rates 2000-2043</t>
  </si>
  <si>
    <t xml:space="preserve">CFC_data</t>
  </si>
  <si>
    <t xml:space="preserve">ECB Consumption of Fixed Capital and calculated depreciation rates</t>
  </si>
  <si>
    <t xml:space="preserve">Investment shock parameters - 6.5B USD spread over 8 years</t>
  </si>
  <si>
    <t xml:space="preserve">Production</t>
  </si>
  <si>
    <t xml:space="preserve">Core production function model and HP filter calculations</t>
  </si>
  <si>
    <t xml:space="preserve">Model Specifications</t>
  </si>
  <si>
    <t xml:space="preserve">Production Function: Cobb-Douglas</t>
  </si>
  <si>
    <t xml:space="preserve">Y = A * K^α * L^(1-α)</t>
  </si>
  <si>
    <t xml:space="preserve">Parameters:</t>
  </si>
  <si>
    <t xml:space="preserve">α (Capital Share)</t>
  </si>
  <si>
    <t xml:space="preserve">Depreciation Rate (δ)</t>
  </si>
  <si>
    <t xml:space="preserve">HP Filter Specifications</t>
  </si>
  <si>
    <t xml:space="preserve">Lambda (smoothness parameter)</t>
  </si>
  <si>
    <t xml:space="preserve">(Standard for annual data)</t>
  </si>
  <si>
    <t xml:space="preserve">Period covered</t>
  </si>
  <si>
    <t xml:space="preserve">2000-2023</t>
  </si>
  <si>
    <t xml:space="preserve">Data Sources</t>
  </si>
  <si>
    <t xml:space="preserve">1. Real GDP (Y): IMF World Economic Outlook Database, October 2025</t>
  </si>
  <si>
    <t xml:space="preserve">   - Baseline 2025 value: USD 25.13 billion (constant prices)</t>
  </si>
  <si>
    <t xml:space="preserve">   - Projected growth 2025-2043: 7.2% annually</t>
  </si>
  <si>
    <t xml:space="preserve">2. Capital Stock (K): Penn World Table 11.0</t>
  </si>
  <si>
    <t xml:space="preserve">   - Base year data from FRED/PWT for 2015-2019</t>
  </si>
  <si>
    <t xml:space="preserve">   - Extended using investment and depreciation data</t>
  </si>
  <si>
    <t xml:space="preserve">3. Depreciation (CFC): ECB Data Portal</t>
  </si>
  <si>
    <t xml:space="preserve">   - Consumption of Fixed Capital 2000-2023</t>
  </si>
  <si>
    <t xml:space="preserve">   - Calculated depreciation rate: ~3-4% annually</t>
  </si>
  <si>
    <t xml:space="preserve">Assumptions</t>
  </si>
  <si>
    <t xml:space="preserve">1. Investment spread uniformly: USD 0.8125 billion per year</t>
  </si>
  <si>
    <t xml:space="preserve">2. Investment period: 2026-2033 (8 years)</t>
  </si>
  <si>
    <t xml:space="preserve">3. All investment becomes productive capital stock</t>
  </si>
  <si>
    <t xml:space="preserve">4. Production function elasticity of capital: 0.3</t>
  </si>
  <si>
    <t xml:space="preserve">5. Depreciation rate remains constant throughout projection</t>
  </si>
  <si>
    <t xml:space="preserve">6. Growth rate after 2027 remains at 7.2%</t>
  </si>
  <si>
    <t xml:space="preserve">Using the HP Filter in Excel</t>
  </si>
  <si>
    <t xml:space="preserve">1. Go to Production sheet</t>
  </si>
  <si>
    <t xml:space="preserve">2. Ensure that column G (LnZ_HP) contains HP-filtered trend values</t>
  </si>
  <si>
    <t xml:space="preserve">3. To optimize:</t>
  </si>
  <si>
    <t xml:space="preserve">   - Open Excel Solver (Data &gt; Solver)</t>
  </si>
  <si>
    <t xml:space="preserve">   - Set Objective: Production!P5</t>
  </si>
  <si>
    <t xml:space="preserve">   - To: Min</t>
  </si>
  <si>
    <t xml:space="preserve">   - By Changing: Production!L6:L29</t>
  </si>
  <si>
    <t xml:space="preserve">   - Then copy L6:L29 values back to G6:G29</t>
  </si>
  <si>
    <t xml:space="preserve">4. Recalculate to update all formulas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</si>
</sst>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000"/>
    <numFmt numFmtId="167" formatCode="0.00%"/>
    <numFmt numFmtId="168" formatCode="#,##0.0000"/>
    <numFmt numFmtId="169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55A11"/>
        <bgColor rgb="FF993300"/>
      </patternFill>
    </fill>
    <fill>
      <patternFill patternType="solid">
        <fgColor rgb="FF70AD47"/>
        <bgColor rgb="FF339966"/>
      </patternFill>
    </fill>
    <fill>
      <patternFill patternType="solid">
        <fgColor rgb="FF20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C55A11"/>
      <rgbColor rgb="FF666699"/>
      <rgbColor rgb="FF70AD47"/>
      <rgbColor rgb="FF20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20"/>
    <col collapsed="false" customWidth="true" hidden="false" outlineLevel="0" max="5" min="5" style="1" width="15"/>
  </cols>
  <sheetData>
    <row r="1" customFormat="false" ht="17.25" hidden="false" customHeight="true" outlineLevel="0" collapsed="false">
      <c r="A1" s="2" t="s">
        <v>0</v>
      </c>
      <c r="B1" s="2"/>
      <c r="C1" s="2"/>
      <c r="D1" s="2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1" t="s">
        <v>2</v>
      </c>
      <c r="B4" s="4" t="n">
        <v>6.5</v>
      </c>
    </row>
    <row r="5" customFormat="false" ht="15" hidden="false" customHeight="true" outlineLevel="0" collapsed="false">
      <c r="A5" s="1" t="s">
        <v>3</v>
      </c>
      <c r="B5" s="4" t="n">
        <v>8</v>
      </c>
    </row>
    <row r="6" customFormat="false" ht="15" hidden="false" customHeight="true" outlineLevel="0" collapsed="false">
      <c r="A6" s="1" t="s">
        <v>4</v>
      </c>
      <c r="B6" s="4" t="n">
        <v>2026</v>
      </c>
    </row>
    <row r="7" customFormat="false" ht="15" hidden="false" customHeight="true" outlineLevel="0" collapsed="false">
      <c r="A7" s="1" t="s">
        <v>5</v>
      </c>
      <c r="B7" s="4" t="n">
        <v>2033</v>
      </c>
    </row>
    <row r="8" customFormat="false" ht="15" hidden="false" customHeight="true" outlineLevel="0" collapsed="false">
      <c r="A8" s="1" t="s">
        <v>6</v>
      </c>
      <c r="B8" s="4" t="n">
        <f aca="false">B4/B5</f>
        <v>0.8125</v>
      </c>
    </row>
    <row r="9" customFormat="false" ht="15" hidden="false" customHeight="true" outlineLevel="0" collapsed="false">
      <c r="A9" s="1" t="s">
        <v>7</v>
      </c>
      <c r="B9" s="4" t="n">
        <v>0.3</v>
      </c>
    </row>
    <row r="10" customFormat="false" ht="15" hidden="false" customHeight="true" outlineLevel="0" collapsed="false">
      <c r="A10" s="1" t="s">
        <v>8</v>
      </c>
      <c r="B10" s="4" t="n">
        <f aca="false">Production!$B$3</f>
        <v>0.035</v>
      </c>
    </row>
    <row r="11" customFormat="false" ht="15" hidden="false" customHeight="true" outlineLevel="0" collapsed="false">
      <c r="B11" s="4"/>
    </row>
    <row r="12" customFormat="false" ht="15" hidden="false" customHeight="true" outlineLevel="0" collapsed="false">
      <c r="A12" s="3" t="s">
        <v>9</v>
      </c>
      <c r="B12" s="4"/>
    </row>
    <row r="13" customFormat="false" ht="15" hidden="false" customHeight="true" outlineLevel="0" collapsed="false">
      <c r="A13" s="1" t="s">
        <v>10</v>
      </c>
      <c r="B13" s="4" t="n">
        <f aca="false">WEO_Data!B29</f>
        <v>26.93936</v>
      </c>
    </row>
    <row r="14" customFormat="false" ht="15" hidden="false" customHeight="true" outlineLevel="0" collapsed="false">
      <c r="A14" s="1" t="s">
        <v>11</v>
      </c>
      <c r="B14" s="4" t="n">
        <f aca="false">VLOOKUP(2033,Production!$A$37:$C$78,3,FALSE())</f>
        <v>46.0171520635836</v>
      </c>
    </row>
    <row r="15" customFormat="false" ht="15" hidden="false" customHeight="true" outlineLevel="0" collapsed="false">
      <c r="A15" s="1" t="s">
        <v>12</v>
      </c>
      <c r="B15" s="4" t="n">
        <f aca="false">SUM(Investment!B4:B11)</f>
        <v>5.6875</v>
      </c>
    </row>
    <row r="16" customFormat="false" ht="15" hidden="false" customHeight="true" outlineLevel="0" collapsed="false">
      <c r="A16" s="1" t="s">
        <v>13</v>
      </c>
      <c r="B16" s="4" t="n">
        <f aca="false">IFERROR(VLOOKUP(2033,Production!$A$37:$K$78,10,FALSE()),0)</f>
        <v>33.1796418495946</v>
      </c>
    </row>
    <row r="17" customFormat="false" ht="15" hidden="false" customHeight="true" outlineLevel="0" collapsed="false">
      <c r="A17" s="1" t="s">
        <v>14</v>
      </c>
      <c r="B17" s="4" t="n">
        <f aca="false">IF(B14&gt;0,B16/B14,0)</f>
        <v>0.72102771166171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1" t="n">
        <v>2026</v>
      </c>
      <c r="B20" s="1" t="str">
        <f aca="false">Investment!B4</f>
        <v>Investment (Billions USD)</v>
      </c>
      <c r="C20" s="4" t="n">
        <f aca="false">IFERROR(Production!H61,0)</f>
        <v>812.5</v>
      </c>
      <c r="D20" s="4" t="n">
        <f aca="false">IFERROR(Production!K61,0)</f>
        <v>1.87378527504072</v>
      </c>
      <c r="E20" s="5" t="n">
        <f aca="false">IFERROR(Production!L61,0)</f>
        <v>0.102656435767879</v>
      </c>
    </row>
    <row r="21" customFormat="false" ht="15" hidden="false" customHeight="true" outlineLevel="0" collapsed="false">
      <c r="A21" s="1" t="n">
        <v>2027</v>
      </c>
      <c r="B21" s="4" t="n">
        <f aca="false">Investment!B5</f>
        <v>0.8125</v>
      </c>
      <c r="C21" s="4" t="n">
        <f aca="false">IFERROR(Production!H62,0)</f>
        <v>812.5</v>
      </c>
      <c r="D21" s="4" t="n">
        <f aca="false">IFERROR(Production!K62,0)</f>
        <v>2.05460470288233</v>
      </c>
      <c r="E21" s="6" t="n">
        <f aca="false">IFERROR(Production!L62,0)</f>
        <v>0.105002551479472</v>
      </c>
    </row>
    <row r="22" customFormat="false" ht="15" hidden="false" customHeight="true" outlineLevel="0" collapsed="false">
      <c r="A22" s="1" t="n">
        <v>2028</v>
      </c>
      <c r="B22" s="4" t="n">
        <f aca="false">Investment!B6</f>
        <v>0.8125</v>
      </c>
      <c r="C22" s="4" t="n">
        <f aca="false">IFERROR(Production!H63,0)</f>
        <v>812.5</v>
      </c>
      <c r="D22" s="4" t="n">
        <f aca="false">IFERROR(Production!K63,0)</f>
        <v>2.24985378091339</v>
      </c>
      <c r="E22" s="6" t="n">
        <f aca="false">IFERROR(Production!L63,0)</f>
        <v>0.10725834290556</v>
      </c>
    </row>
    <row r="23" customFormat="false" ht="15" hidden="false" customHeight="true" outlineLevel="0" collapsed="false">
      <c r="A23" s="1" t="n">
        <v>2029</v>
      </c>
      <c r="B23" s="4" t="n">
        <f aca="false">Investment!B7</f>
        <v>0.8125</v>
      </c>
      <c r="C23" s="4" t="n">
        <f aca="false">IFERROR(Production!H64,0)</f>
        <v>812.5</v>
      </c>
      <c r="D23" s="4" t="n">
        <f aca="false">IFERROR(Production!K64,0)</f>
        <v>2.46062435778541</v>
      </c>
      <c r="E23" s="6" t="n">
        <f aca="false">IFERROR(Production!L64,0)</f>
        <v>0.10942771292687</v>
      </c>
    </row>
    <row r="24" customFormat="false" ht="15" hidden="false" customHeight="true" outlineLevel="0" collapsed="false">
      <c r="A24" s="1" t="n">
        <v>2030</v>
      </c>
      <c r="B24" s="4" t="n">
        <f aca="false">Investment!B8</f>
        <v>0.8125</v>
      </c>
      <c r="C24" s="4" t="n">
        <f aca="false">IFERROR(Production!H65,0)</f>
        <v>812.5</v>
      </c>
      <c r="D24" s="4" t="n">
        <f aca="false">IFERROR(Production!K65,0)</f>
        <v>2.68808865510988</v>
      </c>
      <c r="E24" s="6" t="n">
        <f aca="false">IFERROR(Production!L65,0)</f>
        <v>0.111514362570885</v>
      </c>
    </row>
    <row r="25" customFormat="false" ht="15" hidden="false" customHeight="true" outlineLevel="0" collapsed="false">
      <c r="A25" s="1" t="n">
        <v>2031</v>
      </c>
      <c r="B25" s="4" t="n">
        <f aca="false">Investment!B9</f>
        <v>0.8125</v>
      </c>
      <c r="C25" s="4" t="n">
        <f aca="false">IFERROR(Production!H66,0)</f>
        <v>812.5</v>
      </c>
      <c r="D25" s="4" t="n">
        <f aca="false">IFERROR(Production!K66,0)</f>
        <v>2.93350512558242</v>
      </c>
      <c r="E25" s="6" t="n">
        <f aca="false">IFERROR(Production!L66,0)</f>
        <v>0.113521804086777</v>
      </c>
    </row>
    <row r="26" customFormat="false" ht="15" hidden="false" customHeight="true" outlineLevel="0" collapsed="false">
      <c r="A26" s="1" t="n">
        <v>2032</v>
      </c>
      <c r="B26" s="4" t="n">
        <f aca="false">Investment!B10</f>
        <v>0.8125</v>
      </c>
      <c r="C26" s="4" t="n">
        <f aca="false">IFERROR(Production!H67,0)</f>
        <v>812.5</v>
      </c>
      <c r="D26" s="4" t="n">
        <f aca="false">IFERROR(Production!K67,0)</f>
        <v>3.19822473477392</v>
      </c>
      <c r="E26" s="6" t="n">
        <f aca="false">IFERROR(Production!L67,0)</f>
        <v>0.11545337296184</v>
      </c>
    </row>
    <row r="27" customFormat="false" ht="15" hidden="false" customHeight="true" outlineLevel="0" collapsed="false">
      <c r="A27" s="1" t="n">
        <v>2033</v>
      </c>
      <c r="B27" s="4" t="n">
        <f aca="false">Investment!B11</f>
        <v>0.8125</v>
      </c>
      <c r="C27" s="4" t="n">
        <f aca="false">IFERROR(Production!H68,0)</f>
        <v>812.5</v>
      </c>
      <c r="D27" s="4" t="n">
        <f aca="false">IFERROR(Production!K68,0)</f>
        <v>3.48369769722387</v>
      </c>
      <c r="E27" s="6" t="n">
        <f aca="false">IFERROR(Production!L68,0)</f>
        <v>0.117312238982836</v>
      </c>
    </row>
    <row r="28" customFormat="false" ht="15" hidden="false" customHeight="true" outlineLevel="0" collapsed="false">
      <c r="A28" s="1" t="n">
        <v>2034</v>
      </c>
      <c r="B28" s="4" t="n">
        <v>0</v>
      </c>
      <c r="C28" s="4" t="n">
        <f aca="false">IFERROR(Production!H69,0)</f>
        <v>0</v>
      </c>
      <c r="D28" s="4" t="n">
        <f aca="false">IFERROR(Production!K69,0)</f>
        <v>3.73452393142398</v>
      </c>
      <c r="E28" s="6" t="n">
        <f aca="false">IFERROR(Production!L69,0)</f>
        <v>0.117312238982836</v>
      </c>
    </row>
    <row r="29" customFormat="false" ht="15" hidden="false" customHeight="true" outlineLevel="0" collapsed="false">
      <c r="A29" s="1" t="n">
        <v>2035</v>
      </c>
      <c r="B29" s="4" t="n">
        <v>0</v>
      </c>
      <c r="C29" s="4" t="n">
        <f aca="false">IFERROR(Production!H70,0)</f>
        <v>0</v>
      </c>
      <c r="D29" s="4" t="n">
        <f aca="false">IFERROR(Production!K70,0)</f>
        <v>4.00340965448651</v>
      </c>
      <c r="E29" s="6" t="n">
        <f aca="false">IFERROR(Production!L70,0)</f>
        <v>0.117312238982836</v>
      </c>
    </row>
    <row r="30" customFormat="false" ht="15" hidden="false" customHeight="true" outlineLevel="0" collapsed="false">
      <c r="A30" s="1" t="n">
        <v>2036</v>
      </c>
      <c r="B30" s="4" t="n">
        <v>0</v>
      </c>
      <c r="C30" s="4" t="n">
        <f aca="false">IFERROR(Production!H71,0)</f>
        <v>0</v>
      </c>
      <c r="D30" s="4" t="n">
        <f aca="false">IFERROR(Production!K71,0)</f>
        <v>4.29165514960954</v>
      </c>
      <c r="E30" s="6" t="n">
        <f aca="false">IFERROR(Production!L71,0)</f>
        <v>0.117312238982836</v>
      </c>
    </row>
    <row r="31" customFormat="false" ht="15" hidden="false" customHeight="true" outlineLevel="0" collapsed="false">
      <c r="A31" s="1" t="n">
        <v>2037</v>
      </c>
      <c r="B31" s="4" t="n">
        <v>0</v>
      </c>
      <c r="C31" s="4" t="n">
        <f aca="false">IFERROR(Production!H72,0)</f>
        <v>0</v>
      </c>
      <c r="D31" s="4" t="n">
        <f aca="false">IFERROR(Production!K72,0)</f>
        <v>4.60065432038143</v>
      </c>
      <c r="E31" s="6" t="n">
        <f aca="false">IFERROR(Production!L72,0)</f>
        <v>0.117312238982836</v>
      </c>
    </row>
    <row r="32" customFormat="false" ht="15" hidden="false" customHeight="true" outlineLevel="0" collapsed="false">
      <c r="A32" s="1" t="n">
        <v>2038</v>
      </c>
      <c r="B32" s="4" t="n">
        <v>0</v>
      </c>
      <c r="C32" s="4" t="n">
        <f aca="false">IFERROR(Production!H73,0)</f>
        <v>0</v>
      </c>
      <c r="D32" s="4" t="n">
        <f aca="false">IFERROR(Production!K73,0)</f>
        <v>4.93190143144889</v>
      </c>
      <c r="E32" s="6" t="n">
        <f aca="false">IFERROR(Production!L73,0)</f>
        <v>0.117312238982836</v>
      </c>
    </row>
    <row r="33" customFormat="false" ht="15" hidden="false" customHeight="true" outlineLevel="0" collapsed="false">
      <c r="A33" s="1" t="n">
        <v>2039</v>
      </c>
      <c r="B33" s="4" t="n">
        <v>0</v>
      </c>
      <c r="C33" s="4" t="n">
        <f aca="false">IFERROR(Production!H74,0)</f>
        <v>0</v>
      </c>
      <c r="D33" s="4" t="n">
        <f aca="false">IFERROR(Production!K74,0)</f>
        <v>5.28699833451321</v>
      </c>
      <c r="E33" s="6" t="n">
        <f aca="false">IFERROR(Production!L74,0)</f>
        <v>0.117312238982836</v>
      </c>
    </row>
    <row r="34" customFormat="false" ht="15" hidden="false" customHeight="true" outlineLevel="0" collapsed="false">
      <c r="A34" s="1" t="n">
        <v>2040</v>
      </c>
      <c r="B34" s="4" t="n">
        <v>0</v>
      </c>
      <c r="C34" s="4" t="n">
        <f aca="false">IFERROR(Production!H75,0)</f>
        <v>0</v>
      </c>
      <c r="D34" s="4" t="n">
        <f aca="false">IFERROR(Production!K75,0)</f>
        <v>5.66766221459817</v>
      </c>
      <c r="E34" s="6" t="n">
        <f aca="false">IFERROR(Production!L75,0)</f>
        <v>0.117312238982836</v>
      </c>
    </row>
    <row r="35" customFormat="false" ht="15" hidden="false" customHeight="true" outlineLevel="0" collapsed="false">
      <c r="A35" s="1" t="n">
        <v>2041</v>
      </c>
      <c r="B35" s="4" t="n">
        <v>0</v>
      </c>
      <c r="C35" s="4" t="n">
        <f aca="false">IFERROR(Production!H76,0)</f>
        <v>0</v>
      </c>
      <c r="D35" s="4" t="n">
        <f aca="false">IFERROR(Production!K76,0)</f>
        <v>6.07573389404923</v>
      </c>
      <c r="E35" s="6" t="n">
        <f aca="false">IFERROR(Production!L76,0)</f>
        <v>0.117312238982836</v>
      </c>
    </row>
    <row r="36" customFormat="false" ht="15" hidden="false" customHeight="true" outlineLevel="0" collapsed="false">
      <c r="A36" s="1" t="n">
        <v>2042</v>
      </c>
      <c r="B36" s="4" t="n">
        <v>0</v>
      </c>
      <c r="C36" s="4" t="n">
        <f aca="false">IFERROR(Production!H77,0)</f>
        <v>0</v>
      </c>
      <c r="D36" s="4" t="n">
        <f aca="false">IFERROR(Production!K77,0)</f>
        <v>6.51318673442076</v>
      </c>
      <c r="E36" s="6" t="n">
        <f aca="false">IFERROR(Production!L77,0)</f>
        <v>0.117312238982836</v>
      </c>
    </row>
    <row r="37" customFormat="false" ht="15" hidden="false" customHeight="true" outlineLevel="0" collapsed="false">
      <c r="A37" s="1" t="n">
        <v>2043</v>
      </c>
      <c r="B37" s="4" t="n">
        <v>0</v>
      </c>
      <c r="C37" s="4" t="n">
        <f aca="false">IFERROR(Production!H78,0)</f>
        <v>0</v>
      </c>
      <c r="D37" s="4" t="n">
        <f aca="false">IFERROR(Production!K78,0)</f>
        <v>6.98213617929906</v>
      </c>
      <c r="E37" s="6" t="n">
        <f aca="false">IFERROR(Production!L78,0)</f>
        <v>0.117312238982836</v>
      </c>
    </row>
    <row r="38" customFormat="false" ht="15" hidden="false" customHeight="true" outlineLevel="0" collapsed="false">
      <c r="B38" s="4"/>
      <c r="C38" s="4"/>
      <c r="D38" s="4"/>
      <c r="E38" s="6"/>
    </row>
    <row r="39" customFormat="false" ht="15" hidden="false" customHeight="true" outlineLevel="0" collapsed="false">
      <c r="B39" s="4"/>
      <c r="C39" s="4"/>
      <c r="D39" s="4"/>
      <c r="E39" s="6"/>
    </row>
    <row r="40" customFormat="false" ht="15" hidden="false" customHeight="true" outlineLevel="0" collapsed="false">
      <c r="B40" s="4"/>
      <c r="C40" s="4"/>
      <c r="D40" s="4"/>
      <c r="E40" s="6"/>
    </row>
    <row r="41" customFormat="false" ht="15" hidden="false" customHeight="true" outlineLevel="0" collapsed="false">
      <c r="B41" s="4"/>
      <c r="C41" s="4"/>
      <c r="D41" s="4"/>
      <c r="E41" s="6"/>
    </row>
    <row r="42" customFormat="false" ht="15" hidden="false" customHeight="true" outlineLevel="0" collapsed="false">
      <c r="B42" s="4"/>
      <c r="C42" s="4"/>
      <c r="D42" s="4"/>
      <c r="E42" s="6"/>
    </row>
  </sheetData>
  <mergeCells count="1">
    <mergeCell ref="A1:D1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7" t="s">
        <v>16</v>
      </c>
    </row>
    <row r="3" customFormat="false" ht="15" hidden="false" customHeight="true" outlineLevel="0" collapsed="false">
      <c r="A3" s="1" t="s">
        <v>17</v>
      </c>
      <c r="B3" s="1" t="s">
        <v>18</v>
      </c>
      <c r="C3" s="1" t="s">
        <v>19</v>
      </c>
    </row>
    <row r="4" customFormat="false" ht="15" hidden="false" customHeight="true" outlineLevel="0" collapsed="false">
      <c r="A4" s="1" t="s">
        <v>20</v>
      </c>
      <c r="B4" s="1" t="s">
        <v>21</v>
      </c>
    </row>
    <row r="5" customFormat="false" ht="15" hidden="false" customHeight="true" outlineLevel="0" collapsed="false">
      <c r="A5" s="8" t="s">
        <v>22</v>
      </c>
      <c r="B5" s="1" t="s">
        <v>23</v>
      </c>
    </row>
    <row r="6" customFormat="false" ht="15" hidden="false" customHeight="true" outlineLevel="0" collapsed="false">
      <c r="A6" s="8" t="s">
        <v>24</v>
      </c>
      <c r="B6" s="1" t="s">
        <v>25</v>
      </c>
    </row>
  </sheetData>
  <printOptions headings="false" gridLines="false" gridLinesSet="true" horizontalCentered="false" verticalCentered="false"/>
  <pageMargins left="0.5" right="0.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5"/>
    <col collapsed="false" customWidth="true" hidden="false" outlineLevel="0" max="3" min="3" style="1" width="18"/>
  </cols>
  <sheetData>
    <row r="1" customFormat="false" ht="15" hidden="false" customHeight="true" outlineLevel="0" collapsed="false">
      <c r="A1" s="7" t="s">
        <v>26</v>
      </c>
    </row>
    <row r="3" customFormat="false" ht="15" hidden="false" customHeight="true" outlineLevel="0" collapsed="false">
      <c r="A3" s="1" t="s">
        <v>27</v>
      </c>
      <c r="B3" s="1" t="s">
        <v>28</v>
      </c>
      <c r="C3" s="1" t="s">
        <v>29</v>
      </c>
    </row>
    <row r="4" customFormat="false" ht="15" hidden="false" customHeight="true" outlineLevel="0" collapsed="false">
      <c r="A4" s="1" t="n">
        <v>2000</v>
      </c>
      <c r="B4" s="1" t="n">
        <v>6.37</v>
      </c>
      <c r="C4" s="1" t="n">
        <v>1.9</v>
      </c>
    </row>
    <row r="5" customFormat="false" ht="15" hidden="false" customHeight="true" outlineLevel="0" collapsed="false">
      <c r="A5" s="1" t="n">
        <v>2001</v>
      </c>
      <c r="B5" s="1" t="n">
        <v>6.67</v>
      </c>
      <c r="C5" s="1" t="n">
        <v>4.7</v>
      </c>
    </row>
    <row r="6" customFormat="false" ht="15" hidden="false" customHeight="true" outlineLevel="0" collapsed="false">
      <c r="A6" s="1" t="n">
        <v>2002</v>
      </c>
      <c r="B6" s="1" t="n">
        <v>7.04</v>
      </c>
      <c r="C6" s="1" t="n">
        <v>5.5</v>
      </c>
    </row>
    <row r="7" customFormat="false" ht="15" hidden="false" customHeight="true" outlineLevel="0" collapsed="false">
      <c r="A7" s="1" t="n">
        <v>2003</v>
      </c>
      <c r="B7" s="1" t="n">
        <v>7.81</v>
      </c>
      <c r="C7" s="1" t="n">
        <v>11</v>
      </c>
    </row>
    <row r="8" customFormat="false" ht="15" hidden="false" customHeight="true" outlineLevel="0" collapsed="false">
      <c r="A8" s="1" t="n">
        <v>2004</v>
      </c>
      <c r="B8" s="1" t="n">
        <v>8.27</v>
      </c>
      <c r="C8" s="1" t="n">
        <v>5.9</v>
      </c>
    </row>
    <row r="9" customFormat="false" ht="15" hidden="false" customHeight="true" outlineLevel="0" collapsed="false">
      <c r="A9" s="1" t="n">
        <v>2005</v>
      </c>
      <c r="B9" s="1" t="n">
        <v>9.06</v>
      </c>
      <c r="C9" s="1" t="n">
        <v>9.6</v>
      </c>
    </row>
    <row r="10" customFormat="false" ht="15" hidden="false" customHeight="true" outlineLevel="0" collapsed="false">
      <c r="A10" s="1" t="n">
        <v>2006</v>
      </c>
      <c r="B10" s="1" t="n">
        <v>9.91</v>
      </c>
      <c r="C10" s="1" t="n">
        <v>9.4</v>
      </c>
    </row>
    <row r="11" customFormat="false" ht="15" hidden="false" customHeight="true" outlineLevel="0" collapsed="false">
      <c r="A11" s="1" t="n">
        <v>2007</v>
      </c>
      <c r="B11" s="1" t="n">
        <v>11.16</v>
      </c>
      <c r="C11" s="1" t="n">
        <v>12.3</v>
      </c>
    </row>
    <row r="12" customFormat="false" ht="15" hidden="false" customHeight="true" outlineLevel="0" collapsed="false">
      <c r="A12" s="1" t="n">
        <v>2008</v>
      </c>
      <c r="B12" s="1" t="n">
        <v>11.43</v>
      </c>
      <c r="C12" s="1" t="n">
        <v>2.3</v>
      </c>
    </row>
    <row r="13" customFormat="false" ht="15" hidden="false" customHeight="true" outlineLevel="0" collapsed="false">
      <c r="A13" s="1" t="n">
        <v>2009</v>
      </c>
      <c r="B13" s="1" t="n">
        <v>11.01</v>
      </c>
      <c r="C13" s="1" t="n">
        <v>-3.8</v>
      </c>
    </row>
    <row r="14" customFormat="false" ht="15" hidden="false" customHeight="true" outlineLevel="0" collapsed="false">
      <c r="A14" s="1" t="n">
        <v>2010</v>
      </c>
      <c r="B14" s="1" t="n">
        <v>11.7</v>
      </c>
      <c r="C14" s="1" t="n">
        <v>6.3</v>
      </c>
    </row>
    <row r="15" customFormat="false" ht="15" hidden="false" customHeight="true" outlineLevel="0" collapsed="false">
      <c r="A15" s="1" t="n">
        <v>2011</v>
      </c>
      <c r="B15" s="1" t="n">
        <v>12.63</v>
      </c>
      <c r="C15" s="1" t="n">
        <v>7</v>
      </c>
    </row>
    <row r="16" customFormat="false" ht="15" hidden="false" customHeight="true" outlineLevel="0" collapsed="false">
      <c r="A16" s="1" t="n">
        <v>2012</v>
      </c>
      <c r="B16" s="1" t="n">
        <v>13.46</v>
      </c>
      <c r="C16" s="1" t="n">
        <v>6.2</v>
      </c>
    </row>
    <row r="17" customFormat="false" ht="15" hidden="false" customHeight="true" outlineLevel="0" collapsed="false">
      <c r="A17" s="1" t="n">
        <v>2013</v>
      </c>
      <c r="B17" s="1" t="n">
        <v>14.15</v>
      </c>
      <c r="C17" s="1" t="n">
        <v>5.1</v>
      </c>
    </row>
    <row r="18" customFormat="false" ht="15" hidden="false" customHeight="true" outlineLevel="0" collapsed="false">
      <c r="A18" s="1" t="n">
        <v>2014</v>
      </c>
      <c r="B18" s="1" t="n">
        <v>14.73</v>
      </c>
      <c r="C18" s="1" t="n">
        <v>4.1</v>
      </c>
    </row>
    <row r="19" customFormat="false" ht="15" hidden="false" customHeight="true" outlineLevel="0" collapsed="false">
      <c r="A19" s="1" t="n">
        <v>2015</v>
      </c>
      <c r="B19" s="1" t="n">
        <v>15.22</v>
      </c>
      <c r="C19" s="1" t="n">
        <v>3.3</v>
      </c>
    </row>
    <row r="20" customFormat="false" ht="15" hidden="false" customHeight="true" outlineLevel="0" collapsed="false">
      <c r="A20" s="1" t="n">
        <v>2016</v>
      </c>
      <c r="B20" s="1" t="n">
        <v>15.75</v>
      </c>
      <c r="C20" s="1" t="n">
        <v>2.8</v>
      </c>
    </row>
    <row r="21" customFormat="false" ht="15" hidden="false" customHeight="true" outlineLevel="0" collapsed="false">
      <c r="A21" s="1" t="n">
        <v>2017</v>
      </c>
      <c r="B21" s="1" t="n">
        <v>16.56</v>
      </c>
      <c r="C21" s="1" t="n">
        <v>4.8</v>
      </c>
    </row>
    <row r="22" customFormat="false" ht="15" hidden="false" customHeight="true" outlineLevel="0" collapsed="false">
      <c r="A22" s="1" t="n">
        <v>2018</v>
      </c>
      <c r="B22" s="1" t="n">
        <v>17.57</v>
      </c>
      <c r="C22" s="1" t="n">
        <v>4.8</v>
      </c>
    </row>
    <row r="23" customFormat="false" ht="15" hidden="false" customHeight="true" outlineLevel="0" collapsed="false">
      <c r="A23" s="1" t="n">
        <v>2019</v>
      </c>
      <c r="B23" s="1" t="n">
        <v>18.51</v>
      </c>
      <c r="C23" s="1" t="n">
        <v>5</v>
      </c>
    </row>
    <row r="24" customFormat="false" ht="15" hidden="false" customHeight="true" outlineLevel="0" collapsed="false">
      <c r="A24" s="1" t="n">
        <v>2020</v>
      </c>
      <c r="B24" s="1" t="n">
        <v>17.35</v>
      </c>
      <c r="C24" s="1" t="n">
        <v>-6.3</v>
      </c>
    </row>
    <row r="25" customFormat="false" ht="15" hidden="false" customHeight="true" outlineLevel="0" collapsed="false">
      <c r="A25" s="1" t="n">
        <v>2021</v>
      </c>
      <c r="B25" s="1" t="n">
        <v>19.19</v>
      </c>
      <c r="C25" s="1" t="n">
        <v>10.6</v>
      </c>
    </row>
    <row r="26" customFormat="false" ht="15" hidden="false" customHeight="true" outlineLevel="0" collapsed="false">
      <c r="A26" s="1" t="n">
        <v>2022</v>
      </c>
      <c r="B26" s="1" t="n">
        <v>21.3</v>
      </c>
      <c r="C26" s="1" t="n">
        <v>11</v>
      </c>
    </row>
    <row r="27" customFormat="false" ht="15" hidden="false" customHeight="true" outlineLevel="0" collapsed="false">
      <c r="A27" s="1" t="n">
        <v>2023</v>
      </c>
      <c r="B27" s="1" t="n">
        <v>22.96</v>
      </c>
      <c r="C27" s="1" t="n">
        <v>7.8</v>
      </c>
    </row>
    <row r="28" customFormat="false" ht="15" hidden="false" customHeight="true" outlineLevel="0" collapsed="false">
      <c r="A28" s="1" t="n">
        <v>2024</v>
      </c>
      <c r="B28" s="1" t="n">
        <v>25.13</v>
      </c>
      <c r="C28" s="1" t="n">
        <v>9.4</v>
      </c>
    </row>
    <row r="29" customFormat="false" ht="15" hidden="false" customHeight="true" outlineLevel="0" collapsed="false">
      <c r="A29" s="1" t="n">
        <v>2025</v>
      </c>
      <c r="B29" s="1" t="n">
        <f aca="false">B28*(1+C29/100)</f>
        <v>26.93936</v>
      </c>
      <c r="C29" s="1" t="n">
        <v>7.2</v>
      </c>
    </row>
    <row r="30" customFormat="false" ht="15" hidden="false" customHeight="true" outlineLevel="0" collapsed="false">
      <c r="A30" s="1" t="n">
        <v>2026</v>
      </c>
      <c r="B30" s="1" t="n">
        <f aca="false">B29*(1+C30/100)</f>
        <v>28.87899392</v>
      </c>
      <c r="C30" s="1" t="n">
        <v>7.2</v>
      </c>
    </row>
    <row r="31" customFormat="false" ht="15" hidden="false" customHeight="true" outlineLevel="0" collapsed="false">
      <c r="A31" s="1" t="n">
        <v>2027</v>
      </c>
      <c r="B31" s="1" t="n">
        <f aca="false">B30*(1+C31/100)</f>
        <v>30.95828148224</v>
      </c>
      <c r="C31" s="1" t="n">
        <v>7.2</v>
      </c>
    </row>
    <row r="32" customFormat="false" ht="15" hidden="false" customHeight="true" outlineLevel="0" collapsed="false">
      <c r="A32" s="1" t="n">
        <v>2028</v>
      </c>
      <c r="B32" s="1" t="n">
        <f aca="false">B31*(1+C32/100)</f>
        <v>33.1872777489613</v>
      </c>
      <c r="C32" s="1" t="n">
        <v>7.2</v>
      </c>
    </row>
    <row r="33" customFormat="false" ht="15" hidden="false" customHeight="true" outlineLevel="0" collapsed="false">
      <c r="A33" s="1" t="n">
        <v>2029</v>
      </c>
      <c r="B33" s="1" t="n">
        <f aca="false">B32*(1+C33/100)</f>
        <v>35.5767617468865</v>
      </c>
      <c r="C33" s="1" t="n">
        <v>7.2</v>
      </c>
    </row>
    <row r="34" customFormat="false" ht="15" hidden="false" customHeight="true" outlineLevel="0" collapsed="false">
      <c r="A34" s="1" t="n">
        <v>2030</v>
      </c>
      <c r="B34" s="1" t="n">
        <f aca="false">B33*(1+C34/100)</f>
        <v>38.1382885926623</v>
      </c>
      <c r="C34" s="1" t="n">
        <v>7.2</v>
      </c>
    </row>
    <row r="35" customFormat="false" ht="15" hidden="false" customHeight="true" outlineLevel="0" collapsed="false">
      <c r="A35" s="1" t="n">
        <v>2031</v>
      </c>
      <c r="B35" s="1" t="n">
        <f aca="false">B34*(1+C35/100)</f>
        <v>40.884245371334</v>
      </c>
      <c r="C35" s="1" t="n">
        <v>7.2</v>
      </c>
    </row>
    <row r="36" customFormat="false" ht="15" hidden="false" customHeight="true" outlineLevel="0" collapsed="false">
      <c r="A36" s="1" t="n">
        <v>2032</v>
      </c>
      <c r="B36" s="1" t="n">
        <f aca="false">B35*(1+C36/100)</f>
        <v>43.8279110380701</v>
      </c>
      <c r="C36" s="1" t="n">
        <v>7.2</v>
      </c>
    </row>
    <row r="37" customFormat="false" ht="15" hidden="false" customHeight="true" outlineLevel="0" collapsed="false">
      <c r="A37" s="1" t="n">
        <v>2033</v>
      </c>
      <c r="B37" s="1" t="n">
        <f aca="false">B36*(1+C37/100)</f>
        <v>46.9835206328111</v>
      </c>
      <c r="C37" s="1" t="n">
        <v>7.2</v>
      </c>
    </row>
    <row r="38" customFormat="false" ht="15" hidden="false" customHeight="true" outlineLevel="0" collapsed="false">
      <c r="A38" s="1" t="n">
        <v>2034</v>
      </c>
      <c r="B38" s="1" t="n">
        <f aca="false">B37*(1+C38/100)</f>
        <v>50.3663341183735</v>
      </c>
      <c r="C38" s="1" t="n">
        <v>7.2</v>
      </c>
    </row>
    <row r="39" customFormat="false" ht="15" hidden="false" customHeight="true" outlineLevel="0" collapsed="false">
      <c r="A39" s="1" t="n">
        <v>2035</v>
      </c>
      <c r="B39" s="1" t="n">
        <f aca="false">B38*(1+C39/100)</f>
        <v>53.9927101748964</v>
      </c>
      <c r="C39" s="1" t="n">
        <v>7.2</v>
      </c>
    </row>
    <row r="40" customFormat="false" ht="15" hidden="false" customHeight="true" outlineLevel="0" collapsed="false">
      <c r="A40" s="1" t="n">
        <v>2036</v>
      </c>
      <c r="B40" s="1" t="n">
        <f aca="false">B39*(1+C40/100)</f>
        <v>57.880185307489</v>
      </c>
      <c r="C40" s="1" t="n">
        <v>7.2</v>
      </c>
    </row>
    <row r="41" customFormat="false" ht="15" hidden="false" customHeight="true" outlineLevel="0" collapsed="false">
      <c r="A41" s="1" t="n">
        <v>2037</v>
      </c>
      <c r="B41" s="1" t="n">
        <f aca="false">B40*(1+C41/100)</f>
        <v>62.0475586496282</v>
      </c>
      <c r="C41" s="1" t="n">
        <v>7.2</v>
      </c>
    </row>
    <row r="42" customFormat="false" ht="15" hidden="false" customHeight="true" outlineLevel="0" collapsed="false">
      <c r="A42" s="1" t="n">
        <v>2038</v>
      </c>
      <c r="B42" s="1" t="n">
        <f aca="false">B41*(1+C42/100)</f>
        <v>66.5149828724014</v>
      </c>
      <c r="C42" s="1" t="n">
        <v>7.2</v>
      </c>
    </row>
    <row r="43" customFormat="false" ht="15" hidden="false" customHeight="true" outlineLevel="0" collapsed="false">
      <c r="A43" s="1" t="n">
        <v>2039</v>
      </c>
      <c r="B43" s="1" t="n">
        <f aca="false">B42*(1+C43/100)</f>
        <v>71.3040616392143</v>
      </c>
      <c r="C43" s="1" t="n">
        <v>7.2</v>
      </c>
    </row>
    <row r="44" customFormat="false" ht="15" hidden="false" customHeight="true" outlineLevel="0" collapsed="false">
      <c r="A44" s="1" t="n">
        <v>2040</v>
      </c>
      <c r="B44" s="1" t="n">
        <f aca="false">B43*(1+C44/100)</f>
        <v>76.4379540772378</v>
      </c>
      <c r="C44" s="1" t="n">
        <v>7.2</v>
      </c>
    </row>
    <row r="45" customFormat="false" ht="15" hidden="false" customHeight="true" outlineLevel="0" collapsed="false">
      <c r="A45" s="1" t="n">
        <v>2041</v>
      </c>
      <c r="B45" s="1" t="n">
        <f aca="false">B44*(1+C45/100)</f>
        <v>81.9414867707989</v>
      </c>
      <c r="C45" s="1" t="n">
        <v>7.2</v>
      </c>
    </row>
    <row r="46" customFormat="false" ht="15" hidden="false" customHeight="true" outlineLevel="0" collapsed="false">
      <c r="A46" s="1" t="n">
        <v>2042</v>
      </c>
      <c r="B46" s="1" t="n">
        <f aca="false">B45*(1+C46/100)</f>
        <v>87.8412738182964</v>
      </c>
      <c r="C46" s="1" t="n">
        <v>7.2</v>
      </c>
    </row>
    <row r="47" customFormat="false" ht="15" hidden="false" customHeight="true" outlineLevel="0" collapsed="false">
      <c r="A47" s="1" t="n">
        <v>2043</v>
      </c>
      <c r="B47" s="1" t="n">
        <f aca="false">B46*(1+C47/100)</f>
        <v>94.1658455332137</v>
      </c>
      <c r="C47" s="1" t="n">
        <v>7.2</v>
      </c>
    </row>
    <row r="57" customFormat="false" ht="15" hidden="false" customHeight="true" outlineLevel="0" collapsed="false">
      <c r="A57" s="8" t="s">
        <v>30</v>
      </c>
    </row>
    <row r="58" customFormat="false" ht="15" hidden="false" customHeight="true" outlineLevel="0" collapsed="false">
      <c r="A58" s="8" t="s">
        <v>31</v>
      </c>
    </row>
  </sheetData>
  <printOptions headings="false" gridLines="false" gridLinesSet="true" horizontalCentered="false" verticalCentered="false"/>
  <pageMargins left="0.5" right="0.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25"/>
    <col collapsed="false" customWidth="true" hidden="false" outlineLevel="0" max="4" min="4" style="1" width="20"/>
  </cols>
  <sheetData>
    <row r="1" customFormat="false" ht="15" hidden="false" customHeight="true" outlineLevel="0" collapsed="false">
      <c r="A1" s="7" t="s">
        <v>32</v>
      </c>
    </row>
    <row r="3" customFormat="false" ht="15" hidden="false" customHeight="true" outlineLevel="0" collapsed="false">
      <c r="A3" s="1" t="s">
        <v>27</v>
      </c>
      <c r="B3" s="1" t="s">
        <v>33</v>
      </c>
      <c r="C3" s="1" t="s">
        <v>34</v>
      </c>
      <c r="D3" s="1" t="s">
        <v>35</v>
      </c>
    </row>
    <row r="4" customFormat="false" ht="15" hidden="false" customHeight="true" outlineLevel="0" collapsed="false">
      <c r="A4" s="1" t="n">
        <v>2000</v>
      </c>
      <c r="B4" s="1" t="n">
        <v>45000</v>
      </c>
      <c r="C4" s="1" t="n">
        <f aca="false">VLOOKUP(2000,WEO_Data!$A$4:$B$56,2,FALSE())</f>
        <v>6.37</v>
      </c>
      <c r="D4" s="1" t="n">
        <v>0.035</v>
      </c>
    </row>
    <row r="5" customFormat="false" ht="15" hidden="false" customHeight="true" outlineLevel="0" collapsed="false">
      <c r="A5" s="1" t="n">
        <v>2001</v>
      </c>
      <c r="B5" s="1" t="n">
        <v>46500</v>
      </c>
      <c r="C5" s="1" t="n">
        <f aca="false">VLOOKUP(2001,WEO_Data!$A$4:$B$56,2,FALSE())</f>
        <v>6.67</v>
      </c>
      <c r="D5" s="1" t="n">
        <v>0.035</v>
      </c>
    </row>
    <row r="6" customFormat="false" ht="15" hidden="false" customHeight="true" outlineLevel="0" collapsed="false">
      <c r="A6" s="1" t="n">
        <v>2002</v>
      </c>
      <c r="B6" s="1" t="n">
        <v>48000</v>
      </c>
      <c r="C6" s="1" t="n">
        <f aca="false">VLOOKUP(2002,WEO_Data!$A$4:$B$56,2,FALSE())</f>
        <v>7.04</v>
      </c>
      <c r="D6" s="1" t="n">
        <v>0.035</v>
      </c>
    </row>
    <row r="7" customFormat="false" ht="15" hidden="false" customHeight="true" outlineLevel="0" collapsed="false">
      <c r="A7" s="1" t="n">
        <v>2003</v>
      </c>
      <c r="B7" s="1" t="n">
        <v>50000</v>
      </c>
      <c r="C7" s="1" t="n">
        <f aca="false">VLOOKUP(2003,WEO_Data!$A$4:$B$56,2,FALSE())</f>
        <v>7.81</v>
      </c>
      <c r="D7" s="1" t="n">
        <v>0.035</v>
      </c>
    </row>
    <row r="8" customFormat="false" ht="15" hidden="false" customHeight="true" outlineLevel="0" collapsed="false">
      <c r="A8" s="1" t="n">
        <v>2004</v>
      </c>
      <c r="B8" s="1" t="n">
        <v>52000</v>
      </c>
      <c r="C8" s="1" t="n">
        <f aca="false">VLOOKUP(2004,WEO_Data!$A$4:$B$56,2,FALSE())</f>
        <v>8.27</v>
      </c>
      <c r="D8" s="1" t="n">
        <v>0.035</v>
      </c>
    </row>
    <row r="9" customFormat="false" ht="15" hidden="false" customHeight="true" outlineLevel="0" collapsed="false">
      <c r="A9" s="1" t="n">
        <v>2005</v>
      </c>
      <c r="B9" s="1" t="n">
        <v>54000</v>
      </c>
      <c r="C9" s="1" t="n">
        <f aca="false">VLOOKUP(2005,WEO_Data!$A$4:$B$56,2,FALSE())</f>
        <v>9.06</v>
      </c>
      <c r="D9" s="1" t="n">
        <v>0.035</v>
      </c>
    </row>
    <row r="10" customFormat="false" ht="15" hidden="false" customHeight="true" outlineLevel="0" collapsed="false">
      <c r="A10" s="1" t="n">
        <v>2006</v>
      </c>
      <c r="B10" s="1" t="n">
        <v>56500</v>
      </c>
      <c r="C10" s="1" t="n">
        <f aca="false">VLOOKUP(2006,WEO_Data!$A$4:$B$56,2,FALSE())</f>
        <v>9.91</v>
      </c>
      <c r="D10" s="1" t="n">
        <v>0.035</v>
      </c>
    </row>
    <row r="11" customFormat="false" ht="15" hidden="false" customHeight="true" outlineLevel="0" collapsed="false">
      <c r="A11" s="1" t="n">
        <v>2007</v>
      </c>
      <c r="B11" s="1" t="n">
        <v>59000</v>
      </c>
      <c r="C11" s="1" t="n">
        <f aca="false">VLOOKUP(2007,WEO_Data!$A$4:$B$56,2,FALSE())</f>
        <v>11.16</v>
      </c>
      <c r="D11" s="1" t="n">
        <v>0.035</v>
      </c>
    </row>
    <row r="12" customFormat="false" ht="15" hidden="false" customHeight="true" outlineLevel="0" collapsed="false">
      <c r="A12" s="1" t="n">
        <v>2008</v>
      </c>
      <c r="B12" s="1" t="n">
        <v>60000</v>
      </c>
      <c r="C12" s="1" t="n">
        <f aca="false">VLOOKUP(2008,WEO_Data!$A$4:$B$56,2,FALSE())</f>
        <v>11.43</v>
      </c>
      <c r="D12" s="1" t="n">
        <v>0.035</v>
      </c>
    </row>
    <row r="13" customFormat="false" ht="15" hidden="false" customHeight="true" outlineLevel="0" collapsed="false">
      <c r="A13" s="1" t="n">
        <v>2009</v>
      </c>
      <c r="B13" s="1" t="n">
        <v>59000</v>
      </c>
      <c r="C13" s="1" t="n">
        <f aca="false">VLOOKUP(2009,WEO_Data!$A$4:$B$56,2,FALSE())</f>
        <v>11.01</v>
      </c>
      <c r="D13" s="1" t="n">
        <v>0.035</v>
      </c>
    </row>
    <row r="14" customFormat="false" ht="15" hidden="false" customHeight="true" outlineLevel="0" collapsed="false">
      <c r="A14" s="1" t="n">
        <v>2010</v>
      </c>
      <c r="B14" s="1" t="n">
        <v>60500</v>
      </c>
      <c r="C14" s="1" t="n">
        <f aca="false">VLOOKUP(2010,WEO_Data!$A$4:$B$56,2,FALSE())</f>
        <v>11.7</v>
      </c>
      <c r="D14" s="1" t="n">
        <v>0.035</v>
      </c>
    </row>
    <row r="15" customFormat="false" ht="15" hidden="false" customHeight="true" outlineLevel="0" collapsed="false">
      <c r="A15" s="1" t="n">
        <v>2011</v>
      </c>
      <c r="B15" s="1" t="n">
        <v>62000</v>
      </c>
      <c r="C15" s="1" t="n">
        <f aca="false">VLOOKUP(2011,WEO_Data!$A$4:$B$56,2,FALSE())</f>
        <v>12.63</v>
      </c>
      <c r="D15" s="1" t="n">
        <v>0.035</v>
      </c>
    </row>
    <row r="16" customFormat="false" ht="15" hidden="false" customHeight="true" outlineLevel="0" collapsed="false">
      <c r="A16" s="1" t="n">
        <v>2012</v>
      </c>
      <c r="B16" s="1" t="n">
        <v>63500</v>
      </c>
      <c r="C16" s="1" t="n">
        <f aca="false">VLOOKUP(2012,WEO_Data!$A$4:$B$56,2,FALSE())</f>
        <v>13.46</v>
      </c>
      <c r="D16" s="1" t="n">
        <v>0.035</v>
      </c>
    </row>
    <row r="17" customFormat="false" ht="15" hidden="false" customHeight="true" outlineLevel="0" collapsed="false">
      <c r="A17" s="1" t="n">
        <v>2013</v>
      </c>
      <c r="B17" s="1" t="n">
        <v>65000</v>
      </c>
      <c r="C17" s="1" t="n">
        <f aca="false">VLOOKUP(2013,WEO_Data!$A$4:$B$56,2,FALSE())</f>
        <v>14.15</v>
      </c>
      <c r="D17" s="1" t="n">
        <v>0.035</v>
      </c>
    </row>
    <row r="18" customFormat="false" ht="15" hidden="false" customHeight="true" outlineLevel="0" collapsed="false">
      <c r="A18" s="1" t="n">
        <v>2014</v>
      </c>
      <c r="B18" s="1" t="n">
        <v>66500</v>
      </c>
      <c r="C18" s="1" t="n">
        <f aca="false">VLOOKUP(2014,WEO_Data!$A$4:$B$56,2,FALSE())</f>
        <v>14.73</v>
      </c>
      <c r="D18" s="1" t="n">
        <v>0.035</v>
      </c>
    </row>
    <row r="19" customFormat="false" ht="15" hidden="false" customHeight="true" outlineLevel="0" collapsed="false">
      <c r="A19" s="1" t="n">
        <v>2015</v>
      </c>
      <c r="B19" s="1" t="n">
        <v>53396.74</v>
      </c>
      <c r="C19" s="1" t="n">
        <f aca="false">VLOOKUP(2015,WEO_Data!$A$4:$B$56,2,FALSE())</f>
        <v>15.22</v>
      </c>
      <c r="D19" s="1" t="n">
        <v>0.035</v>
      </c>
    </row>
    <row r="20" customFormat="false" ht="15" hidden="false" customHeight="true" outlineLevel="0" collapsed="false">
      <c r="A20" s="1" t="n">
        <v>2016</v>
      </c>
      <c r="B20" s="1" t="n">
        <v>54948.36</v>
      </c>
      <c r="C20" s="1" t="n">
        <f aca="false">VLOOKUP(2016,WEO_Data!$A$4:$B$56,2,FALSE())</f>
        <v>15.75</v>
      </c>
      <c r="D20" s="1" t="n">
        <v>0.035</v>
      </c>
    </row>
    <row r="21" customFormat="false" ht="15" hidden="false" customHeight="true" outlineLevel="0" collapsed="false">
      <c r="A21" s="1" t="n">
        <v>2017</v>
      </c>
      <c r="B21" s="1" t="n">
        <v>57609.71</v>
      </c>
      <c r="C21" s="1" t="n">
        <f aca="false">VLOOKUP(2017,WEO_Data!$A$4:$B$56,2,FALSE())</f>
        <v>16.56</v>
      </c>
      <c r="D21" s="1" t="n">
        <v>0.035</v>
      </c>
    </row>
    <row r="22" customFormat="false" ht="15" hidden="false" customHeight="true" outlineLevel="0" collapsed="false">
      <c r="A22" s="1" t="n">
        <v>2018</v>
      </c>
      <c r="B22" s="1" t="n">
        <v>60399.59</v>
      </c>
      <c r="C22" s="1" t="n">
        <f aca="false">VLOOKUP(2018,WEO_Data!$A$4:$B$56,2,FALSE())</f>
        <v>17.57</v>
      </c>
      <c r="D22" s="1" t="n">
        <v>0.035</v>
      </c>
    </row>
    <row r="23" customFormat="false" ht="15" hidden="false" customHeight="true" outlineLevel="0" collapsed="false">
      <c r="A23" s="1" t="n">
        <v>2019</v>
      </c>
      <c r="B23" s="1" t="n">
        <v>63508.82</v>
      </c>
      <c r="C23" s="1" t="n">
        <f aca="false">VLOOKUP(2019,WEO_Data!$A$4:$B$56,2,FALSE())</f>
        <v>18.51</v>
      </c>
      <c r="D23" s="1" t="n">
        <v>0.035</v>
      </c>
    </row>
    <row r="24" customFormat="false" ht="15" hidden="false" customHeight="true" outlineLevel="0" collapsed="false">
      <c r="A24" s="1" t="n">
        <v>2020</v>
      </c>
      <c r="B24" s="1" t="n">
        <v>65400</v>
      </c>
      <c r="C24" s="1" t="n">
        <f aca="false">VLOOKUP(2020,WEO_Data!$A$4:$B$56,2,FALSE())</f>
        <v>17.35</v>
      </c>
      <c r="D24" s="1" t="n">
        <v>0.035</v>
      </c>
    </row>
    <row r="25" customFormat="false" ht="15" hidden="false" customHeight="true" outlineLevel="0" collapsed="false">
      <c r="A25" s="1" t="n">
        <v>2021</v>
      </c>
      <c r="B25" s="1" t="n">
        <v>67300</v>
      </c>
      <c r="C25" s="1" t="n">
        <f aca="false">VLOOKUP(2021,WEO_Data!$A$4:$B$56,2,FALSE())</f>
        <v>19.19</v>
      </c>
      <c r="D25" s="1" t="n">
        <v>0.035</v>
      </c>
    </row>
    <row r="26" customFormat="false" ht="15" hidden="false" customHeight="true" outlineLevel="0" collapsed="false">
      <c r="A26" s="1" t="n">
        <v>2022</v>
      </c>
      <c r="B26" s="1" t="n">
        <v>69500</v>
      </c>
      <c r="C26" s="1" t="n">
        <f aca="false">VLOOKUP(2022,WEO_Data!$A$4:$B$56,2,FALSE())</f>
        <v>21.3</v>
      </c>
      <c r="D26" s="1" t="n">
        <v>0.035</v>
      </c>
    </row>
    <row r="27" customFormat="false" ht="15" hidden="false" customHeight="true" outlineLevel="0" collapsed="false">
      <c r="A27" s="1" t="n">
        <v>2023</v>
      </c>
      <c r="B27" s="1" t="n">
        <v>71900</v>
      </c>
      <c r="C27" s="1" t="n">
        <f aca="false">VLOOKUP(2023,WEO_Data!$A$4:$B$56,2,FALSE())</f>
        <v>22.96</v>
      </c>
      <c r="D27" s="1" t="n">
        <v>0.035</v>
      </c>
    </row>
    <row r="30" customFormat="false" ht="15" hidden="false" customHeight="true" outlineLevel="0" collapsed="false">
      <c r="B30" s="1" t="n">
        <f aca="false">AVERAGE(D4:D11)</f>
        <v>0.035</v>
      </c>
      <c r="C30" s="1" t="n">
        <f aca="false">AVERAGE(D4:D11)</f>
        <v>0.035</v>
      </c>
    </row>
    <row r="32" customFormat="false" ht="15" hidden="false" customHeight="true" outlineLevel="0" collapsed="false">
      <c r="B32" s="1" t="s">
        <v>36</v>
      </c>
      <c r="C32" s="1" t="n">
        <f aca="false">AVERAGE(D4:D11)</f>
        <v>0.035</v>
      </c>
    </row>
    <row r="33" customFormat="false" ht="15" hidden="false" customHeight="true" outlineLevel="0" collapsed="false">
      <c r="B33" s="1" t="s">
        <v>37</v>
      </c>
      <c r="C33" s="1" t="n">
        <f aca="false">C32*100</f>
        <v>3.5</v>
      </c>
    </row>
    <row r="35" customFormat="false" ht="15" hidden="false" customHeight="true" outlineLevel="0" collapsed="false">
      <c r="B35" s="3" t="s">
        <v>38</v>
      </c>
    </row>
    <row r="36" customFormat="false" ht="15" hidden="false" customHeight="true" outlineLevel="0" collapsed="false">
      <c r="B36" s="1" t="s">
        <v>39</v>
      </c>
      <c r="C36" s="1" t="n">
        <v>8</v>
      </c>
    </row>
    <row r="37" customFormat="false" ht="15" hidden="false" customHeight="true" outlineLevel="0" collapsed="false">
      <c r="B37" s="1" t="s">
        <v>40</v>
      </c>
      <c r="C37" s="1" t="n">
        <v>6.5</v>
      </c>
    </row>
    <row r="38" customFormat="false" ht="15" hidden="false" customHeight="true" outlineLevel="0" collapsed="false">
      <c r="B38" s="1" t="s">
        <v>41</v>
      </c>
      <c r="C38" s="1" t="n">
        <v>0.3</v>
      </c>
    </row>
  </sheetData>
  <printOptions headings="false" gridLines="false" gridLinesSet="true" horizontalCentered="false" verticalCentered="false"/>
  <pageMargins left="0.5" right="0.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5"/>
  </cols>
  <sheetData>
    <row r="1" customFormat="false" ht="15" hidden="false" customHeight="true" outlineLevel="0" collapsed="false">
      <c r="A1" s="7" t="s">
        <v>42</v>
      </c>
    </row>
    <row r="3" customFormat="false" ht="15" hidden="false" customHeight="true" outlineLevel="0" collapsed="false">
      <c r="A3" s="1" t="s">
        <v>27</v>
      </c>
      <c r="B3" s="1" t="s">
        <v>43</v>
      </c>
    </row>
    <row r="4" customFormat="false" ht="15" hidden="false" customHeight="true" outlineLevel="0" collapsed="false">
      <c r="A4" s="1" t="s">
        <v>27</v>
      </c>
      <c r="B4" s="1" t="s">
        <v>43</v>
      </c>
    </row>
    <row r="5" customFormat="false" ht="15" hidden="false" customHeight="true" outlineLevel="0" collapsed="false">
      <c r="A5" s="1" t="n">
        <v>2026</v>
      </c>
      <c r="B5" s="9" t="n">
        <v>0.8125</v>
      </c>
    </row>
    <row r="6" customFormat="false" ht="15" hidden="false" customHeight="true" outlineLevel="0" collapsed="false">
      <c r="A6" s="1" t="n">
        <v>2027</v>
      </c>
      <c r="B6" s="9" t="n">
        <v>0.8125</v>
      </c>
    </row>
    <row r="7" customFormat="false" ht="15" hidden="false" customHeight="true" outlineLevel="0" collapsed="false">
      <c r="A7" s="1" t="n">
        <v>2028</v>
      </c>
      <c r="B7" s="9" t="n">
        <v>0.8125</v>
      </c>
    </row>
    <row r="8" customFormat="false" ht="15" hidden="false" customHeight="true" outlineLevel="0" collapsed="false">
      <c r="A8" s="1" t="n">
        <v>2029</v>
      </c>
      <c r="B8" s="9" t="n">
        <v>0.8125</v>
      </c>
    </row>
    <row r="9" customFormat="false" ht="15" hidden="false" customHeight="true" outlineLevel="0" collapsed="false">
      <c r="A9" s="1" t="n">
        <v>2030</v>
      </c>
      <c r="B9" s="9" t="n">
        <v>0.8125</v>
      </c>
    </row>
    <row r="10" customFormat="false" ht="15" hidden="false" customHeight="true" outlineLevel="0" collapsed="false">
      <c r="A10" s="1" t="n">
        <v>2031</v>
      </c>
      <c r="B10" s="9" t="n">
        <v>0.8125</v>
      </c>
    </row>
    <row r="11" customFormat="false" ht="15" hidden="false" customHeight="true" outlineLevel="0" collapsed="false">
      <c r="A11" s="1" t="n">
        <v>2032</v>
      </c>
      <c r="B11" s="9" t="n">
        <v>0.8125</v>
      </c>
    </row>
    <row r="12" customFormat="false" ht="15" hidden="false" customHeight="true" outlineLevel="0" collapsed="false">
      <c r="A12" s="1" t="n">
        <v>2033</v>
      </c>
      <c r="B12" s="9" t="n">
        <v>0.8125</v>
      </c>
    </row>
    <row r="13" customFormat="false" ht="15" hidden="false" customHeight="true" outlineLevel="0" collapsed="false">
      <c r="A13" s="1" t="s">
        <v>44</v>
      </c>
      <c r="B13" s="4" t="n">
        <f aca="false">SUM(B5:B12)</f>
        <v>6.5</v>
      </c>
    </row>
  </sheetData>
  <printOptions headings="false" gridLines="false" gridLinesSet="true" horizontalCentered="false" verticalCentered="false"/>
  <pageMargins left="0.5" right="0.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13" min="2" style="1" width="14"/>
    <col collapsed="false" customWidth="true" hidden="false" outlineLevel="0" max="16" min="16" style="1" width="14"/>
  </cols>
  <sheetData>
    <row r="1" customFormat="false" ht="15" hidden="false" customHeight="true" outlineLevel="0" collapsed="false">
      <c r="A1" s="7" t="s">
        <v>45</v>
      </c>
      <c r="K1" s="10" t="s">
        <v>46</v>
      </c>
    </row>
    <row r="2" customFormat="false" ht="15" hidden="false" customHeight="true" outlineLevel="0" collapsed="false">
      <c r="K2" s="8" t="s">
        <v>47</v>
      </c>
    </row>
    <row r="3" customFormat="false" ht="15" hidden="false" customHeight="true" outlineLevel="0" collapsed="false">
      <c r="A3" s="1" t="s">
        <v>8</v>
      </c>
      <c r="B3" s="11" t="n">
        <f aca="false">CFC_data!C32</f>
        <v>0.035</v>
      </c>
      <c r="K3" s="1" t="s">
        <v>7</v>
      </c>
      <c r="L3" s="11" t="n">
        <v>0.3</v>
      </c>
      <c r="P3" s="1" t="s">
        <v>48</v>
      </c>
    </row>
    <row r="5" customFormat="false" ht="15" hidden="false" customHeight="true" outlineLevel="0" collapsed="false">
      <c r="A5" s="1" t="s">
        <v>27</v>
      </c>
      <c r="B5" s="1" t="s">
        <v>23</v>
      </c>
      <c r="C5" s="1" t="s">
        <v>49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54</v>
      </c>
      <c r="I5" s="1" t="s">
        <v>55</v>
      </c>
      <c r="K5" s="1" t="s">
        <v>56</v>
      </c>
      <c r="L5" s="1" t="s">
        <v>57</v>
      </c>
      <c r="M5" s="1" t="s">
        <v>58</v>
      </c>
      <c r="N5" s="1" t="n">
        <f aca="false">SUMPRODUCT(L6:L27^2)</f>
        <v>2560000</v>
      </c>
      <c r="P5" s="1" t="n">
        <f aca="false">SUMPRODUCT(I6:I29,I6:I29)+$L$3*SUMPRODUCT(H8:H29,H8:H29)</f>
        <v>0.0225347563164546</v>
      </c>
    </row>
    <row r="6" customFormat="false" ht="15" hidden="false" customHeight="true" outlineLevel="0" collapsed="false">
      <c r="A6" s="1" t="n">
        <v>2000</v>
      </c>
      <c r="B6" s="4" t="n">
        <f aca="false">CFC_data!B4</f>
        <v>45000</v>
      </c>
      <c r="C6" s="4" t="n">
        <f aca="false">CFC_data!C4</f>
        <v>6.37</v>
      </c>
      <c r="D6" s="5" t="n">
        <f aca="false">IF(B6&gt;0,LN(B6),"")</f>
        <v>10.7144177687525</v>
      </c>
      <c r="E6" s="5" t="n">
        <f aca="false">IF(C6&gt;0,LN(C6),"")</f>
        <v>1.85159946958407</v>
      </c>
      <c r="F6" s="4" t="n">
        <f aca="false">IF(AND(D6&lt;&gt;"",E6&lt;&gt;""),E6-0.3*D6,"")</f>
        <v>-1.36272586104166</v>
      </c>
      <c r="G6" s="4" t="n">
        <f aca="false">F6</f>
        <v>-1.36272586104166</v>
      </c>
      <c r="H6" s="4"/>
      <c r="I6" s="4" t="n">
        <f aca="false">F6-G6</f>
        <v>0</v>
      </c>
      <c r="J6" s="4"/>
      <c r="K6" s="4" t="s">
        <v>59</v>
      </c>
      <c r="L6" s="5" t="n">
        <v>1600</v>
      </c>
    </row>
    <row r="7" customFormat="false" ht="15" hidden="false" customHeight="true" outlineLevel="0" collapsed="false">
      <c r="A7" s="1" t="n">
        <v>2001</v>
      </c>
      <c r="B7" s="4" t="n">
        <f aca="false">CFC_data!B5</f>
        <v>46500</v>
      </c>
      <c r="C7" s="4" t="n">
        <f aca="false">CFC_data!C5</f>
        <v>6.67</v>
      </c>
      <c r="D7" s="5" t="n">
        <f aca="false">IF(B7&gt;0,LN(B7),"")</f>
        <v>10.7472075915754</v>
      </c>
      <c r="E7" s="5" t="n">
        <f aca="false">IF(C7&gt;0,LN(C7),"")</f>
        <v>1.89761985992753</v>
      </c>
      <c r="F7" s="4" t="n">
        <f aca="false">IF(AND(D7&lt;&gt;"",E7&lt;&gt;""),E7-0.3*D7,"")</f>
        <v>-1.3265424175451</v>
      </c>
      <c r="G7" s="4" t="n">
        <f aca="false">F7</f>
        <v>-1.3265424175451</v>
      </c>
      <c r="H7" s="4"/>
      <c r="I7" s="4" t="n">
        <f aca="false">F7-G7</f>
        <v>0</v>
      </c>
      <c r="J7" s="4"/>
      <c r="K7" s="4"/>
      <c r="L7" s="5"/>
    </row>
    <row r="8" customFormat="false" ht="15" hidden="false" customHeight="true" outlineLevel="0" collapsed="false">
      <c r="A8" s="1" t="n">
        <v>2002</v>
      </c>
      <c r="B8" s="4" t="n">
        <f aca="false">CFC_data!B6</f>
        <v>48000</v>
      </c>
      <c r="C8" s="4" t="n">
        <f aca="false">CFC_data!C6</f>
        <v>7.04</v>
      </c>
      <c r="D8" s="5" t="n">
        <f aca="false">IF(B8&gt;0,LN(B8),"")</f>
        <v>10.77895628989</v>
      </c>
      <c r="E8" s="5" t="n">
        <f aca="false">IF(C8&gt;0,LN(C8),"")</f>
        <v>1.95160817016995</v>
      </c>
      <c r="F8" s="4" t="n">
        <f aca="false">IF(AND(D8&lt;&gt;"",E8&lt;&gt;""),E8-0.3*D8,"")</f>
        <v>-1.28207871679706</v>
      </c>
      <c r="G8" s="4" t="n">
        <f aca="false">F8</f>
        <v>-1.28207871679706</v>
      </c>
      <c r="H8" s="4" t="n">
        <f aca="false">G8-2*G7+G6</f>
        <v>0.0082802572514824</v>
      </c>
      <c r="I8" s="4" t="n">
        <f aca="false">F8-G8</f>
        <v>0</v>
      </c>
      <c r="J8" s="4"/>
      <c r="K8" s="4"/>
      <c r="L8" s="5"/>
    </row>
    <row r="9" customFormat="false" ht="15" hidden="false" customHeight="true" outlineLevel="0" collapsed="false">
      <c r="A9" s="1" t="n">
        <v>2003</v>
      </c>
      <c r="B9" s="4" t="n">
        <f aca="false">CFC_data!B7</f>
        <v>50000</v>
      </c>
      <c r="C9" s="4" t="n">
        <f aca="false">CFC_data!C7</f>
        <v>7.81</v>
      </c>
      <c r="D9" s="5" t="n">
        <f aca="false">IF(B9&gt;0,LN(B9),"")</f>
        <v>10.8197782844103</v>
      </c>
      <c r="E9" s="5" t="n">
        <f aca="false">IF(C9&gt;0,LN(C9),"")</f>
        <v>2.05540496385159</v>
      </c>
      <c r="F9" s="4" t="n">
        <f aca="false">IF(AND(D9&lt;&gt;"",E9&lt;&gt;""),E9-0.3*D9,"")</f>
        <v>-1.19052852147149</v>
      </c>
      <c r="G9" s="4" t="n">
        <f aca="false">F9</f>
        <v>-1.19052852147149</v>
      </c>
      <c r="H9" s="4" t="n">
        <f aca="false">G9-2*G8+G7</f>
        <v>0.0470864945775225</v>
      </c>
      <c r="I9" s="4" t="n">
        <f aca="false">F9-G9</f>
        <v>0</v>
      </c>
      <c r="J9" s="4"/>
      <c r="K9" s="4"/>
      <c r="L9" s="5"/>
    </row>
    <row r="10" customFormat="false" ht="15" hidden="false" customHeight="true" outlineLevel="0" collapsed="false">
      <c r="A10" s="1" t="n">
        <v>2004</v>
      </c>
      <c r="B10" s="4" t="n">
        <f aca="false">CFC_data!B8</f>
        <v>52000</v>
      </c>
      <c r="C10" s="4" t="n">
        <f aca="false">CFC_data!C8</f>
        <v>8.27</v>
      </c>
      <c r="D10" s="5" t="n">
        <f aca="false">IF(B10&gt;0,LN(B10),"")</f>
        <v>10.8589989975636</v>
      </c>
      <c r="E10" s="5" t="n">
        <f aca="false">IF(C10&gt;0,LN(C10),"")</f>
        <v>2.1126345090356</v>
      </c>
      <c r="F10" s="4" t="n">
        <f aca="false">IF(AND(D10&lt;&gt;"",E10&lt;&gt;""),E10-0.3*D10,"")</f>
        <v>-1.14506519023347</v>
      </c>
      <c r="G10" s="4" t="n">
        <f aca="false">F10</f>
        <v>-1.14506519023347</v>
      </c>
      <c r="H10" s="4" t="n">
        <f aca="false">G10-2*G9+G8</f>
        <v>-0.0460868640875465</v>
      </c>
      <c r="I10" s="4" t="n">
        <f aca="false">F10-G10</f>
        <v>0</v>
      </c>
      <c r="J10" s="4"/>
      <c r="K10" s="4"/>
      <c r="L10" s="5"/>
    </row>
    <row r="11" customFormat="false" ht="15" hidden="false" customHeight="true" outlineLevel="0" collapsed="false">
      <c r="A11" s="1" t="n">
        <v>2005</v>
      </c>
      <c r="B11" s="4" t="n">
        <f aca="false">CFC_data!B9</f>
        <v>54000</v>
      </c>
      <c r="C11" s="4" t="n">
        <f aca="false">CFC_data!C9</f>
        <v>9.06</v>
      </c>
      <c r="D11" s="5" t="n">
        <f aca="false">IF(B11&gt;0,LN(B11),"")</f>
        <v>10.8967393255464</v>
      </c>
      <c r="E11" s="5" t="n">
        <f aca="false">IF(C11&gt;0,LN(C11),"")</f>
        <v>2.20386912005489</v>
      </c>
      <c r="F11" s="4" t="n">
        <f aca="false">IF(AND(D11&lt;&gt;"",E11&lt;&gt;""),E11-0.3*D11,"")</f>
        <v>-1.06515267760904</v>
      </c>
      <c r="G11" s="4" t="n">
        <f aca="false">F11</f>
        <v>-1.06515267760904</v>
      </c>
      <c r="H11" s="4" t="n">
        <f aca="false">G11-2*G10+G9</f>
        <v>0.034449181386413</v>
      </c>
      <c r="I11" s="4" t="n">
        <f aca="false">F11-G11</f>
        <v>0</v>
      </c>
      <c r="J11" s="4"/>
      <c r="K11" s="4"/>
      <c r="L11" s="5"/>
    </row>
    <row r="12" customFormat="false" ht="15" hidden="false" customHeight="true" outlineLevel="0" collapsed="false">
      <c r="A12" s="1" t="n">
        <v>2006</v>
      </c>
      <c r="B12" s="4" t="n">
        <f aca="false">CFC_data!B10</f>
        <v>56500</v>
      </c>
      <c r="C12" s="4" t="n">
        <f aca="false">CFC_data!C10</f>
        <v>9.91</v>
      </c>
      <c r="D12" s="5" t="n">
        <f aca="false">IF(B12&gt;0,LN(B12),"")</f>
        <v>10.9419959171345</v>
      </c>
      <c r="E12" s="5" t="n">
        <f aca="false">IF(C12&gt;0,LN(C12),"")</f>
        <v>2.2935443483419</v>
      </c>
      <c r="F12" s="4" t="n">
        <f aca="false">IF(AND(D12&lt;&gt;"",E12&lt;&gt;""),E12-0.3*D12,"")</f>
        <v>-0.989054426798463</v>
      </c>
      <c r="G12" s="4" t="n">
        <f aca="false">F12</f>
        <v>-0.989054426798463</v>
      </c>
      <c r="H12" s="4" t="n">
        <f aca="false">G12-2*G11+G10</f>
        <v>-0.00381426181386146</v>
      </c>
      <c r="I12" s="4" t="n">
        <f aca="false">F12-G12</f>
        <v>0</v>
      </c>
      <c r="J12" s="4"/>
      <c r="K12" s="4"/>
      <c r="L12" s="5"/>
    </row>
    <row r="13" customFormat="false" ht="15" hidden="false" customHeight="true" outlineLevel="0" collapsed="false">
      <c r="A13" s="1" t="n">
        <v>2007</v>
      </c>
      <c r="B13" s="4" t="n">
        <f aca="false">CFC_data!B11</f>
        <v>59000</v>
      </c>
      <c r="C13" s="4" t="n">
        <f aca="false">CFC_data!C11</f>
        <v>11.16</v>
      </c>
      <c r="D13" s="5" t="n">
        <f aca="false">IF(B13&gt;0,LN(B13),"")</f>
        <v>10.9852927228879</v>
      </c>
      <c r="E13" s="5" t="n">
        <f aca="false">IF(C13&gt;0,LN(C13),"")</f>
        <v>2.41233595695317</v>
      </c>
      <c r="F13" s="4" t="n">
        <f aca="false">IF(AND(D13&lt;&gt;"",E13&lt;&gt;""),E13-0.3*D13,"")</f>
        <v>-0.883251859913192</v>
      </c>
      <c r="G13" s="4" t="n">
        <f aca="false">F13</f>
        <v>-0.883251859913192</v>
      </c>
      <c r="H13" s="4" t="n">
        <f aca="false">G13-2*G12+G11</f>
        <v>0.029704316074699</v>
      </c>
      <c r="I13" s="4" t="n">
        <f aca="false">F13-G13</f>
        <v>0</v>
      </c>
      <c r="J13" s="4"/>
      <c r="K13" s="4"/>
      <c r="L13" s="5"/>
    </row>
    <row r="14" customFormat="false" ht="15" hidden="false" customHeight="true" outlineLevel="0" collapsed="false">
      <c r="A14" s="1" t="n">
        <v>2008</v>
      </c>
      <c r="B14" s="4" t="n">
        <f aca="false">CFC_data!B12</f>
        <v>60000</v>
      </c>
      <c r="C14" s="4" t="n">
        <f aca="false">CFC_data!C12</f>
        <v>11.43</v>
      </c>
      <c r="D14" s="5" t="n">
        <f aca="false">IF(B14&gt;0,LN(B14),"")</f>
        <v>11.0020998412042</v>
      </c>
      <c r="E14" s="5" t="n">
        <f aca="false">IF(C14&gt;0,LN(C14),"")</f>
        <v>2.43624147780672</v>
      </c>
      <c r="F14" s="4" t="n">
        <f aca="false">IF(AND(D14&lt;&gt;"",E14&lt;&gt;""),E14-0.3*D14,"")</f>
        <v>-0.864388474554552</v>
      </c>
      <c r="G14" s="4" t="n">
        <f aca="false">F14</f>
        <v>-0.864388474554552</v>
      </c>
      <c r="H14" s="4" t="n">
        <f aca="false">G14-2*G13+G12</f>
        <v>-0.0869391815266316</v>
      </c>
      <c r="I14" s="4" t="n">
        <f aca="false">F14-G14</f>
        <v>0</v>
      </c>
      <c r="J14" s="4"/>
      <c r="K14" s="4"/>
      <c r="L14" s="5"/>
    </row>
    <row r="15" customFormat="false" ht="15" hidden="false" customHeight="true" outlineLevel="0" collapsed="false">
      <c r="A15" s="1" t="n">
        <v>2009</v>
      </c>
      <c r="B15" s="4" t="n">
        <f aca="false">CFC_data!B13</f>
        <v>59000</v>
      </c>
      <c r="C15" s="4" t="n">
        <f aca="false">CFC_data!C13</f>
        <v>11.01</v>
      </c>
      <c r="D15" s="5" t="n">
        <f aca="false">IF(B15&gt;0,LN(B15),"")</f>
        <v>10.9852927228879</v>
      </c>
      <c r="E15" s="5" t="n">
        <f aca="false">IF(C15&gt;0,LN(C15),"")</f>
        <v>2.39880395073459</v>
      </c>
      <c r="F15" s="4" t="n">
        <f aca="false">IF(AND(D15&lt;&gt;"",E15&lt;&gt;""),E15-0.3*D15,"")</f>
        <v>-0.896783866131768</v>
      </c>
      <c r="G15" s="4" t="n">
        <f aca="false">F15</f>
        <v>-0.896783866131768</v>
      </c>
      <c r="H15" s="4" t="n">
        <f aca="false">G15-2*G14+G13</f>
        <v>-0.0512587769358559</v>
      </c>
      <c r="I15" s="4" t="n">
        <f aca="false">F15-G15</f>
        <v>0</v>
      </c>
      <c r="J15" s="4"/>
      <c r="K15" s="4"/>
      <c r="L15" s="5"/>
    </row>
    <row r="16" customFormat="false" ht="15" hidden="false" customHeight="true" outlineLevel="0" collapsed="false">
      <c r="A16" s="1" t="n">
        <v>2010</v>
      </c>
      <c r="B16" s="4" t="n">
        <f aca="false">CFC_data!B14</f>
        <v>60500</v>
      </c>
      <c r="C16" s="4" t="n">
        <f aca="false">CFC_data!C14</f>
        <v>11.7</v>
      </c>
      <c r="D16" s="5" t="n">
        <f aca="false">IF(B16&gt;0,LN(B16),"")</f>
        <v>11.0103986440189</v>
      </c>
      <c r="E16" s="5" t="n">
        <f aca="false">IF(C16&gt;0,LN(C16),"")</f>
        <v>2.45958884180371</v>
      </c>
      <c r="F16" s="4" t="n">
        <f aca="false">IF(AND(D16&lt;&gt;"",E16&lt;&gt;""),E16-0.3*D16,"")</f>
        <v>-0.843530751401969</v>
      </c>
      <c r="G16" s="4" t="n">
        <f aca="false">F16</f>
        <v>-0.843530751401969</v>
      </c>
      <c r="H16" s="4" t="n">
        <f aca="false">G16-2*G15+G14</f>
        <v>0.0856485063070149</v>
      </c>
      <c r="I16" s="4" t="n">
        <f aca="false">F16-G16</f>
        <v>0</v>
      </c>
      <c r="J16" s="4"/>
      <c r="K16" s="4"/>
      <c r="L16" s="5"/>
    </row>
    <row r="17" customFormat="false" ht="15" hidden="false" customHeight="true" outlineLevel="0" collapsed="false">
      <c r="A17" s="1" t="n">
        <v>2011</v>
      </c>
      <c r="B17" s="4" t="n">
        <f aca="false">CFC_data!B15</f>
        <v>62000</v>
      </c>
      <c r="C17" s="4" t="n">
        <f aca="false">CFC_data!C15</f>
        <v>12.63</v>
      </c>
      <c r="D17" s="5" t="n">
        <f aca="false">IF(B17&gt;0,LN(B17),"")</f>
        <v>11.0348896640272</v>
      </c>
      <c r="E17" s="5" t="n">
        <f aca="false">IF(C17&gt;0,LN(C17),"")</f>
        <v>2.5360749363624</v>
      </c>
      <c r="F17" s="4" t="n">
        <f aca="false">IF(AND(D17&lt;&gt;"",E17&lt;&gt;""),E17-0.3*D17,"")</f>
        <v>-0.774391962845769</v>
      </c>
      <c r="G17" s="4" t="n">
        <f aca="false">F17</f>
        <v>-0.774391962845769</v>
      </c>
      <c r="H17" s="4" t="n">
        <f aca="false">G17-2*G16+G15</f>
        <v>0.0158856738264017</v>
      </c>
      <c r="I17" s="4" t="n">
        <f aca="false">F17-G17</f>
        <v>0</v>
      </c>
      <c r="J17" s="4"/>
      <c r="K17" s="4"/>
      <c r="L17" s="5"/>
    </row>
    <row r="18" customFormat="false" ht="15" hidden="false" customHeight="true" outlineLevel="0" collapsed="false">
      <c r="A18" s="1" t="n">
        <v>2012</v>
      </c>
      <c r="B18" s="4" t="n">
        <f aca="false">CFC_data!B16</f>
        <v>63500</v>
      </c>
      <c r="C18" s="4" t="n">
        <f aca="false">CFC_data!C16</f>
        <v>13.46</v>
      </c>
      <c r="D18" s="5" t="n">
        <f aca="false">IF(B18&gt;0,LN(B18),"")</f>
        <v>11.0587951848808</v>
      </c>
      <c r="E18" s="5" t="n">
        <f aca="false">IF(C18&gt;0,LN(C18),"")</f>
        <v>2.59972232421658</v>
      </c>
      <c r="F18" s="4" t="n">
        <f aca="false">IF(AND(D18&lt;&gt;"",E18&lt;&gt;""),E18-0.3*D18,"")</f>
        <v>-0.717916231247653</v>
      </c>
      <c r="G18" s="4" t="n">
        <f aca="false">F18</f>
        <v>-0.717916231247653</v>
      </c>
      <c r="H18" s="4" t="n">
        <f aca="false">G18-2*G17+G16</f>
        <v>-0.0126630569580843</v>
      </c>
      <c r="I18" s="4" t="n">
        <f aca="false">F18-G18</f>
        <v>0</v>
      </c>
      <c r="J18" s="4"/>
      <c r="K18" s="4"/>
      <c r="L18" s="5"/>
    </row>
    <row r="19" customFormat="false" ht="15" hidden="false" customHeight="true" outlineLevel="0" collapsed="false">
      <c r="A19" s="1" t="n">
        <v>2013</v>
      </c>
      <c r="B19" s="4" t="n">
        <f aca="false">CFC_data!B17</f>
        <v>65000</v>
      </c>
      <c r="C19" s="4" t="n">
        <f aca="false">CFC_data!C17</f>
        <v>14.15</v>
      </c>
      <c r="D19" s="5" t="n">
        <f aca="false">IF(B19&gt;0,LN(B19),"")</f>
        <v>11.0821425488778</v>
      </c>
      <c r="E19" s="5" t="n">
        <f aca="false">IF(C19&gt;0,LN(C19),"")</f>
        <v>2.64971462408925</v>
      </c>
      <c r="F19" s="4" t="n">
        <f aca="false">IF(AND(D19&lt;&gt;"",E19&lt;&gt;""),E19-0.3*D19,"")</f>
        <v>-0.674928140574085</v>
      </c>
      <c r="G19" s="4" t="n">
        <f aca="false">F19</f>
        <v>-0.674928140574085</v>
      </c>
      <c r="H19" s="4" t="n">
        <f aca="false">G19-2*G18+G17</f>
        <v>-0.0134876409245486</v>
      </c>
      <c r="I19" s="4" t="n">
        <f aca="false">F19-G19</f>
        <v>0</v>
      </c>
      <c r="J19" s="4"/>
      <c r="K19" s="4"/>
      <c r="L19" s="5"/>
    </row>
    <row r="20" customFormat="false" ht="15" hidden="false" customHeight="true" outlineLevel="0" collapsed="false">
      <c r="A20" s="1" t="n">
        <v>2014</v>
      </c>
      <c r="B20" s="4" t="n">
        <f aca="false">CFC_data!B18</f>
        <v>66500</v>
      </c>
      <c r="C20" s="4" t="n">
        <f aca="false">CFC_data!C18</f>
        <v>14.73</v>
      </c>
      <c r="D20" s="5" t="n">
        <f aca="false">IF(B20&gt;0,LN(B20),"")</f>
        <v>11.1049572266439</v>
      </c>
      <c r="E20" s="5" t="n">
        <f aca="false">IF(C20&gt;0,LN(C20),"")</f>
        <v>2.68988623047454</v>
      </c>
      <c r="F20" s="4" t="n">
        <f aca="false">IF(AND(D20&lt;&gt;"",E20&lt;&gt;""),E20-0.3*D20,"")</f>
        <v>-0.641600937518644</v>
      </c>
      <c r="G20" s="4" t="n">
        <f aca="false">F20</f>
        <v>-0.641600937518644</v>
      </c>
      <c r="H20" s="4" t="n">
        <f aca="false">G20-2*G19+G18</f>
        <v>-0.00966088761812678</v>
      </c>
      <c r="I20" s="4" t="n">
        <f aca="false">F20-G20</f>
        <v>0</v>
      </c>
      <c r="J20" s="4"/>
      <c r="K20" s="4"/>
      <c r="L20" s="5"/>
    </row>
    <row r="21" customFormat="false" ht="15" hidden="false" customHeight="true" outlineLevel="0" collapsed="false">
      <c r="A21" s="1" t="n">
        <v>2015</v>
      </c>
      <c r="B21" s="4" t="n">
        <f aca="false">CFC_data!B19</f>
        <v>53396.74</v>
      </c>
      <c r="C21" s="4" t="n">
        <f aca="false">CFC_data!C19</f>
        <v>15.22</v>
      </c>
      <c r="D21" s="5" t="n">
        <f aca="false">IF(B21&gt;0,LN(B21),"")</f>
        <v>10.8855049743956</v>
      </c>
      <c r="E21" s="5" t="n">
        <f aca="false">IF(C21&gt;0,LN(C21),"")</f>
        <v>2.72261035243354</v>
      </c>
      <c r="F21" s="4" t="n">
        <f aca="false">IF(AND(D21&lt;&gt;"",E21&lt;&gt;""),E21-0.3*D21,"")</f>
        <v>-0.54304113988514</v>
      </c>
      <c r="G21" s="4" t="n">
        <f aca="false">F21</f>
        <v>-0.54304113988514</v>
      </c>
      <c r="H21" s="4" t="n">
        <f aca="false">G21-2*G20+G19</f>
        <v>0.0652325945780636</v>
      </c>
      <c r="I21" s="4" t="n">
        <f aca="false">F21-G21</f>
        <v>0</v>
      </c>
      <c r="J21" s="4"/>
      <c r="K21" s="4"/>
      <c r="L21" s="5"/>
    </row>
    <row r="22" customFormat="false" ht="15" hidden="false" customHeight="true" outlineLevel="0" collapsed="false">
      <c r="A22" s="1" t="n">
        <v>2016</v>
      </c>
      <c r="B22" s="4" t="n">
        <f aca="false">CFC_data!B20</f>
        <v>54948.36</v>
      </c>
      <c r="C22" s="4" t="n">
        <f aca="false">CFC_data!C20</f>
        <v>15.75</v>
      </c>
      <c r="D22" s="5" t="n">
        <f aca="false">IF(B22&gt;0,LN(B22),"")</f>
        <v>10.9141491140725</v>
      </c>
      <c r="E22" s="5" t="n">
        <f aca="false">IF(C22&gt;0,LN(C22),"")</f>
        <v>2.75684036527164</v>
      </c>
      <c r="F22" s="4" t="n">
        <f aca="false">IF(AND(D22&lt;&gt;"",E22&lt;&gt;""),E22-0.3*D22,"")</f>
        <v>-0.517404368950097</v>
      </c>
      <c r="G22" s="4" t="n">
        <f aca="false">F22</f>
        <v>-0.517404368950097</v>
      </c>
      <c r="H22" s="4" t="n">
        <f aca="false">G22-2*G21+G20</f>
        <v>-0.0729230266984615</v>
      </c>
      <c r="I22" s="4" t="n">
        <f aca="false">F22-G22</f>
        <v>0</v>
      </c>
      <c r="J22" s="4"/>
      <c r="K22" s="4"/>
      <c r="L22" s="5"/>
    </row>
    <row r="23" customFormat="false" ht="15" hidden="false" customHeight="true" outlineLevel="0" collapsed="false">
      <c r="A23" s="1" t="n">
        <v>2017</v>
      </c>
      <c r="B23" s="4" t="n">
        <f aca="false">CFC_data!B21</f>
        <v>57609.71</v>
      </c>
      <c r="C23" s="4" t="n">
        <f aca="false">CFC_data!C21</f>
        <v>16.56</v>
      </c>
      <c r="D23" s="5" t="n">
        <f aca="false">IF(B23&gt;0,LN(B23),"")</f>
        <v>10.9614464088655</v>
      </c>
      <c r="E23" s="5" t="n">
        <f aca="false">IF(C23&gt;0,LN(C23),"")</f>
        <v>2.80699014895711</v>
      </c>
      <c r="F23" s="4" t="n">
        <f aca="false">IF(AND(D23&lt;&gt;"",E23&lt;&gt;""),E23-0.3*D23,"")</f>
        <v>-0.481443773702527</v>
      </c>
      <c r="G23" s="4" t="n">
        <f aca="false">F23</f>
        <v>-0.481443773702527</v>
      </c>
      <c r="H23" s="4" t="n">
        <f aca="false">G23-2*G22+G21</f>
        <v>0.0103238243125277</v>
      </c>
      <c r="I23" s="4" t="n">
        <f aca="false">F23-G23</f>
        <v>0</v>
      </c>
      <c r="J23" s="4"/>
      <c r="K23" s="4"/>
      <c r="L23" s="5"/>
    </row>
    <row r="24" customFormat="false" ht="15" hidden="false" customHeight="true" outlineLevel="0" collapsed="false">
      <c r="A24" s="1" t="n">
        <v>2018</v>
      </c>
      <c r="B24" s="4" t="n">
        <f aca="false">CFC_data!B22</f>
        <v>60399.59</v>
      </c>
      <c r="C24" s="4" t="n">
        <f aca="false">CFC_data!C22</f>
        <v>17.57</v>
      </c>
      <c r="D24" s="5" t="n">
        <f aca="false">IF(B24&gt;0,LN(B24),"")</f>
        <v>11.0087375958204</v>
      </c>
      <c r="E24" s="5" t="n">
        <f aca="false">IF(C24&gt;0,LN(C24),"")</f>
        <v>2.86619290219901</v>
      </c>
      <c r="F24" s="4" t="n">
        <f aca="false">IF(AND(D24&lt;&gt;"",E24&lt;&gt;""),E24-0.3*D24,"")</f>
        <v>-0.436428376547113</v>
      </c>
      <c r="G24" s="4" t="n">
        <f aca="false">F24</f>
        <v>-0.436428376547113</v>
      </c>
      <c r="H24" s="4" t="n">
        <f aca="false">G24-2*G23+G22</f>
        <v>0.00905480190784269</v>
      </c>
      <c r="I24" s="4" t="n">
        <f aca="false">F24-G24</f>
        <v>0</v>
      </c>
      <c r="J24" s="4"/>
      <c r="K24" s="4"/>
      <c r="L24" s="5"/>
    </row>
    <row r="25" customFormat="false" ht="15" hidden="false" customHeight="true" outlineLevel="0" collapsed="false">
      <c r="A25" s="1" t="n">
        <v>2019</v>
      </c>
      <c r="B25" s="4" t="n">
        <f aca="false">CFC_data!B23</f>
        <v>63508.82</v>
      </c>
      <c r="C25" s="4" t="n">
        <f aca="false">CFC_data!C23</f>
        <v>18.51</v>
      </c>
      <c r="D25" s="5" t="n">
        <f aca="false">IF(B25&gt;0,LN(B25),"")</f>
        <v>11.0589340728732</v>
      </c>
      <c r="E25" s="5" t="n">
        <f aca="false">IF(C25&gt;0,LN(C25),"")</f>
        <v>2.91831112658541</v>
      </c>
      <c r="F25" s="4" t="n">
        <f aca="false">IF(AND(D25&lt;&gt;"",E25&lt;&gt;""),E25-0.3*D25,"")</f>
        <v>-0.399369095276552</v>
      </c>
      <c r="G25" s="4" t="n">
        <f aca="false">F25</f>
        <v>-0.399369095276552</v>
      </c>
      <c r="H25" s="4" t="n">
        <f aca="false">G25-2*G24+G23</f>
        <v>-0.00795611588485201</v>
      </c>
      <c r="I25" s="4" t="n">
        <f aca="false">F25-G25</f>
        <v>0</v>
      </c>
      <c r="J25" s="4"/>
      <c r="K25" s="4"/>
      <c r="L25" s="5"/>
    </row>
    <row r="26" customFormat="false" ht="15" hidden="false" customHeight="true" outlineLevel="0" collapsed="false">
      <c r="A26" s="1" t="n">
        <v>2020</v>
      </c>
      <c r="B26" s="4" t="n">
        <f aca="false">CFC_data!B24</f>
        <v>65400</v>
      </c>
      <c r="C26" s="4" t="n">
        <f aca="false">CFC_data!C24</f>
        <v>17.35</v>
      </c>
      <c r="D26" s="5" t="n">
        <f aca="false">IF(B26&gt;0,LN(B26),"")</f>
        <v>11.0882775374453</v>
      </c>
      <c r="E26" s="5" t="n">
        <f aca="false">IF(C26&gt;0,LN(C26),"")</f>
        <v>2.85359250639287</v>
      </c>
      <c r="F26" s="4" t="n">
        <f aca="false">IF(AND(D26&lt;&gt;"",E26&lt;&gt;""),E26-0.3*D26,"")</f>
        <v>-0.472890754840718</v>
      </c>
      <c r="G26" s="4" t="n">
        <f aca="false">F26</f>
        <v>-0.472890754840718</v>
      </c>
      <c r="H26" s="4" t="n">
        <f aca="false">G26-2*G25+G24</f>
        <v>-0.110580940834728</v>
      </c>
      <c r="I26" s="4" t="n">
        <f aca="false">F26-G26</f>
        <v>0</v>
      </c>
      <c r="J26" s="4"/>
      <c r="K26" s="4"/>
      <c r="L26" s="5"/>
    </row>
    <row r="27" customFormat="false" ht="15" hidden="false" customHeight="true" outlineLevel="0" collapsed="false">
      <c r="A27" s="1" t="n">
        <v>2021</v>
      </c>
      <c r="B27" s="4" t="n">
        <f aca="false">CFC_data!B25</f>
        <v>67300</v>
      </c>
      <c r="C27" s="4" t="n">
        <f aca="false">CFC_data!C25</f>
        <v>19.19</v>
      </c>
      <c r="D27" s="5" t="n">
        <f aca="false">IF(B27&gt;0,LN(B27),"")</f>
        <v>11.1169155156328</v>
      </c>
      <c r="E27" s="5" t="n">
        <f aca="false">IF(C27&gt;0,LN(C27),"")</f>
        <v>2.95438931001961</v>
      </c>
      <c r="F27" s="4" t="n">
        <f aca="false">IF(AND(D27&lt;&gt;"",E27&lt;&gt;""),E27-0.3*D27,"")</f>
        <v>-0.380685344670237</v>
      </c>
      <c r="G27" s="4" t="n">
        <f aca="false">F27</f>
        <v>-0.380685344670237</v>
      </c>
      <c r="H27" s="4" t="n">
        <f aca="false">G27-2*G26+G25</f>
        <v>0.165727069734648</v>
      </c>
      <c r="I27" s="4" t="n">
        <f aca="false">F27-G27</f>
        <v>0</v>
      </c>
      <c r="J27" s="4"/>
      <c r="K27" s="4"/>
      <c r="L27" s="5"/>
    </row>
    <row r="28" customFormat="false" ht="15" hidden="false" customHeight="true" outlineLevel="0" collapsed="false">
      <c r="A28" s="1" t="n">
        <v>2022</v>
      </c>
      <c r="B28" s="4" t="n">
        <f aca="false">CFC_data!B26</f>
        <v>69500</v>
      </c>
      <c r="C28" s="4" t="n">
        <f aca="false">CFC_data!C26</f>
        <v>21.3</v>
      </c>
      <c r="D28" s="5" t="n">
        <f aca="false">IF(B28&gt;0,LN(B28),"")</f>
        <v>11.1490820315529</v>
      </c>
      <c r="E28" s="5" t="n">
        <f aca="false">IF(C28&gt;0,LN(C28),"")</f>
        <v>3.05870707271538</v>
      </c>
      <c r="F28" s="4" t="n">
        <f aca="false">IF(AND(D28&lt;&gt;"",E28&lt;&gt;""),E28-0.3*D28,"")</f>
        <v>-0.286017536750485</v>
      </c>
      <c r="G28" s="4" t="n">
        <f aca="false">F28</f>
        <v>-0.286017536750485</v>
      </c>
      <c r="H28" s="4" t="n">
        <f aca="false">G28-2*G27+G26</f>
        <v>0.00246239774927037</v>
      </c>
      <c r="I28" s="4" t="n">
        <f aca="false">F28-G28</f>
        <v>0</v>
      </c>
      <c r="J28" s="4"/>
      <c r="K28" s="4"/>
      <c r="L28" s="5"/>
    </row>
    <row r="29" customFormat="false" ht="15" hidden="false" customHeight="true" outlineLevel="0" collapsed="false">
      <c r="A29" s="1" t="n">
        <v>2023</v>
      </c>
      <c r="B29" s="4" t="n">
        <f aca="false">CFC_data!B27</f>
        <v>71900</v>
      </c>
      <c r="C29" s="4" t="n">
        <f aca="false">CFC_data!C27</f>
        <v>22.96</v>
      </c>
      <c r="D29" s="5" t="n">
        <f aca="false">IF(B29&gt;0,LN(B29),"")</f>
        <v>11.1830315437091</v>
      </c>
      <c r="E29" s="5" t="n">
        <f aca="false">IF(C29&gt;0,LN(C29),"")</f>
        <v>3.13375357145137</v>
      </c>
      <c r="F29" s="4" t="n">
        <f aca="false">IF(AND(D29&lt;&gt;"",E29&lt;&gt;""),E29-0.3*D29,"")</f>
        <v>-0.221155891661375</v>
      </c>
      <c r="G29" s="4" t="n">
        <f aca="false">F29</f>
        <v>-0.221155891661375</v>
      </c>
      <c r="H29" s="4" t="n">
        <f aca="false">G29-2*G28+G27</f>
        <v>-0.0298061628306421</v>
      </c>
      <c r="I29" s="4" t="n">
        <f aca="false">F29-G29</f>
        <v>0</v>
      </c>
      <c r="J29" s="4"/>
      <c r="K29" s="4"/>
      <c r="L29" s="5"/>
    </row>
    <row r="30" customFormat="false" ht="15" hidden="false" customHeight="true" outlineLevel="0" collapsed="false">
      <c r="B30" s="4"/>
      <c r="C30" s="4"/>
      <c r="D30" s="5"/>
      <c r="E30" s="5"/>
      <c r="F30" s="4"/>
      <c r="G30" s="4"/>
      <c r="H30" s="4"/>
      <c r="I30" s="4"/>
      <c r="J30" s="4"/>
      <c r="K30" s="4"/>
      <c r="L30" s="5"/>
    </row>
    <row r="31" customFormat="false" ht="15" hidden="false" customHeight="true" outlineLevel="0" collapsed="false">
      <c r="A31" s="1" t="s">
        <v>7</v>
      </c>
      <c r="B31" s="12" t="n">
        <v>0.3</v>
      </c>
      <c r="C31" s="4"/>
      <c r="D31" s="5"/>
      <c r="E31" s="5"/>
      <c r="F31" s="4"/>
      <c r="G31" s="4"/>
      <c r="H31" s="4"/>
      <c r="I31" s="4"/>
      <c r="J31" s="4"/>
      <c r="K31" s="4"/>
      <c r="L31" s="5"/>
    </row>
    <row r="32" customFormat="false" ht="15" hidden="false" customHeight="true" outlineLevel="0" collapsed="false">
      <c r="A32" s="13" t="s">
        <v>60</v>
      </c>
      <c r="B32" s="4"/>
      <c r="C32" s="4"/>
      <c r="D32" s="5"/>
      <c r="E32" s="5"/>
      <c r="F32" s="4"/>
      <c r="G32" s="4"/>
      <c r="H32" s="4"/>
      <c r="I32" s="4"/>
      <c r="J32" s="4"/>
      <c r="K32" s="4"/>
      <c r="L32" s="5"/>
    </row>
    <row r="33" customFormat="false" ht="15" hidden="false" customHeight="true" outlineLevel="0" collapsed="false">
      <c r="A33" s="1" t="s">
        <v>61</v>
      </c>
      <c r="B33" s="4"/>
      <c r="C33" s="4"/>
      <c r="D33" s="5"/>
      <c r="E33" s="5"/>
      <c r="F33" s="4"/>
      <c r="G33" s="4"/>
      <c r="H33" s="4"/>
      <c r="I33" s="4"/>
      <c r="J33" s="4"/>
      <c r="K33" s="4"/>
      <c r="L33" s="5"/>
    </row>
    <row r="34" customFormat="false" ht="15" hidden="false" customHeight="true" outlineLevel="0" collapsed="false">
      <c r="A34" s="1" t="s">
        <v>62</v>
      </c>
      <c r="B34" s="4"/>
      <c r="C34" s="4"/>
      <c r="D34" s="5"/>
      <c r="E34" s="5"/>
      <c r="F34" s="4"/>
      <c r="G34" s="4"/>
      <c r="H34" s="4"/>
      <c r="I34" s="4"/>
      <c r="J34" s="4"/>
      <c r="K34" s="4"/>
      <c r="L34" s="5"/>
    </row>
    <row r="35" customFormat="false" ht="15" hidden="false" customHeight="true" outlineLevel="0" collapsed="false">
      <c r="A35" s="3" t="s">
        <v>63</v>
      </c>
      <c r="B35" s="4"/>
      <c r="C35" s="4"/>
      <c r="D35" s="5"/>
      <c r="E35" s="5"/>
      <c r="F35" s="4"/>
      <c r="G35" s="4"/>
      <c r="H35" s="4"/>
      <c r="I35" s="4"/>
      <c r="J35" s="4"/>
      <c r="K35" s="4"/>
      <c r="L35" s="5"/>
    </row>
    <row r="36" customFormat="false" ht="15" hidden="false" customHeight="true" outlineLevel="0" collapsed="false">
      <c r="A36" s="1" t="s">
        <v>64</v>
      </c>
      <c r="B36" s="4" t="s">
        <v>23</v>
      </c>
      <c r="C36" s="4" t="s">
        <v>49</v>
      </c>
      <c r="D36" s="5" t="s">
        <v>65</v>
      </c>
      <c r="E36" s="5" t="s">
        <v>66</v>
      </c>
      <c r="F36" s="4" t="s">
        <v>67</v>
      </c>
      <c r="G36" s="4" t="s">
        <v>68</v>
      </c>
      <c r="H36" s="4" t="s">
        <v>69</v>
      </c>
      <c r="I36" s="4" t="s">
        <v>70</v>
      </c>
      <c r="J36" s="4" t="s">
        <v>71</v>
      </c>
      <c r="K36" s="4" t="s">
        <v>72</v>
      </c>
      <c r="L36" s="5" t="s">
        <v>73</v>
      </c>
      <c r="M36" s="4" t="s">
        <v>74</v>
      </c>
    </row>
    <row r="37" customFormat="false" ht="15" hidden="false" customHeight="true" outlineLevel="0" collapsed="false">
      <c r="A37" s="1" t="n">
        <v>2002</v>
      </c>
      <c r="B37" s="4" t="n">
        <f aca="false">B8</f>
        <v>48000</v>
      </c>
      <c r="C37" s="4" t="n">
        <f aca="false">C8</f>
        <v>7.04</v>
      </c>
      <c r="D37" s="5" t="n">
        <f aca="false">D8</f>
        <v>10.77895628989</v>
      </c>
      <c r="E37" s="5" t="n">
        <f aca="false">G8</f>
        <v>-1.28207871679706</v>
      </c>
      <c r="F37" s="4" t="n">
        <f aca="false">C37*EXP(E37)</f>
        <v>1.9533179771701</v>
      </c>
      <c r="G37" s="4" t="n">
        <v>0</v>
      </c>
      <c r="H37" s="4" t="n">
        <f aca="false">G37*1000</f>
        <v>0</v>
      </c>
      <c r="I37" s="4" t="n">
        <f aca="false">B37+H37</f>
        <v>48000</v>
      </c>
      <c r="J37" s="4" t="n">
        <f aca="false">F37*POWER(I37/B37,0.3)</f>
        <v>1.9533179771701</v>
      </c>
      <c r="K37" s="4" t="n">
        <f aca="false">IF(F37&lt;&gt;0,J37-F37,0)</f>
        <v>0</v>
      </c>
      <c r="L37" s="5" t="n">
        <f aca="false">IF(F37&lt;&gt;0,K37/F37,0)</f>
        <v>0</v>
      </c>
      <c r="M37" s="4" t="n">
        <f aca="false">L37</f>
        <v>0</v>
      </c>
    </row>
    <row r="38" customFormat="false" ht="15" hidden="false" customHeight="true" outlineLevel="0" collapsed="false">
      <c r="A38" s="1" t="n">
        <v>2003</v>
      </c>
      <c r="B38" s="4" t="n">
        <f aca="false">B9</f>
        <v>50000</v>
      </c>
      <c r="C38" s="4" t="n">
        <f aca="false">C9</f>
        <v>7.81</v>
      </c>
      <c r="D38" s="5" t="n">
        <f aca="false">D9</f>
        <v>10.8197782844103</v>
      </c>
      <c r="E38" s="5" t="n">
        <f aca="false">G9</f>
        <v>-1.19052852147149</v>
      </c>
      <c r="F38" s="4" t="n">
        <f aca="false">C38*EXP(E38)</f>
        <v>2.37471265400614</v>
      </c>
      <c r="G38" s="4" t="n">
        <v>0</v>
      </c>
      <c r="H38" s="4" t="n">
        <f aca="false">G38*1000</f>
        <v>0</v>
      </c>
      <c r="I38" s="4" t="n">
        <f aca="false">I37*(1+$B$3)+H38</f>
        <v>49680</v>
      </c>
      <c r="J38" s="4" t="n">
        <f aca="false">F38*POWER(I38/B38,0.3)</f>
        <v>2.37014295534575</v>
      </c>
      <c r="K38" s="4" t="n">
        <f aca="false">IF(F38&lt;&gt;0,J38-F38,0)</f>
        <v>-0.00456969866038959</v>
      </c>
      <c r="L38" s="5" t="n">
        <f aca="false">IF(F38&lt;&gt;0,K38/F38,0)</f>
        <v>-0.00192431646527023</v>
      </c>
      <c r="M38" s="4" t="n">
        <f aca="false">L38</f>
        <v>-0.00192431646527023</v>
      </c>
    </row>
    <row r="39" customFormat="false" ht="15" hidden="false" customHeight="true" outlineLevel="0" collapsed="false">
      <c r="A39" s="1" t="n">
        <v>2004</v>
      </c>
      <c r="B39" s="4" t="n">
        <f aca="false">B10</f>
        <v>52000</v>
      </c>
      <c r="C39" s="4" t="n">
        <f aca="false">C10</f>
        <v>8.27</v>
      </c>
      <c r="D39" s="5" t="n">
        <f aca="false">D10</f>
        <v>10.8589989975636</v>
      </c>
      <c r="E39" s="5" t="n">
        <f aca="false">G10</f>
        <v>-1.14506519023347</v>
      </c>
      <c r="F39" s="4" t="n">
        <f aca="false">C39*EXP(E39)</f>
        <v>2.63154024381205</v>
      </c>
      <c r="G39" s="4" t="n">
        <v>0</v>
      </c>
      <c r="H39" s="4" t="n">
        <f aca="false">G39*1000</f>
        <v>0</v>
      </c>
      <c r="I39" s="4" t="n">
        <f aca="false">I38*(1+$B$3)+H39</f>
        <v>51418.8</v>
      </c>
      <c r="J39" s="4" t="n">
        <f aca="false">F39*POWER(I39/B39,0.3)</f>
        <v>2.62268174880519</v>
      </c>
      <c r="K39" s="4" t="n">
        <f aca="false">IF(F39&lt;&gt;0,J39-F39,0)</f>
        <v>-0.00885849500686575</v>
      </c>
      <c r="L39" s="5" t="n">
        <f aca="false">IF(F39&lt;&gt;0,K39/F39,0)</f>
        <v>-0.0033662776116368</v>
      </c>
      <c r="M39" s="4" t="n">
        <f aca="false">L39</f>
        <v>-0.0033662776116368</v>
      </c>
    </row>
    <row r="40" customFormat="false" ht="15" hidden="false" customHeight="true" outlineLevel="0" collapsed="false">
      <c r="A40" s="1" t="n">
        <v>2005</v>
      </c>
      <c r="B40" s="4" t="n">
        <f aca="false">B11</f>
        <v>54000</v>
      </c>
      <c r="C40" s="4" t="n">
        <f aca="false">C11</f>
        <v>9.06</v>
      </c>
      <c r="D40" s="5" t="n">
        <f aca="false">D11</f>
        <v>10.8967393255464</v>
      </c>
      <c r="E40" s="5" t="n">
        <f aca="false">G11</f>
        <v>-1.06515267760904</v>
      </c>
      <c r="F40" s="4" t="n">
        <f aca="false">C40*EXP(E40)</f>
        <v>3.12275755263598</v>
      </c>
      <c r="G40" s="4" t="n">
        <v>0</v>
      </c>
      <c r="H40" s="4" t="n">
        <f aca="false">G40*1000</f>
        <v>0</v>
      </c>
      <c r="I40" s="4" t="n">
        <f aca="false">I39*(1+$B$3)+H40</f>
        <v>53218.458</v>
      </c>
      <c r="J40" s="4" t="n">
        <f aca="false">F40*POWER(I40/B40,0.3)</f>
        <v>3.10912960048917</v>
      </c>
      <c r="K40" s="4" t="n">
        <f aca="false">IF(F40&lt;&gt;0,J40-F40,0)</f>
        <v>-0.013627952146809</v>
      </c>
      <c r="L40" s="5" t="n">
        <f aca="false">IF(F40&lt;&gt;0,K40/F40,0)</f>
        <v>-0.00436407627460716</v>
      </c>
      <c r="M40" s="4" t="n">
        <f aca="false">L40</f>
        <v>-0.00436407627460716</v>
      </c>
    </row>
    <row r="41" customFormat="false" ht="15" hidden="false" customHeight="true" outlineLevel="0" collapsed="false">
      <c r="A41" s="1" t="n">
        <v>2006</v>
      </c>
      <c r="B41" s="4" t="n">
        <f aca="false">B12</f>
        <v>56500</v>
      </c>
      <c r="C41" s="4" t="n">
        <f aca="false">C12</f>
        <v>9.91</v>
      </c>
      <c r="D41" s="5" t="n">
        <f aca="false">D12</f>
        <v>10.9419959171345</v>
      </c>
      <c r="E41" s="5" t="n">
        <f aca="false">G12</f>
        <v>-0.989054426798463</v>
      </c>
      <c r="F41" s="4" t="n">
        <f aca="false">C41*EXP(E41)</f>
        <v>3.68580856259378</v>
      </c>
      <c r="G41" s="4" t="n">
        <v>0</v>
      </c>
      <c r="H41" s="4" t="n">
        <f aca="false">G41*1000</f>
        <v>0</v>
      </c>
      <c r="I41" s="4" t="n">
        <f aca="false">I40*(1+$B$3)+H41</f>
        <v>55081.10403</v>
      </c>
      <c r="J41" s="4" t="n">
        <f aca="false">F41*POWER(I41/B41,0.3)</f>
        <v>3.65779221490238</v>
      </c>
      <c r="K41" s="4" t="n">
        <f aca="false">IF(F41&lt;&gt;0,J41-F41,0)</f>
        <v>-0.0280163476914015</v>
      </c>
      <c r="L41" s="5" t="n">
        <f aca="false">IF(F41&lt;&gt;0,K41/F41,0)</f>
        <v>-0.00760114021540115</v>
      </c>
      <c r="M41" s="4" t="n">
        <f aca="false">L41</f>
        <v>-0.00760114021540115</v>
      </c>
    </row>
    <row r="42" customFormat="false" ht="15" hidden="false" customHeight="true" outlineLevel="0" collapsed="false">
      <c r="A42" s="1" t="n">
        <v>2007</v>
      </c>
      <c r="B42" s="4" t="n">
        <f aca="false">B13</f>
        <v>59000</v>
      </c>
      <c r="C42" s="4" t="n">
        <f aca="false">C13</f>
        <v>11.16</v>
      </c>
      <c r="D42" s="5" t="n">
        <f aca="false">D13</f>
        <v>10.9852927228879</v>
      </c>
      <c r="E42" s="5" t="n">
        <f aca="false">G13</f>
        <v>-0.883251859913192</v>
      </c>
      <c r="F42" s="4" t="n">
        <f aca="false">C42*EXP(E42)</f>
        <v>4.61394895693107</v>
      </c>
      <c r="G42" s="4" t="n">
        <v>0</v>
      </c>
      <c r="H42" s="4" t="n">
        <f aca="false">G42*1000</f>
        <v>0</v>
      </c>
      <c r="I42" s="4" t="n">
        <f aca="false">I41*(1+$B$3)+H42</f>
        <v>57008.94267105</v>
      </c>
      <c r="J42" s="4" t="n">
        <f aca="false">F42*POWER(I42/B42,0.3)</f>
        <v>4.56667471793842</v>
      </c>
      <c r="K42" s="4" t="n">
        <f aca="false">IF(F42&lt;&gt;0,J42-F42,0)</f>
        <v>-0.0472742389926522</v>
      </c>
      <c r="L42" s="5" t="n">
        <f aca="false">IF(F42&lt;&gt;0,K42/F42,0)</f>
        <v>-0.0102459388766399</v>
      </c>
      <c r="M42" s="4" t="n">
        <f aca="false">L42</f>
        <v>-0.0102459388766399</v>
      </c>
    </row>
    <row r="43" customFormat="false" ht="15" hidden="false" customHeight="true" outlineLevel="0" collapsed="false">
      <c r="A43" s="1" t="n">
        <v>2008</v>
      </c>
      <c r="B43" s="4" t="n">
        <f aca="false">B14</f>
        <v>60000</v>
      </c>
      <c r="C43" s="4" t="n">
        <f aca="false">C14</f>
        <v>11.43</v>
      </c>
      <c r="D43" s="5" t="n">
        <f aca="false">D14</f>
        <v>11.0020998412042</v>
      </c>
      <c r="E43" s="5" t="n">
        <f aca="false">G14</f>
        <v>-0.864388474554552</v>
      </c>
      <c r="F43" s="4" t="n">
        <f aca="false">C43*EXP(E43)</f>
        <v>4.8155631857139</v>
      </c>
      <c r="G43" s="4" t="n">
        <v>0</v>
      </c>
      <c r="H43" s="4" t="n">
        <f aca="false">G43*1000</f>
        <v>0</v>
      </c>
      <c r="I43" s="4" t="n">
        <f aca="false">I42*(1+$B$3)+H43</f>
        <v>59004.2556645367</v>
      </c>
      <c r="J43" s="4" t="n">
        <f aca="false">F43*POWER(I43/B43,0.3)</f>
        <v>4.79144725137323</v>
      </c>
      <c r="K43" s="4" t="n">
        <f aca="false">IF(F43&lt;&gt;0,J43-F43,0)</f>
        <v>-0.0241159343406761</v>
      </c>
      <c r="L43" s="5" t="n">
        <f aca="false">IF(F43&lt;&gt;0,K43/F43,0)</f>
        <v>-0.00500791567063633</v>
      </c>
      <c r="M43" s="4" t="n">
        <f aca="false">L43</f>
        <v>-0.00500791567063633</v>
      </c>
    </row>
    <row r="44" customFormat="false" ht="15" hidden="false" customHeight="true" outlineLevel="0" collapsed="false">
      <c r="A44" s="1" t="n">
        <v>2009</v>
      </c>
      <c r="B44" s="4" t="n">
        <f aca="false">B15</f>
        <v>59000</v>
      </c>
      <c r="C44" s="4" t="n">
        <f aca="false">C15</f>
        <v>11.01</v>
      </c>
      <c r="D44" s="5" t="n">
        <f aca="false">D15</f>
        <v>10.9852927228879</v>
      </c>
      <c r="E44" s="5" t="n">
        <f aca="false">G15</f>
        <v>-0.896783866131768</v>
      </c>
      <c r="F44" s="4" t="n">
        <f aca="false">C44*EXP(E44)</f>
        <v>4.49075161189219</v>
      </c>
      <c r="G44" s="4" t="n">
        <v>0</v>
      </c>
      <c r="H44" s="4" t="n">
        <f aca="false">G44*1000</f>
        <v>0</v>
      </c>
      <c r="I44" s="4" t="n">
        <f aca="false">I43*(1+$B$3)+H44</f>
        <v>61069.4046127955</v>
      </c>
      <c r="J44" s="4" t="n">
        <f aca="false">F44*POWER(I44/B44,0.3)</f>
        <v>4.53743625410354</v>
      </c>
      <c r="K44" s="4" t="n">
        <f aca="false">IF(F44&lt;&gt;0,J44-F44,0)</f>
        <v>0.0466846422113516</v>
      </c>
      <c r="L44" s="5" t="n">
        <f aca="false">IF(F44&lt;&gt;0,K44/F44,0)</f>
        <v>0.010395730213117</v>
      </c>
      <c r="M44" s="4" t="n">
        <f aca="false">L44</f>
        <v>0.010395730213117</v>
      </c>
    </row>
    <row r="45" customFormat="false" ht="15" hidden="false" customHeight="true" outlineLevel="0" collapsed="false">
      <c r="A45" s="1" t="n">
        <v>2010</v>
      </c>
      <c r="B45" s="4" t="n">
        <f aca="false">B16</f>
        <v>60500</v>
      </c>
      <c r="C45" s="4" t="n">
        <f aca="false">C16</f>
        <v>11.7</v>
      </c>
      <c r="D45" s="5" t="n">
        <f aca="false">D16</f>
        <v>11.0103986440189</v>
      </c>
      <c r="E45" s="5" t="n">
        <f aca="false">G16</f>
        <v>-0.843530751401969</v>
      </c>
      <c r="F45" s="4" t="n">
        <f aca="false">C45*EXP(E45)</f>
        <v>5.03321069891381</v>
      </c>
      <c r="G45" s="4" t="n">
        <v>0</v>
      </c>
      <c r="H45" s="4" t="n">
        <f aca="false">G45*1000</f>
        <v>0</v>
      </c>
      <c r="I45" s="4" t="n">
        <f aca="false">I44*(1+$B$3)+H45</f>
        <v>63206.8337742433</v>
      </c>
      <c r="J45" s="4" t="n">
        <f aca="false">F45*POWER(I45/B45,0.3)</f>
        <v>5.09973617645142</v>
      </c>
      <c r="K45" s="4" t="n">
        <f aca="false">IF(F45&lt;&gt;0,J45-F45,0)</f>
        <v>0.066525477537609</v>
      </c>
      <c r="L45" s="5" t="n">
        <f aca="false">IF(F45&lt;&gt;0,K45/F45,0)</f>
        <v>0.0132173043246462</v>
      </c>
      <c r="M45" s="4" t="n">
        <f aca="false">L45</f>
        <v>0.0132173043246462</v>
      </c>
    </row>
    <row r="46" customFormat="false" ht="15" hidden="false" customHeight="true" outlineLevel="0" collapsed="false">
      <c r="A46" s="1" t="n">
        <v>2011</v>
      </c>
      <c r="B46" s="4" t="n">
        <f aca="false">B17</f>
        <v>62000</v>
      </c>
      <c r="C46" s="4" t="n">
        <f aca="false">C17</f>
        <v>12.63</v>
      </c>
      <c r="D46" s="5" t="n">
        <f aca="false">D17</f>
        <v>11.0348896640272</v>
      </c>
      <c r="E46" s="5" t="n">
        <f aca="false">G17</f>
        <v>-0.774391962845769</v>
      </c>
      <c r="F46" s="4" t="n">
        <f aca="false">C46*EXP(E46)</f>
        <v>5.82222780879765</v>
      </c>
      <c r="G46" s="4" t="n">
        <v>0</v>
      </c>
      <c r="H46" s="4" t="n">
        <f aca="false">G46*1000</f>
        <v>0</v>
      </c>
      <c r="I46" s="4" t="n">
        <f aca="false">I45*(1+$B$3)+H46</f>
        <v>65419.0729563419</v>
      </c>
      <c r="J46" s="4" t="n">
        <f aca="false">F46*POWER(I46/B46,0.3)</f>
        <v>5.91674705198653</v>
      </c>
      <c r="K46" s="4" t="n">
        <f aca="false">IF(F46&lt;&gt;0,J46-F46,0)</f>
        <v>0.0945192431888824</v>
      </c>
      <c r="L46" s="5" t="n">
        <f aca="false">IF(F46&lt;&gt;0,K46/F46,0)</f>
        <v>0.0162342055812484</v>
      </c>
      <c r="M46" s="4" t="n">
        <f aca="false">L46</f>
        <v>0.0162342055812484</v>
      </c>
    </row>
    <row r="47" customFormat="false" ht="15" hidden="false" customHeight="true" outlineLevel="0" collapsed="false">
      <c r="A47" s="14" t="n">
        <v>2012</v>
      </c>
      <c r="B47" s="4" t="n">
        <f aca="false">B18</f>
        <v>63500</v>
      </c>
      <c r="C47" s="4" t="n">
        <f aca="false">C18</f>
        <v>13.46</v>
      </c>
      <c r="D47" s="5" t="n">
        <f aca="false">D18</f>
        <v>11.0587951848808</v>
      </c>
      <c r="E47" s="5" t="n">
        <f aca="false">G18</f>
        <v>-0.717916231247653</v>
      </c>
      <c r="F47" s="4" t="n">
        <f aca="false">C47*EXP(E47)</f>
        <v>6.56535179635648</v>
      </c>
      <c r="G47" s="4" t="n">
        <v>0</v>
      </c>
      <c r="H47" s="4" t="n">
        <f aca="false">G47*1000</f>
        <v>0</v>
      </c>
      <c r="I47" s="4" t="n">
        <f aca="false">I46*(1+$B$3)+H47</f>
        <v>67708.7405098138</v>
      </c>
      <c r="J47" s="4" t="n">
        <f aca="false">F47*POWER(I47/B47,0.3)</f>
        <v>6.69297657792225</v>
      </c>
      <c r="K47" s="4" t="n">
        <f aca="false">IF(F47&lt;&gt;0,J47-F47,0)</f>
        <v>0.127624781565769</v>
      </c>
      <c r="L47" s="5" t="n">
        <f aca="false">IF(F47&lt;&gt;0,K47/F47,0)</f>
        <v>0.0194391383012553</v>
      </c>
      <c r="M47" s="4" t="n">
        <f aca="false">L47</f>
        <v>0.0194391383012553</v>
      </c>
    </row>
    <row r="48" customFormat="false" ht="15" hidden="false" customHeight="true" outlineLevel="0" collapsed="false">
      <c r="A48" s="1" t="n">
        <v>2013</v>
      </c>
      <c r="B48" s="4" t="n">
        <f aca="false">B19</f>
        <v>65000</v>
      </c>
      <c r="C48" s="4" t="n">
        <f aca="false">C19</f>
        <v>14.15</v>
      </c>
      <c r="D48" s="5" t="n">
        <f aca="false">D19</f>
        <v>11.0821425488778</v>
      </c>
      <c r="E48" s="5" t="n">
        <f aca="false">G19</f>
        <v>-0.674928140574085</v>
      </c>
      <c r="F48" s="4" t="n">
        <f aca="false">C48*EXP(E48)</f>
        <v>7.20508108598506</v>
      </c>
      <c r="G48" s="4" t="n">
        <v>0</v>
      </c>
      <c r="H48" s="4" t="n">
        <f aca="false">G48*1000</f>
        <v>0</v>
      </c>
      <c r="I48" s="4" t="n">
        <f aca="false">I47*(1+$B$3)+H48</f>
        <v>70078.5464276573</v>
      </c>
      <c r="J48" s="4" t="n">
        <f aca="false">F48*POWER(I48/B48,0.3)</f>
        <v>7.36954018371852</v>
      </c>
      <c r="K48" s="4" t="n">
        <f aca="false">IF(F48&lt;&gt;0,J48-F48,0)</f>
        <v>0.164459097733464</v>
      </c>
      <c r="L48" s="5" t="n">
        <f aca="false">IF(F48&lt;&gt;0,K48/F48,0)</f>
        <v>0.0228254332978099</v>
      </c>
      <c r="M48" s="4" t="n">
        <f aca="false">L48</f>
        <v>0.0228254332978099</v>
      </c>
    </row>
    <row r="49" customFormat="false" ht="15" hidden="false" customHeight="true" outlineLevel="0" collapsed="false">
      <c r="A49" s="1" t="n">
        <v>2014</v>
      </c>
      <c r="B49" s="4" t="n">
        <f aca="false">B20</f>
        <v>66500</v>
      </c>
      <c r="C49" s="4" t="n">
        <f aca="false">C20</f>
        <v>14.73</v>
      </c>
      <c r="D49" s="5" t="n">
        <f aca="false">D20</f>
        <v>11.1049572266439</v>
      </c>
      <c r="E49" s="5" t="n">
        <f aca="false">G20</f>
        <v>-0.641600937518644</v>
      </c>
      <c r="F49" s="4" t="n">
        <f aca="false">C49*EXP(E49)</f>
        <v>7.7545928447076</v>
      </c>
      <c r="G49" s="4" t="n">
        <v>0</v>
      </c>
      <c r="H49" s="4" t="n">
        <f aca="false">G49*1000</f>
        <v>0</v>
      </c>
      <c r="I49" s="4" t="n">
        <f aca="false">I48*(1+$B$3)+H49</f>
        <v>72531.2955526253</v>
      </c>
      <c r="J49" s="4" t="n">
        <f aca="false">F49*POWER(I49/B49,0.3)</f>
        <v>7.95921317900631</v>
      </c>
      <c r="K49" s="4" t="n">
        <f aca="false">IF(F49&lt;&gt;0,J49-F49,0)</f>
        <v>0.204620334298718</v>
      </c>
      <c r="L49" s="5" t="n">
        <f aca="false">IF(F49&lt;&gt;0,K49/F49,0)</f>
        <v>0.0263869861895288</v>
      </c>
      <c r="M49" s="4" t="n">
        <f aca="false">L49</f>
        <v>0.0263869861895288</v>
      </c>
    </row>
    <row r="50" customFormat="false" ht="15" hidden="false" customHeight="true" outlineLevel="0" collapsed="false">
      <c r="A50" s="1" t="n">
        <v>2015</v>
      </c>
      <c r="B50" s="4" t="n">
        <f aca="false">B21</f>
        <v>53396.74</v>
      </c>
      <c r="C50" s="4" t="n">
        <f aca="false">C21</f>
        <v>15.22</v>
      </c>
      <c r="D50" s="5" t="n">
        <f aca="false">D21</f>
        <v>10.8855049743956</v>
      </c>
      <c r="E50" s="5" t="n">
        <f aca="false">G21</f>
        <v>-0.54304113988514</v>
      </c>
      <c r="F50" s="4" t="n">
        <f aca="false">C50*EXP(E50)</f>
        <v>8.84249620171291</v>
      </c>
      <c r="G50" s="4" t="n">
        <v>0</v>
      </c>
      <c r="H50" s="4" t="n">
        <f aca="false">G50*1000</f>
        <v>0</v>
      </c>
      <c r="I50" s="4" t="n">
        <f aca="false">I49*(1+$B$3)+H50</f>
        <v>75069.8908969672</v>
      </c>
      <c r="J50" s="4" t="n">
        <f aca="false">F50*POWER(I50/B50,0.3)</f>
        <v>9.79400213621069</v>
      </c>
      <c r="K50" s="4" t="n">
        <f aca="false">IF(F50&lt;&gt;0,J50-F50,0)</f>
        <v>0.951505934497783</v>
      </c>
      <c r="L50" s="5" t="n">
        <f aca="false">IF(F50&lt;&gt;0,K50/F50,0)</f>
        <v>0.107606032594446</v>
      </c>
      <c r="M50" s="4" t="n">
        <f aca="false">L50</f>
        <v>0.107606032594446</v>
      </c>
    </row>
    <row r="51" customFormat="false" ht="15" hidden="false" customHeight="true" outlineLevel="0" collapsed="false">
      <c r="A51" s="1" t="n">
        <v>2016</v>
      </c>
      <c r="B51" s="4" t="n">
        <f aca="false">B22</f>
        <v>54948.36</v>
      </c>
      <c r="C51" s="4" t="n">
        <f aca="false">C22</f>
        <v>15.75</v>
      </c>
      <c r="D51" s="5" t="n">
        <f aca="false">D22</f>
        <v>10.9141491140725</v>
      </c>
      <c r="E51" s="5" t="n">
        <f aca="false">G22</f>
        <v>-0.517404368950097</v>
      </c>
      <c r="F51" s="4" t="n">
        <f aca="false">C51*EXP(E51)</f>
        <v>9.38803490777293</v>
      </c>
      <c r="G51" s="4" t="n">
        <v>0</v>
      </c>
      <c r="H51" s="4" t="n">
        <f aca="false">G51*1000</f>
        <v>0</v>
      </c>
      <c r="I51" s="4" t="n">
        <f aca="false">I50*(1+$B$3)+H51</f>
        <v>77697.337078361</v>
      </c>
      <c r="J51" s="4" t="n">
        <f aca="false">F51*POWER(I51/B51,0.3)</f>
        <v>10.4162193196613</v>
      </c>
      <c r="K51" s="4" t="n">
        <f aca="false">IF(F51&lt;&gt;0,J51-F51,0)</f>
        <v>1.02818441188838</v>
      </c>
      <c r="L51" s="5" t="n">
        <f aca="false">IF(F51&lt;&gt;0,K51/F51,0)</f>
        <v>0.109520727392809</v>
      </c>
      <c r="M51" s="4" t="n">
        <f aca="false">L51</f>
        <v>0.109520727392809</v>
      </c>
    </row>
    <row r="52" customFormat="false" ht="15" hidden="false" customHeight="true" outlineLevel="0" collapsed="false">
      <c r="A52" s="1" t="n">
        <v>2017</v>
      </c>
      <c r="B52" s="4" t="n">
        <f aca="false">B23</f>
        <v>57609.71</v>
      </c>
      <c r="C52" s="4" t="n">
        <f aca="false">C23</f>
        <v>16.56</v>
      </c>
      <c r="D52" s="5" t="n">
        <f aca="false">D23</f>
        <v>10.9614464088655</v>
      </c>
      <c r="E52" s="5" t="n">
        <f aca="false">G23</f>
        <v>-0.481443773702527</v>
      </c>
      <c r="F52" s="4" t="n">
        <f aca="false">C52*EXP(E52)</f>
        <v>10.232269217469</v>
      </c>
      <c r="G52" s="4" t="n">
        <v>0</v>
      </c>
      <c r="H52" s="4" t="n">
        <f aca="false">G52*1000</f>
        <v>0</v>
      </c>
      <c r="I52" s="4" t="n">
        <f aca="false">I51*(1+$B$3)+H52</f>
        <v>80416.7438761037</v>
      </c>
      <c r="J52" s="4" t="n">
        <f aca="false">F52*POWER(I52/B52,0.3)</f>
        <v>11.3090779294652</v>
      </c>
      <c r="K52" s="4" t="n">
        <f aca="false">IF(F52&lt;&gt;0,J52-F52,0)</f>
        <v>1.07680871199617</v>
      </c>
      <c r="L52" s="5" t="n">
        <f aca="false">IF(F52&lt;&gt;0,K52/F52,0)</f>
        <v>0.105236550085859</v>
      </c>
      <c r="M52" s="4" t="n">
        <f aca="false">L52</f>
        <v>0.105236550085859</v>
      </c>
    </row>
    <row r="53" customFormat="false" ht="15" hidden="false" customHeight="true" outlineLevel="0" collapsed="false">
      <c r="A53" s="1" t="n">
        <v>2018</v>
      </c>
      <c r="B53" s="4" t="n">
        <f aca="false">B24</f>
        <v>60399.59</v>
      </c>
      <c r="C53" s="4" t="n">
        <f aca="false">C24</f>
        <v>17.57</v>
      </c>
      <c r="D53" s="5" t="n">
        <f aca="false">D24</f>
        <v>11.0087375958204</v>
      </c>
      <c r="E53" s="5" t="n">
        <f aca="false">G24</f>
        <v>-0.436428376547113</v>
      </c>
      <c r="F53" s="4" t="n">
        <f aca="false">C53*EXP(E53)</f>
        <v>11.3562076695383</v>
      </c>
      <c r="G53" s="4" t="n">
        <v>0</v>
      </c>
      <c r="H53" s="4" t="n">
        <f aca="false">G53*1000</f>
        <v>0</v>
      </c>
      <c r="I53" s="4" t="n">
        <f aca="false">I52*(1+$B$3)+H53</f>
        <v>83231.3299117673</v>
      </c>
      <c r="J53" s="4" t="n">
        <f aca="false">F53*POWER(I53/B53,0.3)</f>
        <v>12.5028545484848</v>
      </c>
      <c r="K53" s="4" t="n">
        <f aca="false">IF(F53&lt;&gt;0,J53-F53,0)</f>
        <v>1.14664687894646</v>
      </c>
      <c r="L53" s="5" t="n">
        <f aca="false">IF(F53&lt;&gt;0,K53/F53,0)</f>
        <v>0.10097093257833</v>
      </c>
      <c r="M53" s="4" t="n">
        <f aca="false">L53</f>
        <v>0.10097093257833</v>
      </c>
    </row>
    <row r="54" customFormat="false" ht="15" hidden="false" customHeight="true" outlineLevel="0" collapsed="false">
      <c r="A54" s="1" t="n">
        <v>2019</v>
      </c>
      <c r="B54" s="4" t="n">
        <f aca="false">B25</f>
        <v>63508.82</v>
      </c>
      <c r="C54" s="4" t="n">
        <f aca="false">C25</f>
        <v>18.51</v>
      </c>
      <c r="D54" s="5" t="n">
        <f aca="false">D25</f>
        <v>11.0589340728732</v>
      </c>
      <c r="E54" s="5" t="n">
        <f aca="false">G25</f>
        <v>-0.399369095276552</v>
      </c>
      <c r="F54" s="4" t="n">
        <f aca="false">C54*EXP(E54)</f>
        <v>12.4154545506304</v>
      </c>
      <c r="G54" s="4" t="n">
        <v>0</v>
      </c>
      <c r="H54" s="4" t="n">
        <f aca="false">G54*1000</f>
        <v>0</v>
      </c>
      <c r="I54" s="4" t="n">
        <f aca="false">I53*(1+$B$3)+H54</f>
        <v>86144.4264586791</v>
      </c>
      <c r="J54" s="4" t="n">
        <f aca="false">F54*POWER(I54/B54,0.3)</f>
        <v>13.6044367706054</v>
      </c>
      <c r="K54" s="4" t="n">
        <f aca="false">IF(F54&lt;&gt;0,J54-F54,0)</f>
        <v>1.18898221997497</v>
      </c>
      <c r="L54" s="5" t="n">
        <f aca="false">IF(F54&lt;&gt;0,K54/F54,0)</f>
        <v>0.0957663060282066</v>
      </c>
      <c r="M54" s="4" t="n">
        <f aca="false">L54</f>
        <v>0.0957663060282066</v>
      </c>
    </row>
    <row r="55" customFormat="false" ht="15" hidden="false" customHeight="true" outlineLevel="0" collapsed="false">
      <c r="A55" s="1" t="n">
        <v>2020</v>
      </c>
      <c r="B55" s="4" t="n">
        <f aca="false">B26</f>
        <v>65400</v>
      </c>
      <c r="C55" s="4" t="n">
        <f aca="false">C26</f>
        <v>17.35</v>
      </c>
      <c r="D55" s="5" t="n">
        <f aca="false">D26</f>
        <v>11.0882775374453</v>
      </c>
      <c r="E55" s="5" t="n">
        <f aca="false">G26</f>
        <v>-0.472890754840718</v>
      </c>
      <c r="F55" s="4" t="n">
        <f aca="false">C55*EXP(E55)</f>
        <v>10.8124878823748</v>
      </c>
      <c r="G55" s="4" t="n">
        <v>0</v>
      </c>
      <c r="H55" s="4" t="n">
        <f aca="false">G55*1000</f>
        <v>0</v>
      </c>
      <c r="I55" s="4" t="n">
        <f aca="false">I54*(1+$B$3)+H55</f>
        <v>89159.4813847329</v>
      </c>
      <c r="J55" s="4" t="n">
        <f aca="false">F55*POWER(I55/B55,0.3)</f>
        <v>11.8659515123328</v>
      </c>
      <c r="K55" s="4" t="n">
        <f aca="false">IF(F55&lt;&gt;0,J55-F55,0)</f>
        <v>1.05346362995799</v>
      </c>
      <c r="L55" s="5" t="n">
        <f aca="false">IF(F55&lt;&gt;0,K55/F55,0)</f>
        <v>0.0974302714988668</v>
      </c>
      <c r="M55" s="4" t="n">
        <f aca="false">L55</f>
        <v>0.0974302714988668</v>
      </c>
    </row>
    <row r="56" customFormat="false" ht="15" hidden="false" customHeight="true" outlineLevel="0" collapsed="false">
      <c r="A56" s="1" t="n">
        <v>2021</v>
      </c>
      <c r="B56" s="4" t="n">
        <f aca="false">B27</f>
        <v>67300</v>
      </c>
      <c r="C56" s="4" t="n">
        <f aca="false">C27</f>
        <v>19.19</v>
      </c>
      <c r="D56" s="5" t="n">
        <f aca="false">D27</f>
        <v>11.1169155156328</v>
      </c>
      <c r="E56" s="5" t="n">
        <f aca="false">G27</f>
        <v>-0.380685344670237</v>
      </c>
      <c r="F56" s="4" t="n">
        <f aca="false">C56*EXP(E56)</f>
        <v>13.1143095400563</v>
      </c>
      <c r="G56" s="4" t="n">
        <v>0</v>
      </c>
      <c r="H56" s="4" t="n">
        <f aca="false">G56*1000</f>
        <v>0</v>
      </c>
      <c r="I56" s="4" t="n">
        <f aca="false">I55*(1+$B$3)+H56</f>
        <v>92280.0632331985</v>
      </c>
      <c r="J56" s="4" t="n">
        <f aca="false">F56*POWER(I56/B56,0.3)</f>
        <v>14.4169461394222</v>
      </c>
      <c r="K56" s="4" t="n">
        <f aca="false">IF(F56&lt;&gt;0,J56-F56,0)</f>
        <v>1.30263659936588</v>
      </c>
      <c r="L56" s="5" t="n">
        <f aca="false">IF(F56&lt;&gt;0,K56/F56,0)</f>
        <v>0.0993294077272699</v>
      </c>
      <c r="M56" s="4" t="n">
        <f aca="false">L56</f>
        <v>0.0993294077272699</v>
      </c>
    </row>
    <row r="57" customFormat="false" ht="15" hidden="false" customHeight="true" outlineLevel="0" collapsed="false">
      <c r="A57" s="1" t="n">
        <v>2022</v>
      </c>
      <c r="B57" s="4" t="n">
        <f aca="false">B28</f>
        <v>69500</v>
      </c>
      <c r="C57" s="4" t="n">
        <f aca="false">C28</f>
        <v>21.3</v>
      </c>
      <c r="D57" s="5" t="n">
        <f aca="false">D28</f>
        <v>11.1490820315529</v>
      </c>
      <c r="E57" s="5" t="n">
        <f aca="false">G28</f>
        <v>-0.286017536750485</v>
      </c>
      <c r="F57" s="4" t="n">
        <f aca="false">C57*EXP(E57)</f>
        <v>16.0016131009118</v>
      </c>
      <c r="G57" s="4" t="n">
        <v>0</v>
      </c>
      <c r="H57" s="4" t="n">
        <f aca="false">G57*1000</f>
        <v>0</v>
      </c>
      <c r="I57" s="4" t="n">
        <f aca="false">I56*(1+$B$3)+H57</f>
        <v>95509.8654463605</v>
      </c>
      <c r="J57" s="4" t="n">
        <f aca="false">F57*POWER(I57/B57,0.3)</f>
        <v>17.6028421318321</v>
      </c>
      <c r="K57" s="4" t="n">
        <f aca="false">IF(F57&lt;&gt;0,J57-F57,0)</f>
        <v>1.60122903092028</v>
      </c>
      <c r="L57" s="5" t="n">
        <f aca="false">IF(F57&lt;&gt;0,K57/F57,0)</f>
        <v>0.100066725824601</v>
      </c>
      <c r="M57" s="4" t="n">
        <f aca="false">L57</f>
        <v>0.100066725824601</v>
      </c>
    </row>
    <row r="58" customFormat="false" ht="15" hidden="false" customHeight="true" outlineLevel="0" collapsed="false">
      <c r="A58" s="1" t="n">
        <v>2023</v>
      </c>
      <c r="B58" s="4" t="n">
        <f aca="false">B29</f>
        <v>71900</v>
      </c>
      <c r="C58" s="4" t="n">
        <f aca="false">C29</f>
        <v>22.96</v>
      </c>
      <c r="D58" s="5" t="n">
        <f aca="false">D29</f>
        <v>11.1830315437091</v>
      </c>
      <c r="E58" s="5" t="n">
        <f aca="false">G29</f>
        <v>-0.221155891661375</v>
      </c>
      <c r="F58" s="4" t="n">
        <f aca="false">C58*EXP(E58)</f>
        <v>18.4045456406189</v>
      </c>
      <c r="G58" s="4" t="n">
        <v>0</v>
      </c>
      <c r="H58" s="4" t="n">
        <f aca="false">G58*1000</f>
        <v>0</v>
      </c>
      <c r="I58" s="4" t="n">
        <f aca="false">I57*(1+$B$3)+H58</f>
        <v>98852.7107369831</v>
      </c>
      <c r="J58" s="4" t="n">
        <f aca="false">F58*POWER(I58/B58,0.3)</f>
        <v>20.2489733188482</v>
      </c>
      <c r="K58" s="4" t="n">
        <f aca="false">IF(F58&lt;&gt;0,J58-F58,0)</f>
        <v>1.84442767822926</v>
      </c>
      <c r="L58" s="5" t="n">
        <f aca="false">IF(F58&lt;&gt;0,K58/F58,0)</f>
        <v>0.100215876786363</v>
      </c>
      <c r="M58" s="4" t="n">
        <f aca="false">L58</f>
        <v>0.100215876786363</v>
      </c>
    </row>
    <row r="59" customFormat="false" ht="15" hidden="false" customHeight="true" outlineLevel="0" collapsed="false">
      <c r="A59" s="1" t="n">
        <v>2024</v>
      </c>
      <c r="B59" s="4" t="n">
        <f aca="false">B58*(1+$B$3)</f>
        <v>74416.5</v>
      </c>
      <c r="C59" s="4" t="n">
        <f aca="false">C58*1.072</f>
        <v>24.61312</v>
      </c>
      <c r="D59" s="5" t="n">
        <f aca="false">IF(C59&gt;0,B59/C59,"")</f>
        <v>3023.44846975922</v>
      </c>
      <c r="E59" s="5" t="n">
        <f aca="false">AVERAGE(Production!$G$20:$G$29)</f>
        <v>-0.438003721980289</v>
      </c>
      <c r="F59" s="4" t="n">
        <f aca="false">C59*EXP(E59)</f>
        <v>15.8834218146676</v>
      </c>
      <c r="G59" s="4" t="n">
        <v>0</v>
      </c>
      <c r="H59" s="4" t="n">
        <f aca="false">G59*1000</f>
        <v>0</v>
      </c>
      <c r="I59" s="4" t="n">
        <f aca="false">I58*(1+$B$3)+H59</f>
        <v>102312.555612777</v>
      </c>
      <c r="J59" s="4" t="n">
        <f aca="false">F59*POWER(I59/B59,0.3)</f>
        <v>17.4751928581922</v>
      </c>
      <c r="K59" s="4" t="n">
        <f aca="false">IF(F59&lt;&gt;0,J59-F59,0)</f>
        <v>1.59177104352456</v>
      </c>
      <c r="L59" s="5" t="n">
        <f aca="false">IF(F59&lt;&gt;0,K59/F59,0)</f>
        <v>0.100215876786363</v>
      </c>
      <c r="M59" s="4" t="n">
        <f aca="false">L59</f>
        <v>0.100215876786363</v>
      </c>
    </row>
    <row r="60" customFormat="false" ht="15" hidden="false" customHeight="true" outlineLevel="0" collapsed="false">
      <c r="A60" s="1" t="n">
        <v>2025</v>
      </c>
      <c r="B60" s="4" t="n">
        <f aca="false">B59*(1+$B$3)</f>
        <v>77021.0775</v>
      </c>
      <c r="C60" s="4" t="n">
        <f aca="false">C59*1.072</f>
        <v>26.38526464</v>
      </c>
      <c r="D60" s="5" t="n">
        <f aca="false">IF(C60&gt;0,B60/C60,"")</f>
        <v>2919.09437145596</v>
      </c>
      <c r="E60" s="5" t="n">
        <f aca="false">AVERAGE(Production!$G$20:$G$29)</f>
        <v>-0.438003721980289</v>
      </c>
      <c r="F60" s="4" t="n">
        <f aca="false">C60*EXP(E60)</f>
        <v>17.0270281853237</v>
      </c>
      <c r="G60" s="4" t="n">
        <v>0</v>
      </c>
      <c r="H60" s="4" t="n">
        <f aca="false">G60*1000</f>
        <v>0</v>
      </c>
      <c r="I60" s="4" t="n">
        <f aca="false">I59*(1+$B$3)+H60</f>
        <v>105893.495059225</v>
      </c>
      <c r="J60" s="4" t="n">
        <f aca="false">F60*POWER(I60/B60,0.3)</f>
        <v>18.733406743982</v>
      </c>
      <c r="K60" s="4" t="n">
        <f aca="false">IF(F60&lt;&gt;0,J60-F60,0)</f>
        <v>1.70637855865833</v>
      </c>
      <c r="L60" s="5" t="n">
        <f aca="false">IF(F60&lt;&gt;0,K60/F60,0)</f>
        <v>0.100215876786363</v>
      </c>
      <c r="M60" s="4" t="n">
        <f aca="false">L60</f>
        <v>0.100215876786363</v>
      </c>
    </row>
    <row r="61" customFormat="false" ht="15" hidden="false" customHeight="true" outlineLevel="0" collapsed="false">
      <c r="A61" s="1" t="n">
        <v>2026</v>
      </c>
      <c r="B61" s="4" t="n">
        <f aca="false">B60*(1+$B$3)</f>
        <v>79716.8152125</v>
      </c>
      <c r="C61" s="4" t="n">
        <f aca="false">C60*1.072</f>
        <v>28.28500369408</v>
      </c>
      <c r="D61" s="5" t="n">
        <f aca="false">IF(C61&gt;0,B61/C61,"")</f>
        <v>2818.34204706802</v>
      </c>
      <c r="E61" s="5" t="n">
        <f aca="false">AVERAGE(Production!$G$20:$G$29)</f>
        <v>-0.438003721980289</v>
      </c>
      <c r="F61" s="4" t="n">
        <f aca="false">C61*EXP(E61)</f>
        <v>18.252974214667</v>
      </c>
      <c r="G61" s="4" t="n">
        <f aca="false">Investment!B5</f>
        <v>0.8125</v>
      </c>
      <c r="H61" s="4" t="n">
        <f aca="false">G61*1000</f>
        <v>812.5</v>
      </c>
      <c r="I61" s="4" t="n">
        <f aca="false">I60*(1+$B$3)+H61</f>
        <v>110412.267386298</v>
      </c>
      <c r="J61" s="4" t="n">
        <f aca="false">F61*POWER(I61/B61,0.3)</f>
        <v>20.1267594897077</v>
      </c>
      <c r="K61" s="4" t="n">
        <f aca="false">IF(F61&lt;&gt;0,J61-F61,0)</f>
        <v>1.87378527504072</v>
      </c>
      <c r="L61" s="5" t="n">
        <f aca="false">IF(F61&lt;&gt;0,K61/F61,0)</f>
        <v>0.102656435767879</v>
      </c>
      <c r="M61" s="5" t="n">
        <f aca="false">L61</f>
        <v>0.102656435767879</v>
      </c>
    </row>
    <row r="62" customFormat="false" ht="15" hidden="false" customHeight="true" outlineLevel="0" collapsed="false">
      <c r="A62" s="1" t="n">
        <v>2027</v>
      </c>
      <c r="B62" s="4" t="n">
        <f aca="false">B61*(1+$B$3)</f>
        <v>82506.9037449375</v>
      </c>
      <c r="C62" s="4" t="n">
        <f aca="false">C61*1.072</f>
        <v>30.3215239600538</v>
      </c>
      <c r="D62" s="5" t="n">
        <f aca="false">IF(C62&gt;0,B62/C62,"")</f>
        <v>2721.0671816375</v>
      </c>
      <c r="E62" s="5" t="n">
        <f aca="false">AVERAGE(Production!$G$20:$G$29)</f>
        <v>-0.438003721980289</v>
      </c>
      <c r="F62" s="4" t="n">
        <f aca="false">C62*EXP(E62)</f>
        <v>19.567188358123</v>
      </c>
      <c r="G62" s="4" t="n">
        <f aca="false">Investment!B6</f>
        <v>0.8125</v>
      </c>
      <c r="H62" s="4" t="n">
        <f aca="false">G62*1000</f>
        <v>812.5</v>
      </c>
      <c r="I62" s="4" t="n">
        <f aca="false">I61*(1+$B$3)+H62</f>
        <v>115089.196744818</v>
      </c>
      <c r="J62" s="4" t="n">
        <f aca="false">F62*POWER(I62/B62,0.3)</f>
        <v>21.6217930610053</v>
      </c>
      <c r="K62" s="4" t="n">
        <f aca="false">IF(F62&lt;&gt;0,J62-F62,0)</f>
        <v>2.05460470288233</v>
      </c>
      <c r="L62" s="5" t="n">
        <f aca="false">IF(F62&lt;&gt;0,K62/F62,0)</f>
        <v>0.105002551479472</v>
      </c>
      <c r="M62" s="5" t="n">
        <f aca="false">L62</f>
        <v>0.105002551479472</v>
      </c>
    </row>
    <row r="63" customFormat="false" ht="15" hidden="false" customHeight="true" outlineLevel="0" collapsed="false">
      <c r="A63" s="1" t="n">
        <v>2028</v>
      </c>
      <c r="B63" s="4" t="n">
        <f aca="false">B62*(1+$B$3)</f>
        <v>85394.6453760103</v>
      </c>
      <c r="C63" s="4" t="n">
        <f aca="false">C62*1.072</f>
        <v>32.5046736851776</v>
      </c>
      <c r="D63" s="5" t="n">
        <f aca="false">IF(C63&gt;0,B63/C63,"")</f>
        <v>2627.149750928</v>
      </c>
      <c r="E63" s="5" t="n">
        <f aca="false">AVERAGE(Production!$G$20:$G$29)</f>
        <v>-0.438003721980289</v>
      </c>
      <c r="F63" s="4" t="n">
        <f aca="false">C63*EXP(E63)</f>
        <v>20.9760259199079</v>
      </c>
      <c r="G63" s="4" t="n">
        <f aca="false">Investment!B7</f>
        <v>0.8125</v>
      </c>
      <c r="H63" s="4" t="n">
        <f aca="false">G63*1000</f>
        <v>812.5</v>
      </c>
      <c r="I63" s="4" t="n">
        <f aca="false">I62*(1+$B$3)+H63</f>
        <v>119929.818630887</v>
      </c>
      <c r="J63" s="4" t="n">
        <f aca="false">F63*POWER(I63/B63,0.3)</f>
        <v>23.2258797008212</v>
      </c>
      <c r="K63" s="4" t="n">
        <f aca="false">IF(F63&lt;&gt;0,J63-F63,0)</f>
        <v>2.24985378091339</v>
      </c>
      <c r="L63" s="5" t="n">
        <f aca="false">IF(F63&lt;&gt;0,K63/F63,0)</f>
        <v>0.10725834290556</v>
      </c>
      <c r="M63" s="5" t="n">
        <f aca="false">L63</f>
        <v>0.10725834290556</v>
      </c>
    </row>
    <row r="64" customFormat="false" ht="15" hidden="false" customHeight="true" outlineLevel="0" collapsed="false">
      <c r="A64" s="1" t="n">
        <v>2029</v>
      </c>
      <c r="B64" s="4" t="n">
        <f aca="false">B63*(1+$B$3)</f>
        <v>88383.4579641706</v>
      </c>
      <c r="C64" s="4" t="n">
        <f aca="false">C63*1.072</f>
        <v>34.8450101905104</v>
      </c>
      <c r="D64" s="5" t="n">
        <f aca="false">IF(C64&gt;0,B64/C64,"")</f>
        <v>2536.47387333067</v>
      </c>
      <c r="E64" s="5" t="n">
        <f aca="false">AVERAGE(Production!$G$20:$G$29)</f>
        <v>-0.438003721980289</v>
      </c>
      <c r="F64" s="4" t="n">
        <f aca="false">C64*EXP(E64)</f>
        <v>22.4862997861412</v>
      </c>
      <c r="G64" s="4" t="n">
        <f aca="false">Investment!B8</f>
        <v>0.8125</v>
      </c>
      <c r="H64" s="4" t="n">
        <f aca="false">G64*1000</f>
        <v>812.5</v>
      </c>
      <c r="I64" s="4" t="n">
        <f aca="false">I63*(1+$B$3)+H64</f>
        <v>124939.862282968</v>
      </c>
      <c r="J64" s="4" t="n">
        <f aca="false">F64*POWER(I64/B64,0.3)</f>
        <v>24.9469241439266</v>
      </c>
      <c r="K64" s="4" t="n">
        <f aca="false">IF(F64&lt;&gt;0,J64-F64,0)</f>
        <v>2.46062435778541</v>
      </c>
      <c r="L64" s="5" t="n">
        <f aca="false">IF(F64&lt;&gt;0,K64/F64,0)</f>
        <v>0.10942771292687</v>
      </c>
      <c r="M64" s="5" t="n">
        <f aca="false">L64</f>
        <v>0.10942771292687</v>
      </c>
    </row>
    <row r="65" customFormat="false" ht="15" hidden="false" customHeight="true" outlineLevel="0" collapsed="false">
      <c r="A65" s="1" t="n">
        <v>2030</v>
      </c>
      <c r="B65" s="4" t="n">
        <f aca="false">B64*(1+$B$3)</f>
        <v>91476.8789929166</v>
      </c>
      <c r="C65" s="4" t="n">
        <f aca="false">C64*1.072</f>
        <v>37.3538509242272</v>
      </c>
      <c r="D65" s="5" t="n">
        <f aca="false">IF(C65&gt;0,B65/C65,"")</f>
        <v>2448.92766688176</v>
      </c>
      <c r="E65" s="5" t="n">
        <f aca="false">AVERAGE(Production!$G$20:$G$29)</f>
        <v>-0.438003721980289</v>
      </c>
      <c r="F65" s="4" t="n">
        <f aca="false">C65*EXP(E65)</f>
        <v>24.1053133707434</v>
      </c>
      <c r="G65" s="4" t="n">
        <f aca="false">Investment!B9</f>
        <v>0.8125</v>
      </c>
      <c r="H65" s="4" t="n">
        <f aca="false">G65*1000</f>
        <v>812.5</v>
      </c>
      <c r="I65" s="4" t="n">
        <f aca="false">I64*(1+$B$3)+H65</f>
        <v>130125.257462871</v>
      </c>
      <c r="J65" s="4" t="n">
        <f aca="false">F65*POWER(I65/B65,0.3)</f>
        <v>26.7934020258533</v>
      </c>
      <c r="K65" s="4" t="n">
        <f aca="false">IF(F65&lt;&gt;0,J65-F65,0)</f>
        <v>2.68808865510988</v>
      </c>
      <c r="L65" s="5" t="n">
        <f aca="false">IF(F65&lt;&gt;0,K65/F65,0)</f>
        <v>0.111514362570885</v>
      </c>
      <c r="M65" s="5" t="n">
        <f aca="false">L65</f>
        <v>0.111514362570885</v>
      </c>
    </row>
    <row r="66" customFormat="false" ht="15" hidden="false" customHeight="true" outlineLevel="0" collapsed="false">
      <c r="A66" s="1" t="n">
        <v>2031</v>
      </c>
      <c r="B66" s="4" t="n">
        <f aca="false">B65*(1+$B$3)</f>
        <v>94678.5697576687</v>
      </c>
      <c r="C66" s="4" t="n">
        <f aca="false">C65*1.072</f>
        <v>40.0433281907716</v>
      </c>
      <c r="D66" s="5" t="n">
        <f aca="false">IF(C66&gt;0,B66/C66,"")</f>
        <v>2364.40311121513</v>
      </c>
      <c r="E66" s="5" t="n">
        <f aca="false">AVERAGE(Production!$G$20:$G$29)</f>
        <v>-0.438003721980289</v>
      </c>
      <c r="F66" s="4" t="n">
        <f aca="false">C66*EXP(E66)</f>
        <v>25.8408959334369</v>
      </c>
      <c r="G66" s="4" t="n">
        <f aca="false">Investment!B10</f>
        <v>0.8125</v>
      </c>
      <c r="H66" s="4" t="n">
        <f aca="false">G66*1000</f>
        <v>812.5</v>
      </c>
      <c r="I66" s="4" t="n">
        <f aca="false">I65*(1+$B$3)+H66</f>
        <v>135492.141474072</v>
      </c>
      <c r="J66" s="4" t="n">
        <f aca="false">F66*POWER(I66/B66,0.3)</f>
        <v>28.7744010590193</v>
      </c>
      <c r="K66" s="4" t="n">
        <f aca="false">IF(F66&lt;&gt;0,J66-F66,0)</f>
        <v>2.93350512558242</v>
      </c>
      <c r="L66" s="5" t="n">
        <f aca="false">IF(F66&lt;&gt;0,K66/F66,0)</f>
        <v>0.113521804086777</v>
      </c>
      <c r="M66" s="5" t="n">
        <f aca="false">L66</f>
        <v>0.113521804086777</v>
      </c>
    </row>
    <row r="67" customFormat="false" ht="15" hidden="false" customHeight="true" outlineLevel="0" collapsed="false">
      <c r="A67" s="1" t="n">
        <v>2032</v>
      </c>
      <c r="B67" s="4" t="n">
        <f aca="false">B66*(1+$B$3)</f>
        <v>97992.3196991871</v>
      </c>
      <c r="C67" s="4" t="n">
        <f aca="false">C66*1.072</f>
        <v>42.9264478205071</v>
      </c>
      <c r="D67" s="5" t="n">
        <f aca="false">IF(C67&gt;0,B67/C67,"")</f>
        <v>2282.79591427953</v>
      </c>
      <c r="E67" s="5" t="n">
        <f aca="false">AVERAGE(Production!$G$20:$G$29)</f>
        <v>-0.438003721980289</v>
      </c>
      <c r="F67" s="4" t="n">
        <f aca="false">C67*EXP(E67)</f>
        <v>27.7014404406444</v>
      </c>
      <c r="G67" s="4" t="n">
        <f aca="false">Investment!B11</f>
        <v>0.8125</v>
      </c>
      <c r="H67" s="4" t="n">
        <f aca="false">G67*1000</f>
        <v>812.5</v>
      </c>
      <c r="I67" s="4" t="n">
        <f aca="false">I66*(1+$B$3)+H67</f>
        <v>141046.866425664</v>
      </c>
      <c r="J67" s="4" t="n">
        <f aca="false">F67*POWER(I67/B67,0.3)</f>
        <v>30.8996651754183</v>
      </c>
      <c r="K67" s="4" t="n">
        <f aca="false">IF(F67&lt;&gt;0,J67-F67,0)</f>
        <v>3.19822473477392</v>
      </c>
      <c r="L67" s="5" t="n">
        <f aca="false">IF(F67&lt;&gt;0,K67/F67,0)</f>
        <v>0.11545337296184</v>
      </c>
      <c r="M67" s="5" t="n">
        <f aca="false">L67</f>
        <v>0.11545337296184</v>
      </c>
    </row>
    <row r="68" customFormat="false" ht="15" hidden="false" customHeight="true" outlineLevel="0" collapsed="false">
      <c r="A68" s="1" t="n">
        <v>2033</v>
      </c>
      <c r="B68" s="4" t="n">
        <f aca="false">B67*(1+$B$3)</f>
        <v>101422.050888659</v>
      </c>
      <c r="C68" s="4" t="n">
        <f aca="false">C67*1.072</f>
        <v>46.0171520635836</v>
      </c>
      <c r="D68" s="5" t="n">
        <f aca="false">IF(C68&gt;0,B68/C68,"")</f>
        <v>2204.00538365608</v>
      </c>
      <c r="E68" s="5" t="n">
        <f aca="false">AVERAGE(Production!$G$20:$G$29)</f>
        <v>-0.438003721980289</v>
      </c>
      <c r="F68" s="4" t="n">
        <f aca="false">C68*EXP(E68)</f>
        <v>29.6959441523708</v>
      </c>
      <c r="G68" s="4" t="n">
        <f aca="false">Investment!B12</f>
        <v>0.8125</v>
      </c>
      <c r="H68" s="4" t="n">
        <f aca="false">G68*1000</f>
        <v>812.5</v>
      </c>
      <c r="I68" s="4" t="n">
        <f aca="false">I67*(1+$B$3)+H68</f>
        <v>146796.006750563</v>
      </c>
      <c r="J68" s="4" t="n">
        <f aca="false">F68*POWER(I68/B68,0.3)</f>
        <v>33.1796418495946</v>
      </c>
      <c r="K68" s="4" t="n">
        <f aca="false">IF(F68&lt;&gt;0,J68-F68,0)</f>
        <v>3.48369769722387</v>
      </c>
      <c r="L68" s="5" t="n">
        <f aca="false">IF(F68&lt;&gt;0,K68/F68,0)</f>
        <v>0.117312238982836</v>
      </c>
      <c r="M68" s="5" t="n">
        <f aca="false">L68</f>
        <v>0.117312238982836</v>
      </c>
    </row>
    <row r="69" customFormat="false" ht="15" hidden="false" customHeight="true" outlineLevel="0" collapsed="false">
      <c r="A69" s="1" t="n">
        <v>2034</v>
      </c>
      <c r="B69" s="4" t="n">
        <f aca="false">B68*(1+$B$3)</f>
        <v>104971.822669762</v>
      </c>
      <c r="C69" s="4" t="n">
        <f aca="false">C68*1.072</f>
        <v>49.3303870121616</v>
      </c>
      <c r="D69" s="5" t="n">
        <f aca="false">IF(C69&gt;0,B69/C69,"")</f>
        <v>2127.9343023172</v>
      </c>
      <c r="E69" s="5" t="n">
        <f aca="false">AVERAGE(Production!$G$20:$G$29)</f>
        <v>-0.438003721980289</v>
      </c>
      <c r="F69" s="4" t="n">
        <f aca="false">C69*EXP(E69)</f>
        <v>31.8340521313415</v>
      </c>
      <c r="G69" s="4" t="n">
        <v>0</v>
      </c>
      <c r="H69" s="4" t="n">
        <f aca="false">G69*1000</f>
        <v>0</v>
      </c>
      <c r="I69" s="4" t="n">
        <f aca="false">I68*(1+$B$3)+H69</f>
        <v>151933.866986832</v>
      </c>
      <c r="J69" s="4" t="n">
        <f aca="false">F69*POWER(I69/B69,0.3)</f>
        <v>35.5685760627655</v>
      </c>
      <c r="K69" s="4" t="n">
        <f aca="false">IF(F69&lt;&gt;0,J69-F69,0)</f>
        <v>3.73452393142398</v>
      </c>
      <c r="L69" s="5" t="n">
        <f aca="false">IF(F69&lt;&gt;0,K69/F69,0)</f>
        <v>0.117312238982836</v>
      </c>
      <c r="M69" s="5" t="n">
        <f aca="false">L69</f>
        <v>0.117312238982836</v>
      </c>
    </row>
    <row r="70" customFormat="false" ht="15" hidden="false" customHeight="true" outlineLevel="0" collapsed="false">
      <c r="A70" s="1" t="n">
        <v>2035</v>
      </c>
      <c r="B70" s="4" t="n">
        <f aca="false">B69*(1+$B$3)</f>
        <v>108645.836463203</v>
      </c>
      <c r="C70" s="4" t="n">
        <f aca="false">C69*1.072</f>
        <v>52.8821748770373</v>
      </c>
      <c r="D70" s="5" t="n">
        <f aca="false">IF(C70&gt;0,B70/C70,"")</f>
        <v>2054.48880867379</v>
      </c>
      <c r="E70" s="5" t="n">
        <f aca="false">AVERAGE(Production!$G$20:$G$29)</f>
        <v>-0.438003721980289</v>
      </c>
      <c r="F70" s="4" t="n">
        <f aca="false">C70*EXP(E70)</f>
        <v>34.1261038847981</v>
      </c>
      <c r="G70" s="4" t="n">
        <v>0</v>
      </c>
      <c r="H70" s="4" t="n">
        <f aca="false">G70*1000</f>
        <v>0</v>
      </c>
      <c r="I70" s="4" t="n">
        <f aca="false">I69*(1+$B$3)+H70</f>
        <v>157251.552331372</v>
      </c>
      <c r="J70" s="4" t="n">
        <f aca="false">F70*POWER(I70/B70,0.3)</f>
        <v>38.1295135392846</v>
      </c>
      <c r="K70" s="4" t="n">
        <f aca="false">IF(F70&lt;&gt;0,J70-F70,0)</f>
        <v>4.00340965448651</v>
      </c>
      <c r="L70" s="5" t="n">
        <f aca="false">IF(F70&lt;&gt;0,K70/F70,0)</f>
        <v>0.117312238982836</v>
      </c>
      <c r="M70" s="5" t="n">
        <f aca="false">L70</f>
        <v>0.117312238982836</v>
      </c>
    </row>
    <row r="71" customFormat="false" ht="15" hidden="false" customHeight="true" outlineLevel="0" collapsed="false">
      <c r="A71" s="1" t="n">
        <v>2036</v>
      </c>
      <c r="B71" s="4" t="n">
        <f aca="false">B70*(1+$B$3)</f>
        <v>112448.440739415</v>
      </c>
      <c r="C71" s="4" t="n">
        <f aca="false">C70*1.072</f>
        <v>56.689691468184</v>
      </c>
      <c r="D71" s="5" t="n">
        <f aca="false">IF(C71&gt;0,B71/C71,"")</f>
        <v>1983.57828076247</v>
      </c>
      <c r="E71" s="5" t="n">
        <f aca="false">AVERAGE(Production!$G$20:$G$29)</f>
        <v>-0.438003721980289</v>
      </c>
      <c r="F71" s="4" t="n">
        <f aca="false">C71*EXP(E71)</f>
        <v>36.5831833645035</v>
      </c>
      <c r="G71" s="4" t="n">
        <v>0</v>
      </c>
      <c r="H71" s="4" t="n">
        <f aca="false">G71*1000</f>
        <v>0</v>
      </c>
      <c r="I71" s="4" t="n">
        <f aca="false">I70*(1+$B$3)+H71</f>
        <v>162755.356662969</v>
      </c>
      <c r="J71" s="4" t="n">
        <f aca="false">F71*POWER(I71/B71,0.3)</f>
        <v>40.8748385141131</v>
      </c>
      <c r="K71" s="4" t="n">
        <f aca="false">IF(F71&lt;&gt;0,J71-F71,0)</f>
        <v>4.29165514960954</v>
      </c>
      <c r="L71" s="5" t="n">
        <f aca="false">IF(F71&lt;&gt;0,K71/F71,0)</f>
        <v>0.117312238982836</v>
      </c>
      <c r="M71" s="5" t="n">
        <f aca="false">L71</f>
        <v>0.117312238982836</v>
      </c>
    </row>
    <row r="72" customFormat="false" ht="15" hidden="false" customHeight="true" outlineLevel="0" collapsed="false">
      <c r="A72" s="1" t="n">
        <v>2037</v>
      </c>
      <c r="B72" s="4" t="n">
        <f aca="false">B71*(1+$B$3)</f>
        <v>116384.136165295</v>
      </c>
      <c r="C72" s="4" t="n">
        <f aca="false">C71*1.072</f>
        <v>60.7713492538932</v>
      </c>
      <c r="D72" s="5" t="n">
        <f aca="false">IF(C72&gt;0,B72/C72,"")</f>
        <v>1915.11522443019</v>
      </c>
      <c r="E72" s="5" t="n">
        <f aca="false">AVERAGE(Production!$G$20:$G$29)</f>
        <v>-0.438003721980289</v>
      </c>
      <c r="F72" s="4" t="n">
        <f aca="false">C72*EXP(E72)</f>
        <v>39.2171725667478</v>
      </c>
      <c r="G72" s="4" t="n">
        <v>0</v>
      </c>
      <c r="H72" s="4" t="n">
        <f aca="false">G72*1000</f>
        <v>0</v>
      </c>
      <c r="I72" s="4" t="n">
        <f aca="false">I71*(1+$B$3)+H72</f>
        <v>168451.794146173</v>
      </c>
      <c r="J72" s="4" t="n">
        <f aca="false">F72*POWER(I72/B72,0.3)</f>
        <v>43.8178268871292</v>
      </c>
      <c r="K72" s="4" t="n">
        <f aca="false">IF(F72&lt;&gt;0,J72-F72,0)</f>
        <v>4.60065432038143</v>
      </c>
      <c r="L72" s="5" t="n">
        <f aca="false">IF(F72&lt;&gt;0,K72/F72,0)</f>
        <v>0.117312238982836</v>
      </c>
      <c r="M72" s="5" t="n">
        <f aca="false">L72</f>
        <v>0.117312238982836</v>
      </c>
    </row>
    <row r="73" customFormat="false" ht="15" hidden="false" customHeight="true" outlineLevel="0" collapsed="false">
      <c r="A73" s="1" t="n">
        <v>2038</v>
      </c>
      <c r="B73" s="4" t="n">
        <f aca="false">B72*(1+$B$3)</f>
        <v>120457.58093108</v>
      </c>
      <c r="C73" s="4" t="n">
        <f aca="false">C72*1.072</f>
        <v>65.1468864001735</v>
      </c>
      <c r="D73" s="5" t="n">
        <f aca="false">IF(C73&gt;0,B73/C73,"")</f>
        <v>1849.01516537803</v>
      </c>
      <c r="E73" s="5" t="n">
        <f aca="false">AVERAGE(Production!$G$20:$G$29)</f>
        <v>-0.438003721980289</v>
      </c>
      <c r="F73" s="4" t="n">
        <f aca="false">C73*EXP(E73)</f>
        <v>42.0408089915536</v>
      </c>
      <c r="G73" s="4" t="n">
        <v>0</v>
      </c>
      <c r="H73" s="4" t="n">
        <f aca="false">G73*1000</f>
        <v>0</v>
      </c>
      <c r="I73" s="4" t="n">
        <f aca="false">I72*(1+$B$3)+H73</f>
        <v>174347.606941289</v>
      </c>
      <c r="J73" s="4" t="n">
        <f aca="false">F73*POWER(I73/B73,0.3)</f>
        <v>46.9727104230025</v>
      </c>
      <c r="K73" s="4" t="n">
        <f aca="false">IF(F73&lt;&gt;0,J73-F73,0)</f>
        <v>4.93190143144889</v>
      </c>
      <c r="L73" s="5" t="n">
        <f aca="false">IF(F73&lt;&gt;0,K73/F73,0)</f>
        <v>0.117312238982836</v>
      </c>
      <c r="M73" s="5" t="n">
        <f aca="false">L73</f>
        <v>0.117312238982836</v>
      </c>
    </row>
    <row r="74" customFormat="false" ht="15" hidden="false" customHeight="true" outlineLevel="0" collapsed="false">
      <c r="A74" s="1" t="n">
        <v>2039</v>
      </c>
      <c r="B74" s="4" t="n">
        <f aca="false">B73*(1+$B$3)</f>
        <v>124673.596263668</v>
      </c>
      <c r="C74" s="4" t="n">
        <f aca="false">C73*1.072</f>
        <v>69.837462220986</v>
      </c>
      <c r="D74" s="5" t="n">
        <f aca="false">IF(C74&gt;0,B74/C74,"")</f>
        <v>1785.19654493121</v>
      </c>
      <c r="E74" s="5" t="n">
        <f aca="false">AVERAGE(Production!$G$20:$G$29)</f>
        <v>-0.438003721980289</v>
      </c>
      <c r="F74" s="4" t="n">
        <f aca="false">C74*EXP(E74)</f>
        <v>45.0677472389455</v>
      </c>
      <c r="G74" s="4" t="n">
        <v>0</v>
      </c>
      <c r="H74" s="4" t="n">
        <f aca="false">G74*1000</f>
        <v>0</v>
      </c>
      <c r="I74" s="4" t="n">
        <f aca="false">I73*(1+$B$3)+H74</f>
        <v>180449.773184235</v>
      </c>
      <c r="J74" s="4" t="n">
        <f aca="false">F74*POWER(I74/B74,0.3)</f>
        <v>50.3547455734587</v>
      </c>
      <c r="K74" s="4" t="n">
        <f aca="false">IF(F74&lt;&gt;0,J74-F74,0)</f>
        <v>5.28699833451321</v>
      </c>
      <c r="L74" s="5" t="n">
        <f aca="false">IF(F74&lt;&gt;0,K74/F74,0)</f>
        <v>0.117312238982836</v>
      </c>
      <c r="M74" s="5" t="n">
        <f aca="false">L74</f>
        <v>0.117312238982836</v>
      </c>
    </row>
    <row r="75" customFormat="false" ht="15" hidden="false" customHeight="true" outlineLevel="0" collapsed="false">
      <c r="A75" s="1" t="n">
        <v>2040</v>
      </c>
      <c r="B75" s="4" t="n">
        <f aca="false">B74*(1+$B$3)</f>
        <v>129037.172132896</v>
      </c>
      <c r="C75" s="4" t="n">
        <f aca="false">C74*1.072</f>
        <v>74.865759500897</v>
      </c>
      <c r="D75" s="5" t="n">
        <f aca="false">IF(C75&gt;0,B75/C75,"")</f>
        <v>1723.58061940653</v>
      </c>
      <c r="E75" s="5" t="n">
        <f aca="false">AVERAGE(Production!$G$20:$G$29)</f>
        <v>-0.438003721980289</v>
      </c>
      <c r="F75" s="4" t="n">
        <f aca="false">C75*EXP(E75)</f>
        <v>48.3126250401496</v>
      </c>
      <c r="G75" s="4" t="n">
        <v>0</v>
      </c>
      <c r="H75" s="4" t="n">
        <f aca="false">G75*1000</f>
        <v>0</v>
      </c>
      <c r="I75" s="4" t="n">
        <f aca="false">I74*(1+$B$3)+H75</f>
        <v>186765.515245683</v>
      </c>
      <c r="J75" s="4" t="n">
        <f aca="false">F75*POWER(I75/B75,0.3)</f>
        <v>53.9802872547477</v>
      </c>
      <c r="K75" s="4" t="n">
        <f aca="false">IF(F75&lt;&gt;0,J75-F75,0)</f>
        <v>5.66766221459817</v>
      </c>
      <c r="L75" s="5" t="n">
        <f aca="false">IF(F75&lt;&gt;0,K75/F75,0)</f>
        <v>0.117312238982836</v>
      </c>
      <c r="M75" s="5" t="n">
        <f aca="false">L75</f>
        <v>0.117312238982836</v>
      </c>
    </row>
    <row r="76" customFormat="false" ht="15" hidden="false" customHeight="true" outlineLevel="0" collapsed="false">
      <c r="A76" s="1" t="n">
        <v>2041</v>
      </c>
      <c r="B76" s="4" t="n">
        <f aca="false">B75*(1+$B$3)</f>
        <v>133553.473157548</v>
      </c>
      <c r="C76" s="4" t="n">
        <f aca="false">C75*1.072</f>
        <v>80.2560941849616</v>
      </c>
      <c r="D76" s="5" t="n">
        <f aca="false">IF(C76&gt;0,B76/C76,"")</f>
        <v>1664.09136295313</v>
      </c>
      <c r="E76" s="5" t="n">
        <f aca="false">AVERAGE(Production!$G$20:$G$29)</f>
        <v>-0.438003721980289</v>
      </c>
      <c r="F76" s="4" t="n">
        <f aca="false">C76*EXP(E76)</f>
        <v>51.7911340430403</v>
      </c>
      <c r="G76" s="4" t="n">
        <v>0</v>
      </c>
      <c r="H76" s="4" t="n">
        <f aca="false">G76*1000</f>
        <v>0</v>
      </c>
      <c r="I76" s="4" t="n">
        <f aca="false">I75*(1+$B$3)+H76</f>
        <v>193302.308279282</v>
      </c>
      <c r="J76" s="4" t="n">
        <f aca="false">F76*POWER(I76/B76,0.3)</f>
        <v>57.8668679370896</v>
      </c>
      <c r="K76" s="4" t="n">
        <f aca="false">IF(F76&lt;&gt;0,J76-F76,0)</f>
        <v>6.07573389404923</v>
      </c>
      <c r="L76" s="5" t="n">
        <f aca="false">IF(F76&lt;&gt;0,K76/F76,0)</f>
        <v>0.117312238982836</v>
      </c>
      <c r="M76" s="5" t="n">
        <f aca="false">L76</f>
        <v>0.117312238982836</v>
      </c>
    </row>
    <row r="77" customFormat="false" ht="15" hidden="false" customHeight="true" outlineLevel="0" collapsed="false">
      <c r="A77" s="1" t="n">
        <v>2042</v>
      </c>
      <c r="B77" s="4" t="n">
        <f aca="false">B76*(1+$B$3)</f>
        <v>138227.844718062</v>
      </c>
      <c r="C77" s="4" t="n">
        <f aca="false">C76*1.072</f>
        <v>86.0345329662789</v>
      </c>
      <c r="D77" s="5" t="n">
        <f aca="false">IF(C77&gt;0,B77/C77,"")</f>
        <v>1606.65537374673</v>
      </c>
      <c r="E77" s="5" t="n">
        <f aca="false">AVERAGE(Production!$G$20:$G$29)</f>
        <v>-0.438003721980289</v>
      </c>
      <c r="F77" s="4" t="n">
        <f aca="false">C77*EXP(E77)</f>
        <v>55.5200956941392</v>
      </c>
      <c r="G77" s="4" t="n">
        <v>0</v>
      </c>
      <c r="H77" s="4" t="n">
        <f aca="false">G77*1000</f>
        <v>0</v>
      </c>
      <c r="I77" s="4" t="n">
        <f aca="false">I76*(1+$B$3)+H77</f>
        <v>200067.889069057</v>
      </c>
      <c r="J77" s="4" t="n">
        <f aca="false">F77*POWER(I77/B77,0.3)</f>
        <v>62.03328242856</v>
      </c>
      <c r="K77" s="4" t="n">
        <f aca="false">IF(F77&lt;&gt;0,J77-F77,0)</f>
        <v>6.51318673442076</v>
      </c>
      <c r="L77" s="5" t="n">
        <f aca="false">IF(F77&lt;&gt;0,K77/F77,0)</f>
        <v>0.117312238982836</v>
      </c>
      <c r="M77" s="5" t="n">
        <f aca="false">L77</f>
        <v>0.117312238982836</v>
      </c>
    </row>
    <row r="78" customFormat="false" ht="15" hidden="false" customHeight="true" outlineLevel="0" collapsed="false">
      <c r="A78" s="1" t="n">
        <v>2043</v>
      </c>
      <c r="B78" s="4" t="n">
        <f aca="false">B77*(1+$B$3)</f>
        <v>143065.819283194</v>
      </c>
      <c r="C78" s="4" t="n">
        <f aca="false">C77*1.072</f>
        <v>92.2290193398509</v>
      </c>
      <c r="D78" s="5" t="n">
        <f aca="false">IF(C78&gt;0,B78/C78,"")</f>
        <v>1551.20178342152</v>
      </c>
      <c r="E78" s="5" t="n">
        <f aca="false">AVERAGE(Production!$G$20:$G$29)</f>
        <v>-0.438003721980289</v>
      </c>
      <c r="F78" s="4" t="n">
        <f aca="false">C78*EXP(E78)</f>
        <v>59.5175425841173</v>
      </c>
      <c r="G78" s="4" t="n">
        <v>0</v>
      </c>
      <c r="H78" s="4" t="n">
        <f aca="false">G78*1000</f>
        <v>0</v>
      </c>
      <c r="I78" s="4" t="n">
        <f aca="false">I77*(1+$B$3)+H78</f>
        <v>207070.265186473</v>
      </c>
      <c r="J78" s="4" t="n">
        <f aca="false">F78*POWER(I78/B78,0.3)</f>
        <v>66.4996787634163</v>
      </c>
      <c r="K78" s="4" t="n">
        <f aca="false">IF(F78&lt;&gt;0,J78-F78,0)</f>
        <v>6.98213617929906</v>
      </c>
      <c r="L78" s="5" t="n">
        <f aca="false">IF(F78&lt;&gt;0,K78/F78,0)</f>
        <v>0.117312238982836</v>
      </c>
      <c r="M78" s="5" t="n">
        <f aca="false">L78</f>
        <v>0.117312238982836</v>
      </c>
    </row>
  </sheetData>
  <printOptions headings="false" gridLines="false" gridLinesSet="true" horizontalCentered="false" verticalCentered="false"/>
  <pageMargins left="0.5" right="0.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7" t="s">
        <v>75</v>
      </c>
    </row>
    <row r="3" customFormat="false" ht="15" hidden="false" customHeight="true" outlineLevel="0" collapsed="false">
      <c r="A3" s="1" t="s">
        <v>76</v>
      </c>
    </row>
  </sheetData>
  <printOptions headings="false" gridLines="false" gridLinesSet="true" horizontalCentered="false" verticalCentered="false"/>
  <pageMargins left="0.5" right="0.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20"/>
    <col collapsed="false" customWidth="true" hidden="false" outlineLevel="0" max="3" min="3" style="1" width="25"/>
  </cols>
  <sheetData>
    <row r="1" customFormat="false" ht="17.25" hidden="false" customHeight="true" outlineLevel="0" collapsed="false">
      <c r="A1" s="15" t="s">
        <v>77</v>
      </c>
      <c r="B1" s="15"/>
      <c r="C1" s="15"/>
    </row>
    <row r="3" customFormat="false" ht="15" hidden="false" customHeight="true" outlineLevel="0" collapsed="false">
      <c r="A3" s="7" t="s">
        <v>78</v>
      </c>
    </row>
    <row r="4" customFormat="false" ht="15" hidden="false" customHeight="true" outlineLevel="0" collapsed="false">
      <c r="A4" s="1" t="s">
        <v>79</v>
      </c>
    </row>
    <row r="6" customFormat="false" ht="15" hidden="false" customHeight="true" outlineLevel="0" collapsed="false">
      <c r="A6" s="3" t="s">
        <v>80</v>
      </c>
    </row>
    <row r="7" customFormat="false" ht="15" hidden="false" customHeight="true" outlineLevel="0" collapsed="false">
      <c r="A7" s="1" t="s">
        <v>81</v>
      </c>
      <c r="B7" s="1" t="s">
        <v>82</v>
      </c>
    </row>
    <row r="8" customFormat="false" ht="15" hidden="false" customHeight="true" outlineLevel="0" collapsed="false">
      <c r="A8" s="1" t="s">
        <v>83</v>
      </c>
      <c r="B8" s="1" t="s">
        <v>84</v>
      </c>
    </row>
    <row r="9" customFormat="false" ht="15" hidden="false" customHeight="true" outlineLevel="0" collapsed="false">
      <c r="A9" s="1" t="s">
        <v>85</v>
      </c>
      <c r="B9" s="1" t="s">
        <v>86</v>
      </c>
    </row>
    <row r="10" customFormat="false" ht="15" hidden="false" customHeight="true" outlineLevel="0" collapsed="false">
      <c r="A10" s="1" t="s">
        <v>87</v>
      </c>
      <c r="B10" s="1" t="s">
        <v>88</v>
      </c>
    </row>
    <row r="11" customFormat="false" ht="15" hidden="false" customHeight="true" outlineLevel="0" collapsed="false">
      <c r="A11" s="1" t="s">
        <v>69</v>
      </c>
      <c r="B11" s="1" t="s">
        <v>89</v>
      </c>
    </row>
    <row r="12" customFormat="false" ht="15" hidden="false" customHeight="true" outlineLevel="0" collapsed="false">
      <c r="A12" s="1" t="s">
        <v>90</v>
      </c>
      <c r="B12" s="1" t="s">
        <v>91</v>
      </c>
    </row>
    <row r="14" customFormat="false" ht="15" hidden="false" customHeight="true" outlineLevel="0" collapsed="false">
      <c r="A14" s="3" t="s">
        <v>92</v>
      </c>
    </row>
    <row r="15" customFormat="false" ht="15" hidden="false" customHeight="true" outlineLevel="0" collapsed="false">
      <c r="A15" s="1" t="s">
        <v>93</v>
      </c>
    </row>
    <row r="16" customFormat="false" ht="15" hidden="false" customHeight="true" outlineLevel="0" collapsed="false">
      <c r="A16" s="1" t="s">
        <v>94</v>
      </c>
    </row>
    <row r="18" customFormat="false" ht="15" hidden="false" customHeight="true" outlineLevel="0" collapsed="false">
      <c r="A18" s="1" t="s">
        <v>95</v>
      </c>
    </row>
    <row r="19" customFormat="false" ht="15" hidden="false" customHeight="true" outlineLevel="0" collapsed="false">
      <c r="A19" s="1" t="s">
        <v>96</v>
      </c>
      <c r="B19" s="1" t="n">
        <v>0.3</v>
      </c>
    </row>
    <row r="20" customFormat="false" ht="15" hidden="false" customHeight="true" outlineLevel="0" collapsed="false">
      <c r="A20" s="1" t="s">
        <v>97</v>
      </c>
      <c r="B20" s="1" t="n">
        <f aca="false">CFC_data!C32</f>
        <v>0.035</v>
      </c>
    </row>
    <row r="22" customFormat="false" ht="15" hidden="false" customHeight="true" outlineLevel="0" collapsed="false">
      <c r="A22" s="3" t="s">
        <v>98</v>
      </c>
    </row>
    <row r="23" customFormat="false" ht="15" hidden="false" customHeight="true" outlineLevel="0" collapsed="false">
      <c r="A23" s="1" t="s">
        <v>99</v>
      </c>
      <c r="B23" s="1" t="n">
        <v>1600</v>
      </c>
      <c r="C23" s="1" t="s">
        <v>100</v>
      </c>
    </row>
    <row r="24" customFormat="false" ht="15" hidden="false" customHeight="true" outlineLevel="0" collapsed="false">
      <c r="A24" s="1" t="s">
        <v>101</v>
      </c>
      <c r="B24" s="1" t="s">
        <v>102</v>
      </c>
    </row>
    <row r="26" customFormat="false" ht="15" hidden="false" customHeight="true" outlineLevel="0" collapsed="false">
      <c r="A26" s="3" t="s">
        <v>103</v>
      </c>
    </row>
    <row r="27" customFormat="false" ht="15" hidden="false" customHeight="true" outlineLevel="0" collapsed="false">
      <c r="A27" s="1" t="s">
        <v>104</v>
      </c>
    </row>
    <row r="28" customFormat="false" ht="15" hidden="false" customHeight="true" outlineLevel="0" collapsed="false">
      <c r="A28" s="1" t="s">
        <v>105</v>
      </c>
    </row>
    <row r="29" customFormat="false" ht="15" hidden="false" customHeight="true" outlineLevel="0" collapsed="false">
      <c r="A29" s="1" t="s">
        <v>106</v>
      </c>
    </row>
    <row r="30" customFormat="false" ht="15" hidden="false" customHeight="true" outlineLevel="0" collapsed="false">
      <c r="A30" s="1" t="s">
        <v>107</v>
      </c>
    </row>
    <row r="31" customFormat="false" ht="15" hidden="false" customHeight="true" outlineLevel="0" collapsed="false">
      <c r="A31" s="1" t="s">
        <v>108</v>
      </c>
    </row>
    <row r="32" customFormat="false" ht="15" hidden="false" customHeight="true" outlineLevel="0" collapsed="false">
      <c r="A32" s="1" t="s">
        <v>109</v>
      </c>
    </row>
    <row r="33" customFormat="false" ht="15" hidden="false" customHeight="true" outlineLevel="0" collapsed="false">
      <c r="A33" s="1" t="s">
        <v>110</v>
      </c>
    </row>
    <row r="34" customFormat="false" ht="15" hidden="false" customHeight="true" outlineLevel="0" collapsed="false">
      <c r="A34" s="1" t="s">
        <v>111</v>
      </c>
    </row>
    <row r="35" customFormat="false" ht="15" hidden="false" customHeight="true" outlineLevel="0" collapsed="false">
      <c r="A35" s="1" t="s">
        <v>112</v>
      </c>
    </row>
    <row r="37" customFormat="false" ht="15" hidden="false" customHeight="true" outlineLevel="0" collapsed="false">
      <c r="A37" s="3" t="s">
        <v>113</v>
      </c>
    </row>
    <row r="38" customFormat="false" ht="15" hidden="false" customHeight="true" outlineLevel="0" collapsed="false">
      <c r="A38" s="1" t="s">
        <v>114</v>
      </c>
    </row>
    <row r="39" customFormat="false" ht="15" hidden="false" customHeight="true" outlineLevel="0" collapsed="false">
      <c r="A39" s="1" t="s">
        <v>115</v>
      </c>
    </row>
    <row r="40" customFormat="false" ht="15" hidden="false" customHeight="true" outlineLevel="0" collapsed="false">
      <c r="A40" s="1" t="s">
        <v>116</v>
      </c>
    </row>
    <row r="41" customFormat="false" ht="15" hidden="false" customHeight="true" outlineLevel="0" collapsed="false">
      <c r="A41" s="1" t="s">
        <v>117</v>
      </c>
    </row>
    <row r="42" customFormat="false" ht="15" hidden="false" customHeight="true" outlineLevel="0" collapsed="false">
      <c r="A42" s="1" t="s">
        <v>118</v>
      </c>
    </row>
    <row r="43" customFormat="false" ht="15" hidden="false" customHeight="true" outlineLevel="0" collapsed="false">
      <c r="A43" s="1" t="s">
        <v>119</v>
      </c>
    </row>
    <row r="45" customFormat="false" ht="15" hidden="false" customHeight="true" outlineLevel="0" collapsed="false">
      <c r="A45" s="3" t="s">
        <v>120</v>
      </c>
    </row>
    <row r="46" customFormat="false" ht="15" hidden="false" customHeight="true" outlineLevel="0" collapsed="false">
      <c r="A46" s="1" t="s">
        <v>121</v>
      </c>
    </row>
    <row r="47" customFormat="false" ht="15" hidden="false" customHeight="true" outlineLevel="0" collapsed="false">
      <c r="A47" s="1" t="s">
        <v>122</v>
      </c>
    </row>
    <row r="48" customFormat="false" ht="15" hidden="false" customHeight="true" outlineLevel="0" collapsed="false">
      <c r="A48" s="1" t="s">
        <v>123</v>
      </c>
    </row>
    <row r="49" customFormat="false" ht="15" hidden="false" customHeight="true" outlineLevel="0" collapsed="false">
      <c r="A49" s="1" t="s">
        <v>124</v>
      </c>
    </row>
    <row r="50" customFormat="false" ht="15" hidden="false" customHeight="true" outlineLevel="0" collapsed="false">
      <c r="A50" s="1" t="s">
        <v>125</v>
      </c>
    </row>
    <row r="51" customFormat="false" ht="15" hidden="false" customHeight="true" outlineLevel="0" collapsed="false">
      <c r="A51" s="1" t="s">
        <v>126</v>
      </c>
    </row>
    <row r="52" customFormat="false" ht="15" hidden="false" customHeight="true" outlineLevel="0" collapsed="false">
      <c r="A52" s="1" t="s">
        <v>127</v>
      </c>
    </row>
    <row r="53" customFormat="false" ht="15" hidden="false" customHeight="true" outlineLevel="0" collapsed="false">
      <c r="A53" s="1" t="s">
        <v>128</v>
      </c>
    </row>
    <row r="54" customFormat="false" ht="15" hidden="false" customHeight="true" outlineLevel="0" collapsed="false">
      <c r="A54" s="1" t="s">
        <v>129</v>
      </c>
    </row>
  </sheetData>
  <mergeCells count="1">
    <mergeCell ref="A1:C1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2026-01-29T03:37:29Z</dcterms:created>
  <dc:creator>openpyxl</dc:creator>
  <dc:description/>
  <dc:language>en-US</dc:language>
  <cp:lastModifiedBy/>
  <dcterms:modified xsi:type="dcterms:W3CDTF">2026-01-29T03:45:35Z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