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sz val="10"/>
    </font>
    <font>
      <b val="1"/>
      <u val="single"/>
    </font>
    <font>
      <i val="1"/>
    </font>
    <font>
      <b val="1"/>
      <sz val="11"/>
    </font>
    <font>
      <b val="1"/>
      <color rgb="00FF0000"/>
    </font>
    <font>
      <b val="1"/>
      <color rgb="00FFFFFF"/>
    </font>
    <font>
      <b val="1"/>
      <i val="1"/>
    </font>
    <font>
      <b val="1"/>
      <color rgb="00FF0000"/>
      <sz val="11"/>
    </font>
    <font>
      <b val="1"/>
      <color rgb="00FFFFFF"/>
      <sz val="13"/>
    </font>
    <font>
      <i val="1"/>
      <sz val="11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6E6FA"/>
        <bgColor rgb="00E6E6FA"/>
      </patternFill>
    </fill>
    <fill>
      <patternFill patternType="solid">
        <fgColor rgb="00366092"/>
        <bgColor rgb="00366092"/>
      </patternFill>
    </fill>
    <fill>
      <patternFill patternType="solid">
        <fgColor rgb="00FFFFCC"/>
        <bgColor rgb="00FFFFCC"/>
      </patternFill>
    </fill>
    <fill>
      <patternFill patternType="solid">
        <fgColor rgb="001F4E78"/>
        <bgColor rgb="001F4E78"/>
      </patternFill>
    </fill>
    <fill>
      <patternFill patternType="solid">
        <fgColor rgb="00E6F0FF"/>
        <bgColor rgb="00E6F0FF"/>
      </patternFill>
    </fill>
    <fill>
      <patternFill patternType="solid">
        <fgColor rgb="00336633"/>
        <bgColor rgb="00336633"/>
      </patternFill>
    </fill>
    <fill>
      <patternFill patternType="solid">
        <fgColor rgb="00663333"/>
        <bgColor rgb="0066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3" borderId="0" pivotButton="0" quotePrefix="0" xfId="0"/>
    <xf numFmtId="0" fontId="7" fillId="0" borderId="0" pivotButton="0" quotePrefix="0" xfId="0"/>
    <xf numFmtId="10" fontId="7" fillId="0" borderId="0" pivotButton="0" quotePrefix="0" xfId="0"/>
    <xf numFmtId="0" fontId="8" fillId="4" borderId="0" pivotButton="0" quotePrefix="0" xfId="0"/>
    <xf numFmtId="0" fontId="6" fillId="5" borderId="0" pivotButton="0" quotePrefix="0" xfId="0"/>
    <xf numFmtId="0" fontId="9" fillId="0" borderId="0" pivotButton="0" quotePrefix="0" xfId="0"/>
    <xf numFmtId="10" fontId="0" fillId="0" borderId="0" pivotButton="0" quotePrefix="0" xfId="0"/>
    <xf numFmtId="164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4" borderId="0" pivotButton="0" quotePrefix="0" xfId="0"/>
    <xf numFmtId="0" fontId="1" fillId="2" borderId="0" pivotButton="0" quotePrefix="0" xfId="0"/>
    <xf numFmtId="0" fontId="6" fillId="7" borderId="0" pivotButton="0" quotePrefix="0" xfId="0"/>
    <xf numFmtId="0" fontId="8" fillId="4" borderId="0" applyAlignment="1" pivotButton="0" quotePrefix="0" xfId="0">
      <alignment horizontal="center" vertical="center"/>
    </xf>
    <xf numFmtId="4" fontId="0" fillId="0" borderId="0" pivotButton="0" quotePrefix="0" xfId="0"/>
    <xf numFmtId="0" fontId="13" fillId="8" borderId="0" pivotButton="0" quotePrefix="0" xfId="0"/>
    <xf numFmtId="0" fontId="8" fillId="8" borderId="0" applyAlignment="1" pivotButton="0" quotePrefix="0" xfId="0">
      <alignment horizontal="center" vertical="center"/>
    </xf>
    <xf numFmtId="0" fontId="13" fillId="9" borderId="0" pivotButton="0" quotePrefix="0" xfId="0"/>
    <xf numFmtId="0" fontId="8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Georgia - IMF WEO Data</t>
        </is>
      </c>
    </row>
    <row r="2">
      <c r="A2" s="1" t="inlineStr">
        <is>
          <t>Year</t>
        </is>
      </c>
      <c r="B2" s="1" t="inlineStr">
        <is>
          <t>Real GDP Growth (%)</t>
        </is>
      </c>
      <c r="C2" s="1" t="inlineStr">
        <is>
          <t>Nominal GDP (USD millions)</t>
        </is>
      </c>
      <c r="D2" s="1" t="inlineStr">
        <is>
          <t>GDP Deflator Growth (%)</t>
        </is>
      </c>
      <c r="E2" s="1" t="inlineStr">
        <is>
          <t>GDP Deflator Index</t>
        </is>
      </c>
    </row>
    <row r="3">
      <c r="A3" s="2" t="n">
        <v>2020</v>
      </c>
      <c r="B3" s="2" t="n">
        <v>-6.2</v>
      </c>
      <c r="C3" s="2" t="n">
        <v>16010</v>
      </c>
      <c r="D3" s="2" t="n"/>
      <c r="E3" s="2" t="n">
        <v>100</v>
      </c>
    </row>
    <row r="4">
      <c r="A4" s="2" t="n">
        <v>2021</v>
      </c>
      <c r="B4" s="2" t="n">
        <v>10.6</v>
      </c>
      <c r="C4" s="2" t="n">
        <v>18850</v>
      </c>
      <c r="D4" s="2">
        <f>((C4-C3)/C3 - B4/100) / (1 + B4/100)</f>
        <v/>
      </c>
      <c r="E4" s="2">
        <f>E3*(1+D4)</f>
        <v/>
      </c>
    </row>
    <row r="5">
      <c r="A5" s="2" t="n">
        <v>2022</v>
      </c>
      <c r="B5" s="2" t="n">
        <v>11</v>
      </c>
      <c r="C5" s="2" t="n">
        <v>24980</v>
      </c>
      <c r="D5" s="2" t="n">
        <v>9.4</v>
      </c>
      <c r="E5" s="2">
        <f>E4*(1+D5)</f>
        <v/>
      </c>
    </row>
    <row r="6">
      <c r="A6" s="2" t="n">
        <v>2023</v>
      </c>
      <c r="B6" s="2" t="n">
        <v>7.5</v>
      </c>
      <c r="C6" s="2" t="n">
        <v>30780</v>
      </c>
      <c r="D6" s="2" t="n">
        <v>2.9</v>
      </c>
      <c r="E6" s="2">
        <f>E5*(1+D6)</f>
        <v/>
      </c>
    </row>
    <row r="7">
      <c r="A7" s="2" t="n">
        <v>2024</v>
      </c>
      <c r="B7" s="2" t="n">
        <v>9.4</v>
      </c>
      <c r="C7" s="2" t="n">
        <v>33780</v>
      </c>
      <c r="D7" s="2" t="n">
        <v>3.8</v>
      </c>
      <c r="E7" s="2">
        <f>E6*(1+D7)</f>
        <v/>
      </c>
    </row>
    <row r="8">
      <c r="A8" s="2" t="n">
        <v>2025</v>
      </c>
      <c r="B8" s="2" t="n"/>
      <c r="C8" s="2" t="n">
        <v>37400</v>
      </c>
      <c r="D8" s="2" t="n"/>
      <c r="E8" s="2">
        <f>E7*(1+D8)</f>
        <v/>
      </c>
    </row>
    <row r="9">
      <c r="A9" s="2" t="n">
        <v>2026</v>
      </c>
      <c r="B9" s="2" t="n">
        <v>5.3</v>
      </c>
      <c r="C9" s="2" t="n"/>
      <c r="D9" s="2" t="n"/>
      <c r="E9" s="2">
        <f>E8*(1+D9)</f>
        <v/>
      </c>
    </row>
    <row r="10">
      <c r="A10" s="2" t="n">
        <v>2027</v>
      </c>
      <c r="B10" s="2">
        <f>B$9</f>
        <v/>
      </c>
      <c r="C10" s="2" t="n"/>
      <c r="D10" s="2" t="n">
        <v>5.4</v>
      </c>
      <c r="E10" s="2">
        <f>E9*(1+D10)</f>
        <v/>
      </c>
    </row>
    <row r="11">
      <c r="A11" s="2" t="n">
        <v>2028</v>
      </c>
      <c r="B11" s="2">
        <f>B$9</f>
        <v/>
      </c>
      <c r="C11" s="2" t="n"/>
      <c r="D11" s="2" t="n">
        <v>5.4</v>
      </c>
      <c r="E11" s="2">
        <f>E10*(1+D11)</f>
        <v/>
      </c>
    </row>
    <row r="12">
      <c r="A12" s="2" t="n">
        <v>2029</v>
      </c>
      <c r="B12" s="2">
        <f>B$9</f>
        <v/>
      </c>
      <c r="C12" s="2" t="n"/>
      <c r="D12" s="2" t="n">
        <v>5.4</v>
      </c>
      <c r="E12" s="2">
        <f>E11*(1+D12)</f>
        <v/>
      </c>
    </row>
    <row r="13">
      <c r="A13" s="2" t="n">
        <v>2030</v>
      </c>
      <c r="B13" s="2">
        <f>B$9</f>
        <v/>
      </c>
      <c r="C13" s="2" t="n"/>
      <c r="D13" s="2" t="n">
        <v>5.4</v>
      </c>
      <c r="E13" s="2">
        <f>E12*(1+D13)</f>
        <v/>
      </c>
    </row>
    <row r="14">
      <c r="A14" s="2" t="n">
        <v>2031</v>
      </c>
      <c r="B14" s="2">
        <f>B$9</f>
        <v/>
      </c>
      <c r="C14" s="2" t="n"/>
      <c r="D14" s="2" t="n">
        <v>5.4</v>
      </c>
      <c r="E14" s="2">
        <f>E13*(1+D14)</f>
        <v/>
      </c>
    </row>
    <row r="15">
      <c r="A15" s="2" t="n">
        <v>2032</v>
      </c>
      <c r="B15" s="2">
        <f>B$9</f>
        <v/>
      </c>
      <c r="C15" s="2" t="n"/>
      <c r="D15" s="2" t="n">
        <v>5.4</v>
      </c>
      <c r="E15" s="2">
        <f>E14*(1+D15)</f>
        <v/>
      </c>
    </row>
    <row r="16">
      <c r="A16" s="2" t="n">
        <v>2033</v>
      </c>
      <c r="B16" s="2">
        <f>B$9</f>
        <v/>
      </c>
      <c r="C16" s="2" t="n"/>
      <c r="D16" s="2" t="n">
        <v>5.4</v>
      </c>
      <c r="E16" s="2">
        <f>E15*(1+D16)</f>
        <v/>
      </c>
    </row>
    <row r="17">
      <c r="A17" s="2" t="n">
        <v>2034</v>
      </c>
      <c r="B17" s="2">
        <f>B$9</f>
        <v/>
      </c>
      <c r="C17" s="2" t="n"/>
      <c r="D17" s="2" t="n">
        <v>5.4</v>
      </c>
      <c r="E17" s="2">
        <f>E16*(1+D17)</f>
        <v/>
      </c>
    </row>
    <row r="18">
      <c r="A18" s="2" t="n">
        <v>2035</v>
      </c>
      <c r="B18" s="2">
        <f>B$9</f>
        <v/>
      </c>
      <c r="C18" s="2" t="n"/>
      <c r="D18" s="2" t="n">
        <v>5.4</v>
      </c>
      <c r="E18" s="2">
        <f>E17*(1+D18)</f>
        <v/>
      </c>
    </row>
    <row r="19">
      <c r="A19" s="2" t="n">
        <v>2036</v>
      </c>
      <c r="B19" s="2">
        <f>B$9</f>
        <v/>
      </c>
      <c r="C19" s="2" t="n"/>
      <c r="D19" s="2" t="n">
        <v>5.4</v>
      </c>
      <c r="E19" s="2">
        <f>E18*(1+D19)</f>
        <v/>
      </c>
    </row>
    <row r="20">
      <c r="A20" s="2" t="n">
        <v>2037</v>
      </c>
      <c r="B20" s="2">
        <f>B$9</f>
        <v/>
      </c>
      <c r="C20" s="2" t="n"/>
      <c r="D20" s="2" t="n">
        <v>5.4</v>
      </c>
      <c r="E20" s="2">
        <f>E19*(1+D20)</f>
        <v/>
      </c>
    </row>
    <row r="21">
      <c r="A21" s="2" t="n">
        <v>2038</v>
      </c>
      <c r="B21" s="2">
        <f>B$9</f>
        <v/>
      </c>
      <c r="C21" s="2" t="n"/>
      <c r="D21" s="2" t="n">
        <v>5.4</v>
      </c>
      <c r="E21" s="2">
        <f>E20*(1+D21)</f>
        <v/>
      </c>
    </row>
    <row r="22">
      <c r="A22" s="2" t="n">
        <v>2039</v>
      </c>
      <c r="B22" s="2">
        <f>B$9</f>
        <v/>
      </c>
      <c r="C22" s="2" t="n"/>
      <c r="D22" s="2" t="n">
        <v>5.4</v>
      </c>
      <c r="E22" s="2" t="n"/>
    </row>
    <row r="23">
      <c r="A23" t="n">
        <v>2040</v>
      </c>
      <c r="B23">
        <f>B$9</f>
        <v/>
      </c>
      <c r="D23" t="n">
        <v>5.4</v>
      </c>
    </row>
    <row r="24">
      <c r="A24" t="n">
        <v>2041</v>
      </c>
      <c r="B24">
        <f>B$9</f>
        <v/>
      </c>
      <c r="D24" t="n">
        <v>5.4</v>
      </c>
    </row>
    <row r="25">
      <c r="A25" t="n">
        <v>2042</v>
      </c>
      <c r="B25">
        <f>B$9</f>
        <v/>
      </c>
      <c r="D25" t="n">
        <v>5.4</v>
      </c>
    </row>
    <row r="26">
      <c r="A26" t="n">
        <v>2043</v>
      </c>
      <c r="B26">
        <f>B$9</f>
        <v/>
      </c>
      <c r="D26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SUPPLY TABLE - Georgia (2024)</t>
        </is>
      </c>
    </row>
    <row r="3">
      <c r="A3" s="4" t="inlineStr">
        <is>
          <t>Product Groups</t>
        </is>
      </c>
      <c r="B3" s="4" t="inlineStr">
        <is>
          <t>Domestic Production</t>
        </is>
      </c>
      <c r="C3" s="4" t="inlineStr">
        <is>
          <t>Imports</t>
        </is>
      </c>
      <c r="D3" s="4" t="inlineStr">
        <is>
          <t>Trade Margins</t>
        </is>
      </c>
      <c r="E3" s="4" t="inlineStr">
        <is>
          <t>Transport</t>
        </is>
      </c>
      <c r="F3" s="4" t="inlineStr">
        <is>
          <t>Taxes on Products</t>
        </is>
      </c>
      <c r="G3" s="4" t="inlineStr">
        <is>
          <t>Total Supply</t>
        </is>
      </c>
    </row>
    <row r="4">
      <c r="A4" t="inlineStr">
        <is>
          <t>Agriculture, Forestry and Fishing</t>
        </is>
      </c>
    </row>
    <row r="5">
      <c r="A5" t="inlineStr">
        <is>
          <t>Mining and Quarrying</t>
        </is>
      </c>
    </row>
    <row r="6">
      <c r="A6" t="inlineStr">
        <is>
          <t>Food, Beverages and Tobacco</t>
        </is>
      </c>
    </row>
    <row r="7">
      <c r="A7" t="inlineStr">
        <is>
          <t>Textiles, Apparel and Leather</t>
        </is>
      </c>
    </row>
    <row r="8">
      <c r="A8" t="inlineStr">
        <is>
          <t>Wood and Wood Products</t>
        </is>
      </c>
    </row>
    <row r="9">
      <c r="A9" t="inlineStr">
        <is>
          <t>Paper, Printing and Recording</t>
        </is>
      </c>
    </row>
    <row r="10">
      <c r="A10" t="inlineStr">
        <is>
          <t>Coke and Refined Petroleum</t>
        </is>
      </c>
    </row>
    <row r="11">
      <c r="A11" t="inlineStr">
        <is>
          <t>Chemical Products</t>
        </is>
      </c>
    </row>
    <row r="12">
      <c r="A12" t="inlineStr">
        <is>
          <t>Pharmaceuticals</t>
        </is>
      </c>
    </row>
    <row r="13">
      <c r="A13" t="inlineStr">
        <is>
          <t>Rubber and Plastic Products</t>
        </is>
      </c>
    </row>
    <row r="14">
      <c r="A14" t="inlineStr">
        <is>
          <t>Non-Metallic Minerals</t>
        </is>
      </c>
    </row>
    <row r="15">
      <c r="A15" t="inlineStr">
        <is>
          <t>Basic Metals</t>
        </is>
      </c>
    </row>
    <row r="16">
      <c r="A16" t="inlineStr">
        <is>
          <t>Fabricated Metal Products</t>
        </is>
      </c>
    </row>
    <row r="17">
      <c r="A17" t="inlineStr">
        <is>
          <t>Computers and Electronics</t>
        </is>
      </c>
    </row>
    <row r="18">
      <c r="A18" t="inlineStr">
        <is>
          <t>Electrical Equipment</t>
        </is>
      </c>
    </row>
    <row r="19">
      <c r="A19" t="inlineStr">
        <is>
          <t>Machinery and Equipment</t>
        </is>
      </c>
    </row>
    <row r="20">
      <c r="A20" t="inlineStr">
        <is>
          <t>Motor Vehicles</t>
        </is>
      </c>
    </row>
    <row r="21">
      <c r="A21" t="inlineStr">
        <is>
          <t>Other Transport Equipment</t>
        </is>
      </c>
    </row>
    <row r="22">
      <c r="A22" t="inlineStr">
        <is>
          <t>Furniture and Other Manufacturing</t>
        </is>
      </c>
    </row>
    <row r="23">
      <c r="A23" t="inlineStr">
        <is>
          <t>Electricity and Gas</t>
        </is>
      </c>
    </row>
    <row r="24">
      <c r="A24" t="inlineStr">
        <is>
          <t>Water, Sewage and Waste</t>
        </is>
      </c>
    </row>
    <row r="25">
      <c r="A25" t="inlineStr">
        <is>
          <t>Construction</t>
        </is>
      </c>
    </row>
    <row r="26">
      <c r="A26" t="inlineStr">
        <is>
          <t>Wholesale and Retail Trade</t>
        </is>
      </c>
    </row>
    <row r="27">
      <c r="A27" t="inlineStr">
        <is>
          <t>Transportation and Warehousing</t>
        </is>
      </c>
    </row>
    <row r="28">
      <c r="A28" t="inlineStr">
        <is>
          <t>Accommodation and Food Service</t>
        </is>
      </c>
    </row>
    <row r="29">
      <c r="A29" t="inlineStr">
        <is>
          <t>Information and Communication</t>
        </is>
      </c>
    </row>
    <row r="30">
      <c r="A30" t="inlineStr">
        <is>
          <t>Financial and Insurance Services</t>
        </is>
      </c>
    </row>
    <row r="31">
      <c r="A31" t="inlineStr">
        <is>
          <t>Real Estate Activities</t>
        </is>
      </c>
    </row>
    <row r="32">
      <c r="A32" t="inlineStr">
        <is>
          <t>Professional and Scientific Services</t>
        </is>
      </c>
    </row>
    <row r="33">
      <c r="A33" t="inlineStr">
        <is>
          <t>Administrative and Support Services</t>
        </is>
      </c>
    </row>
    <row r="34">
      <c r="A34" t="inlineStr">
        <is>
          <t>Public Administration and Defence</t>
        </is>
      </c>
    </row>
    <row r="35">
      <c r="A35" t="inlineStr">
        <is>
          <t>Education</t>
        </is>
      </c>
    </row>
    <row r="36">
      <c r="A36" t="inlineStr">
        <is>
          <t>Health and Social Work</t>
        </is>
      </c>
    </row>
    <row r="37">
      <c r="A37" t="inlineStr">
        <is>
          <t>Arts, Entertainment and Recreation</t>
        </is>
      </c>
    </row>
    <row r="38">
      <c r="A38" t="inlineStr">
        <is>
          <t>Other Personal Services</t>
        </is>
      </c>
    </row>
    <row r="39">
      <c r="A39" t="inlineStr">
        <is>
          <t>Household Employment</t>
        </is>
      </c>
    </row>
    <row r="40">
      <c r="A40" t="inlineStr">
        <is>
          <t>Activities not Clearly Defined</t>
        </is>
      </c>
    </row>
    <row r="41">
      <c r="A41" t="inlineStr">
        <is>
          <t>Total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USE TABLE - Georgia (2024)</t>
        </is>
      </c>
    </row>
    <row r="3">
      <c r="A3" s="4" t="inlineStr">
        <is>
          <t>Product Groups</t>
        </is>
      </c>
      <c r="B3" s="4" t="inlineStr">
        <is>
          <t>Intermediate Consumption</t>
        </is>
      </c>
      <c r="C3" s="4" t="inlineStr">
        <is>
          <t>Final Consumption</t>
        </is>
      </c>
      <c r="D3" s="4" t="inlineStr">
        <is>
          <t>GFCF</t>
        </is>
      </c>
      <c r="E3" s="4" t="inlineStr">
        <is>
          <t>Exports</t>
        </is>
      </c>
      <c r="F3" s="4" t="inlineStr">
        <is>
          <t>Inventory Change</t>
        </is>
      </c>
      <c r="G3" s="4" t="inlineStr">
        <is>
          <t>Total Use</t>
        </is>
      </c>
    </row>
    <row r="4">
      <c r="A4" t="inlineStr">
        <is>
          <t>Agriculture, Forestry and Fishing</t>
        </is>
      </c>
    </row>
    <row r="5">
      <c r="A5" t="inlineStr">
        <is>
          <t>Mining and Quarrying</t>
        </is>
      </c>
    </row>
    <row r="6">
      <c r="A6" t="inlineStr">
        <is>
          <t>Food, Beverages and Tobacco</t>
        </is>
      </c>
    </row>
    <row r="7">
      <c r="A7" t="inlineStr">
        <is>
          <t>Textiles, Apparel and Leather</t>
        </is>
      </c>
    </row>
    <row r="8">
      <c r="A8" t="inlineStr">
        <is>
          <t>Wood and Wood Products</t>
        </is>
      </c>
    </row>
    <row r="9">
      <c r="A9" t="inlineStr">
        <is>
          <t>Paper, Printing and Recording</t>
        </is>
      </c>
    </row>
    <row r="10">
      <c r="A10" t="inlineStr">
        <is>
          <t>Coke and Refined Petroleum</t>
        </is>
      </c>
    </row>
    <row r="11">
      <c r="A11" t="inlineStr">
        <is>
          <t>Chemical Products</t>
        </is>
      </c>
    </row>
    <row r="12">
      <c r="A12" t="inlineStr">
        <is>
          <t>Pharmaceuticals</t>
        </is>
      </c>
    </row>
    <row r="13">
      <c r="A13" t="inlineStr">
        <is>
          <t>Rubber and Plastic Products</t>
        </is>
      </c>
    </row>
    <row r="14">
      <c r="A14" t="inlineStr">
        <is>
          <t>Non-Metallic Minerals</t>
        </is>
      </c>
    </row>
    <row r="15">
      <c r="A15" t="inlineStr">
        <is>
          <t>Basic Metals</t>
        </is>
      </c>
    </row>
    <row r="16">
      <c r="A16" t="inlineStr">
        <is>
          <t>Fabricated Metal Products</t>
        </is>
      </c>
    </row>
    <row r="17">
      <c r="A17" t="inlineStr">
        <is>
          <t>Computers and Electronics</t>
        </is>
      </c>
    </row>
    <row r="18">
      <c r="A18" t="inlineStr">
        <is>
          <t>Electrical Equipment</t>
        </is>
      </c>
    </row>
    <row r="19">
      <c r="A19" t="inlineStr">
        <is>
          <t>Machinery and Equipment</t>
        </is>
      </c>
    </row>
    <row r="20">
      <c r="A20" t="inlineStr">
        <is>
          <t>Motor Vehicles</t>
        </is>
      </c>
    </row>
    <row r="21">
      <c r="A21" t="inlineStr">
        <is>
          <t>Other Transport Equipment</t>
        </is>
      </c>
    </row>
    <row r="22">
      <c r="A22" t="inlineStr">
        <is>
          <t>Furniture and Other Manufacturing</t>
        </is>
      </c>
    </row>
    <row r="23">
      <c r="A23" t="inlineStr">
        <is>
          <t>Electricity and Gas</t>
        </is>
      </c>
    </row>
    <row r="24">
      <c r="A24" t="inlineStr">
        <is>
          <t>Water, Sewage and Waste</t>
        </is>
      </c>
    </row>
    <row r="25">
      <c r="A25" t="inlineStr">
        <is>
          <t>Construction</t>
        </is>
      </c>
    </row>
    <row r="26">
      <c r="A26" t="inlineStr">
        <is>
          <t>Wholesale and Retail Trade</t>
        </is>
      </c>
    </row>
    <row r="27">
      <c r="A27" t="inlineStr">
        <is>
          <t>Transportation and Warehousing</t>
        </is>
      </c>
    </row>
    <row r="28">
      <c r="A28" t="inlineStr">
        <is>
          <t>Accommodation and Food Service</t>
        </is>
      </c>
    </row>
    <row r="29">
      <c r="A29" t="inlineStr">
        <is>
          <t>Information and Communication</t>
        </is>
      </c>
    </row>
    <row r="30">
      <c r="A30" t="inlineStr">
        <is>
          <t>Financial and Insurance Services</t>
        </is>
      </c>
    </row>
    <row r="31">
      <c r="A31" t="inlineStr">
        <is>
          <t>Real Estate Activities</t>
        </is>
      </c>
    </row>
    <row r="32">
      <c r="A32" t="inlineStr">
        <is>
          <t>Professional and Scientific Services</t>
        </is>
      </c>
    </row>
    <row r="33">
      <c r="A33" t="inlineStr">
        <is>
          <t>Administrative and Support Services</t>
        </is>
      </c>
    </row>
    <row r="34">
      <c r="A34" t="inlineStr">
        <is>
          <t>Public Administration and Defence</t>
        </is>
      </c>
    </row>
    <row r="35">
      <c r="A35" t="inlineStr">
        <is>
          <t>Education</t>
        </is>
      </c>
    </row>
    <row r="36">
      <c r="A36" t="inlineStr">
        <is>
          <t>Health and Social Work</t>
        </is>
      </c>
    </row>
    <row r="37">
      <c r="A37" t="inlineStr">
        <is>
          <t>Arts, Entertainment and Recreation</t>
        </is>
      </c>
    </row>
    <row r="38">
      <c r="A38" t="inlineStr">
        <is>
          <t>Other Personal Services</t>
        </is>
      </c>
    </row>
    <row r="39">
      <c r="A39" t="inlineStr">
        <is>
          <t>Household Employment</t>
        </is>
      </c>
    </row>
    <row r="40">
      <c r="A40" t="inlineStr">
        <is>
          <t>Activities not Clearly Defined</t>
        </is>
      </c>
    </row>
    <row r="41">
      <c r="A41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20" customWidth="1" min="4" max="4"/>
    <col width="15" customWidth="1" min="5" max="5"/>
    <col width="20" customWidth="1" min="6" max="6"/>
    <col width="30" customWidth="1" min="7" max="7"/>
    <col width="15" customWidth="1" min="8" max="8"/>
  </cols>
  <sheetData>
    <row r="1">
      <c r="A1" s="3" t="inlineStr">
        <is>
          <t>Supply and Use Table Analysis - Import Content Calculation</t>
        </is>
      </c>
    </row>
    <row r="2"/>
    <row r="3">
      <c r="A3" s="6" t="inlineStr">
        <is>
          <t>Data Links from SUT Sheets</t>
        </is>
      </c>
    </row>
    <row r="4">
      <c r="A4" s="12" t="inlineStr">
        <is>
          <t>Component</t>
        </is>
      </c>
      <c r="B4" s="12" t="inlineStr">
        <is>
          <t>GEL Millions</t>
        </is>
      </c>
      <c r="C4" s="12" t="inlineStr">
        <is>
          <t>Imports Component</t>
        </is>
      </c>
      <c r="D4" s="12" t="inlineStr">
        <is>
          <t>Link to SUPPLY</t>
        </is>
      </c>
      <c r="E4" s="12" t="inlineStr">
        <is>
          <t>Link to USE</t>
        </is>
      </c>
      <c r="F4" s="12" t="inlineStr">
        <is>
          <t>Calculation Notes</t>
        </is>
      </c>
      <c r="G4" s="12" t="inlineStr">
        <is>
          <t>Supporting Data</t>
        </is>
      </c>
      <c r="H4" s="12" t="inlineStr">
        <is>
          <t>Source</t>
        </is>
      </c>
    </row>
    <row r="5">
      <c r="A5" t="inlineStr">
        <is>
          <t>Domestic Production</t>
        </is>
      </c>
      <c r="B5">
        <f>SUPPLY!B42</f>
        <v/>
      </c>
      <c r="G5" t="inlineStr">
        <is>
          <t>From SUPPLY sheet</t>
        </is>
      </c>
    </row>
    <row r="6">
      <c r="A6" t="inlineStr">
        <is>
          <t>Imports (Total)</t>
        </is>
      </c>
      <c r="B6">
        <f>SUPPLY!C42</f>
        <v/>
      </c>
      <c r="E6" t="inlineStr">
        <is>
          <t>X</t>
        </is>
      </c>
      <c r="G6" t="inlineStr">
        <is>
          <t>From SUPPLY sheet</t>
        </is>
      </c>
    </row>
    <row r="7">
      <c r="A7" t="inlineStr">
        <is>
          <t>Total Supply</t>
        </is>
      </c>
      <c r="B7">
        <f>SUPPLY!G42</f>
        <v/>
      </c>
      <c r="G7" t="inlineStr">
        <is>
          <t>Domestic + Imports</t>
        </is>
      </c>
    </row>
    <row r="8">
      <c r="A8" t="inlineStr">
        <is>
          <t>Intermediate Consumption</t>
        </is>
      </c>
      <c r="B8">
        <f>USE!B42</f>
        <v/>
      </c>
      <c r="G8" t="inlineStr">
        <is>
          <t>From USE sheet</t>
        </is>
      </c>
    </row>
    <row r="9">
      <c r="A9" t="inlineStr">
        <is>
          <t>Final Consumption</t>
        </is>
      </c>
      <c r="B9">
        <f>USE!C42</f>
        <v/>
      </c>
      <c r="G9" t="inlineStr">
        <is>
          <t>From USE sheet</t>
        </is>
      </c>
    </row>
    <row r="10">
      <c r="A10" t="inlineStr">
        <is>
          <t>Gross Fixed Capital Formation</t>
        </is>
      </c>
      <c r="B10">
        <f>USE!D42</f>
        <v/>
      </c>
      <c r="G10" t="inlineStr">
        <is>
          <t>From USE sheet</t>
        </is>
      </c>
    </row>
    <row r="11">
      <c r="A11" s="13" t="inlineStr">
        <is>
          <t>IMPORT CONTENT CALCULATION</t>
        </is>
      </c>
    </row>
    <row r="12">
      <c r="A12" t="inlineStr">
        <is>
          <t>Total Imports (from SUPPLY)</t>
        </is>
      </c>
      <c r="B12">
        <f>SUPPLY!C42</f>
        <v/>
      </c>
      <c r="G12" t="inlineStr">
        <is>
          <t>Sum of all imports</t>
        </is>
      </c>
    </row>
    <row r="13">
      <c r="A13" t="inlineStr">
        <is>
          <t>Intermediate Consumption (from USE)</t>
        </is>
      </c>
      <c r="B13">
        <f>USE!B42</f>
        <v/>
      </c>
      <c r="G13" t="inlineStr">
        <is>
          <t>Sum of intermediate uses</t>
        </is>
      </c>
    </row>
    <row r="14">
      <c r="A14" t="inlineStr">
        <is>
          <t>Total Supply Value</t>
        </is>
      </c>
      <c r="B14">
        <f>SUPPLY!G42</f>
        <v/>
      </c>
      <c r="G14" t="inlineStr">
        <is>
          <t>Total available for use</t>
        </is>
      </c>
    </row>
    <row r="15">
      <c r="A15" s="14" t="inlineStr">
        <is>
          <t>Import Intensity Calculation</t>
        </is>
      </c>
    </row>
    <row r="16">
      <c r="A16" t="inlineStr">
        <is>
          <t>Imports as % of Supply</t>
        </is>
      </c>
      <c r="B16" s="15">
        <f>B12/B14</f>
        <v/>
      </c>
    </row>
    <row r="17">
      <c r="A17" t="inlineStr">
        <is>
          <t>Import Content in Intermediate Use</t>
        </is>
      </c>
      <c r="B17">
        <f>B12*0.7</f>
        <v/>
      </c>
      <c r="G17" t="inlineStr">
        <is>
          <t>Assuming 70% of imports are intermediate</t>
        </is>
      </c>
    </row>
    <row r="46">
      <c r="A46" s="8" t="inlineStr">
        <is>
          <t>Import Content Share</t>
        </is>
      </c>
      <c r="B46" s="8" t="inlineStr">
        <is>
          <t>Calculated Value</t>
        </is>
      </c>
      <c r="C46" s="16">
        <f>IF(B14=0, 0, B12/B14)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7" t="inlineStr">
        <is>
          <t>Investment Spending Shock Analysis - National Accounts (Demand-side)</t>
        </is>
      </c>
    </row>
    <row r="2">
      <c r="A2" s="18" t="inlineStr">
        <is>
          <t>Georgia Investment Shock: 6.5 billion USD over 8 years (2026-2033)</t>
        </is>
      </c>
    </row>
    <row r="4">
      <c r="A4" s="19" t="inlineStr">
        <is>
          <t>SCENARIO 1: Base Case</t>
        </is>
      </c>
    </row>
    <row r="5">
      <c r="A5" s="6" t="inlineStr">
        <is>
          <t>Assumptions</t>
        </is>
      </c>
    </row>
    <row r="6">
      <c r="A6" s="20" t="inlineStr">
        <is>
          <t>Parameter</t>
        </is>
      </c>
      <c r="B6" s="20" t="inlineStr">
        <is>
          <t>Value</t>
        </is>
      </c>
      <c r="C6" s="20" t="inlineStr">
        <is>
          <t>Unit</t>
        </is>
      </c>
      <c r="D6" s="20" t="inlineStr">
        <is>
          <t>Notes</t>
        </is>
      </c>
    </row>
    <row r="7">
      <c r="A7" t="inlineStr">
        <is>
          <t>Total Investment</t>
        </is>
      </c>
      <c r="B7">
        <f>6500</f>
        <v/>
      </c>
      <c r="C7" t="inlineStr">
        <is>
          <t>USD millions</t>
        </is>
      </c>
      <c r="D7" t="inlineStr">
        <is>
          <t>Total project value</t>
        </is>
      </c>
    </row>
    <row r="8">
      <c r="A8" t="inlineStr">
        <is>
          <t>Lari/USD Exchange Rate</t>
        </is>
      </c>
      <c r="B8">
        <f>2.746</f>
        <v/>
      </c>
      <c r="C8" t="inlineStr">
        <is>
          <t>GEL/USD</t>
        </is>
      </c>
      <c r="D8" t="inlineStr">
        <is>
          <t>Fixed rate for all calculations</t>
        </is>
      </c>
    </row>
    <row r="9">
      <c r="A9" t="inlineStr">
        <is>
          <t>Demand Multiplier</t>
        </is>
      </c>
      <c r="B9">
        <f>0.8</f>
        <v/>
      </c>
      <c r="C9" t="inlineStr">
        <is>
          <t>ratio</t>
        </is>
      </c>
      <c r="D9" t="inlineStr">
        <is>
          <t>For small open economy</t>
        </is>
      </c>
    </row>
    <row r="10">
      <c r="A10" t="inlineStr">
        <is>
          <t>Import Content Share</t>
        </is>
      </c>
      <c r="B10">
        <f>SUT_Calc!C46</f>
        <v/>
      </c>
      <c r="C10" t="inlineStr">
        <is>
          <t>ratio</t>
        </is>
      </c>
      <c r="D10" t="inlineStr">
        <is>
          <t>Linked from SUT analysis</t>
        </is>
      </c>
    </row>
    <row r="12">
      <c r="A12" t="inlineStr">
        <is>
          <t>Real GDP Growth Rate (2026+)</t>
        </is>
      </c>
      <c r="B12">
        <f>WEO_Data!B9</f>
        <v/>
      </c>
      <c r="C12" t="inlineStr">
        <is>
          <t>%</t>
        </is>
      </c>
      <c r="D12" t="inlineStr">
        <is>
          <t>From IMF WEO forecast (linked)</t>
        </is>
      </c>
    </row>
    <row r="13">
      <c r="A13" t="inlineStr">
        <is>
          <t>GDP Deflator Growth Rate</t>
        </is>
      </c>
      <c r="B13">
        <f>WEO_Data!D9</f>
        <v/>
      </c>
      <c r="C13" t="inlineStr">
        <is>
          <t>%</t>
        </is>
      </c>
      <c r="D13" t="inlineStr">
        <is>
          <t>From WEO_Data projections</t>
        </is>
      </c>
    </row>
    <row r="14">
      <c r="A14" t="inlineStr">
        <is>
          <t>Investment Allocation</t>
        </is>
      </c>
      <c r="B14" t="inlineStr">
        <is>
          <t>Bell-shaped distribution</t>
        </is>
      </c>
      <c r="C14" t="inlineStr">
        <is>
          <t>distribution</t>
        </is>
      </c>
      <c r="D14" t="inlineStr">
        <is>
          <t>Peak in middle year (2029)</t>
        </is>
      </c>
    </row>
    <row r="17">
      <c r="A17" s="21" t="inlineStr">
        <is>
          <t>RESULTS</t>
        </is>
      </c>
    </row>
    <row r="18">
      <c r="A18" s="22" t="inlineStr">
        <is>
          <t>Indicator</t>
        </is>
      </c>
      <c r="B18" s="22" t="inlineStr">
        <is>
          <t>2026</t>
        </is>
      </c>
      <c r="C18" s="22" t="inlineStr">
        <is>
          <t>2027</t>
        </is>
      </c>
      <c r="D18" s="22" t="inlineStr">
        <is>
          <t>2028</t>
        </is>
      </c>
      <c r="E18" s="22" t="inlineStr">
        <is>
          <t>2029</t>
        </is>
      </c>
      <c r="F18" s="22" t="inlineStr">
        <is>
          <t>2030</t>
        </is>
      </c>
      <c r="G18" s="22" t="inlineStr">
        <is>
          <t>2031</t>
        </is>
      </c>
      <c r="H18" s="22" t="inlineStr">
        <is>
          <t>2032</t>
        </is>
      </c>
      <c r="I18" s="22" t="inlineStr">
        <is>
          <t>2033</t>
        </is>
      </c>
      <c r="J18" s="22" t="inlineStr">
        <is>
          <t>Total</t>
        </is>
      </c>
    </row>
    <row r="19">
      <c r="A19" t="inlineStr">
        <is>
          <t>Annual Investment (USD millions)</t>
        </is>
      </c>
      <c r="B19" t="n">
        <v>114.38</v>
      </c>
      <c r="C19" s="23" t="n">
        <v>433.93</v>
      </c>
      <c r="D19" s="23" t="n">
        <v>1055.5</v>
      </c>
      <c r="E19" s="23" t="n">
        <v>1646.19</v>
      </c>
      <c r="F19" s="23" t="n">
        <v>1646.19</v>
      </c>
      <c r="G19" s="23" t="n">
        <v>1055.5</v>
      </c>
      <c r="H19" s="23" t="n">
        <v>433.93</v>
      </c>
      <c r="I19" s="23" t="n">
        <v>114.38</v>
      </c>
      <c r="J19" s="23">
        <f>SUM(B19:I19)</f>
        <v/>
      </c>
      <c r="BN19" t="n">
        <v>114.38</v>
      </c>
      <c r="BO19" t="n">
        <v>433.93</v>
      </c>
      <c r="BP19" t="n">
        <v>1055.5</v>
      </c>
      <c r="BQ19" t="n">
        <v>1646.19</v>
      </c>
      <c r="BR19" t="n">
        <v>1646.19</v>
      </c>
      <c r="BS19" t="n">
        <v>1055.5</v>
      </c>
      <c r="BT19" t="n">
        <v>433.93</v>
      </c>
      <c r="BU19" t="n">
        <v>114.38</v>
      </c>
    </row>
    <row r="20">
      <c r="A20" t="inlineStr">
        <is>
          <t>Annual Investment (GEL millions)</t>
        </is>
      </c>
      <c r="B20">
        <f>B19*D31</f>
        <v/>
      </c>
      <c r="C20" s="23">
        <f>C19*D31</f>
        <v/>
      </c>
      <c r="D20" s="23">
        <f>D19*D31</f>
        <v/>
      </c>
      <c r="E20" s="23">
        <f>E19*D31</f>
        <v/>
      </c>
      <c r="F20" s="23">
        <f>F19*D31</f>
        <v/>
      </c>
      <c r="G20" s="23">
        <f>G19*D31</f>
        <v/>
      </c>
      <c r="H20" s="23">
        <f>H19*D31</f>
        <v/>
      </c>
      <c r="I20" s="23">
        <f>I19*D31</f>
        <v/>
      </c>
      <c r="J20" s="23">
        <f>SUM(B20:I20)</f>
        <v/>
      </c>
      <c r="BN20">
        <f>BN19*D31</f>
        <v/>
      </c>
      <c r="BO20">
        <f>BO19*D31</f>
        <v/>
      </c>
      <c r="BP20">
        <f>BP19*D31</f>
        <v/>
      </c>
      <c r="BQ20">
        <f>BQ19*D31</f>
        <v/>
      </c>
      <c r="BR20">
        <f>BR19*D31</f>
        <v/>
      </c>
      <c r="BS20">
        <f>BS19*D31</f>
        <v/>
      </c>
      <c r="BT20">
        <f>BT19*D31</f>
        <v/>
      </c>
      <c r="BU20">
        <f>BU19*D31</f>
        <v/>
      </c>
    </row>
    <row r="21">
      <c r="A21" t="inlineStr">
        <is>
          <t>Real GDP Impact (GEL millions)</t>
        </is>
      </c>
      <c r="B21">
        <f>B20*D32</f>
        <v/>
      </c>
      <c r="C21" s="23">
        <f>C20*D32</f>
        <v/>
      </c>
      <c r="D21" s="23">
        <f>D20*D32</f>
        <v/>
      </c>
      <c r="E21" s="23">
        <f>E20*D32</f>
        <v/>
      </c>
      <c r="F21" s="23">
        <f>F20*D32</f>
        <v/>
      </c>
      <c r="G21" s="23">
        <f>G20*D32</f>
        <v/>
      </c>
      <c r="H21" s="23">
        <f>H20*D32</f>
        <v/>
      </c>
      <c r="I21" s="23">
        <f>I20*D32</f>
        <v/>
      </c>
      <c r="J21" s="23">
        <f>SUM(B21:I21)</f>
        <v/>
      </c>
      <c r="BN21">
        <f>BN20*D32</f>
        <v/>
      </c>
      <c r="BO21">
        <f>BO20*D32</f>
        <v/>
      </c>
      <c r="BP21">
        <f>BP20*D32</f>
        <v/>
      </c>
      <c r="BQ21">
        <f>BQ20*D32</f>
        <v/>
      </c>
      <c r="BR21">
        <f>BR20*D32</f>
        <v/>
      </c>
      <c r="BS21">
        <f>BS20*D32</f>
        <v/>
      </c>
      <c r="BT21">
        <f>BT20*D32</f>
        <v/>
      </c>
      <c r="BU21">
        <f>BU20*D32</f>
        <v/>
      </c>
    </row>
    <row r="22">
      <c r="A22" t="inlineStr">
        <is>
          <t>Nominal GDP Impact (GEL millions)</t>
        </is>
      </c>
      <c r="B22">
        <f>B21*(1+WEO_Data!D9/100)</f>
        <v/>
      </c>
      <c r="C22" s="23">
        <f>C21*(1+WEO_Data!D10/100)</f>
        <v/>
      </c>
      <c r="D22" s="23">
        <f>D21*(1+WEO_Data!D11/100)</f>
        <v/>
      </c>
      <c r="E22" s="23">
        <f>E21*(1+WEO_Data!D12/100)</f>
        <v/>
      </c>
      <c r="F22" s="23">
        <f>F21*(1+WEO_Data!D13/100)</f>
        <v/>
      </c>
      <c r="G22" s="23">
        <f>G21*(1+WEO_Data!D14/100)</f>
        <v/>
      </c>
      <c r="H22" s="23">
        <f>H21*(1+WEO_Data!D15/100)</f>
        <v/>
      </c>
      <c r="I22" s="23">
        <f>I21*(1+WEO_Data!D16/100)</f>
        <v/>
      </c>
      <c r="J22" s="23">
        <f>SUM(B22:I22)</f>
        <v/>
      </c>
      <c r="BN22">
        <f>BN21*(1+WEO_Data!D9/100)</f>
        <v/>
      </c>
      <c r="BO22">
        <f>BO21*(1+WEO_Data!D10/100)</f>
        <v/>
      </c>
      <c r="BP22">
        <f>BP21*(1+WEO_Data!D11/100)</f>
        <v/>
      </c>
      <c r="BQ22">
        <f>BQ21*(1+WEO_Data!D12/100)</f>
        <v/>
      </c>
      <c r="BR22">
        <f>BR21*(1+WEO_Data!D13/100)</f>
        <v/>
      </c>
      <c r="BS22">
        <f>BS21*(1+WEO_Data!D14/100)</f>
        <v/>
      </c>
      <c r="BT22">
        <f>BT21*(1+WEO_Data!D15/100)</f>
        <v/>
      </c>
      <c r="BU22">
        <f>BU21*(1+WEO_Data!D16/100)</f>
        <v/>
      </c>
    </row>
    <row r="23">
      <c r="A23" t="inlineStr">
        <is>
          <t>Imports Induced (GEL millions)</t>
        </is>
      </c>
      <c r="B23">
        <f>B21*D33</f>
        <v/>
      </c>
      <c r="C23" s="23">
        <f>C21*D33</f>
        <v/>
      </c>
      <c r="D23" s="23">
        <f>D21*D33</f>
        <v/>
      </c>
      <c r="E23" s="23">
        <f>E21*D33</f>
        <v/>
      </c>
      <c r="F23" s="23">
        <f>F21*D33</f>
        <v/>
      </c>
      <c r="G23" s="23">
        <f>G21*D33</f>
        <v/>
      </c>
      <c r="H23" s="23">
        <f>H21*D33</f>
        <v/>
      </c>
      <c r="I23" s="23">
        <f>I21*D33</f>
        <v/>
      </c>
      <c r="J23" s="23">
        <f>SUM(B23:I23)</f>
        <v/>
      </c>
      <c r="BN23">
        <f>BN21*D33</f>
        <v/>
      </c>
      <c r="BO23">
        <f>BO21*D33</f>
        <v/>
      </c>
      <c r="BP23">
        <f>BP21*D33</f>
        <v/>
      </c>
      <c r="BQ23">
        <f>BQ21*D33</f>
        <v/>
      </c>
      <c r="BR23">
        <f>BR21*D33</f>
        <v/>
      </c>
      <c r="BS23">
        <f>BS21*D33</f>
        <v/>
      </c>
      <c r="BT23">
        <f>BT21*D33</f>
        <v/>
      </c>
      <c r="BU23">
        <f>BU21*D33</f>
        <v/>
      </c>
    </row>
    <row r="24">
      <c r="A24" t="inlineStr">
        <is>
          <t>Domestic Value Added Impact</t>
        </is>
      </c>
      <c r="B24">
        <f>B21*(1-D33)</f>
        <v/>
      </c>
      <c r="C24" s="23">
        <f>C21*(1-D33)</f>
        <v/>
      </c>
      <c r="D24" s="23">
        <f>D21*(1-D33)</f>
        <v/>
      </c>
      <c r="E24" s="23">
        <f>E21*(1-D33)</f>
        <v/>
      </c>
      <c r="F24" s="23">
        <f>F21*(1-D33)</f>
        <v/>
      </c>
      <c r="G24" s="23">
        <f>G21*(1-D33)</f>
        <v/>
      </c>
      <c r="H24" s="23">
        <f>H21*(1-D33)</f>
        <v/>
      </c>
      <c r="I24" s="23">
        <f>I21*(1-D33)</f>
        <v/>
      </c>
      <c r="J24" s="23">
        <f>SUM(B24:I24)</f>
        <v/>
      </c>
      <c r="BN24">
        <f>BN21*(1-D33)</f>
        <v/>
      </c>
      <c r="BO24">
        <f>BO21*(1-D33)</f>
        <v/>
      </c>
      <c r="BP24">
        <f>BP21*(1-D33)</f>
        <v/>
      </c>
      <c r="BQ24">
        <f>BQ21*(1-D33)</f>
        <v/>
      </c>
      <c r="BR24">
        <f>BR21*(1-D33)</f>
        <v/>
      </c>
      <c r="BS24">
        <f>BS21*(1-D33)</f>
        <v/>
      </c>
      <c r="BT24">
        <f>BT21*(1-D33)</f>
        <v/>
      </c>
      <c r="BU24">
        <f>BU21*(1-D33)</f>
        <v/>
      </c>
    </row>
    <row r="25">
      <c r="A25" t="inlineStr">
        <is>
          <t>Cumulative Real GDP Impact</t>
        </is>
      </c>
      <c r="B25">
        <f>B21</f>
        <v/>
      </c>
      <c r="C25" s="23">
        <f>B25+C21</f>
        <v/>
      </c>
      <c r="D25" s="23">
        <f>C25+D21</f>
        <v/>
      </c>
      <c r="E25" s="23">
        <f>D25+E21</f>
        <v/>
      </c>
      <c r="F25" s="23">
        <f>E25+F21</f>
        <v/>
      </c>
      <c r="G25" s="23">
        <f>F25+G21</f>
        <v/>
      </c>
      <c r="H25" s="23">
        <f>G25+H21</f>
        <v/>
      </c>
      <c r="I25" s="23">
        <f>H25+I21</f>
        <v/>
      </c>
      <c r="J25" s="23">
        <f>SUM(B25:I25)</f>
        <v/>
      </c>
      <c r="BN25">
        <f>BN21</f>
        <v/>
      </c>
      <c r="BO25">
        <f>BN25+BO21</f>
        <v/>
      </c>
      <c r="BP25">
        <f>BO25+BP21</f>
        <v/>
      </c>
      <c r="BQ25">
        <f>BP25+BQ21</f>
        <v/>
      </c>
      <c r="BR25">
        <f>BQ25+BR21</f>
        <v/>
      </c>
      <c r="BS25">
        <f>BR25+BS21</f>
        <v/>
      </c>
      <c r="BT25">
        <f>BS25+BT21</f>
        <v/>
      </c>
      <c r="BU25">
        <f>BT25+BU21</f>
        <v/>
      </c>
    </row>
    <row r="26">
      <c r="A26" t="inlineStr">
        <is>
          <t>Cumulative Nominal GDP Impact</t>
        </is>
      </c>
      <c r="B26">
        <f>B22</f>
        <v/>
      </c>
      <c r="C26" s="23">
        <f>B26+C22</f>
        <v/>
      </c>
      <c r="D26" s="23">
        <f>C26+D22</f>
        <v/>
      </c>
      <c r="E26" s="23">
        <f>D26+E22</f>
        <v/>
      </c>
      <c r="F26" s="23">
        <f>E26+F22</f>
        <v/>
      </c>
      <c r="G26" s="23">
        <f>F26+G22</f>
        <v/>
      </c>
      <c r="H26" s="23">
        <f>G26+H22</f>
        <v/>
      </c>
      <c r="I26" s="23">
        <f>H26+I22</f>
        <v/>
      </c>
      <c r="J26" s="23">
        <f>SUM(B26:I26)</f>
        <v/>
      </c>
      <c r="BN26">
        <f>BN22</f>
        <v/>
      </c>
      <c r="BO26">
        <f>BN26+BO22</f>
        <v/>
      </c>
      <c r="BP26">
        <f>BO26+BP22</f>
        <v/>
      </c>
      <c r="BQ26">
        <f>BP26+BQ22</f>
        <v/>
      </c>
      <c r="BR26">
        <f>BQ26+BR22</f>
        <v/>
      </c>
      <c r="BS26">
        <f>BR26+BS22</f>
        <v/>
      </c>
      <c r="BT26">
        <f>BS26+BT22</f>
        <v/>
      </c>
      <c r="BU26">
        <f>BT26+BU22</f>
        <v/>
      </c>
    </row>
    <row r="29">
      <c r="A29" s="24" t="inlineStr">
        <is>
          <t>SCENARIO 2: High Multiplier (Multiplier = 1.0)</t>
        </is>
      </c>
    </row>
    <row r="30">
      <c r="A30" s="6" t="inlineStr">
        <is>
          <t>Assumptions (Same as Scenario 1, except)</t>
        </is>
      </c>
      <c r="D30" t="n">
        <v>6500</v>
      </c>
    </row>
    <row r="31">
      <c r="A31" t="inlineStr">
        <is>
          <t>Demand Multiplier</t>
        </is>
      </c>
      <c r="B31">
        <f>1.0</f>
        <v/>
      </c>
      <c r="C31" t="inlineStr">
        <is>
          <t>ratio</t>
        </is>
      </c>
      <c r="D31" t="n">
        <v>2.746</v>
      </c>
    </row>
    <row r="32">
      <c r="D32" t="n">
        <v>0.8</v>
      </c>
    </row>
    <row r="33">
      <c r="D33" s="23">
        <f>SUT_Calc!C46</f>
        <v/>
      </c>
    </row>
    <row r="34">
      <c r="A34" s="21" t="inlineStr">
        <is>
          <t>RESULTS</t>
        </is>
      </c>
    </row>
    <row r="35">
      <c r="A35" s="25" t="inlineStr">
        <is>
          <t>Indicator</t>
        </is>
      </c>
      <c r="B35" s="25" t="inlineStr">
        <is>
          <t>2026</t>
        </is>
      </c>
      <c r="C35" s="25" t="inlineStr">
        <is>
          <t>2027</t>
        </is>
      </c>
      <c r="D35" s="25" t="n">
        <v>1</v>
      </c>
      <c r="E35" s="25" t="inlineStr">
        <is>
          <t>2029</t>
        </is>
      </c>
      <c r="F35" s="25" t="inlineStr">
        <is>
          <t>2030</t>
        </is>
      </c>
      <c r="G35" s="25" t="inlineStr">
        <is>
          <t>2031</t>
        </is>
      </c>
      <c r="H35" s="25" t="inlineStr">
        <is>
          <t>2032</t>
        </is>
      </c>
      <c r="I35" s="25" t="inlineStr">
        <is>
          <t>2033</t>
        </is>
      </c>
      <c r="J35" s="25" t="inlineStr">
        <is>
          <t>Total</t>
        </is>
      </c>
    </row>
    <row r="36">
      <c r="A36" t="inlineStr">
        <is>
          <t>Annual Investment (USD millions)</t>
        </is>
      </c>
      <c r="B36" t="n">
        <v>114.38</v>
      </c>
      <c r="C36" s="23" t="n">
        <v>433.93</v>
      </c>
      <c r="D36" s="23" t="n">
        <v>1055.5</v>
      </c>
      <c r="E36" s="23" t="n">
        <v>1646.19</v>
      </c>
      <c r="F36" s="23" t="n">
        <v>1646.19</v>
      </c>
      <c r="G36" s="23" t="n">
        <v>1055.5</v>
      </c>
      <c r="H36" s="23" t="n">
        <v>433.93</v>
      </c>
      <c r="I36" s="23" t="n">
        <v>114.38</v>
      </c>
      <c r="J36" s="23">
        <f>SUM(B36:I36)</f>
        <v/>
      </c>
      <c r="BN36" t="n">
        <v>114.38</v>
      </c>
      <c r="BO36" t="n">
        <v>433.93</v>
      </c>
      <c r="BP36" t="n">
        <v>1055.5</v>
      </c>
      <c r="BQ36" t="n">
        <v>1646.19</v>
      </c>
      <c r="BR36" t="n">
        <v>1646.19</v>
      </c>
      <c r="BS36" t="n">
        <v>1055.5</v>
      </c>
      <c r="BT36" t="n">
        <v>433.93</v>
      </c>
      <c r="BU36" t="n">
        <v>114.38</v>
      </c>
    </row>
    <row r="37">
      <c r="A37" t="inlineStr">
        <is>
          <t>Annual Investment (GEL millions)</t>
        </is>
      </c>
      <c r="B37">
        <f>B36*D31</f>
        <v/>
      </c>
      <c r="C37" s="23">
        <f>C36*D31</f>
        <v/>
      </c>
      <c r="D37" s="23">
        <f>D36*D31</f>
        <v/>
      </c>
      <c r="E37" s="23">
        <f>E36*D31</f>
        <v/>
      </c>
      <c r="F37" s="23">
        <f>F36*D31</f>
        <v/>
      </c>
      <c r="G37" s="23">
        <f>G36*D31</f>
        <v/>
      </c>
      <c r="H37" s="23">
        <f>H36*D31</f>
        <v/>
      </c>
      <c r="I37" s="23">
        <f>I36*D31</f>
        <v/>
      </c>
      <c r="J37" s="23">
        <f>SUM(B37:I37)</f>
        <v/>
      </c>
      <c r="BN37">
        <f>BN36*D31</f>
        <v/>
      </c>
      <c r="BO37">
        <f>BO36*D31</f>
        <v/>
      </c>
      <c r="BP37">
        <f>BP36*D31</f>
        <v/>
      </c>
      <c r="BQ37">
        <f>BQ36*D31</f>
        <v/>
      </c>
      <c r="BR37">
        <f>BR36*D31</f>
        <v/>
      </c>
      <c r="BS37">
        <f>BS36*D31</f>
        <v/>
      </c>
      <c r="BT37">
        <f>BT36*D31</f>
        <v/>
      </c>
      <c r="BU37">
        <f>BU36*D31</f>
        <v/>
      </c>
    </row>
    <row r="38">
      <c r="A38" t="inlineStr">
        <is>
          <t>Real GDP Impact (GEL millions)</t>
        </is>
      </c>
      <c r="B38">
        <f>B37*D35</f>
        <v/>
      </c>
      <c r="C38" s="23">
        <f>C37*D35</f>
        <v/>
      </c>
      <c r="D38" s="23">
        <f>D37*D35</f>
        <v/>
      </c>
      <c r="E38" s="23">
        <f>E37*D35</f>
        <v/>
      </c>
      <c r="F38" s="23">
        <f>F37*D35</f>
        <v/>
      </c>
      <c r="G38" s="23">
        <f>G37*D35</f>
        <v/>
      </c>
      <c r="H38" s="23">
        <f>H37*D35</f>
        <v/>
      </c>
      <c r="I38" s="23">
        <f>I37*D35</f>
        <v/>
      </c>
      <c r="J38" s="23">
        <f>SUM(B38:I38)</f>
        <v/>
      </c>
      <c r="BN38">
        <f>BN37*D35</f>
        <v/>
      </c>
      <c r="BO38">
        <f>BO37*D35</f>
        <v/>
      </c>
      <c r="BP38">
        <f>BP37*D35</f>
        <v/>
      </c>
      <c r="BQ38">
        <f>BQ37*D35</f>
        <v/>
      </c>
      <c r="BR38">
        <f>BR37*D35</f>
        <v/>
      </c>
      <c r="BS38">
        <f>BS37*D35</f>
        <v/>
      </c>
      <c r="BT38">
        <f>BT37*D35</f>
        <v/>
      </c>
      <c r="BU38">
        <f>BU37*D35</f>
        <v/>
      </c>
    </row>
    <row r="39">
      <c r="A39" t="inlineStr">
        <is>
          <t>Nominal GDP Impact (GEL millions)</t>
        </is>
      </c>
      <c r="B39">
        <f>B38*(1+WEO_Data!D9/100)</f>
        <v/>
      </c>
      <c r="C39" s="23">
        <f>C38*(1+WEO_Data!D10/100)</f>
        <v/>
      </c>
      <c r="D39" s="23">
        <f>D38*(1+WEO_Data!D11/100)</f>
        <v/>
      </c>
      <c r="E39" s="23">
        <f>E38*(1+WEO_Data!D12/100)</f>
        <v/>
      </c>
      <c r="F39" s="23">
        <f>F38*(1+WEO_Data!D13/100)</f>
        <v/>
      </c>
      <c r="G39" s="23">
        <f>G38*(1+WEO_Data!D14/100)</f>
        <v/>
      </c>
      <c r="H39" s="23">
        <f>H38*(1+WEO_Data!D15/100)</f>
        <v/>
      </c>
      <c r="I39" s="23">
        <f>I38*(1+WEO_Data!D16/100)</f>
        <v/>
      </c>
      <c r="J39" s="23">
        <f>SUM(B39:I39)</f>
        <v/>
      </c>
      <c r="BN39">
        <f>BN38*(1+WEO_Data!D9/100)</f>
        <v/>
      </c>
      <c r="BO39">
        <f>BO38*(1+WEO_Data!D10/100)</f>
        <v/>
      </c>
      <c r="BP39">
        <f>BP38*(1+WEO_Data!D11/100)</f>
        <v/>
      </c>
      <c r="BQ39">
        <f>BQ38*(1+WEO_Data!D12/100)</f>
        <v/>
      </c>
      <c r="BR39">
        <f>BR38*(1+WEO_Data!D13/100)</f>
        <v/>
      </c>
      <c r="BS39">
        <f>BS38*(1+WEO_Data!D14/100)</f>
        <v/>
      </c>
      <c r="BT39">
        <f>BT38*(1+WEO_Data!D15/100)</f>
        <v/>
      </c>
      <c r="BU39">
        <f>BU38*(1+WEO_Data!D16/100)</f>
        <v/>
      </c>
    </row>
    <row r="40">
      <c r="A40" t="inlineStr">
        <is>
          <t>Imports Induced (GEL millions)</t>
        </is>
      </c>
      <c r="B40">
        <f>B38*D33</f>
        <v/>
      </c>
      <c r="C40" s="23">
        <f>C38*D33</f>
        <v/>
      </c>
      <c r="D40">
        <f>D38*D33</f>
        <v/>
      </c>
      <c r="E40" s="23">
        <f>E38*D33</f>
        <v/>
      </c>
      <c r="F40" s="23">
        <f>F38*D33</f>
        <v/>
      </c>
      <c r="G40" s="23">
        <f>G38*D33</f>
        <v/>
      </c>
      <c r="H40" s="23">
        <f>H38*D33</f>
        <v/>
      </c>
      <c r="I40" s="23">
        <f>I38*D33</f>
        <v/>
      </c>
      <c r="J40" s="23">
        <f>SUM(B40:I40)</f>
        <v/>
      </c>
      <c r="BN40">
        <f>BN38*D33</f>
        <v/>
      </c>
      <c r="BO40">
        <f>BO38*D33</f>
        <v/>
      </c>
      <c r="BP40">
        <f>BP38*D33</f>
        <v/>
      </c>
      <c r="BQ40">
        <f>BQ38*D33</f>
        <v/>
      </c>
      <c r="BR40">
        <f>BR38*D33</f>
        <v/>
      </c>
      <c r="BS40">
        <f>BS38*D33</f>
        <v/>
      </c>
      <c r="BT40">
        <f>BT38*D33</f>
        <v/>
      </c>
      <c r="BU40">
        <f>BU38*D33</f>
        <v/>
      </c>
    </row>
    <row r="41">
      <c r="A41" t="inlineStr">
        <is>
          <t>Domestic Value Added Impact</t>
        </is>
      </c>
      <c r="B41">
        <f>B38*(1-D33)</f>
        <v/>
      </c>
      <c r="C41" s="23">
        <f>C38*(1-D33)</f>
        <v/>
      </c>
      <c r="D41" s="23">
        <f>D38*(1-D33)</f>
        <v/>
      </c>
      <c r="E41" s="23">
        <f>E38*(1-D33)</f>
        <v/>
      </c>
      <c r="F41" s="23">
        <f>F38*(1-D33)</f>
        <v/>
      </c>
      <c r="G41" s="23">
        <f>G38*(1-D33)</f>
        <v/>
      </c>
      <c r="H41" s="23">
        <f>H38*(1-D33)</f>
        <v/>
      </c>
      <c r="I41" s="23">
        <f>I38*(1-D33)</f>
        <v/>
      </c>
      <c r="J41" s="23">
        <f>SUM(B41:I41)</f>
        <v/>
      </c>
      <c r="BN41">
        <f>BN38*(1-D33)</f>
        <v/>
      </c>
      <c r="BO41">
        <f>BO38*(1-D33)</f>
        <v/>
      </c>
      <c r="BP41">
        <f>BP38*(1-D33)</f>
        <v/>
      </c>
      <c r="BQ41">
        <f>BQ38*(1-D33)</f>
        <v/>
      </c>
      <c r="BR41">
        <f>BR38*(1-D33)</f>
        <v/>
      </c>
      <c r="BS41">
        <f>BS38*(1-D33)</f>
        <v/>
      </c>
      <c r="BT41">
        <f>BT38*(1-D33)</f>
        <v/>
      </c>
      <c r="BU41">
        <f>BU38*(1-D33)</f>
        <v/>
      </c>
    </row>
    <row r="42">
      <c r="A42" t="inlineStr">
        <is>
          <t>Cumulative Real GDP Impact</t>
        </is>
      </c>
      <c r="B42">
        <f>B38</f>
        <v/>
      </c>
      <c r="C42" s="23">
        <f>B42+C38</f>
        <v/>
      </c>
      <c r="D42" s="23">
        <f>C42+D38</f>
        <v/>
      </c>
      <c r="E42" s="23">
        <f>D42+E38</f>
        <v/>
      </c>
      <c r="F42" s="23">
        <f>E42+F38</f>
        <v/>
      </c>
      <c r="G42" s="23">
        <f>F42+G38</f>
        <v/>
      </c>
      <c r="H42" s="23">
        <f>G42+H38</f>
        <v/>
      </c>
      <c r="I42" s="23">
        <f>H42+I38</f>
        <v/>
      </c>
      <c r="J42" s="23">
        <f>SUM(B42:I42)</f>
        <v/>
      </c>
      <c r="BN42">
        <f>BN38</f>
        <v/>
      </c>
      <c r="BO42">
        <f>BN42+BO38</f>
        <v/>
      </c>
      <c r="BP42">
        <f>BO42+BP38</f>
        <v/>
      </c>
      <c r="BQ42">
        <f>BP42+BQ38</f>
        <v/>
      </c>
      <c r="BR42">
        <f>BQ42+BR38</f>
        <v/>
      </c>
      <c r="BS42">
        <f>BR42+BS38</f>
        <v/>
      </c>
      <c r="BT42">
        <f>BS42+BT38</f>
        <v/>
      </c>
      <c r="BU42">
        <f>BT42+BU38</f>
        <v/>
      </c>
    </row>
    <row r="43">
      <c r="A43" t="inlineStr">
        <is>
          <t>Cumulative Nominal GDP Impact</t>
        </is>
      </c>
      <c r="B43">
        <f>B39</f>
        <v/>
      </c>
      <c r="C43" s="23">
        <f>B43+C39</f>
        <v/>
      </c>
      <c r="D43" s="23">
        <f>C43+D39</f>
        <v/>
      </c>
      <c r="E43" s="23">
        <f>D43+E39</f>
        <v/>
      </c>
      <c r="F43" s="23">
        <f>E43+F39</f>
        <v/>
      </c>
      <c r="G43" s="23">
        <f>F43+G39</f>
        <v/>
      </c>
      <c r="H43" s="23">
        <f>G43+H39</f>
        <v/>
      </c>
      <c r="I43" s="23">
        <f>H43+I39</f>
        <v/>
      </c>
      <c r="J43" s="23">
        <f>SUM(B43:I43)</f>
        <v/>
      </c>
      <c r="BN43">
        <f>BN39</f>
        <v/>
      </c>
      <c r="BO43">
        <f>BN43+BO39</f>
        <v/>
      </c>
      <c r="BP43">
        <f>BO43+BP39</f>
        <v/>
      </c>
      <c r="BQ43">
        <f>BP43+BQ39</f>
        <v/>
      </c>
      <c r="BR43">
        <f>BQ43+BR39</f>
        <v/>
      </c>
      <c r="BS43">
        <f>BR43+BS39</f>
        <v/>
      </c>
      <c r="BT43">
        <f>BS43+BT39</f>
        <v/>
      </c>
      <c r="BU43">
        <f>BT43+BU39</f>
        <v/>
      </c>
    </row>
    <row r="46">
      <c r="A46" s="26" t="inlineStr">
        <is>
          <t>SCENARIO 3: High Import Content (Import Share = 0.5)</t>
        </is>
      </c>
    </row>
    <row r="47">
      <c r="A47" s="6" t="inlineStr">
        <is>
          <t>Assumptions (Same as Scenario 1, except)</t>
        </is>
      </c>
    </row>
    <row r="48">
      <c r="A48" t="inlineStr">
        <is>
          <t>Import Content Share</t>
        </is>
      </c>
      <c r="B48">
        <f>0.5</f>
        <v/>
      </c>
      <c r="C48" t="inlineStr">
        <is>
          <t>ratio</t>
        </is>
      </c>
      <c r="D48" t="inlineStr">
        <is>
          <t>Higher import dependency</t>
        </is>
      </c>
    </row>
    <row r="51">
      <c r="A51" s="21" t="inlineStr">
        <is>
          <t>RESULTS</t>
        </is>
      </c>
    </row>
    <row r="52">
      <c r="A52" s="27" t="inlineStr">
        <is>
          <t>Indicator</t>
        </is>
      </c>
      <c r="B52" s="27" t="inlineStr">
        <is>
          <t>2026</t>
        </is>
      </c>
      <c r="C52" s="27" t="inlineStr">
        <is>
          <t>2027</t>
        </is>
      </c>
      <c r="D52" s="27" t="inlineStr">
        <is>
          <t>2028</t>
        </is>
      </c>
      <c r="E52" s="27" t="inlineStr">
        <is>
          <t>2029</t>
        </is>
      </c>
      <c r="F52" s="27" t="inlineStr">
        <is>
          <t>2030</t>
        </is>
      </c>
      <c r="G52" s="27" t="inlineStr">
        <is>
          <t>2031</t>
        </is>
      </c>
      <c r="H52" s="27" t="inlineStr">
        <is>
          <t>2032</t>
        </is>
      </c>
      <c r="I52" s="27" t="inlineStr">
        <is>
          <t>2033</t>
        </is>
      </c>
      <c r="J52" s="27" t="inlineStr">
        <is>
          <t>Total</t>
        </is>
      </c>
    </row>
    <row r="53">
      <c r="A53" t="inlineStr">
        <is>
          <t>Annual Investment (USD millions)</t>
        </is>
      </c>
      <c r="B53" t="n">
        <v>114.38</v>
      </c>
      <c r="C53" s="23" t="n">
        <v>433.93</v>
      </c>
      <c r="D53" s="23" t="n">
        <v>1055.5</v>
      </c>
      <c r="E53" s="23" t="n">
        <v>1646.19</v>
      </c>
      <c r="F53" s="23" t="n">
        <v>1646.19</v>
      </c>
      <c r="G53" s="23" t="n">
        <v>1055.5</v>
      </c>
      <c r="H53" s="23" t="n">
        <v>433.93</v>
      </c>
      <c r="I53" s="23" t="n">
        <v>114.38</v>
      </c>
      <c r="J53" s="23">
        <f>SUM(B53:I53)</f>
        <v/>
      </c>
      <c r="BN53" t="n">
        <v>114.38</v>
      </c>
      <c r="BO53" t="n">
        <v>433.93</v>
      </c>
      <c r="BP53" t="n">
        <v>1055.5</v>
      </c>
      <c r="BQ53" t="n">
        <v>1646.19</v>
      </c>
      <c r="BR53" t="n">
        <v>1646.19</v>
      </c>
      <c r="BS53" t="n">
        <v>1055.5</v>
      </c>
      <c r="BT53" t="n">
        <v>433.93</v>
      </c>
      <c r="BU53" t="n">
        <v>114.38</v>
      </c>
    </row>
    <row r="54">
      <c r="A54" t="inlineStr">
        <is>
          <t>Annual Investment (GEL millions)</t>
        </is>
      </c>
      <c r="B54">
        <f>B53*D31</f>
        <v/>
      </c>
      <c r="C54" s="23">
        <f>C53*D31</f>
        <v/>
      </c>
      <c r="D54" s="23">
        <f>D53*D31</f>
        <v/>
      </c>
      <c r="E54" s="23">
        <f>E53*D31</f>
        <v/>
      </c>
      <c r="F54" s="23">
        <f>F53*D31</f>
        <v/>
      </c>
      <c r="G54" s="23">
        <f>G53*D31</f>
        <v/>
      </c>
      <c r="H54" s="23">
        <f>H53*D31</f>
        <v/>
      </c>
      <c r="I54" s="23">
        <f>I53*D31</f>
        <v/>
      </c>
      <c r="J54" s="23">
        <f>SUM(B54:I54)</f>
        <v/>
      </c>
      <c r="BN54">
        <f>BN53*D31</f>
        <v/>
      </c>
      <c r="BO54">
        <f>BO53*D31</f>
        <v/>
      </c>
      <c r="BP54">
        <f>BP53*D31</f>
        <v/>
      </c>
      <c r="BQ54">
        <f>BQ53*D31</f>
        <v/>
      </c>
      <c r="BR54">
        <f>BR53*D31</f>
        <v/>
      </c>
      <c r="BS54">
        <f>BS53*D31</f>
        <v/>
      </c>
      <c r="BT54">
        <f>BT53*D31</f>
        <v/>
      </c>
      <c r="BU54">
        <f>BU53*D31</f>
        <v/>
      </c>
    </row>
    <row r="55">
      <c r="A55" t="inlineStr">
        <is>
          <t>Real GDP Impact (GEL millions)</t>
        </is>
      </c>
      <c r="B55">
        <f>B54*D32</f>
        <v/>
      </c>
      <c r="C55" s="23">
        <f>C54*D32</f>
        <v/>
      </c>
      <c r="D55" s="23">
        <f>D54*D32</f>
        <v/>
      </c>
      <c r="E55" s="23">
        <f>E54*D32</f>
        <v/>
      </c>
      <c r="F55" s="23">
        <f>F54*D32</f>
        <v/>
      </c>
      <c r="G55" s="23">
        <f>G54*D32</f>
        <v/>
      </c>
      <c r="H55" s="23">
        <f>H54*D32</f>
        <v/>
      </c>
      <c r="I55" s="23">
        <f>I54*D32</f>
        <v/>
      </c>
      <c r="J55" s="23">
        <f>SUM(B55:I55)</f>
        <v/>
      </c>
      <c r="BN55">
        <f>BN54*D32</f>
        <v/>
      </c>
      <c r="BO55">
        <f>BO54*D32</f>
        <v/>
      </c>
      <c r="BP55">
        <f>BP54*D32</f>
        <v/>
      </c>
      <c r="BQ55">
        <f>BQ54*D32</f>
        <v/>
      </c>
      <c r="BR55">
        <f>BR54*D32</f>
        <v/>
      </c>
      <c r="BS55">
        <f>BS54*D32</f>
        <v/>
      </c>
      <c r="BT55">
        <f>BT54*D32</f>
        <v/>
      </c>
      <c r="BU55">
        <f>BU54*D32</f>
        <v/>
      </c>
    </row>
    <row r="56">
      <c r="A56" t="inlineStr">
        <is>
          <t>Nominal GDP Impact (GEL millions)</t>
        </is>
      </c>
      <c r="B56">
        <f>B55*(1+WEO_Data!D9/100)</f>
        <v/>
      </c>
      <c r="C56" s="23">
        <f>C55*(1+WEO_Data!D10/100)</f>
        <v/>
      </c>
      <c r="D56" s="23">
        <f>D55*(1+WEO_Data!D11/100)</f>
        <v/>
      </c>
      <c r="E56" s="23">
        <f>E55*(1+WEO_Data!D12/100)</f>
        <v/>
      </c>
      <c r="F56" s="23">
        <f>F55*(1+WEO_Data!D13/100)</f>
        <v/>
      </c>
      <c r="G56" s="23">
        <f>G55*(1+WEO_Data!D14/100)</f>
        <v/>
      </c>
      <c r="H56" s="23">
        <f>H55*(1+WEO_Data!D15/100)</f>
        <v/>
      </c>
      <c r="I56" s="23">
        <f>I55*(1+WEO_Data!D16/100)</f>
        <v/>
      </c>
      <c r="J56" s="23">
        <f>SUM(B56:I56)</f>
        <v/>
      </c>
      <c r="BN56">
        <f>BN55*(1+WEO_Data!D9/100)</f>
        <v/>
      </c>
      <c r="BO56">
        <f>BO55*(1+WEO_Data!D10/100)</f>
        <v/>
      </c>
      <c r="BP56">
        <f>BP55*(1+WEO_Data!D11/100)</f>
        <v/>
      </c>
      <c r="BQ56">
        <f>BQ55*(1+WEO_Data!D12/100)</f>
        <v/>
      </c>
      <c r="BR56">
        <f>BR55*(1+WEO_Data!D13/100)</f>
        <v/>
      </c>
      <c r="BS56">
        <f>BS55*(1+WEO_Data!D14/100)</f>
        <v/>
      </c>
      <c r="BT56">
        <f>BT55*(1+WEO_Data!D15/100)</f>
        <v/>
      </c>
      <c r="BU56">
        <f>BU55*(1+WEO_Data!D16/100)</f>
        <v/>
      </c>
    </row>
    <row r="57">
      <c r="A57" t="inlineStr">
        <is>
          <t>Imports Induced (GEL millions)</t>
        </is>
      </c>
      <c r="B57">
        <f>B55*D40</f>
        <v/>
      </c>
      <c r="C57" s="23">
        <f>C55*D40</f>
        <v/>
      </c>
      <c r="D57" s="23">
        <f>D55*D40</f>
        <v/>
      </c>
      <c r="E57" s="23">
        <f>E55*D40</f>
        <v/>
      </c>
      <c r="F57" s="23">
        <f>F55*D40</f>
        <v/>
      </c>
      <c r="G57" s="23">
        <f>G55*D40</f>
        <v/>
      </c>
      <c r="H57" s="23">
        <f>H55*D40</f>
        <v/>
      </c>
      <c r="I57" s="23">
        <f>I55*D40</f>
        <v/>
      </c>
      <c r="J57" s="23">
        <f>SUM(B57:I57)</f>
        <v/>
      </c>
      <c r="BN57">
        <f>BN55*D40</f>
        <v/>
      </c>
      <c r="BO57">
        <f>BO55*D40</f>
        <v/>
      </c>
      <c r="BP57">
        <f>BP55*D40</f>
        <v/>
      </c>
      <c r="BQ57">
        <f>BQ55*D40</f>
        <v/>
      </c>
      <c r="BR57">
        <f>BR55*D40</f>
        <v/>
      </c>
      <c r="BS57">
        <f>BS55*D40</f>
        <v/>
      </c>
      <c r="BT57">
        <f>BT55*D40</f>
        <v/>
      </c>
      <c r="BU57">
        <f>BU55*D40</f>
        <v/>
      </c>
    </row>
    <row r="58">
      <c r="A58" t="inlineStr">
        <is>
          <t>Domestic Value Added Impact</t>
        </is>
      </c>
      <c r="B58">
        <f>B55*(1-D40)</f>
        <v/>
      </c>
      <c r="C58" s="23">
        <f>C55*(1-D40)</f>
        <v/>
      </c>
      <c r="D58" s="23">
        <f>D55*(1-D40)</f>
        <v/>
      </c>
      <c r="E58" s="23">
        <f>E55*(1-D40)</f>
        <v/>
      </c>
      <c r="F58" s="23">
        <f>F55*(1-D40)</f>
        <v/>
      </c>
      <c r="G58" s="23">
        <f>G55*(1-D40)</f>
        <v/>
      </c>
      <c r="H58" s="23">
        <f>H55*(1-D40)</f>
        <v/>
      </c>
      <c r="I58" s="23">
        <f>I55*(1-D40)</f>
        <v/>
      </c>
      <c r="J58" s="23">
        <f>SUM(B58:I58)</f>
        <v/>
      </c>
      <c r="BN58">
        <f>BN55*(1-D40)</f>
        <v/>
      </c>
      <c r="BO58">
        <f>BO55*(1-D40)</f>
        <v/>
      </c>
      <c r="BP58">
        <f>BP55*(1-D40)</f>
        <v/>
      </c>
      <c r="BQ58">
        <f>BQ55*(1-D40)</f>
        <v/>
      </c>
      <c r="BR58">
        <f>BR55*(1-D40)</f>
        <v/>
      </c>
      <c r="BS58">
        <f>BS55*(1-D40)</f>
        <v/>
      </c>
      <c r="BT58">
        <f>BT55*(1-D40)</f>
        <v/>
      </c>
      <c r="BU58">
        <f>BU55*(1-D40)</f>
        <v/>
      </c>
    </row>
    <row r="59">
      <c r="A59" t="inlineStr">
        <is>
          <t>Cumulative Real GDP Impact</t>
        </is>
      </c>
      <c r="B59">
        <f>B55</f>
        <v/>
      </c>
      <c r="C59" s="23">
        <f>B59+C55</f>
        <v/>
      </c>
      <c r="D59" s="23">
        <f>C59+D55</f>
        <v/>
      </c>
      <c r="E59" s="23">
        <f>D59+E55</f>
        <v/>
      </c>
      <c r="F59" s="23">
        <f>E59+F55</f>
        <v/>
      </c>
      <c r="G59" s="23">
        <f>F59+G55</f>
        <v/>
      </c>
      <c r="H59" s="23">
        <f>G59+H55</f>
        <v/>
      </c>
      <c r="I59" s="23">
        <f>H59+I55</f>
        <v/>
      </c>
      <c r="J59" s="23">
        <f>SUM(B59:I59)</f>
        <v/>
      </c>
      <c r="BN59">
        <f>BN55</f>
        <v/>
      </c>
      <c r="BO59">
        <f>BN59+BO55</f>
        <v/>
      </c>
      <c r="BP59">
        <f>BO59+BP55</f>
        <v/>
      </c>
      <c r="BQ59">
        <f>BP59+BQ55</f>
        <v/>
      </c>
      <c r="BR59">
        <f>BQ59+BR55</f>
        <v/>
      </c>
      <c r="BS59">
        <f>BR59+BS55</f>
        <v/>
      </c>
      <c r="BT59">
        <f>BS59+BT55</f>
        <v/>
      </c>
      <c r="BU59">
        <f>BT59+BU55</f>
        <v/>
      </c>
    </row>
    <row r="60">
      <c r="A60" t="inlineStr">
        <is>
          <t>Cumulative Nominal GDP Impact</t>
        </is>
      </c>
      <c r="B60">
        <f>B56</f>
        <v/>
      </c>
      <c r="C60" s="23">
        <f>B60+C56</f>
        <v/>
      </c>
      <c r="D60" s="23">
        <f>C60+D56</f>
        <v/>
      </c>
      <c r="E60" s="23">
        <f>D60+E56</f>
        <v/>
      </c>
      <c r="F60" s="23">
        <f>E60+F56</f>
        <v/>
      </c>
      <c r="G60" s="23">
        <f>F60+G56</f>
        <v/>
      </c>
      <c r="H60" s="23">
        <f>G60+H56</f>
        <v/>
      </c>
      <c r="I60" s="23">
        <f>H60+I56</f>
        <v/>
      </c>
      <c r="J60" s="23">
        <f>SUM(B60:I60)</f>
        <v/>
      </c>
      <c r="BN60">
        <f>BN56</f>
        <v/>
      </c>
      <c r="BO60">
        <f>BN60+BO56</f>
        <v/>
      </c>
      <c r="BP60">
        <f>BO60+BP56</f>
        <v/>
      </c>
      <c r="BQ60">
        <f>BP60+BQ56</f>
        <v/>
      </c>
      <c r="BR60">
        <f>BQ60+BR56</f>
        <v/>
      </c>
      <c r="BS60">
        <f>BR60+BS56</f>
        <v/>
      </c>
      <c r="BT60">
        <f>BS60+BT56</f>
        <v/>
      </c>
      <c r="BU60">
        <f>BT60+BU56</f>
        <v/>
      </c>
    </row>
  </sheetData>
  <mergeCells count="5">
    <mergeCell ref="A1:J1"/>
    <mergeCell ref="A46:J46"/>
    <mergeCell ref="A29:J29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2026-01-29T04:11:20Z</dcterms:created>
  <dcterms:modified xsi:type="dcterms:W3CDTF">2026-01-29T04:15:52Z</dcterms:modified>
</cp:coreProperties>
</file>