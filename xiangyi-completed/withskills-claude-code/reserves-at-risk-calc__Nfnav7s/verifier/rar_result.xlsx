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<sst xmlns="http://schemas.openxmlformats.org/spreadsheetml/2006/main" count="878" uniqueCount="627">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</sst>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4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AVERAGE('Gold price'!D5:D6)*SQRT(12)</f>
        <v>11.4794877832573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591.547524753806</v>
      </c>
      <c r="D13" s="1" t="n">
        <f aca="false">D12*$C$3*$C$4/100</f>
        <v>79.3375210551885</v>
      </c>
      <c r="E13" s="1" t="n">
        <f aca="false">E12*$C$3*$C$4/100</f>
        <v>0.848008832835398</v>
      </c>
      <c r="F13" s="1" t="n">
        <f aca="false">F12*$C$3*$C$4/100</f>
        <v>307.028288567306</v>
      </c>
      <c r="G13" s="1" t="n">
        <f aca="false">G12*$C$3*$C$4/100</f>
        <v>4362.17168835458</v>
      </c>
      <c r="H13" s="1" t="n">
        <f aca="false">H12*$C$3*$C$4/100</f>
        <v>801.442775442417</v>
      </c>
      <c r="I13" s="1" t="n">
        <f aca="false">I12*$C$3*$C$4/100</f>
        <v>72.9461790396448</v>
      </c>
      <c r="J13" s="1" t="n">
        <f aca="false">J12*$C$3*$C$4/100</f>
        <v>63.9055022391643</v>
      </c>
      <c r="K13" s="1" t="n">
        <f aca="false">K12*$C$3*$C$4/100</f>
        <v>258.415232612853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Value!D18</f>
        <v>7471</v>
      </c>
      <c r="D21" s="4" t="n">
        <f aca="false">Value!F18</f>
        <v>1002</v>
      </c>
      <c r="E21" s="5" t="n">
        <f aca="false">Value!J18</f>
        <v>10.71</v>
      </c>
      <c r="F21" s="5" t="n">
        <f aca="false">Value!M18</f>
        <v>55092.42</v>
      </c>
      <c r="G21" s="5" t="n">
        <f aca="false">Value!N18</f>
        <v>10121.89</v>
      </c>
      <c r="H21" s="3" t="n">
        <f aca="false">Value!O18</f>
        <v>921.28</v>
      </c>
      <c r="I21" s="3" t="n">
        <f aca="false">Value!Q18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C21*$C$3*$C$4/100</f>
        <v>591.547524753806</v>
      </c>
      <c r="D22" s="1" t="n">
        <f aca="false">D21*$C$3*$C$4/100</f>
        <v>79.3375210551885</v>
      </c>
      <c r="E22" s="1" t="n">
        <f aca="false">E21*$C$3*$C$4/100</f>
        <v>0.848008832835398</v>
      </c>
      <c r="F22" s="1" t="n">
        <f aca="false">F21*$C$3*$C$4/100</f>
        <v>4362.17168835458</v>
      </c>
      <c r="G22" s="1" t="n">
        <f aca="false">G21*$C$3*$C$4/100</f>
        <v>801.442775442417</v>
      </c>
      <c r="H22" s="1" t="n">
        <f aca="false">H21*$C$3*$C$4/100</f>
        <v>72.9461790396448</v>
      </c>
      <c r="I22" s="1" t="n">
        <f aca="false">I21*$C$3*$C$4/100</f>
        <v>63.9055022391643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Reserves'!D:D,MATCH("2025",'Total Reserves'!$A:$A,0))</f>
        <v>14425.9</v>
      </c>
      <c r="D23" s="5" t="n">
        <f aca="false">INDEX('Total Reserves'!E:E,MATCH("2025",'Total Reserves'!$A:$A,0))</f>
        <v>6158.7</v>
      </c>
      <c r="E23" s="5" t="n">
        <f aca="false">INDEX('Total Reserves'!H:H,MATCH("2025",'Total Reserves'!$A:$A,0))</f>
        <v>5999.34</v>
      </c>
      <c r="F23" s="5" t="n">
        <f aca="false">INDEX('Total Reserves'!I:I,MATCH("2025",'Total Reserves'!$A:$A,0))</f>
        <v>66311.75</v>
      </c>
      <c r="G23" s="5" t="n">
        <f aca="false">INDEX('Total Reserves'!J:J,MATCH("2025",'Total Reserves'!$A:$A,0))</f>
        <v>175830.49</v>
      </c>
      <c r="H23" s="5" t="n">
        <f aca="false">INDEX('Total Reserves'!K:K,MATCH("2025",'Total Reserves'!$A:$A,0))</f>
        <v>6076.9</v>
      </c>
      <c r="I23" s="3" t="n">
        <f aca="false">INDEX('Total Reserves'!N:N,MATCH("2025",'Total Reserves'!$A:$A,0))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4.10059354878244</v>
      </c>
      <c r="D24" s="1" t="n">
        <f aca="false">D22/D23*100</f>
        <v>1.28821863469869</v>
      </c>
      <c r="E24" s="1" t="n">
        <f aca="false">E22/E23*100</f>
        <v>0.0141350354011508</v>
      </c>
      <c r="F24" s="1" t="n">
        <f aca="false">F22/F23*100</f>
        <v>6.57827864345999</v>
      </c>
      <c r="G24" s="1" t="n">
        <f aca="false">G22/G23*100</f>
        <v>0.45580420974907</v>
      </c>
      <c r="H24" s="1" t="n">
        <f aca="false">H22/H23*100</f>
        <v>1.20038471983486</v>
      </c>
      <c r="I24" s="1" t="n">
        <f aca="false">I22/I23*100</f>
        <v>0.902275999818774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