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PWT" sheetId="2" state="visible" r:id="rId2"/>
    <sheet name="WEO_Data" sheetId="3" state="visible" r:id="rId3"/>
    <sheet name="CFC_Data" sheetId="4" state="visible" r:id="rId4"/>
    <sheet name="Production" sheetId="5" state="visible" r:id="rId5"/>
    <sheet name="Notes" sheetId="6" state="visible" r:id="rId6"/>
    <sheet name="Investment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b val="1"/>
      <sz val="14"/>
    </font>
    <font>
      <b val="1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9" fillId="0" borderId="0" pivotButton="0" quotePrefix="0" xfId="0"/>
    <xf numFmtId="0" fontId="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5" customWidth="1" style="4" min="1" max="1"/>
    <col width="25" customWidth="1" style="4" min="2" max="2"/>
    <col width="25" customWidth="1" style="4" min="3" max="3"/>
    <col width="28" customWidth="1" style="4" min="4" max="4"/>
    <col width="20" customWidth="1" style="4" min="5" max="5"/>
  </cols>
  <sheetData>
    <row r="1">
      <c r="A1" s="5" t="inlineStr">
        <is>
          <t>GEORGIA INVESTMENT SHOCK ANALYSIS SUMMARY</t>
        </is>
      </c>
    </row>
    <row r="3">
      <c r="A3" s="6" t="inlineStr">
        <is>
          <t>Model Parameters</t>
        </is>
      </c>
    </row>
    <row r="4">
      <c r="A4" t="inlineStr">
        <is>
          <t>Total Investment Shock:</t>
        </is>
      </c>
      <c r="B4">
        <f>Investment!B3</f>
        <v/>
      </c>
      <c r="C4" t="inlineStr">
        <is>
          <t>Million USD</t>
        </is>
      </c>
    </row>
    <row r="5">
      <c r="A5" t="inlineStr">
        <is>
          <t>Duration:</t>
        </is>
      </c>
      <c r="B5">
        <f>Investment!B4</f>
        <v/>
      </c>
      <c r="C5" t="inlineStr">
        <is>
          <t>Years</t>
        </is>
      </c>
    </row>
    <row r="6">
      <c r="A6" t="inlineStr">
        <is>
          <t>Period:</t>
        </is>
      </c>
      <c r="B6">
        <f>Investment!B5</f>
        <v/>
      </c>
      <c r="C6" t="inlineStr">
        <is>
          <t>Start Year</t>
        </is>
      </c>
    </row>
    <row r="7">
      <c r="A7" t="inlineStr">
        <is>
          <t>Annual Investment:</t>
        </is>
      </c>
      <c r="B7">
        <f>Investment!B6</f>
        <v/>
      </c>
      <c r="C7" t="inlineStr">
        <is>
          <t>Million USD</t>
        </is>
      </c>
    </row>
    <row r="8">
      <c r="A8" t="inlineStr">
        <is>
          <t>Depreciation Rate (avg 2015-2023):</t>
        </is>
      </c>
      <c r="B8">
        <f>Production!$B$3</f>
        <v/>
      </c>
      <c r="C8" t="inlineStr">
        <is>
          <t>Annual rate</t>
        </is>
      </c>
    </row>
    <row r="10">
      <c r="A10" s="6" t="inlineStr">
        <is>
          <t>Baseline Economic Indicators (2023)</t>
        </is>
      </c>
    </row>
    <row r="11">
      <c r="A11" t="inlineStr">
        <is>
          <t>Real GDP (2023):</t>
        </is>
      </c>
      <c r="B11">
        <f>WEO_Data!B24*1000</f>
        <v/>
      </c>
      <c r="C11" t="inlineStr">
        <is>
          <t>Million USD</t>
        </is>
      </c>
    </row>
    <row r="12">
      <c r="A12" t="inlineStr">
        <is>
          <t>Capital Stock (2023):</t>
        </is>
      </c>
      <c r="B12">
        <f>PWT!B2</f>
        <v/>
      </c>
      <c r="C12" t="inlineStr">
        <is>
          <t>Million 2017 USD</t>
        </is>
      </c>
    </row>
    <row r="13">
      <c r="A13" t="inlineStr">
        <is>
          <t>Capital Share:</t>
        </is>
      </c>
      <c r="B13">
        <f>PWT!B7</f>
        <v/>
      </c>
      <c r="C13" t="inlineStr">
        <is>
          <t>Share</t>
        </is>
      </c>
    </row>
    <row r="15">
      <c r="A15" s="6" t="inlineStr">
        <is>
          <t>Investment Shock Results</t>
        </is>
      </c>
    </row>
    <row r="16">
      <c r="A16" s="7" t="inlineStr">
        <is>
          <t>Year</t>
        </is>
      </c>
      <c r="B16" s="7" t="inlineStr">
        <is>
          <t>GDP Without Shock</t>
        </is>
      </c>
      <c r="C16" s="7" t="inlineStr">
        <is>
          <t>GDP With Shock</t>
        </is>
      </c>
      <c r="D16" s="7" t="inlineStr">
        <is>
          <t>Shock Impact (Million USD)</t>
        </is>
      </c>
      <c r="E16" s="7" t="inlineStr">
        <is>
          <t>Shock Impact (%)</t>
        </is>
      </c>
    </row>
    <row r="17">
      <c r="A17" t="n">
        <v>2026</v>
      </c>
      <c r="B17">
        <f>Production!G59</f>
        <v/>
      </c>
      <c r="C17">
        <f>Production!K59</f>
        <v/>
      </c>
      <c r="D17">
        <f>C17-B17</f>
        <v/>
      </c>
      <c r="E17">
        <f>IF(B17=0, 0, D17/B17)</f>
        <v/>
      </c>
    </row>
    <row r="18">
      <c r="A18" t="n">
        <v>2027</v>
      </c>
      <c r="B18">
        <f>Production!G60</f>
        <v/>
      </c>
      <c r="C18">
        <f>Production!K60</f>
        <v/>
      </c>
      <c r="D18">
        <f>C18-B18</f>
        <v/>
      </c>
      <c r="E18">
        <f>IF(B18=0, 0, D18/B18)</f>
        <v/>
      </c>
    </row>
    <row r="19">
      <c r="A19" t="n">
        <v>2028</v>
      </c>
      <c r="B19">
        <f>Production!G61</f>
        <v/>
      </c>
      <c r="C19">
        <f>Production!K61</f>
        <v/>
      </c>
      <c r="D19">
        <f>C19-B19</f>
        <v/>
      </c>
      <c r="E19">
        <f>IF(B19=0, 0, D19/B19)</f>
        <v/>
      </c>
    </row>
    <row r="20">
      <c r="A20" t="n">
        <v>2029</v>
      </c>
      <c r="B20">
        <f>Production!G62</f>
        <v/>
      </c>
      <c r="C20">
        <f>Production!K62</f>
        <v/>
      </c>
      <c r="D20">
        <f>C20-B20</f>
        <v/>
      </c>
      <c r="E20">
        <f>IF(B20=0, 0, D20/B20)</f>
        <v/>
      </c>
    </row>
    <row r="21">
      <c r="A21" t="n">
        <v>2030</v>
      </c>
      <c r="B21">
        <f>Production!G63</f>
        <v/>
      </c>
      <c r="C21">
        <f>Production!K63</f>
        <v/>
      </c>
      <c r="D21">
        <f>C21-B21</f>
        <v/>
      </c>
      <c r="E21">
        <f>IF(B21=0, 0, D21/B21)</f>
        <v/>
      </c>
    </row>
    <row r="22">
      <c r="A22" t="n">
        <v>2031</v>
      </c>
      <c r="B22">
        <f>Production!G64</f>
        <v/>
      </c>
      <c r="C22">
        <f>Production!K64</f>
        <v/>
      </c>
      <c r="D22">
        <f>C22-B22</f>
        <v/>
      </c>
      <c r="E22">
        <f>IF(B22=0, 0, D22/B22)</f>
        <v/>
      </c>
    </row>
    <row r="23">
      <c r="A23" t="n">
        <v>2032</v>
      </c>
      <c r="B23">
        <f>Production!G65</f>
        <v/>
      </c>
      <c r="C23">
        <f>Production!K65</f>
        <v/>
      </c>
      <c r="D23">
        <f>C23-B23</f>
        <v/>
      </c>
      <c r="E23">
        <f>IF(B23=0, 0, D23/B23)</f>
        <v/>
      </c>
    </row>
    <row r="24">
      <c r="A24" t="n">
        <v>2033</v>
      </c>
      <c r="B24">
        <f>Production!G66</f>
        <v/>
      </c>
      <c r="C24">
        <f>Production!K66</f>
        <v/>
      </c>
      <c r="D24">
        <f>C24-B24</f>
        <v/>
      </c>
      <c r="E24">
        <f>IF(B24=0, 0, D24/B24)</f>
        <v/>
      </c>
    </row>
    <row r="25">
      <c r="A25" t="n">
        <v>2034</v>
      </c>
      <c r="B25">
        <f>Production!G67</f>
        <v/>
      </c>
      <c r="C25">
        <f>Production!K67</f>
        <v/>
      </c>
      <c r="D25">
        <f>C25-B25</f>
        <v/>
      </c>
      <c r="E25">
        <f>IF(B25=0, 0, D25/B25)</f>
        <v/>
      </c>
    </row>
    <row r="26">
      <c r="A26" t="n">
        <v>2035</v>
      </c>
      <c r="B26">
        <f>Production!G68</f>
        <v/>
      </c>
      <c r="C26">
        <f>Production!K68</f>
        <v/>
      </c>
      <c r="D26">
        <f>C26-B26</f>
        <v/>
      </c>
      <c r="E26">
        <f>IF(B26=0, 0, D26/B26)</f>
        <v/>
      </c>
    </row>
    <row r="27">
      <c r="A27" t="n">
        <v>2036</v>
      </c>
      <c r="B27">
        <f>Production!G69</f>
        <v/>
      </c>
      <c r="C27">
        <f>Production!K69</f>
        <v/>
      </c>
      <c r="D27">
        <f>C27-B27</f>
        <v/>
      </c>
      <c r="E27">
        <f>IF(B27=0, 0, D27/B27)</f>
        <v/>
      </c>
    </row>
    <row r="28">
      <c r="A28" t="n">
        <v>2037</v>
      </c>
      <c r="B28">
        <f>Production!G70</f>
        <v/>
      </c>
      <c r="C28">
        <f>Production!K70</f>
        <v/>
      </c>
      <c r="D28">
        <f>C28-B28</f>
        <v/>
      </c>
      <c r="E28">
        <f>IF(B28=0, 0, D28/B28)</f>
        <v/>
      </c>
    </row>
    <row r="29">
      <c r="A29" t="n">
        <v>2038</v>
      </c>
      <c r="B29">
        <f>Production!G71</f>
        <v/>
      </c>
      <c r="C29">
        <f>Production!K71</f>
        <v/>
      </c>
      <c r="D29">
        <f>C29-B29</f>
        <v/>
      </c>
      <c r="E29">
        <f>IF(B29=0, 0, D29/B29)</f>
        <v/>
      </c>
    </row>
    <row r="30">
      <c r="A30" t="n">
        <v>2039</v>
      </c>
      <c r="B30">
        <f>Production!G72</f>
        <v/>
      </c>
      <c r="C30">
        <f>Production!K72</f>
        <v/>
      </c>
      <c r="D30">
        <f>C30-B30</f>
        <v/>
      </c>
      <c r="E30">
        <f>IF(B30=0, 0, D30/B30)</f>
        <v/>
      </c>
    </row>
    <row r="31">
      <c r="A31" t="n">
        <v>2040</v>
      </c>
      <c r="B31">
        <f>Production!G73</f>
        <v/>
      </c>
      <c r="C31">
        <f>Production!K73</f>
        <v/>
      </c>
      <c r="D31">
        <f>C31-B31</f>
        <v/>
      </c>
      <c r="E31">
        <f>IF(B31=0, 0, D31/B31)</f>
        <v/>
      </c>
    </row>
    <row r="32">
      <c r="A32" t="n">
        <v>2041</v>
      </c>
      <c r="B32">
        <f>Production!G74</f>
        <v/>
      </c>
      <c r="C32">
        <f>Production!K74</f>
        <v/>
      </c>
      <c r="D32">
        <f>C32-B32</f>
        <v/>
      </c>
      <c r="E32">
        <f>IF(B32=0, 0, D32/B32)</f>
        <v/>
      </c>
    </row>
    <row r="33">
      <c r="A33" s="6" t="inlineStr">
        <is>
          <t>Cumulative Shock Impact</t>
        </is>
      </c>
      <c r="B33">
        <f>Production!G75</f>
        <v/>
      </c>
      <c r="C33">
        <f>Production!K75</f>
        <v/>
      </c>
      <c r="D33">
        <f>C33-B33</f>
        <v/>
      </c>
      <c r="E33">
        <f>IF(B33=0, 0, D33/B33)</f>
        <v/>
      </c>
    </row>
    <row r="34">
      <c r="A34" t="inlineStr">
        <is>
          <t>Period</t>
        </is>
      </c>
      <c r="B34" t="inlineStr">
        <is>
          <t>Total GDP Increase (Million USD)</t>
        </is>
      </c>
      <c r="C34" t="inlineStr">
        <is>
          <t>Average Annual Impact</t>
        </is>
      </c>
      <c r="D34">
        <f>C34-B34</f>
        <v/>
      </c>
      <c r="E34">
        <f>IF(B34=0, 0, D34/B34)</f>
        <v/>
      </c>
    </row>
    <row r="35">
      <c r="A35" t="inlineStr">
        <is>
          <t>2026-2033 (Investment Period):</t>
        </is>
      </c>
      <c r="B35">
        <f>SUM(D17:D25)</f>
        <v/>
      </c>
      <c r="C35">
        <f>B35/8</f>
        <v/>
      </c>
    </row>
    <row r="36">
      <c r="A36" t="inlineStr">
        <is>
          <t>2026-2043 (Full Period):</t>
        </is>
      </c>
      <c r="B36">
        <f>SUM(D17:D32)</f>
        <v/>
      </c>
      <c r="C36">
        <f>B36/18</f>
        <v/>
      </c>
    </row>
    <row r="38">
      <c r="A38" s="6" t="inlineStr">
        <is>
          <t>Key Metrics</t>
        </is>
      </c>
    </row>
    <row r="39">
      <c r="A39" t="inlineStr">
        <is>
          <t>Peak Impact Year:</t>
        </is>
      </c>
      <c r="B39">
        <f>INDEX(A17:A32, MATCH(MAX(D17:D32), D17:D32, 0))</f>
        <v/>
      </c>
    </row>
    <row r="40">
      <c r="A40" t="inlineStr">
        <is>
          <t>Peak Impact (Million USD):</t>
        </is>
      </c>
      <c r="B40">
        <f>MAX(D17:D32)</f>
        <v/>
      </c>
    </row>
    <row r="41">
      <c r="A41" t="inlineStr">
        <is>
          <t>Peak Impact (%):</t>
        </is>
      </c>
      <c r="B41">
        <f>MAX(E17:E32)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0" customWidth="1" style="8" min="2" max="2"/>
    <col width="30" customWidth="1" style="8" min="3" max="3"/>
  </cols>
  <sheetData>
    <row r="1" ht="15" customHeight="1" s="4">
      <c r="A1" s="8" t="inlineStr">
        <is>
          <t>Variable</t>
        </is>
      </c>
      <c r="B1" s="8" t="inlineStr">
        <is>
          <t>Value</t>
        </is>
      </c>
      <c r="C1" s="8" t="inlineStr">
        <is>
          <t>Unit/Description</t>
        </is>
      </c>
    </row>
    <row r="2" ht="15" customHeight="1" s="4">
      <c r="A2" s="8" t="inlineStr">
        <is>
          <t>Capital Stock (K, 2023)</t>
        </is>
      </c>
      <c r="B2" s="8" t="n">
        <v>231700.5</v>
      </c>
      <c r="C2" s="8" t="inlineStr">
        <is>
          <t>Million 2017 USD</t>
        </is>
      </c>
    </row>
    <row r="3" ht="15" customHeight="1" s="4">
      <c r="A3" s="8" t="inlineStr">
        <is>
          <t>Real GDP (Y, 2023)</t>
        </is>
      </c>
      <c r="B3" s="8" t="n">
        <v>67830.2</v>
      </c>
      <c r="C3" s="8" t="inlineStr">
        <is>
          <t>Million 2017 USD</t>
        </is>
      </c>
    </row>
    <row r="4" ht="15" customHeight="1" s="4">
      <c r="A4" s="8" t="inlineStr">
        <is>
          <t>Population (2023)</t>
        </is>
      </c>
      <c r="B4" s="8" t="n">
        <v>3.71</v>
      </c>
      <c r="C4" s="8" t="inlineStr">
        <is>
          <t>Millions</t>
        </is>
      </c>
    </row>
    <row r="5" ht="15" customHeight="1" s="4">
      <c r="A5" s="8" t="inlineStr">
        <is>
          <t>Employment (2023)</t>
        </is>
      </c>
      <c r="B5" s="8" t="n">
        <v>2.18</v>
      </c>
      <c r="C5" s="8" t="inlineStr">
        <is>
          <t>Millions</t>
        </is>
      </c>
    </row>
    <row r="6" ht="15" customHeight="1" s="4">
      <c r="A6" s="8" t="inlineStr">
        <is>
          <t>Labor Share</t>
        </is>
      </c>
      <c r="B6" s="8" t="n">
        <v>0.35</v>
      </c>
      <c r="C6" s="8" t="inlineStr">
        <is>
          <t>Share of output</t>
        </is>
      </c>
    </row>
    <row r="7" ht="15" customHeight="1" s="4">
      <c r="A7" s="8" t="inlineStr">
        <is>
          <t>Capital Share</t>
        </is>
      </c>
      <c r="B7" s="8">
        <f>1-PWT!B6</f>
        <v/>
      </c>
      <c r="C7" s="8" t="inlineStr">
        <is>
          <t>Share of output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8" min="1" max="1"/>
    <col width="25" customWidth="1" style="8" min="2" max="3"/>
  </cols>
  <sheetData>
    <row r="1" ht="15" customHeight="1" s="4">
      <c r="A1" s="8" t="inlineStr">
        <is>
          <t>Year</t>
        </is>
      </c>
      <c r="B1" s="8" t="inlineStr">
        <is>
          <t>Real GDP Level (Billion USD)</t>
        </is>
      </c>
      <c r="C1" s="8" t="inlineStr">
        <is>
          <t>Real GDP Growth Rate (%)</t>
        </is>
      </c>
    </row>
    <row r="2" ht="15" customHeight="1" s="4">
      <c r="A2" s="8" t="n">
        <v>2000</v>
      </c>
      <c r="B2" s="8" t="n">
        <v>3.14</v>
      </c>
      <c r="C2" s="8" t="n">
        <v>1.9</v>
      </c>
    </row>
    <row r="3" ht="15" customHeight="1" s="4">
      <c r="A3" s="8" t="n">
        <v>2001</v>
      </c>
      <c r="B3" s="8" t="n">
        <v>3.27</v>
      </c>
      <c r="C3" s="8" t="n">
        <v>4.6</v>
      </c>
    </row>
    <row r="4" ht="15" customHeight="1" s="4">
      <c r="A4" s="8" t="n">
        <v>2002</v>
      </c>
      <c r="B4" s="8" t="n">
        <v>3.61</v>
      </c>
      <c r="C4" s="8" t="n">
        <v>5.4</v>
      </c>
    </row>
    <row r="5" ht="15" customHeight="1" s="4">
      <c r="A5" s="8" t="n">
        <v>2003</v>
      </c>
      <c r="B5" s="8" t="n">
        <v>4.44</v>
      </c>
      <c r="C5" s="8" t="n">
        <v>5.9</v>
      </c>
    </row>
    <row r="6" ht="15" customHeight="1" s="4">
      <c r="A6" s="8" t="n">
        <v>2004</v>
      </c>
      <c r="B6" s="8" t="n">
        <v>5.13</v>
      </c>
      <c r="C6" s="8" t="n">
        <v>5.9</v>
      </c>
    </row>
    <row r="7" ht="15" customHeight="1" s="4">
      <c r="A7" s="8" t="n">
        <v>2005</v>
      </c>
      <c r="B7" s="8" t="n">
        <v>5.8</v>
      </c>
      <c r="C7" s="8" t="n">
        <v>9.6</v>
      </c>
    </row>
    <row r="8" ht="15" customHeight="1" s="4">
      <c r="A8" s="8" t="n">
        <v>2006</v>
      </c>
      <c r="B8" s="8" t="n">
        <v>6.73</v>
      </c>
      <c r="C8" s="8" t="n">
        <v>9.300000000000001</v>
      </c>
    </row>
    <row r="9" ht="15" customHeight="1" s="4">
      <c r="A9" s="8" t="n">
        <v>2007</v>
      </c>
      <c r="B9" s="8" t="n">
        <v>7.6</v>
      </c>
      <c r="C9" s="8" t="n">
        <v>12.6</v>
      </c>
    </row>
    <row r="10" ht="15" customHeight="1" s="4">
      <c r="A10" s="8" t="n">
        <v>2008</v>
      </c>
      <c r="B10" s="8" t="n">
        <v>8.6</v>
      </c>
      <c r="C10" s="8" t="n">
        <v>2.3</v>
      </c>
    </row>
    <row r="11" ht="15" customHeight="1" s="4">
      <c r="A11" s="8" t="n">
        <v>2009</v>
      </c>
      <c r="B11" s="8" t="n">
        <v>8.289999999999999</v>
      </c>
      <c r="C11" s="8" t="n">
        <v>-3.7</v>
      </c>
    </row>
    <row r="12" ht="15" customHeight="1" s="4">
      <c r="A12" s="8" t="n">
        <v>2010</v>
      </c>
      <c r="B12" s="8" t="n">
        <v>9.24</v>
      </c>
      <c r="C12" s="8" t="n">
        <v>6.3</v>
      </c>
    </row>
    <row r="13" ht="15" customHeight="1" s="4">
      <c r="A13" s="8" t="n">
        <v>2011</v>
      </c>
      <c r="B13" s="8" t="n">
        <v>10.6</v>
      </c>
      <c r="C13" s="8" t="n">
        <v>7.1</v>
      </c>
    </row>
    <row r="14" ht="15" customHeight="1" s="4">
      <c r="A14" s="8" t="n">
        <v>2012</v>
      </c>
      <c r="B14" s="8" t="n">
        <v>11.4</v>
      </c>
      <c r="C14" s="8" t="n">
        <v>6.2</v>
      </c>
    </row>
    <row r="15" ht="15" customHeight="1" s="4">
      <c r="A15" s="8" t="n">
        <v>2013</v>
      </c>
      <c r="B15" s="8" t="n">
        <v>12</v>
      </c>
      <c r="C15" s="8" t="n">
        <v>3.3</v>
      </c>
    </row>
    <row r="16" ht="15" customHeight="1" s="4">
      <c r="A16" s="8" t="n">
        <v>2014</v>
      </c>
      <c r="B16" s="8" t="n">
        <v>12.3</v>
      </c>
      <c r="C16" s="8" t="n">
        <v>4.6</v>
      </c>
    </row>
    <row r="17" ht="15" customHeight="1" s="4">
      <c r="A17" s="8" t="n">
        <v>2015</v>
      </c>
      <c r="B17" s="8" t="n">
        <v>12.5</v>
      </c>
      <c r="C17" s="8" t="n">
        <v>2.9</v>
      </c>
    </row>
    <row r="18" ht="15" customHeight="1" s="4">
      <c r="A18" s="8" t="n">
        <v>2016</v>
      </c>
      <c r="B18" s="8" t="n">
        <v>13.3</v>
      </c>
      <c r="C18" s="8" t="n">
        <v>2.8</v>
      </c>
    </row>
    <row r="19" ht="15" customHeight="1" s="4">
      <c r="A19" s="8" t="n">
        <v>2017</v>
      </c>
      <c r="B19" s="8" t="n">
        <v>14.65</v>
      </c>
      <c r="C19" s="8" t="n">
        <v>4.8</v>
      </c>
    </row>
    <row r="20" ht="15" customHeight="1" s="4">
      <c r="A20" s="8" t="n">
        <v>2018</v>
      </c>
      <c r="B20" s="8" t="n">
        <v>15.64</v>
      </c>
      <c r="C20" s="8" t="n">
        <v>4.7</v>
      </c>
    </row>
    <row r="21" ht="15" customHeight="1" s="4">
      <c r="A21" s="8" t="n">
        <v>2019</v>
      </c>
      <c r="B21" s="8" t="n">
        <v>17.1</v>
      </c>
      <c r="C21" s="8" t="n">
        <v>5.1</v>
      </c>
    </row>
    <row r="22" ht="15" customHeight="1" s="4">
      <c r="A22" s="8" t="n">
        <v>2020</v>
      </c>
      <c r="B22" s="8" t="n">
        <v>16.02</v>
      </c>
      <c r="C22" s="8" t="n">
        <v>-6.3</v>
      </c>
    </row>
    <row r="23" ht="15" customHeight="1" s="4">
      <c r="A23" s="8" t="n">
        <v>2021</v>
      </c>
      <c r="B23" s="8" t="n">
        <v>17.68</v>
      </c>
      <c r="C23" s="8" t="n">
        <v>10.6</v>
      </c>
    </row>
    <row r="24" ht="15" customHeight="1" s="4">
      <c r="A24" s="8" t="n">
        <v>2022</v>
      </c>
      <c r="B24" s="8" t="n">
        <v>18.97</v>
      </c>
      <c r="C24" s="8" t="n">
        <v>11</v>
      </c>
    </row>
    <row r="25" ht="15" customHeight="1" s="4">
      <c r="A25" s="8" t="n">
        <v>2023</v>
      </c>
      <c r="B25" s="8" t="n">
        <v>20.76</v>
      </c>
      <c r="C25" s="8" t="n">
        <v>7.8</v>
      </c>
    </row>
    <row r="26" ht="15" customHeight="1" s="4">
      <c r="A26" s="8" t="n">
        <v>2024</v>
      </c>
      <c r="B26" s="8" t="n">
        <v>22.72</v>
      </c>
      <c r="C26" s="8" t="n">
        <v>9.4</v>
      </c>
    </row>
    <row r="27" ht="15" customHeight="1" s="4">
      <c r="A27" s="8" t="n">
        <v>2025</v>
      </c>
      <c r="B27" s="8" t="n">
        <v>24.38</v>
      </c>
      <c r="C27" s="8" t="n">
        <v>7.2</v>
      </c>
    </row>
    <row r="28" ht="15" customHeight="1" s="4">
      <c r="A28" s="8" t="n">
        <v>2026</v>
      </c>
      <c r="B28" s="8" t="n">
        <v>25.67</v>
      </c>
      <c r="C28" s="8" t="n">
        <v>5.3</v>
      </c>
    </row>
    <row r="29" ht="15" customHeight="1" s="4">
      <c r="A29" s="8" t="n">
        <v>2027</v>
      </c>
      <c r="B29" s="8" t="n">
        <v>26.96</v>
      </c>
      <c r="C29" s="8" t="n">
        <v>5</v>
      </c>
    </row>
    <row r="30" ht="15" customHeight="1" s="4">
      <c r="A30" s="8" t="n">
        <v>2028</v>
      </c>
      <c r="B30" s="8">
        <f>B29*(1+C30/100)</f>
        <v/>
      </c>
      <c r="C30" s="8" t="n">
        <v>5</v>
      </c>
    </row>
    <row r="31" ht="15" customHeight="1" s="4">
      <c r="A31" s="8" t="n">
        <v>2029</v>
      </c>
      <c r="B31" s="8">
        <f>B30*(1+C31/100)</f>
        <v/>
      </c>
      <c r="C31" s="8" t="n">
        <v>5</v>
      </c>
    </row>
    <row r="32" ht="15" customHeight="1" s="4">
      <c r="A32" s="8" t="n">
        <v>2030</v>
      </c>
      <c r="B32" s="8">
        <f>B31*(1+C32/100)</f>
        <v/>
      </c>
      <c r="C32" s="8" t="n">
        <v>5</v>
      </c>
    </row>
    <row r="33" ht="15" customHeight="1" s="4">
      <c r="A33" s="8" t="n">
        <v>2031</v>
      </c>
      <c r="B33" s="8">
        <f>B32*(1+C33/100)</f>
        <v/>
      </c>
      <c r="C33" s="8" t="n">
        <v>5</v>
      </c>
    </row>
    <row r="34" ht="15" customHeight="1" s="4">
      <c r="A34" s="8" t="n">
        <v>2032</v>
      </c>
      <c r="B34" s="8">
        <f>B33*(1+C34/100)</f>
        <v/>
      </c>
      <c r="C34" s="8" t="n">
        <v>5</v>
      </c>
    </row>
    <row r="35" ht="15" customHeight="1" s="4">
      <c r="A35" s="8" t="n">
        <v>2033</v>
      </c>
      <c r="B35" s="8">
        <f>B34*(1+C35/100)</f>
        <v/>
      </c>
      <c r="C35" s="8" t="n">
        <v>5</v>
      </c>
    </row>
    <row r="36" ht="15" customHeight="1" s="4">
      <c r="A36" s="8" t="n">
        <v>2034</v>
      </c>
      <c r="B36" s="8">
        <f>B35*(1+C36/100)</f>
        <v/>
      </c>
      <c r="C36" s="8" t="n">
        <v>5</v>
      </c>
    </row>
    <row r="37" ht="15" customHeight="1" s="4">
      <c r="A37" s="8" t="n">
        <v>2035</v>
      </c>
      <c r="B37" s="8">
        <f>B36*(1+C37/100)</f>
        <v/>
      </c>
      <c r="C37" s="8" t="n">
        <v>5</v>
      </c>
    </row>
    <row r="38" ht="15" customHeight="1" s="4">
      <c r="A38" s="8" t="n">
        <v>2036</v>
      </c>
      <c r="B38" s="8">
        <f>B37*(1+C38/100)</f>
        <v/>
      </c>
      <c r="C38" s="8" t="n">
        <v>5</v>
      </c>
    </row>
    <row r="39" ht="15" customHeight="1" s="4">
      <c r="A39" s="8" t="n">
        <v>2037</v>
      </c>
      <c r="B39" s="8">
        <f>B38*(1+C39/100)</f>
        <v/>
      </c>
      <c r="C39" s="8" t="n">
        <v>5</v>
      </c>
    </row>
    <row r="40" ht="15" customHeight="1" s="4">
      <c r="A40" s="8" t="n">
        <v>2038</v>
      </c>
      <c r="B40" s="8">
        <f>B39*(1+C40/100)</f>
        <v/>
      </c>
      <c r="C40" s="8" t="n">
        <v>5</v>
      </c>
    </row>
    <row r="41" ht="15" customHeight="1" s="4">
      <c r="A41" s="8" t="n">
        <v>2039</v>
      </c>
      <c r="B41" s="8">
        <f>B40*(1+C41/100)</f>
        <v/>
      </c>
      <c r="C41" s="8" t="n">
        <v>5</v>
      </c>
    </row>
    <row r="42" ht="15" customHeight="1" s="4">
      <c r="A42" s="8" t="n">
        <v>2040</v>
      </c>
      <c r="B42" s="8">
        <f>B41*(1+C42/100)</f>
        <v/>
      </c>
      <c r="C42" s="8" t="n">
        <v>5</v>
      </c>
    </row>
    <row r="43" ht="15" customHeight="1" s="4">
      <c r="A43" s="8" t="n">
        <v>2041</v>
      </c>
      <c r="B43" s="8">
        <f>B42*(1+C43/100)</f>
        <v/>
      </c>
      <c r="C43" s="8" t="n">
        <v>5</v>
      </c>
    </row>
    <row r="44" ht="15" customHeight="1" s="4">
      <c r="A44" s="8" t="n">
        <v>2042</v>
      </c>
      <c r="B44" s="8">
        <f>B43*(1+C44/100)</f>
        <v/>
      </c>
      <c r="C44" s="8" t="n">
        <v>5</v>
      </c>
    </row>
    <row r="45" ht="15" customHeight="1" s="4">
      <c r="A45" s="8" t="n">
        <v>2043</v>
      </c>
      <c r="B45" s="8">
        <f>B44*(1+C45/100)</f>
        <v/>
      </c>
      <c r="C45" s="8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8" min="1" max="1"/>
    <col width="25" customWidth="1" style="8" min="2" max="3"/>
    <col width="20" customWidth="1" style="8" min="4" max="4"/>
  </cols>
  <sheetData>
    <row r="1" ht="15" customHeight="1" s="4">
      <c r="A1" s="8" t="inlineStr">
        <is>
          <t>Year</t>
        </is>
      </c>
      <c r="B1" s="8" t="inlineStr">
        <is>
          <t>CFC (Millions GEL)</t>
        </is>
      </c>
      <c r="C1" s="8" t="inlineStr">
        <is>
          <t>Capital Stock from PWT</t>
        </is>
      </c>
      <c r="D1" s="8" t="inlineStr">
        <is>
          <t>Depreciation Rate</t>
        </is>
      </c>
    </row>
    <row r="2" ht="15" customHeight="1" s="4">
      <c r="A2" s="8" t="n">
        <v>2000</v>
      </c>
      <c r="B2" s="8" t="n">
        <v>631.7</v>
      </c>
      <c r="C2" s="8" t="n">
        <v>31245.3</v>
      </c>
      <c r="D2" s="8">
        <f>IF(C2=0, 0, B2/C2)</f>
        <v/>
      </c>
    </row>
    <row r="3" ht="15" customHeight="1" s="4">
      <c r="A3" s="8" t="n">
        <v>2001</v>
      </c>
      <c r="B3" s="8" t="n">
        <v>706.98</v>
      </c>
      <c r="C3" s="8" t="n">
        <v>33890.5</v>
      </c>
      <c r="D3" s="8">
        <f>IF(C3=0, 0, B3/C3)</f>
        <v/>
      </c>
    </row>
    <row r="4" ht="15" customHeight="1" s="4">
      <c r="A4" s="8" t="n">
        <v>2002</v>
      </c>
      <c r="B4" s="8" t="n">
        <v>790.11</v>
      </c>
      <c r="C4" s="8" t="n">
        <v>36754.2</v>
      </c>
      <c r="D4" s="8">
        <f>IF(C4=0, 0, B4/C4)</f>
        <v/>
      </c>
    </row>
    <row r="5" ht="15" customHeight="1" s="4">
      <c r="A5" s="8" t="n">
        <v>2003</v>
      </c>
      <c r="B5" s="8" t="n">
        <v>932.92</v>
      </c>
      <c r="C5" s="8" t="n">
        <v>40128.8</v>
      </c>
      <c r="D5" s="8">
        <f>IF(C5=0, 0, B5/C5)</f>
        <v/>
      </c>
    </row>
    <row r="6" ht="15" customHeight="1" s="4">
      <c r="A6" s="8" t="n">
        <v>2004</v>
      </c>
      <c r="B6" s="8" t="n">
        <v>976.8200000000001</v>
      </c>
      <c r="C6" s="8" t="n">
        <v>43625.4</v>
      </c>
      <c r="D6" s="8">
        <f>IF(C6=0, 0, B6/C6)</f>
        <v/>
      </c>
    </row>
    <row r="7" ht="15" customHeight="1" s="4">
      <c r="A7" s="8" t="n">
        <v>2005</v>
      </c>
      <c r="B7" s="8" t="n">
        <v>1113.45</v>
      </c>
      <c r="C7" s="8" t="n">
        <v>47980.2</v>
      </c>
      <c r="D7" s="8">
        <f>IF(C7=0, 0, B7/C7)</f>
        <v/>
      </c>
    </row>
    <row r="8" ht="15" customHeight="1" s="4">
      <c r="A8" s="8" t="n">
        <v>2006</v>
      </c>
      <c r="B8" s="8" t="n">
        <v>1306.37</v>
      </c>
      <c r="C8" s="8" t="n">
        <v>53420.5</v>
      </c>
      <c r="D8" s="8">
        <f>IF(C8=0, 0, B8/C8)</f>
        <v/>
      </c>
    </row>
    <row r="9" ht="15" customHeight="1" s="4">
      <c r="A9" s="8" t="n">
        <v>2007</v>
      </c>
      <c r="B9" s="8" t="n">
        <v>1617.03</v>
      </c>
      <c r="C9" s="8" t="n">
        <v>59876.3</v>
      </c>
      <c r="D9" s="8">
        <f>IF(C9=0, 0, B9/C9)</f>
        <v/>
      </c>
    </row>
    <row r="10" ht="15" customHeight="1" s="4">
      <c r="A10" s="8" t="n">
        <v>2008</v>
      </c>
      <c r="B10" s="8" t="n">
        <v>1758.05</v>
      </c>
      <c r="C10" s="8" t="n">
        <v>61245.8</v>
      </c>
      <c r="D10" s="8">
        <f>IF(C10=0, 0, B10/C10)</f>
        <v/>
      </c>
    </row>
    <row r="11" ht="15" customHeight="1" s="4">
      <c r="A11" s="8" t="n">
        <v>2009</v>
      </c>
      <c r="B11" s="8" t="n">
        <v>1751.37</v>
      </c>
      <c r="C11" s="8" t="n">
        <v>59342.1</v>
      </c>
      <c r="D11" s="8">
        <f>IF(C11=0, 0, B11/C11)</f>
        <v/>
      </c>
    </row>
    <row r="12" ht="15" customHeight="1" s="4">
      <c r="A12" s="8" t="n">
        <v>2010</v>
      </c>
      <c r="B12" s="8" t="n">
        <v>2046.41</v>
      </c>
      <c r="C12" s="8" t="n">
        <v>63458.9</v>
      </c>
      <c r="D12" s="8">
        <f>IF(C12=0, 0, B12/C12)</f>
        <v/>
      </c>
    </row>
    <row r="13" ht="15" customHeight="1" s="4">
      <c r="A13" s="8" t="n">
        <v>2011</v>
      </c>
      <c r="B13" s="8" t="n">
        <v>2350.51</v>
      </c>
      <c r="C13" s="8" t="n">
        <v>68945.2</v>
      </c>
      <c r="D13" s="8">
        <f>IF(C13=0, 0, B13/C13)</f>
        <v/>
      </c>
    </row>
    <row r="14" ht="15" customHeight="1" s="4">
      <c r="A14" s="8" t="n">
        <v>2012</v>
      </c>
      <c r="B14" s="8" t="n">
        <v>2643.6</v>
      </c>
      <c r="C14" s="8" t="n">
        <v>74332.60000000001</v>
      </c>
      <c r="D14" s="8">
        <f>IF(C14=0, 0, B14/C14)</f>
        <v/>
      </c>
    </row>
    <row r="15" ht="15" customHeight="1" s="4">
      <c r="A15" s="8" t="n">
        <v>2013</v>
      </c>
      <c r="B15" s="8" t="n">
        <v>1555.93</v>
      </c>
      <c r="C15" s="8" t="n">
        <v>79654.10000000001</v>
      </c>
      <c r="D15" s="8">
        <f>IF(C15=0, 0, B15/C15)</f>
        <v/>
      </c>
    </row>
    <row r="16" ht="15" customHeight="1" s="4">
      <c r="A16" s="8" t="n">
        <v>2014</v>
      </c>
      <c r="B16" s="8" t="n">
        <v>2984.89</v>
      </c>
      <c r="C16" s="8" t="n">
        <v>83421.5</v>
      </c>
      <c r="D16" s="8">
        <f>IF(C16=0, 0, B16/C16)</f>
        <v/>
      </c>
    </row>
    <row r="17" ht="15" customHeight="1" s="4">
      <c r="A17" s="8" t="n">
        <v>2015</v>
      </c>
      <c r="B17" s="8" t="n">
        <v>3657.28</v>
      </c>
      <c r="C17" s="8" t="n">
        <v>87543.2</v>
      </c>
      <c r="D17" s="8">
        <f>IF(C17=0, 0, B17/C17)</f>
        <v/>
      </c>
    </row>
    <row r="18" ht="15" customHeight="1" s="4">
      <c r="A18" s="8" t="n">
        <v>2016</v>
      </c>
      <c r="B18" s="8" t="n">
        <v>4004.83</v>
      </c>
      <c r="C18" s="8" t="n">
        <v>92234.8</v>
      </c>
      <c r="D18" s="8">
        <f>IF(C18=0, 0, B18/C18)</f>
        <v/>
      </c>
    </row>
    <row r="19" ht="15" customHeight="1" s="4">
      <c r="A19" s="8" t="n">
        <v>2017</v>
      </c>
      <c r="B19" s="8" t="n">
        <v>4492.92</v>
      </c>
      <c r="C19" s="8" t="n">
        <v>97856.39999999999</v>
      </c>
      <c r="D19" s="8">
        <f>IF(C19=0, 0, B19/C19)</f>
        <v/>
      </c>
    </row>
    <row r="20" ht="15" customHeight="1" s="4">
      <c r="A20" s="8" t="n">
        <v>2018</v>
      </c>
      <c r="B20" s="8" t="n">
        <v>4843.62</v>
      </c>
      <c r="C20" s="8" t="n">
        <v>103654.2</v>
      </c>
      <c r="D20" s="8">
        <f>IF(C20=0, 0, B20/C20)</f>
        <v/>
      </c>
    </row>
    <row r="21" ht="15" customHeight="1" s="4">
      <c r="A21" s="8" t="n">
        <v>2019</v>
      </c>
      <c r="B21" s="8" t="n">
        <v>5452.96</v>
      </c>
      <c r="C21" s="8" t="n">
        <v>110345.6</v>
      </c>
      <c r="D21" s="8">
        <f>IF(C21=0, 0, B21/C21)</f>
        <v/>
      </c>
    </row>
    <row r="22" ht="15" customHeight="1" s="4">
      <c r="A22" s="8" t="n">
        <v>2020</v>
      </c>
      <c r="B22" s="8" t="n">
        <v>6152.77</v>
      </c>
      <c r="C22" s="8" t="n">
        <v>105234.3</v>
      </c>
      <c r="D22" s="8">
        <f>IF(C22=0, 0, B22/C22)</f>
        <v/>
      </c>
    </row>
    <row r="23" ht="15" customHeight="1" s="4">
      <c r="A23" s="8" t="n">
        <v>2021</v>
      </c>
      <c r="B23" s="8" t="n">
        <v>7072.63</v>
      </c>
      <c r="C23" s="8" t="n">
        <v>115432.8</v>
      </c>
      <c r="D23" s="8">
        <f>IF(C23=0, 0, B23/C23)</f>
        <v/>
      </c>
    </row>
    <row r="24" ht="15" customHeight="1" s="4">
      <c r="A24" s="8" t="n">
        <v>2022</v>
      </c>
      <c r="B24" s="8" t="n">
        <v>7661.45</v>
      </c>
      <c r="C24" s="8" t="n">
        <v>126234.5</v>
      </c>
      <c r="D24" s="8">
        <f>IF(C24=0, 0, B24/C24)</f>
        <v/>
      </c>
    </row>
    <row r="25" ht="15" customHeight="1" s="4">
      <c r="A25" s="8" t="n">
        <v>2023</v>
      </c>
      <c r="B25" s="8" t="n">
        <v>9410.66</v>
      </c>
      <c r="C25" s="8" t="n">
        <v>231700.5</v>
      </c>
      <c r="D25" s="8">
        <f>IF(C25=0, 0, B25/C25)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8" min="1" max="16"/>
  </cols>
  <sheetData>
    <row r="1" ht="15" customHeight="1" s="4">
      <c r="A1" s="8" t="inlineStr">
        <is>
          <t>Production Function Analysis for Georgia</t>
        </is>
      </c>
    </row>
    <row r="2" ht="15" customHeight="1" s="4">
      <c r="A2" s="8" t="inlineStr">
        <is>
          <t>Lambda (Smoothing Parameter):</t>
        </is>
      </c>
      <c r="B2" s="8" t="n">
        <v>1600</v>
      </c>
    </row>
    <row r="3" ht="15" customHeight="1" s="4">
      <c r="A3" s="8" t="inlineStr">
        <is>
          <t>Average Depreciation Rate (2015-2023):</t>
        </is>
      </c>
      <c r="B3" s="8">
        <f>AVERAGE(CFC_Data!D10:D26)</f>
        <v/>
      </c>
    </row>
    <row r="5" ht="15" customHeight="1" s="4">
      <c r="P5" s="8">
        <f>SUM(M7:M28)</f>
        <v/>
      </c>
    </row>
    <row r="6" ht="15" customHeight="1" s="4">
      <c r="A6" s="8" t="inlineStr">
        <is>
          <t>Year</t>
        </is>
      </c>
      <c r="B6" s="8" t="inlineStr">
        <is>
          <t>K (Capital Stock)</t>
        </is>
      </c>
      <c r="C6" s="8" t="inlineStr">
        <is>
          <t>Y (Real GDP)</t>
        </is>
      </c>
      <c r="D6" s="8" t="inlineStr">
        <is>
          <t>LnK</t>
        </is>
      </c>
      <c r="E6" s="8" t="inlineStr">
        <is>
          <t>LnY</t>
        </is>
      </c>
      <c r="F6" s="8" t="inlineStr">
        <is>
          <t>LnZ</t>
        </is>
      </c>
      <c r="G6" s="8" t="inlineStr">
        <is>
          <t>LnZ_HP</t>
        </is>
      </c>
      <c r="H6" s="8" t="inlineStr">
        <is>
          <t>Second Diff</t>
        </is>
      </c>
      <c r="I6" s="8" t="inlineStr">
        <is>
          <t>LnA_Trend</t>
        </is>
      </c>
      <c r="J6" s="8" t="inlineStr">
        <is>
          <t>Check</t>
        </is>
      </c>
      <c r="K6" s="8" t="inlineStr">
        <is>
          <t>Lambda</t>
        </is>
      </c>
      <c r="L6" s="8" t="inlineStr">
        <is>
          <t>LnZ_HP_Placeholder</t>
        </is>
      </c>
      <c r="M6" s="8" t="inlineStr">
        <is>
          <t>Objective</t>
        </is>
      </c>
      <c r="N6" s="8" t="inlineStr">
        <is>
          <t>Sanity Check</t>
        </is>
      </c>
      <c r="O6" s="8" t="inlineStr">
        <is>
          <t>Solver Col</t>
        </is>
      </c>
      <c r="P6" s="8" t="inlineStr">
        <is>
          <t>Total Objective</t>
        </is>
      </c>
    </row>
    <row r="7" ht="15" customHeight="1" s="4">
      <c r="A7" s="8" t="n">
        <v>2002</v>
      </c>
      <c r="B7" s="8" t="n">
        <v>36754.2</v>
      </c>
      <c r="C7" s="8">
        <f>WEO_Data!B4*1000</f>
        <v/>
      </c>
      <c r="D7" s="8">
        <f>IF(B7="", "", LN(B7))</f>
        <v/>
      </c>
      <c r="E7" s="8">
        <f>IF(C7="", "", LN(C7))</f>
        <v/>
      </c>
      <c r="F7" s="8">
        <f>IF(OR(ISBLANK(D7), ISBLANK(E7)), "", E7-0.65*D7)</f>
        <v/>
      </c>
      <c r="L7" s="8">
        <f>F7</f>
        <v/>
      </c>
      <c r="M7" s="8">
        <f>IF(ROW()&lt;=8, 0, (F7-L7)^2 + $B$3*(H7)^2)</f>
        <v/>
      </c>
    </row>
    <row r="8" ht="15" customHeight="1" s="4">
      <c r="A8" s="8" t="n">
        <v>2003</v>
      </c>
      <c r="B8" s="8" t="n">
        <v>40128.8</v>
      </c>
      <c r="C8" s="8">
        <f>WEO_Data!B5*1000</f>
        <v/>
      </c>
      <c r="D8" s="8">
        <f>IF(B8="", "", LN(B8))</f>
        <v/>
      </c>
      <c r="E8" s="8">
        <f>IF(C8="", "", LN(C8))</f>
        <v/>
      </c>
      <c r="F8" s="8">
        <f>IF(OR(ISBLANK(D8), ISBLANK(E8)), "", E8-0.65*D8)</f>
        <v/>
      </c>
      <c r="L8" s="8">
        <f>F8</f>
        <v/>
      </c>
      <c r="M8" s="8">
        <f>IF(ROW()&lt;=8, 0, (F8-L8)^2 + $B$3*(H8)^2)</f>
        <v/>
      </c>
    </row>
    <row r="9" ht="15" customHeight="1" s="4">
      <c r="A9" s="8" t="n">
        <v>2004</v>
      </c>
      <c r="B9" s="8" t="n">
        <v>43625.4</v>
      </c>
      <c r="C9" s="8">
        <f>WEO_Data!B6*1000</f>
        <v/>
      </c>
      <c r="D9" s="8">
        <f>IF(B9="", "", LN(B9))</f>
        <v/>
      </c>
      <c r="E9" s="8">
        <f>IF(C9="", "", LN(C9))</f>
        <v/>
      </c>
      <c r="F9" s="8">
        <f>IF(OR(ISBLANK(D9), ISBLANK(E9)), "", E9-0.65*D9)</f>
        <v/>
      </c>
      <c r="H9" s="8">
        <f>IF(ROW()&lt;=8, "", L9-2*L8+L7)</f>
        <v/>
      </c>
      <c r="L9" s="8">
        <f>F9</f>
        <v/>
      </c>
      <c r="M9" s="8">
        <f>IF(ROW()&lt;=8, 0, (F9-L9)^2 + $B$3*(H9)^2)</f>
        <v/>
      </c>
    </row>
    <row r="10" ht="15" customHeight="1" s="4">
      <c r="A10" s="8" t="n">
        <v>2005</v>
      </c>
      <c r="B10" s="8" t="n">
        <v>47980.2</v>
      </c>
      <c r="C10" s="8">
        <f>WEO_Data!B7*1000</f>
        <v/>
      </c>
      <c r="D10" s="8">
        <f>IF(B10="", "", LN(B10))</f>
        <v/>
      </c>
      <c r="E10" s="8">
        <f>IF(C10="", "", LN(C10))</f>
        <v/>
      </c>
      <c r="F10" s="8">
        <f>IF(OR(ISBLANK(D10), ISBLANK(E10)), "", E10-0.65*D10)</f>
        <v/>
      </c>
      <c r="H10" s="8">
        <f>IF(ROW()&lt;=8, "", L10-2*L9+L8)</f>
        <v/>
      </c>
      <c r="L10" s="8">
        <f>F10</f>
        <v/>
      </c>
      <c r="M10" s="8">
        <f>IF(ROW()&lt;=8, 0, (F10-L10)^2 + $B$3*(H10)^2)</f>
        <v/>
      </c>
    </row>
    <row r="11" ht="15" customHeight="1" s="4">
      <c r="A11" s="8" t="n">
        <v>2006</v>
      </c>
      <c r="B11" s="8" t="n">
        <v>53420.5</v>
      </c>
      <c r="C11" s="8">
        <f>WEO_Data!B8*1000</f>
        <v/>
      </c>
      <c r="D11" s="8">
        <f>IF(B11="", "", LN(B11))</f>
        <v/>
      </c>
      <c r="E11" s="8">
        <f>IF(C11="", "", LN(C11))</f>
        <v/>
      </c>
      <c r="F11" s="8">
        <f>IF(OR(ISBLANK(D11), ISBLANK(E11)), "", E11-0.65*D11)</f>
        <v/>
      </c>
      <c r="H11" s="8">
        <f>IF(ROW()&lt;=8, "", L11-2*L10+L9)</f>
        <v/>
      </c>
      <c r="L11" s="8">
        <f>F11</f>
        <v/>
      </c>
      <c r="M11" s="8">
        <f>IF(ROW()&lt;=8, 0, (F11-L11)^2 + $B$3*(H11)^2)</f>
        <v/>
      </c>
    </row>
    <row r="12" ht="15" customHeight="1" s="4">
      <c r="A12" s="8" t="n">
        <v>2007</v>
      </c>
      <c r="B12" s="8" t="n">
        <v>59876.3</v>
      </c>
      <c r="C12" s="8">
        <f>WEO_Data!B9*1000</f>
        <v/>
      </c>
      <c r="D12" s="8">
        <f>IF(B12="", "", LN(B12))</f>
        <v/>
      </c>
      <c r="E12" s="8">
        <f>IF(C12="", "", LN(C12))</f>
        <v/>
      </c>
      <c r="F12" s="8">
        <f>IF(OR(ISBLANK(D12), ISBLANK(E12)), "", E12-0.65*D12)</f>
        <v/>
      </c>
      <c r="H12" s="8">
        <f>IF(ROW()&lt;=8, "", L12-2*L11+L10)</f>
        <v/>
      </c>
      <c r="L12" s="8">
        <f>F12</f>
        <v/>
      </c>
      <c r="M12" s="8">
        <f>IF(ROW()&lt;=8, 0, (F12-L12)^2 + $B$3*(H12)^2)</f>
        <v/>
      </c>
    </row>
    <row r="13" ht="15" customHeight="1" s="4">
      <c r="A13" s="8" t="n">
        <v>2008</v>
      </c>
      <c r="B13" s="8" t="n">
        <v>61245.8</v>
      </c>
      <c r="C13" s="8">
        <f>WEO_Data!B10*1000</f>
        <v/>
      </c>
      <c r="D13" s="8">
        <f>IF(B13="", "", LN(B13))</f>
        <v/>
      </c>
      <c r="E13" s="8">
        <f>IF(C13="", "", LN(C13))</f>
        <v/>
      </c>
      <c r="F13" s="8">
        <f>IF(OR(ISBLANK(D13), ISBLANK(E13)), "", E13-0.65*D13)</f>
        <v/>
      </c>
      <c r="H13" s="8">
        <f>IF(ROW()&lt;=8, "", L13-2*L12+L11)</f>
        <v/>
      </c>
      <c r="L13" s="8">
        <f>F13</f>
        <v/>
      </c>
      <c r="M13" s="8">
        <f>IF(ROW()&lt;=8, 0, (F13-L13)^2 + $B$3*(H13)^2)</f>
        <v/>
      </c>
    </row>
    <row r="14" ht="15" customHeight="1" s="4">
      <c r="A14" s="8" t="n">
        <v>2009</v>
      </c>
      <c r="B14" s="8" t="n">
        <v>59342.1</v>
      </c>
      <c r="C14" s="8">
        <f>WEO_Data!B11*1000</f>
        <v/>
      </c>
      <c r="D14" s="8">
        <f>IF(B14="", "", LN(B14))</f>
        <v/>
      </c>
      <c r="E14" s="8">
        <f>IF(C14="", "", LN(C14))</f>
        <v/>
      </c>
      <c r="F14" s="8">
        <f>IF(OR(ISBLANK(D14), ISBLANK(E14)), "", E14-0.65*D14)</f>
        <v/>
      </c>
      <c r="H14" s="8">
        <f>IF(ROW()&lt;=8, "", L14-2*L13+L12)</f>
        <v/>
      </c>
      <c r="L14" s="8">
        <f>F14</f>
        <v/>
      </c>
      <c r="M14" s="8">
        <f>IF(ROW()&lt;=8, 0, (F14-L14)^2 + $B$3*(H14)^2)</f>
        <v/>
      </c>
    </row>
    <row r="15" ht="15" customHeight="1" s="4">
      <c r="A15" s="8" t="n">
        <v>2010</v>
      </c>
      <c r="B15" s="8" t="n">
        <v>63458.9</v>
      </c>
      <c r="C15" s="8">
        <f>WEO_Data!B12*1000</f>
        <v/>
      </c>
      <c r="D15" s="8">
        <f>IF(B15="", "", LN(B15))</f>
        <v/>
      </c>
      <c r="E15" s="8">
        <f>IF(C15="", "", LN(C15))</f>
        <v/>
      </c>
      <c r="F15" s="8">
        <f>IF(OR(ISBLANK(D15), ISBLANK(E15)), "", E15-0.65*D15)</f>
        <v/>
      </c>
      <c r="H15" s="8">
        <f>IF(ROW()&lt;=8, "", L15-2*L14+L13)</f>
        <v/>
      </c>
      <c r="L15" s="8">
        <f>F15</f>
        <v/>
      </c>
      <c r="M15" s="8">
        <f>IF(ROW()&lt;=8, 0, (F15-L15)^2 + $B$3*(H15)^2)</f>
        <v/>
      </c>
    </row>
    <row r="16" ht="15" customHeight="1" s="4">
      <c r="A16" s="8" t="n">
        <v>2011</v>
      </c>
      <c r="B16" s="8" t="n">
        <v>68945.2</v>
      </c>
      <c r="C16" s="8">
        <f>WEO_Data!B13*1000</f>
        <v/>
      </c>
      <c r="D16" s="8">
        <f>IF(B16="", "", LN(B16))</f>
        <v/>
      </c>
      <c r="E16" s="8">
        <f>IF(C16="", "", LN(C16))</f>
        <v/>
      </c>
      <c r="F16" s="8">
        <f>IF(OR(ISBLANK(D16), ISBLANK(E16)), "", E16-0.65*D16)</f>
        <v/>
      </c>
      <c r="H16" s="8">
        <f>IF(ROW()&lt;=8, "", L16-2*L15+L14)</f>
        <v/>
      </c>
      <c r="L16" s="8">
        <f>F16</f>
        <v/>
      </c>
      <c r="M16" s="8">
        <f>IF(ROW()&lt;=8, 0, (F16-L16)^2 + $B$3*(H16)^2)</f>
        <v/>
      </c>
    </row>
    <row r="17" ht="15" customHeight="1" s="4">
      <c r="A17" s="8" t="n">
        <v>2012</v>
      </c>
      <c r="B17" s="8" t="n">
        <v>74332.60000000001</v>
      </c>
      <c r="C17" s="8">
        <f>WEO_Data!B14*1000</f>
        <v/>
      </c>
      <c r="D17" s="8">
        <f>IF(B17="", "", LN(B17))</f>
        <v/>
      </c>
      <c r="E17" s="8">
        <f>IF(C17="", "", LN(C17))</f>
        <v/>
      </c>
      <c r="F17" s="8">
        <f>IF(OR(ISBLANK(D17), ISBLANK(E17)), "", E17-0.65*D17)</f>
        <v/>
      </c>
      <c r="H17" s="8">
        <f>IF(ROW()&lt;=8, "", L17-2*L16+L15)</f>
        <v/>
      </c>
      <c r="L17" s="8">
        <f>F17</f>
        <v/>
      </c>
      <c r="M17" s="8">
        <f>IF(ROW()&lt;=8, 0, (F17-L17)^2 + $B$3*(H17)^2)</f>
        <v/>
      </c>
    </row>
    <row r="18" ht="15" customHeight="1" s="4">
      <c r="A18" s="8" t="n">
        <v>2013</v>
      </c>
      <c r="B18" s="8" t="n">
        <v>79654.10000000001</v>
      </c>
      <c r="C18" s="8">
        <f>WEO_Data!B15*1000</f>
        <v/>
      </c>
      <c r="D18" s="8">
        <f>IF(B18="", "", LN(B18))</f>
        <v/>
      </c>
      <c r="E18" s="8">
        <f>IF(C18="", "", LN(C18))</f>
        <v/>
      </c>
      <c r="F18" s="8">
        <f>IF(OR(ISBLANK(D18), ISBLANK(E18)), "", E18-0.65*D18)</f>
        <v/>
      </c>
      <c r="H18" s="8">
        <f>IF(ROW()&lt;=8, "", L18-2*L17+L16)</f>
        <v/>
      </c>
      <c r="L18" s="8">
        <f>F18</f>
        <v/>
      </c>
      <c r="M18" s="8">
        <f>IF(ROW()&lt;=8, 0, (F18-L18)^2 + $B$3*(H18)^2)</f>
        <v/>
      </c>
    </row>
    <row r="19" ht="15" customHeight="1" s="4">
      <c r="A19" s="8" t="n">
        <v>2014</v>
      </c>
      <c r="B19" s="8" t="n">
        <v>83421.5</v>
      </c>
      <c r="C19" s="8">
        <f>WEO_Data!B16*1000</f>
        <v/>
      </c>
      <c r="D19" s="8">
        <f>IF(B19="", "", LN(B19))</f>
        <v/>
      </c>
      <c r="E19" s="8">
        <f>IF(C19="", "", LN(C19))</f>
        <v/>
      </c>
      <c r="F19" s="8">
        <f>IF(OR(ISBLANK(D19), ISBLANK(E19)), "", E19-0.65*D19)</f>
        <v/>
      </c>
      <c r="H19" s="8">
        <f>IF(ROW()&lt;=8, "", L19-2*L18+L17)</f>
        <v/>
      </c>
      <c r="L19" s="8">
        <f>F19</f>
        <v/>
      </c>
      <c r="M19" s="8">
        <f>IF(ROW()&lt;=8, 0, (F19-L19)^2 + $B$3*(H19)^2)</f>
        <v/>
      </c>
    </row>
    <row r="20" ht="15" customHeight="1" s="4">
      <c r="A20" s="8" t="n">
        <v>2015</v>
      </c>
      <c r="B20" s="8" t="n">
        <v>87543.2</v>
      </c>
      <c r="C20" s="8">
        <f>WEO_Data!B17*1000</f>
        <v/>
      </c>
      <c r="D20" s="8">
        <f>IF(B20="", "", LN(B20))</f>
        <v/>
      </c>
      <c r="E20" s="8">
        <f>IF(C20="", "", LN(C20))</f>
        <v/>
      </c>
      <c r="F20" s="8">
        <f>IF(OR(ISBLANK(D20), ISBLANK(E20)), "", E20-0.65*D20)</f>
        <v/>
      </c>
      <c r="H20" s="8">
        <f>IF(ROW()&lt;=8, "", L20-2*L19+L18)</f>
        <v/>
      </c>
      <c r="L20" s="8">
        <f>F20</f>
        <v/>
      </c>
      <c r="M20" s="8">
        <f>IF(ROW()&lt;=8, 0, (F20-L20)^2 + $B$3*(H20)^2)</f>
        <v/>
      </c>
    </row>
    <row r="21" ht="15" customHeight="1" s="4">
      <c r="A21" s="8" t="n">
        <v>2016</v>
      </c>
      <c r="B21" s="8" t="n">
        <v>92234.8</v>
      </c>
      <c r="C21" s="8">
        <f>WEO_Data!B18*1000</f>
        <v/>
      </c>
      <c r="D21" s="8">
        <f>IF(B21="", "", LN(B21))</f>
        <v/>
      </c>
      <c r="E21" s="8">
        <f>IF(C21="", "", LN(C21))</f>
        <v/>
      </c>
      <c r="F21" s="8">
        <f>IF(OR(ISBLANK(D21), ISBLANK(E21)), "", E21-0.65*D21)</f>
        <v/>
      </c>
      <c r="H21" s="8">
        <f>IF(ROW()&lt;=8, "", L21-2*L20+L19)</f>
        <v/>
      </c>
      <c r="L21" s="8">
        <f>F21</f>
        <v/>
      </c>
      <c r="M21" s="8">
        <f>IF(ROW()&lt;=8, 0, (F21-L21)^2 + $B$3*(H21)^2)</f>
        <v/>
      </c>
    </row>
    <row r="22" ht="15" customHeight="1" s="4">
      <c r="A22" s="8" t="n">
        <v>2017</v>
      </c>
      <c r="B22" s="8" t="n">
        <v>97856.39999999999</v>
      </c>
      <c r="C22" s="8">
        <f>WEO_Data!B19*1000</f>
        <v/>
      </c>
      <c r="D22" s="8">
        <f>IF(B22="", "", LN(B22))</f>
        <v/>
      </c>
      <c r="E22" s="8">
        <f>IF(C22="", "", LN(C22))</f>
        <v/>
      </c>
      <c r="F22" s="8">
        <f>IF(OR(ISBLANK(D22), ISBLANK(E22)), "", E22-0.65*D22)</f>
        <v/>
      </c>
      <c r="H22" s="8">
        <f>IF(ROW()&lt;=8, "", L22-2*L21+L20)</f>
        <v/>
      </c>
      <c r="L22" s="8">
        <f>F22</f>
        <v/>
      </c>
      <c r="M22" s="8">
        <f>IF(ROW()&lt;=8, 0, (F22-L22)^2 + $B$3*(H22)^2)</f>
        <v/>
      </c>
    </row>
    <row r="23" ht="15" customHeight="1" s="4">
      <c r="A23" s="8" t="n">
        <v>2018</v>
      </c>
      <c r="B23" s="8" t="n">
        <v>103654.2</v>
      </c>
      <c r="C23" s="8">
        <f>WEO_Data!B20*1000</f>
        <v/>
      </c>
      <c r="D23" s="8">
        <f>IF(B23="", "", LN(B23))</f>
        <v/>
      </c>
      <c r="E23" s="8">
        <f>IF(C23="", "", LN(C23))</f>
        <v/>
      </c>
      <c r="F23" s="8">
        <f>IF(OR(ISBLANK(D23), ISBLANK(E23)), "", E23-0.65*D23)</f>
        <v/>
      </c>
      <c r="H23" s="8">
        <f>IF(ROW()&lt;=8, "", L23-2*L22+L21)</f>
        <v/>
      </c>
      <c r="L23" s="8">
        <f>F23</f>
        <v/>
      </c>
      <c r="M23" s="8">
        <f>IF(ROW()&lt;=8, 0, (F23-L23)^2 + $B$3*(H23)^2)</f>
        <v/>
      </c>
    </row>
    <row r="24" ht="15" customHeight="1" s="4">
      <c r="A24" s="8" t="n">
        <v>2019</v>
      </c>
      <c r="B24" s="8" t="n">
        <v>110345.6</v>
      </c>
      <c r="C24" s="8">
        <f>WEO_Data!B21*1000</f>
        <v/>
      </c>
      <c r="D24" s="8">
        <f>IF(B24="", "", LN(B24))</f>
        <v/>
      </c>
      <c r="E24" s="8">
        <f>IF(C24="", "", LN(C24))</f>
        <v/>
      </c>
      <c r="F24" s="8">
        <f>IF(OR(ISBLANK(D24), ISBLANK(E24)), "", E24-0.65*D24)</f>
        <v/>
      </c>
      <c r="H24" s="8">
        <f>IF(ROW()&lt;=8, "", L24-2*L23+L22)</f>
        <v/>
      </c>
      <c r="L24" s="8">
        <f>F24</f>
        <v/>
      </c>
      <c r="M24" s="8">
        <f>IF(ROW()&lt;=8, 0, (F24-L24)^2 + $B$3*(H24)^2)</f>
        <v/>
      </c>
    </row>
    <row r="25" ht="15" customHeight="1" s="4">
      <c r="A25" s="8" t="n">
        <v>2020</v>
      </c>
      <c r="B25" s="8" t="n">
        <v>105234.3</v>
      </c>
      <c r="C25" s="8">
        <f>WEO_Data!B22*1000</f>
        <v/>
      </c>
      <c r="D25" s="8">
        <f>IF(B25="", "", LN(B25))</f>
        <v/>
      </c>
      <c r="E25" s="8">
        <f>IF(C25="", "", LN(C25))</f>
        <v/>
      </c>
      <c r="F25" s="8">
        <f>IF(OR(ISBLANK(D25), ISBLANK(E25)), "", E25-0.65*D25)</f>
        <v/>
      </c>
      <c r="H25" s="8">
        <f>IF(ROW()&lt;=8, "", L25-2*L24+L23)</f>
        <v/>
      </c>
      <c r="L25" s="8">
        <f>F25</f>
        <v/>
      </c>
      <c r="M25" s="8">
        <f>IF(ROW()&lt;=8, 0, (F25-L25)^2 + $B$3*(H25)^2)</f>
        <v/>
      </c>
    </row>
    <row r="26" ht="15" customHeight="1" s="4">
      <c r="A26" s="8" t="n">
        <v>2021</v>
      </c>
      <c r="B26" s="8" t="n">
        <v>115432.8</v>
      </c>
      <c r="C26" s="8">
        <f>WEO_Data!B23*1000</f>
        <v/>
      </c>
      <c r="D26" s="8">
        <f>IF(B26="", "", LN(B26))</f>
        <v/>
      </c>
      <c r="E26" s="8">
        <f>IF(C26="", "", LN(C26))</f>
        <v/>
      </c>
      <c r="F26" s="8">
        <f>IF(OR(ISBLANK(D26), ISBLANK(E26)), "", E26-0.65*D26)</f>
        <v/>
      </c>
      <c r="H26" s="8">
        <f>IF(ROW()&lt;=8, "", L26-2*L25+L24)</f>
        <v/>
      </c>
      <c r="L26" s="8">
        <f>F26</f>
        <v/>
      </c>
      <c r="M26" s="8">
        <f>IF(ROW()&lt;=8, 0, (F26-L26)^2 + $B$3*(H26)^2)</f>
        <v/>
      </c>
    </row>
    <row r="27" ht="15" customHeight="1" s="4">
      <c r="A27" s="8" t="n">
        <v>2022</v>
      </c>
      <c r="B27" s="8" t="n">
        <v>126234.5</v>
      </c>
      <c r="C27" s="8">
        <f>WEO_Data!B24*1000</f>
        <v/>
      </c>
      <c r="D27" s="8">
        <f>IF(B27="", "", LN(B27))</f>
        <v/>
      </c>
      <c r="E27" s="8">
        <f>IF(C27="", "", LN(C27))</f>
        <v/>
      </c>
      <c r="F27" s="8">
        <f>IF(OR(ISBLANK(D27), ISBLANK(E27)), "", E27-0.65*D27)</f>
        <v/>
      </c>
      <c r="H27" s="8">
        <f>IF(ROW()&lt;=8, "", L27-2*L26+L25)</f>
        <v/>
      </c>
      <c r="L27" s="8">
        <f>F27</f>
        <v/>
      </c>
      <c r="M27" s="8">
        <f>IF(ROW()&lt;=8, 0, (F27-L27)^2 + $B$3*(H27)^2)</f>
        <v/>
      </c>
    </row>
    <row r="28" ht="15" customHeight="1" s="4">
      <c r="A28" s="8" t="n">
        <v>2023</v>
      </c>
      <c r="B28" s="8" t="n">
        <v>231700.5</v>
      </c>
      <c r="C28" s="8">
        <f>WEO_Data!B25*1000</f>
        <v/>
      </c>
      <c r="D28" s="8">
        <f>IF(B28="", "", LN(B28))</f>
        <v/>
      </c>
      <c r="E28" s="8">
        <f>IF(C28="", "", LN(C28))</f>
        <v/>
      </c>
      <c r="F28" s="8">
        <f>IF(OR(ISBLANK(D28), ISBLANK(E28)), "", E28-0.65*D28)</f>
        <v/>
      </c>
      <c r="H28" s="8">
        <f>IF(ROW()&lt;=8, "", L28-2*L27+L26)</f>
        <v/>
      </c>
      <c r="L28" s="8">
        <f>F28</f>
        <v/>
      </c>
      <c r="M28" s="8">
        <f>IF(ROW()&lt;=8, 0, (F28-L28)^2 + $B$3*(H28)^2)</f>
        <v/>
      </c>
    </row>
    <row r="29" ht="15" customHeight="1" s="4">
      <c r="A29" s="8" t="n">
        <v>2024</v>
      </c>
      <c r="C29" s="8">
        <f>WEO_Data!B26*1000</f>
        <v/>
      </c>
      <c r="D29" s="8">
        <f>IF(B29="", "", LN(B29))</f>
        <v/>
      </c>
      <c r="E29" s="8">
        <f>IF(C29="", "", LN(C29))</f>
        <v/>
      </c>
    </row>
    <row r="30" ht="15" customHeight="1" s="4">
      <c r="A30" s="8" t="n">
        <v>2025</v>
      </c>
      <c r="C30" s="8">
        <f>WEO_Data!B27*1000</f>
        <v/>
      </c>
      <c r="D30" s="8">
        <f>IF(B30="", "", LN(B30))</f>
        <v/>
      </c>
      <c r="E30" s="8">
        <f>IF(C30="", "", LN(C30))</f>
        <v/>
      </c>
    </row>
    <row r="31" ht="15" customHeight="1" s="4">
      <c r="A31" s="8" t="n">
        <v>2026</v>
      </c>
      <c r="B31" s="8">
        <f>AVERAGE(F7:F28)</f>
        <v/>
      </c>
      <c r="C31" s="8">
        <f>WEO_Data!B28*1000</f>
        <v/>
      </c>
      <c r="D31" s="8">
        <f>IF(B31="", "", LN(B31))</f>
        <v/>
      </c>
      <c r="E31" s="8">
        <f>IF(C31="", "", LN(C31))</f>
        <v/>
      </c>
    </row>
    <row r="32" ht="15" customHeight="1" s="4">
      <c r="A32" s="9" t="inlineStr">
        <is>
          <t>PRODUCTION FUNCTION ANALYSIS</t>
        </is>
      </c>
      <c r="C32" s="8">
        <f>WEO_Data!B29*1000</f>
        <v/>
      </c>
      <c r="D32" s="8">
        <f>IF(B32="", "", LN(B32))</f>
        <v/>
      </c>
      <c r="E32" s="8">
        <f>IF(C32="", "", LN(C32))</f>
        <v/>
      </c>
    </row>
    <row r="33" ht="15" customHeight="1" s="4">
      <c r="A33" s="8" t="inlineStr">
        <is>
          <t>Average K/Y (2015-2023):</t>
        </is>
      </c>
      <c r="B33" s="8">
        <f>AVERAGE(C48:C56)</f>
        <v/>
      </c>
      <c r="C33" s="8">
        <f>WEO_Data!B30*1000</f>
        <v/>
      </c>
      <c r="D33" s="8">
        <f>IF(B33="", "", LN(B33))</f>
        <v/>
      </c>
      <c r="E33" s="8">
        <f>IF(C33="", "", LN(C33))</f>
        <v/>
      </c>
    </row>
    <row r="34" ht="15" customHeight="1" s="4">
      <c r="A34" s="10" t="inlineStr">
        <is>
          <t>Year</t>
        </is>
      </c>
      <c r="B34" s="10" t="inlineStr">
        <is>
          <t>K (Million 2017 USD)</t>
        </is>
      </c>
      <c r="C34" s="10" t="inlineStr">
        <is>
          <t>K/Y Ratio</t>
        </is>
      </c>
      <c r="D34" s="10" t="inlineStr">
        <is>
          <t>K Extended</t>
        </is>
      </c>
      <c r="E34" s="10" t="inlineStr">
        <is>
          <t>Y (Million 2017 USD)</t>
        </is>
      </c>
      <c r="F34" s="10" t="inlineStr">
        <is>
          <t>LnZ_Trend</t>
        </is>
      </c>
      <c r="G34" s="10" t="inlineStr">
        <is>
          <t>Ystar_Base</t>
        </is>
      </c>
      <c r="H34" s="10" t="inlineStr">
        <is>
          <t>Investment</t>
        </is>
      </c>
      <c r="I34" s="10" t="inlineStr">
        <is>
          <t>DeltaK</t>
        </is>
      </c>
      <c r="J34" s="10" t="inlineStr">
        <is>
          <t>K_With</t>
        </is>
      </c>
      <c r="K34" s="10" t="inlineStr">
        <is>
          <t>Ystar_With</t>
        </is>
      </c>
      <c r="L34" s="10" t="inlineStr">
        <is>
          <t>Shock Impact</t>
        </is>
      </c>
    </row>
    <row r="35" ht="15" customHeight="1" s="4">
      <c r="A35" s="8" t="n">
        <v>2002</v>
      </c>
      <c r="B35" s="8" t="n">
        <v>36754.2</v>
      </c>
      <c r="C35" s="8">
        <f>WEO_Data!B32*1000</f>
        <v/>
      </c>
      <c r="D35" s="8">
        <f>IF(B35="", "", LN(B35))</f>
        <v/>
      </c>
      <c r="E35" s="8">
        <f>WEO_Data!B4*1000</f>
        <v/>
      </c>
      <c r="F35" s="8">
        <f>IF(ISBLANK(Production!F7), 0, Production!F7)</f>
        <v/>
      </c>
      <c r="G35" s="8">
        <f>IF(OR(ISBLANK(D35), ISBLANK(F35), ISBLANK(E35)), 0, EXP(F35+0.65*LN(D35)+0.35*LN(E35)))</f>
        <v/>
      </c>
      <c r="H35" s="8" t="n">
        <v>0</v>
      </c>
      <c r="I35" s="8">
        <f>IF(H35=0, 0, H35)</f>
        <v/>
      </c>
      <c r="J35" s="8">
        <f>D35</f>
        <v/>
      </c>
      <c r="K35" s="8">
        <f>IF(OR(ISBLANK(J35), ISBLANK(F35), ISBLANK(E35)), 0, EXP(F35+0.65*LN(J35)+0.35*LN(E35)))</f>
        <v/>
      </c>
      <c r="L35" s="8">
        <f>IF(OR(ISBLANK(G35), ISBLANK(K35)), 0, K35-G35)</f>
        <v/>
      </c>
    </row>
    <row r="36" ht="15" customHeight="1" s="4">
      <c r="A36" s="8" t="n">
        <v>2003</v>
      </c>
      <c r="B36" s="8" t="n">
        <v>40128.8</v>
      </c>
      <c r="C36" s="8">
        <f>WEO_Data!B33*1000</f>
        <v/>
      </c>
      <c r="D36" s="8">
        <f>IF(B36="", "", LN(B36))</f>
        <v/>
      </c>
      <c r="E36" s="8">
        <f>WEO_Data!B5*1000</f>
        <v/>
      </c>
      <c r="F36" s="8">
        <f>IF(ISBLANK(Production!F8), 0, Production!F8)</f>
        <v/>
      </c>
      <c r="G36" s="8">
        <f>IF(OR(ISBLANK(D36), ISBLANK(F36), ISBLANK(E36)), 0, EXP(F36+0.65*LN(D36)+0.35*LN(E36)))</f>
        <v/>
      </c>
      <c r="H36" s="8" t="n">
        <v>0</v>
      </c>
      <c r="I36" s="8">
        <f>IF(H36=0, 0, H36)</f>
        <v/>
      </c>
      <c r="J36" s="8">
        <f>D36</f>
        <v/>
      </c>
      <c r="K36" s="8">
        <f>IF(OR(ISBLANK(J36), ISBLANK(F36), ISBLANK(E36)), 0, EXP(F36+0.65*LN(J36)+0.35*LN(E36)))</f>
        <v/>
      </c>
      <c r="L36" s="8">
        <f>IF(OR(ISBLANK(G36), ISBLANK(K36)), 0, K36-G36)</f>
        <v/>
      </c>
    </row>
    <row r="37" ht="15" customHeight="1" s="4">
      <c r="A37" s="8" t="n">
        <v>2004</v>
      </c>
      <c r="B37" s="8" t="n">
        <v>43625.4</v>
      </c>
      <c r="C37" s="8">
        <f>WEO_Data!B34*1000</f>
        <v/>
      </c>
      <c r="D37" s="8">
        <f>IF(B37="", "", LN(B37))</f>
        <v/>
      </c>
      <c r="E37" s="8">
        <f>WEO_Data!B6*1000</f>
        <v/>
      </c>
      <c r="F37" s="8">
        <f>IF(ISBLANK(Production!F9), 0, Production!F9)</f>
        <v/>
      </c>
      <c r="G37" s="8">
        <f>IF(OR(ISBLANK(D37), ISBLANK(F37), ISBLANK(E37)), 0, EXP(F37+0.65*LN(D37)+0.35*LN(E37)))</f>
        <v/>
      </c>
      <c r="H37" s="8" t="n">
        <v>0</v>
      </c>
      <c r="I37" s="8">
        <f>IF(H37=0, 0, H37)</f>
        <v/>
      </c>
      <c r="J37" s="8">
        <f>D37</f>
        <v/>
      </c>
      <c r="K37" s="8">
        <f>IF(OR(ISBLANK(J37), ISBLANK(F37), ISBLANK(E37)), 0, EXP(F37+0.65*LN(J37)+0.35*LN(E37)))</f>
        <v/>
      </c>
      <c r="L37" s="8">
        <f>IF(OR(ISBLANK(G37), ISBLANK(K37)), 0, K37-G37)</f>
        <v/>
      </c>
    </row>
    <row r="38" ht="15" customHeight="1" s="4">
      <c r="A38" s="8" t="n">
        <v>2005</v>
      </c>
      <c r="B38" s="8" t="n">
        <v>47980.2</v>
      </c>
      <c r="C38" s="8">
        <f>WEO_Data!B35*1000</f>
        <v/>
      </c>
      <c r="D38" s="8">
        <f>IF(B38="", "", LN(B38))</f>
        <v/>
      </c>
      <c r="E38" s="8">
        <f>WEO_Data!B7*1000</f>
        <v/>
      </c>
      <c r="F38" s="8">
        <f>IF(ISBLANK(Production!F10), 0, Production!F10)</f>
        <v/>
      </c>
      <c r="G38" s="8">
        <f>IF(OR(ISBLANK(D38), ISBLANK(F38), ISBLANK(E38)), 0, EXP(F38+0.65*LN(D38)+0.35*LN(E38)))</f>
        <v/>
      </c>
      <c r="H38" s="8" t="n">
        <v>0</v>
      </c>
      <c r="I38" s="8">
        <f>IF(H38=0, 0, H38)</f>
        <v/>
      </c>
      <c r="J38" s="8">
        <f>D38</f>
        <v/>
      </c>
      <c r="K38" s="8">
        <f>IF(OR(ISBLANK(J38), ISBLANK(F38), ISBLANK(E38)), 0, EXP(F38+0.65*LN(J38)+0.35*LN(E38)))</f>
        <v/>
      </c>
      <c r="L38" s="8">
        <f>IF(OR(ISBLANK(G38), ISBLANK(K38)), 0, K38-G38)</f>
        <v/>
      </c>
    </row>
    <row r="39" ht="15" customHeight="1" s="4">
      <c r="A39" s="8" t="n">
        <v>2006</v>
      </c>
      <c r="B39" s="8" t="n">
        <v>53420.5</v>
      </c>
      <c r="C39" s="8">
        <f>WEO_Data!B36*1000</f>
        <v/>
      </c>
      <c r="D39" s="8">
        <f>IF(B39="", "", LN(B39))</f>
        <v/>
      </c>
      <c r="E39" s="8">
        <f>WEO_Data!B8*1000</f>
        <v/>
      </c>
      <c r="F39" s="8">
        <f>IF(ISBLANK(Production!F11), 0, Production!F11)</f>
        <v/>
      </c>
      <c r="G39" s="8">
        <f>IF(OR(ISBLANK(D39), ISBLANK(F39), ISBLANK(E39)), 0, EXP(F39+0.65*LN(D39)+0.35*LN(E39)))</f>
        <v/>
      </c>
      <c r="H39" s="8" t="n">
        <v>0</v>
      </c>
      <c r="I39" s="8">
        <f>IF(H39=0, 0, H39)</f>
        <v/>
      </c>
      <c r="J39" s="8">
        <f>D39</f>
        <v/>
      </c>
      <c r="K39" s="8">
        <f>IF(OR(ISBLANK(J39), ISBLANK(F39), ISBLANK(E39)), 0, EXP(F39+0.65*LN(J39)+0.35*LN(E39)))</f>
        <v/>
      </c>
      <c r="L39" s="8">
        <f>IF(OR(ISBLANK(G39), ISBLANK(K39)), 0, K39-G39)</f>
        <v/>
      </c>
    </row>
    <row r="40" ht="15" customHeight="1" s="4">
      <c r="A40" s="8" t="n">
        <v>2007</v>
      </c>
      <c r="B40" s="8" t="n">
        <v>59876.3</v>
      </c>
      <c r="C40" s="8">
        <f>WEO_Data!B37*1000</f>
        <v/>
      </c>
      <c r="D40" s="8">
        <f>IF(B40="", "", LN(B40))</f>
        <v/>
      </c>
      <c r="E40" s="8">
        <f>WEO_Data!B9*1000</f>
        <v/>
      </c>
      <c r="F40" s="8">
        <f>IF(ISBLANK(Production!F12), 0, Production!F12)</f>
        <v/>
      </c>
      <c r="G40" s="8">
        <f>IF(OR(ISBLANK(D40), ISBLANK(F40), ISBLANK(E40)), 0, EXP(F40+0.65*LN(D40)+0.35*LN(E40)))</f>
        <v/>
      </c>
      <c r="H40" s="8" t="n">
        <v>0</v>
      </c>
      <c r="I40" s="8">
        <f>IF(H40=0, 0, H40)</f>
        <v/>
      </c>
      <c r="J40" s="8">
        <f>D40</f>
        <v/>
      </c>
      <c r="K40" s="8">
        <f>IF(OR(ISBLANK(J40), ISBLANK(F40), ISBLANK(E40)), 0, EXP(F40+0.65*LN(J40)+0.35*LN(E40)))</f>
        <v/>
      </c>
      <c r="L40" s="8">
        <f>IF(OR(ISBLANK(G40), ISBLANK(K40)), 0, K40-G40)</f>
        <v/>
      </c>
    </row>
    <row r="41" ht="15" customHeight="1" s="4">
      <c r="A41" s="8" t="n">
        <v>2008</v>
      </c>
      <c r="B41" s="8" t="n">
        <v>61245.8</v>
      </c>
      <c r="C41" s="8">
        <f>WEO_Data!B38*1000</f>
        <v/>
      </c>
      <c r="D41" s="8">
        <f>IF(B41="", "", LN(B41))</f>
        <v/>
      </c>
      <c r="E41" s="8">
        <f>WEO_Data!B10*1000</f>
        <v/>
      </c>
      <c r="F41" s="8">
        <f>IF(ISBLANK(Production!F13), 0, Production!F13)</f>
        <v/>
      </c>
      <c r="G41" s="8">
        <f>IF(OR(ISBLANK(D41), ISBLANK(F41), ISBLANK(E41)), 0, EXP(F41+0.65*LN(D41)+0.35*LN(E41)))</f>
        <v/>
      </c>
      <c r="H41" s="8" t="n">
        <v>0</v>
      </c>
      <c r="I41" s="8">
        <f>IF(H41=0, 0, H41)</f>
        <v/>
      </c>
      <c r="J41" s="8">
        <f>D41</f>
        <v/>
      </c>
      <c r="K41" s="8">
        <f>IF(OR(ISBLANK(J41), ISBLANK(F41), ISBLANK(E41)), 0, EXP(F41+0.65*LN(J41)+0.35*LN(E41)))</f>
        <v/>
      </c>
      <c r="L41" s="8">
        <f>IF(OR(ISBLANK(G41), ISBLANK(K41)), 0, K41-G41)</f>
        <v/>
      </c>
    </row>
    <row r="42" ht="15" customHeight="1" s="4">
      <c r="A42" s="8" t="n">
        <v>2009</v>
      </c>
      <c r="B42" s="8" t="n">
        <v>59342.1</v>
      </c>
      <c r="C42" s="8">
        <f>WEO_Data!B39*1000</f>
        <v/>
      </c>
      <c r="D42" s="8">
        <f>IF(B42="", "", LN(B42))</f>
        <v/>
      </c>
      <c r="E42" s="8">
        <f>WEO_Data!B11*1000</f>
        <v/>
      </c>
      <c r="F42" s="8">
        <f>IF(ISBLANK(Production!F14), 0, Production!F14)</f>
        <v/>
      </c>
      <c r="G42" s="8">
        <f>IF(OR(ISBLANK(D42), ISBLANK(F42), ISBLANK(E42)), 0, EXP(F42+0.65*LN(D42)+0.35*LN(E42)))</f>
        <v/>
      </c>
      <c r="H42" s="8" t="n">
        <v>0</v>
      </c>
      <c r="I42" s="8">
        <f>IF(H42=0, 0, H42)</f>
        <v/>
      </c>
      <c r="J42" s="8">
        <f>D42</f>
        <v/>
      </c>
      <c r="K42" s="8">
        <f>IF(OR(ISBLANK(J42), ISBLANK(F42), ISBLANK(E42)), 0, EXP(F42+0.65*LN(J42)+0.35*LN(E42)))</f>
        <v/>
      </c>
      <c r="L42" s="8">
        <f>IF(OR(ISBLANK(G42), ISBLANK(K42)), 0, K42-G42)</f>
        <v/>
      </c>
    </row>
    <row r="43" ht="15" customHeight="1" s="4">
      <c r="A43" s="8" t="n">
        <v>2010</v>
      </c>
      <c r="B43" s="8" t="n">
        <v>63458.9</v>
      </c>
      <c r="C43" s="8">
        <f>WEO_Data!B40*1000</f>
        <v/>
      </c>
      <c r="D43" s="8">
        <f>IF(B43="", "", LN(B43))</f>
        <v/>
      </c>
      <c r="E43" s="8">
        <f>WEO_Data!B12*1000</f>
        <v/>
      </c>
      <c r="F43" s="8">
        <f>IF(ISBLANK(Production!F15), 0, Production!F15)</f>
        <v/>
      </c>
      <c r="G43" s="8">
        <f>IF(OR(ISBLANK(D43), ISBLANK(F43), ISBLANK(E43)), 0, EXP(F43+0.65*LN(D43)+0.35*LN(E43)))</f>
        <v/>
      </c>
      <c r="H43" s="8" t="n">
        <v>0</v>
      </c>
      <c r="I43" s="8">
        <f>IF(H43=0, 0, H43)</f>
        <v/>
      </c>
      <c r="J43" s="8">
        <f>D43</f>
        <v/>
      </c>
      <c r="K43" s="8">
        <f>IF(OR(ISBLANK(J43), ISBLANK(F43), ISBLANK(E43)), 0, EXP(F43+0.65*LN(J43)+0.35*LN(E43)))</f>
        <v/>
      </c>
      <c r="L43" s="8">
        <f>IF(OR(ISBLANK(G43), ISBLANK(K43)), 0, K43-G43)</f>
        <v/>
      </c>
    </row>
    <row r="44" ht="15" customHeight="1" s="4">
      <c r="A44" s="8" t="n">
        <v>2011</v>
      </c>
      <c r="B44" s="8" t="n">
        <v>68945.2</v>
      </c>
      <c r="C44" s="8">
        <f>WEO_Data!B41*1000</f>
        <v/>
      </c>
      <c r="D44" s="8">
        <f>IF(B44="", "", LN(B44))</f>
        <v/>
      </c>
      <c r="E44" s="8">
        <f>WEO_Data!B13*1000</f>
        <v/>
      </c>
      <c r="F44" s="8">
        <f>IF(ISBLANK(Production!F16), 0, Production!F16)</f>
        <v/>
      </c>
      <c r="G44" s="8">
        <f>IF(OR(ISBLANK(D44), ISBLANK(F44), ISBLANK(E44)), 0, EXP(F44+0.65*LN(D44)+0.35*LN(E44)))</f>
        <v/>
      </c>
      <c r="H44" s="8" t="n">
        <v>0</v>
      </c>
      <c r="I44" s="8">
        <f>IF(H44=0, 0, H44)</f>
        <v/>
      </c>
      <c r="J44" s="8">
        <f>D44</f>
        <v/>
      </c>
      <c r="K44" s="8">
        <f>IF(OR(ISBLANK(J44), ISBLANK(F44), ISBLANK(E44)), 0, EXP(F44+0.65*LN(J44)+0.35*LN(E44)))</f>
        <v/>
      </c>
      <c r="L44" s="8">
        <f>IF(OR(ISBLANK(G44), ISBLANK(K44)), 0, K44-G44)</f>
        <v/>
      </c>
    </row>
    <row r="45" ht="15" customHeight="1" s="4">
      <c r="A45" s="8" t="n">
        <v>2012</v>
      </c>
      <c r="B45" s="8" t="n">
        <v>74332.60000000001</v>
      </c>
      <c r="C45" s="8">
        <f>WEO_Data!B42*1000</f>
        <v/>
      </c>
      <c r="D45" s="8">
        <f>IF(B45="", "", LN(B45))</f>
        <v/>
      </c>
      <c r="E45" s="8">
        <f>WEO_Data!B14*1000</f>
        <v/>
      </c>
      <c r="F45" s="8">
        <f>IF(ISBLANK(Production!F17), 0, Production!F17)</f>
        <v/>
      </c>
      <c r="G45" s="8">
        <f>IF(OR(ISBLANK(D45), ISBLANK(F45), ISBLANK(E45)), 0, EXP(F45+0.65*LN(D45)+0.35*LN(E45)))</f>
        <v/>
      </c>
      <c r="H45" s="8" t="n">
        <v>0</v>
      </c>
      <c r="I45" s="8">
        <f>IF(H45=0, 0, H45)</f>
        <v/>
      </c>
      <c r="J45" s="8">
        <f>D45</f>
        <v/>
      </c>
      <c r="K45" s="8">
        <f>IF(OR(ISBLANK(J45), ISBLANK(F45), ISBLANK(E45)), 0, EXP(F45+0.65*LN(J45)+0.35*LN(E45)))</f>
        <v/>
      </c>
      <c r="L45" s="8">
        <f>IF(OR(ISBLANK(G45), ISBLANK(K45)), 0, K45-G45)</f>
        <v/>
      </c>
    </row>
    <row r="46" ht="15" customHeight="1" s="4">
      <c r="A46" s="8" t="n">
        <v>2013</v>
      </c>
      <c r="B46" s="8" t="n">
        <v>79654.10000000001</v>
      </c>
      <c r="C46" s="8">
        <f>WEO_Data!B43*1000</f>
        <v/>
      </c>
      <c r="D46" s="8">
        <f>IF(B46="", "", LN(B46))</f>
        <v/>
      </c>
      <c r="E46" s="8">
        <f>WEO_Data!B15*1000</f>
        <v/>
      </c>
      <c r="F46" s="8">
        <f>IF(ISBLANK(Production!F18), 0, Production!F18)</f>
        <v/>
      </c>
      <c r="G46" s="8">
        <f>IF(OR(ISBLANK(D46), ISBLANK(F46), ISBLANK(E46)), 0, EXP(F46+0.65*LN(D46)+0.35*LN(E46)))</f>
        <v/>
      </c>
      <c r="H46" s="8" t="n">
        <v>0</v>
      </c>
      <c r="I46" s="8">
        <f>IF(H46=0, 0, H46)</f>
        <v/>
      </c>
      <c r="J46" s="8">
        <f>D46</f>
        <v/>
      </c>
      <c r="K46" s="8">
        <f>IF(OR(ISBLANK(J46), ISBLANK(F46), ISBLANK(E46)), 0, EXP(F46+0.65*LN(J46)+0.35*LN(E46)))</f>
        <v/>
      </c>
      <c r="L46" s="8">
        <f>IF(OR(ISBLANK(G46), ISBLANK(K46)), 0, K46-G46)</f>
        <v/>
      </c>
    </row>
    <row r="47" ht="15" customHeight="1" s="4">
      <c r="A47" s="8" t="n">
        <v>2014</v>
      </c>
      <c r="B47" s="8" t="n">
        <v>83421.5</v>
      </c>
      <c r="C47" s="8">
        <f>WEO_Data!B44*1000</f>
        <v/>
      </c>
      <c r="D47" s="8">
        <f>IF(B47="", "", LN(B47))</f>
        <v/>
      </c>
      <c r="E47" s="8">
        <f>WEO_Data!B16*1000</f>
        <v/>
      </c>
      <c r="F47" s="8">
        <f>IF(ISBLANK(Production!F19), 0, Production!F19)</f>
        <v/>
      </c>
      <c r="G47" s="8">
        <f>IF(OR(ISBLANK(D47), ISBLANK(F47), ISBLANK(E47)), 0, EXP(F47+0.65*LN(D47)+0.35*LN(E47)))</f>
        <v/>
      </c>
      <c r="H47" s="8" t="n">
        <v>0</v>
      </c>
      <c r="I47" s="8">
        <f>IF(H47=0, 0, H47)</f>
        <v/>
      </c>
      <c r="J47" s="8">
        <f>D47</f>
        <v/>
      </c>
      <c r="K47" s="8">
        <f>IF(OR(ISBLANK(J47), ISBLANK(F47), ISBLANK(E47)), 0, EXP(F47+0.65*LN(J47)+0.35*LN(E47)))</f>
        <v/>
      </c>
      <c r="L47" s="8">
        <f>IF(OR(ISBLANK(G47), ISBLANK(K47)), 0, K47-G47)</f>
        <v/>
      </c>
    </row>
    <row r="48" ht="15" customHeight="1" s="4">
      <c r="A48" s="8" t="n">
        <v>2015</v>
      </c>
      <c r="B48" s="8" t="n">
        <v>87543.2</v>
      </c>
      <c r="C48" s="8">
        <f>IF(E48=0, "", B48/E48)</f>
        <v/>
      </c>
      <c r="D48" s="8">
        <f>IF(B48="", "", LN(B48))</f>
        <v/>
      </c>
      <c r="E48" s="8">
        <f>WEO_Data!B17*1000</f>
        <v/>
      </c>
      <c r="F48" s="8">
        <f>IF(ISBLANK(Production!F20), 0, Production!F20)</f>
        <v/>
      </c>
      <c r="G48" s="8">
        <f>IF(OR(ISBLANK(D48), ISBLANK(F48), ISBLANK(E48)), 0, EXP(F48+0.65*LN(D48)+0.35*LN(E48)))</f>
        <v/>
      </c>
      <c r="H48" s="8" t="n">
        <v>0</v>
      </c>
      <c r="I48" s="8">
        <f>IF(H48=0, 0, H48)</f>
        <v/>
      </c>
      <c r="J48" s="8">
        <f>D48</f>
        <v/>
      </c>
      <c r="K48" s="8">
        <f>IF(OR(ISBLANK(J48), ISBLANK(F48), ISBLANK(E48)), 0, EXP(F48+0.65*LN(J48)+0.35*LN(E48)))</f>
        <v/>
      </c>
      <c r="L48" s="8">
        <f>IF(OR(ISBLANK(G48), ISBLANK(K48)), 0, K48-G48)</f>
        <v/>
      </c>
    </row>
    <row r="49" ht="15" customHeight="1" s="4">
      <c r="A49" s="8" t="n">
        <v>2016</v>
      </c>
      <c r="B49" s="8" t="n">
        <v>92234.8</v>
      </c>
      <c r="C49" s="8">
        <f>IF(E49=0, "", B49/E49)</f>
        <v/>
      </c>
      <c r="D49" s="8">
        <f>IF(ISBLANK(B49), 0, B49)</f>
        <v/>
      </c>
      <c r="E49" s="8">
        <f>WEO_Data!B18*1000</f>
        <v/>
      </c>
      <c r="F49" s="8">
        <f>IF(ISBLANK(Production!F21), 0, Production!F21)</f>
        <v/>
      </c>
      <c r="G49" s="8">
        <f>IF(OR(ISBLANK(D49), ISBLANK(F49), ISBLANK(E49)), 0, EXP(F49+0.65*LN(D49)+0.35*LN(E49)))</f>
        <v/>
      </c>
      <c r="H49" s="8" t="n">
        <v>0</v>
      </c>
      <c r="I49" s="8">
        <f>IF(H49=0, 0, H49)</f>
        <v/>
      </c>
      <c r="J49" s="8">
        <f>D49</f>
        <v/>
      </c>
      <c r="K49" s="8">
        <f>IF(OR(ISBLANK(J49), ISBLANK(F49), ISBLANK(E49)), 0, EXP(F49+0.65*LN(J49)+0.35*LN(E49)))</f>
        <v/>
      </c>
      <c r="L49" s="8">
        <f>IF(OR(ISBLANK(G49), ISBLANK(K49)), 0, K49-G49)</f>
        <v/>
      </c>
    </row>
    <row r="50" ht="15" customHeight="1" s="4">
      <c r="A50" s="8" t="n">
        <v>2017</v>
      </c>
      <c r="B50" s="8" t="n">
        <v>97856.39999999999</v>
      </c>
      <c r="C50" s="8">
        <f>IF(E50=0, "", B50/E50)</f>
        <v/>
      </c>
      <c r="D50" s="8">
        <f>IF(ISBLANK(B50), 0, B50)</f>
        <v/>
      </c>
      <c r="E50" s="8">
        <f>WEO_Data!B19*1000</f>
        <v/>
      </c>
      <c r="F50" s="8">
        <f>IF(ISBLANK(Production!F22), 0, Production!F22)</f>
        <v/>
      </c>
      <c r="G50" s="8">
        <f>IF(OR(ISBLANK(D50), ISBLANK(F50), ISBLANK(E50)), 0, EXP(F50+0.65*LN(D50)+0.35*LN(E50)))</f>
        <v/>
      </c>
      <c r="H50" s="8" t="n">
        <v>0</v>
      </c>
      <c r="I50" s="8">
        <f>IF(H50=0, 0, H50)</f>
        <v/>
      </c>
      <c r="J50" s="8">
        <f>D50</f>
        <v/>
      </c>
      <c r="K50" s="8">
        <f>IF(OR(ISBLANK(J50), ISBLANK(F50), ISBLANK(E50)), 0, EXP(F50+0.65*LN(J50)+0.35*LN(E50)))</f>
        <v/>
      </c>
      <c r="L50" s="8">
        <f>IF(OR(ISBLANK(G50), ISBLANK(K50)), 0, K50-G50)</f>
        <v/>
      </c>
    </row>
    <row r="51" ht="15" customHeight="1" s="4">
      <c r="A51" s="8" t="n">
        <v>2018</v>
      </c>
      <c r="B51" s="8" t="n">
        <v>103654.2</v>
      </c>
      <c r="C51" s="8">
        <f>IF(E51=0, "", B51/E51)</f>
        <v/>
      </c>
      <c r="D51" s="8">
        <f>IF(ISBLANK(B51), 0, B51)</f>
        <v/>
      </c>
      <c r="E51" s="8">
        <f>WEO_Data!B20*1000</f>
        <v/>
      </c>
      <c r="F51" s="8">
        <f>IF(ISBLANK(Production!F23), 0, Production!F23)</f>
        <v/>
      </c>
      <c r="G51" s="8">
        <f>IF(OR(ISBLANK(D51), ISBLANK(F51), ISBLANK(E51)), 0, EXP(F51+0.65*LN(D51)+0.35*LN(E51)))</f>
        <v/>
      </c>
      <c r="H51" s="8" t="n">
        <v>0</v>
      </c>
      <c r="I51" s="8">
        <f>IF(H51=0, 0, H51)</f>
        <v/>
      </c>
      <c r="J51" s="8">
        <f>D51</f>
        <v/>
      </c>
      <c r="K51" s="8">
        <f>IF(OR(ISBLANK(J51), ISBLANK(F51), ISBLANK(E51)), 0, EXP(F51+0.65*LN(J51)+0.35*LN(E51)))</f>
        <v/>
      </c>
      <c r="L51" s="8">
        <f>IF(OR(ISBLANK(G51), ISBLANK(K51)), 0, K51-G51)</f>
        <v/>
      </c>
    </row>
    <row r="52" ht="15" customHeight="1" s="4">
      <c r="A52" s="8" t="n">
        <v>2019</v>
      </c>
      <c r="B52" s="8" t="n">
        <v>110345.6</v>
      </c>
      <c r="C52" s="8">
        <f>IF(E52=0, "", B52/E52)</f>
        <v/>
      </c>
      <c r="D52" s="8">
        <f>IF(ISBLANK(B52), 0, B52)</f>
        <v/>
      </c>
      <c r="E52" s="8">
        <f>WEO_Data!B21*1000</f>
        <v/>
      </c>
      <c r="F52" s="8">
        <f>IF(ISBLANK(Production!F24), 0, Production!F24)</f>
        <v/>
      </c>
      <c r="G52" s="8">
        <f>IF(OR(ISBLANK(D52), ISBLANK(F52), ISBLANK(E52)), 0, EXP(F52+0.65*LN(D52)+0.35*LN(E52)))</f>
        <v/>
      </c>
      <c r="H52" s="8" t="n">
        <v>0</v>
      </c>
      <c r="I52" s="8">
        <f>IF(H52=0, 0, H52)</f>
        <v/>
      </c>
      <c r="J52" s="8">
        <f>D52</f>
        <v/>
      </c>
      <c r="K52" s="8">
        <f>IF(OR(ISBLANK(J52), ISBLANK(F52), ISBLANK(E52)), 0, EXP(F52+0.65*LN(J52)+0.35*LN(E52)))</f>
        <v/>
      </c>
      <c r="L52" s="8">
        <f>IF(OR(ISBLANK(G52), ISBLANK(K52)), 0, K52-G52)</f>
        <v/>
      </c>
    </row>
    <row r="53" ht="15" customHeight="1" s="4">
      <c r="A53" s="8" t="n">
        <v>2020</v>
      </c>
      <c r="B53" s="8" t="n">
        <v>105234.3</v>
      </c>
      <c r="C53" s="8">
        <f>IF(E53=0, "", B53/E53)</f>
        <v/>
      </c>
      <c r="D53" s="8">
        <f>IF(ISBLANK(B53), 0, B53)</f>
        <v/>
      </c>
      <c r="E53" s="8">
        <f>WEO_Data!B22*1000</f>
        <v/>
      </c>
      <c r="F53" s="8">
        <f>IF(ISBLANK(Production!F25), 0, Production!F25)</f>
        <v/>
      </c>
      <c r="G53" s="8">
        <f>IF(OR(ISBLANK(D53), ISBLANK(F53), ISBLANK(E53)), 0, EXP(F53+0.65*LN(D53)+0.35*LN(E53)))</f>
        <v/>
      </c>
      <c r="H53" s="8" t="n">
        <v>0</v>
      </c>
      <c r="I53" s="8">
        <f>IF(H53=0, 0, H53)</f>
        <v/>
      </c>
      <c r="J53" s="8">
        <f>D53</f>
        <v/>
      </c>
      <c r="K53" s="8">
        <f>IF(OR(ISBLANK(J53), ISBLANK(F53), ISBLANK(E53)), 0, EXP(F53+0.65*LN(J53)+0.35*LN(E53)))</f>
        <v/>
      </c>
      <c r="L53" s="8">
        <f>IF(OR(ISBLANK(G53), ISBLANK(K53)), 0, K53-G53)</f>
        <v/>
      </c>
    </row>
    <row r="54" ht="15" customHeight="1" s="4">
      <c r="A54" s="8" t="n">
        <v>2021</v>
      </c>
      <c r="B54" s="8" t="n">
        <v>115432.8</v>
      </c>
      <c r="C54" s="8">
        <f>IF(E54=0, "", B54/E54)</f>
        <v/>
      </c>
      <c r="D54" s="8">
        <f>IF(ISBLANK(B54), 0, B54)</f>
        <v/>
      </c>
      <c r="E54" s="8">
        <f>WEO_Data!B23*1000</f>
        <v/>
      </c>
      <c r="F54" s="8">
        <f>IF(ISBLANK(Production!F26), 0, Production!F26)</f>
        <v/>
      </c>
      <c r="G54" s="8">
        <f>IF(OR(ISBLANK(D54), ISBLANK(F54), ISBLANK(E54)), 0, EXP(F54+0.65*LN(D54)+0.35*LN(E54)))</f>
        <v/>
      </c>
      <c r="H54" s="8" t="n">
        <v>0</v>
      </c>
      <c r="I54" s="8">
        <f>IF(H54=0, 0, H54)</f>
        <v/>
      </c>
      <c r="J54" s="8">
        <f>D54</f>
        <v/>
      </c>
      <c r="K54" s="8">
        <f>IF(OR(ISBLANK(J54), ISBLANK(F54), ISBLANK(E54)), 0, EXP(F54+0.65*LN(J54)+0.35*LN(E54)))</f>
        <v/>
      </c>
      <c r="L54" s="8">
        <f>IF(OR(ISBLANK(G54), ISBLANK(K54)), 0, K54-G54)</f>
        <v/>
      </c>
    </row>
    <row r="55" ht="15" customHeight="1" s="4">
      <c r="A55" s="8" t="n">
        <v>2022</v>
      </c>
      <c r="B55" s="8" t="n">
        <v>126234.5</v>
      </c>
      <c r="C55" s="8">
        <f>IF(E55=0, "", B55/E55)</f>
        <v/>
      </c>
      <c r="D55" s="8">
        <f>IF(ISBLANK(B55), 0, B55)</f>
        <v/>
      </c>
      <c r="E55" s="8">
        <f>WEO_Data!B24*1000</f>
        <v/>
      </c>
      <c r="F55" s="8">
        <f>IF(ISBLANK(Production!F27), 0, Production!F27)</f>
        <v/>
      </c>
      <c r="G55" s="8">
        <f>IF(OR(ISBLANK(D55), ISBLANK(F55), ISBLANK(E55)), 0, EXP(F55+0.65*LN(D55)+0.35*LN(E55)))</f>
        <v/>
      </c>
      <c r="H55" s="8" t="n">
        <v>0</v>
      </c>
      <c r="I55" s="8">
        <f>IF(H55=0, 0, H55)</f>
        <v/>
      </c>
      <c r="J55" s="8">
        <f>D55</f>
        <v/>
      </c>
      <c r="K55" s="8">
        <f>IF(OR(ISBLANK(J55), ISBLANK(F55), ISBLANK(E55)), 0, EXP(F55+0.65*LN(J55)+0.35*LN(E55)))</f>
        <v/>
      </c>
      <c r="L55" s="8">
        <f>IF(OR(ISBLANK(G55), ISBLANK(K55)), 0, K55-G55)</f>
        <v/>
      </c>
    </row>
    <row r="56" ht="15" customHeight="1" s="4">
      <c r="A56" s="8" t="n">
        <v>2023</v>
      </c>
      <c r="B56" s="8" t="n">
        <v>231700.5</v>
      </c>
      <c r="C56" s="8">
        <f>IF(E56=0, "", B56/E56)</f>
        <v/>
      </c>
      <c r="D56" s="8">
        <f>IF(ISBLANK(B56), 0, B56)</f>
        <v/>
      </c>
      <c r="E56" s="8">
        <f>WEO_Data!B25*1000</f>
        <v/>
      </c>
      <c r="F56" s="8">
        <f>IF(ISBLANK(Production!F28), 0, Production!F28)</f>
        <v/>
      </c>
      <c r="G56" s="8">
        <f>IF(OR(ISBLANK(D56), ISBLANK(F56), ISBLANK(E56)), 0, EXP(F56+0.65*LN(D56)+0.35*LN(E56)))</f>
        <v/>
      </c>
      <c r="H56" s="8" t="n">
        <v>0</v>
      </c>
      <c r="I56" s="8">
        <f>IF(H56=0, 0, H56)</f>
        <v/>
      </c>
      <c r="J56" s="8">
        <f>D56</f>
        <v/>
      </c>
      <c r="K56" s="8">
        <f>IF(OR(ISBLANK(J56), ISBLANK(F56), ISBLANK(E56)), 0, EXP(F56+0.65*LN(J56)+0.35*LN(E56)))</f>
        <v/>
      </c>
      <c r="L56" s="8">
        <f>IF(OR(ISBLANK(G56), ISBLANK(K56)), 0, K56-G56)</f>
        <v/>
      </c>
    </row>
    <row r="57" ht="15" customHeight="1" s="4">
      <c r="A57" s="8" t="n">
        <v>2024</v>
      </c>
      <c r="D57" s="8">
        <f>IF(ISBLANK(E57), 0, E57*$B$33)</f>
        <v/>
      </c>
      <c r="E57" s="8">
        <f>WEO_Data!B26*1000</f>
        <v/>
      </c>
      <c r="F57" s="8">
        <f>$B$31</f>
        <v/>
      </c>
      <c r="G57" s="8">
        <f>IF(OR(ISBLANK(D57), ISBLANK(F57), ISBLANK(E57)), 0, EXP(F57+0.65*LN(D57)+0.35*LN(E57)))</f>
        <v/>
      </c>
      <c r="H57" s="8" t="n">
        <v>0</v>
      </c>
      <c r="I57" s="8">
        <f>IF(H57=0, 0, H57)</f>
        <v/>
      </c>
      <c r="J57" s="8">
        <f>D57</f>
        <v/>
      </c>
      <c r="K57" s="8">
        <f>IF(OR(ISBLANK(J57), ISBLANK(F57), ISBLANK(E57)), 0, EXP(F57+0.65*LN(J57)+0.35*LN(E57)))</f>
        <v/>
      </c>
      <c r="L57" s="8">
        <f>IF(OR(ISBLANK(G57), ISBLANK(K57)), 0, K57-G57)</f>
        <v/>
      </c>
    </row>
    <row r="58" ht="15" customHeight="1" s="4">
      <c r="A58" s="8" t="n">
        <v>2025</v>
      </c>
      <c r="D58" s="8">
        <f>IF(ISBLANK(E58), 0, E58*$B$33)</f>
        <v/>
      </c>
      <c r="E58" s="8">
        <f>WEO_Data!B27*1000</f>
        <v/>
      </c>
      <c r="F58" s="8">
        <f>$B$31</f>
        <v/>
      </c>
      <c r="G58" s="8">
        <f>IF(OR(ISBLANK(D58), ISBLANK(F58), ISBLANK(E58)), 0, EXP(F58+0.65*LN(D58)+0.35*LN(E58)))</f>
        <v/>
      </c>
      <c r="H58" s="8" t="n">
        <v>0</v>
      </c>
      <c r="I58" s="8">
        <f>IF(H58=0, 0, H58)</f>
        <v/>
      </c>
      <c r="J58" s="8">
        <f>D58</f>
        <v/>
      </c>
      <c r="K58" s="8">
        <f>IF(OR(ISBLANK(J58), ISBLANK(F58), ISBLANK(E58)), 0, EXP(F58+0.65*LN(J58)+0.35*LN(E58)))</f>
        <v/>
      </c>
      <c r="L58" s="8">
        <f>IF(OR(ISBLANK(G58), ISBLANK(K58)), 0, K58-G58)</f>
        <v/>
      </c>
    </row>
    <row r="59" ht="15" customHeight="1" s="4">
      <c r="A59" s="8" t="n">
        <v>2026</v>
      </c>
      <c r="D59" s="8">
        <f>IF(ISBLANK(E59), 0, E59*$B$33)</f>
        <v/>
      </c>
      <c r="E59" s="8">
        <f>WEO_Data!B28*1000</f>
        <v/>
      </c>
      <c r="F59" s="8">
        <f>$B$31</f>
        <v/>
      </c>
      <c r="G59" s="8">
        <f>IF(OR(ISBLANK(D59), ISBLANK(F59), ISBLANK(E59)), 0, EXP(F59+0.65*LN(D59)+0.35*LN(E59)))</f>
        <v/>
      </c>
      <c r="H59" s="8" t="n">
        <v>812.5</v>
      </c>
      <c r="I59" s="8">
        <f>IF(H59=0, 0, H59)</f>
        <v/>
      </c>
      <c r="J59" s="8">
        <f>D59+I59-$B$3*D59</f>
        <v/>
      </c>
      <c r="K59" s="8">
        <f>IF(OR(ISBLANK(J59), ISBLANK(F59), ISBLANK(E59)), 0, EXP(F59+0.65*LN(J59)+0.35*LN(E59)))</f>
        <v/>
      </c>
      <c r="L59" s="8">
        <f>IF(OR(ISBLANK(G59), ISBLANK(K59)), 0, K59-G59)</f>
        <v/>
      </c>
    </row>
    <row r="60" ht="15" customHeight="1" s="4">
      <c r="A60" s="8" t="n">
        <v>2027</v>
      </c>
      <c r="D60" s="8">
        <f>IF(ISBLANK(E60), 0, E60*$B$33)</f>
        <v/>
      </c>
      <c r="E60" s="8">
        <f>WEO_Data!B29*1000</f>
        <v/>
      </c>
      <c r="F60" s="8">
        <f>$B$31</f>
        <v/>
      </c>
      <c r="G60" s="8">
        <f>IF(OR(ISBLANK(D60), ISBLANK(F60), ISBLANK(E60)), 0, EXP(F60+0.65*LN(D60)+0.35*LN(E60)))</f>
        <v/>
      </c>
      <c r="H60" s="8" t="n">
        <v>812.5</v>
      </c>
      <c r="I60" s="8">
        <f>IF(H60=0, 0, H60)</f>
        <v/>
      </c>
      <c r="J60" s="8">
        <f>J59*(1-$B$3)+I60</f>
        <v/>
      </c>
      <c r="K60" s="8">
        <f>IF(OR(ISBLANK(J60), ISBLANK(F60), ISBLANK(E60)), 0, EXP(F60+0.65*LN(J60)+0.35*LN(E60)))</f>
        <v/>
      </c>
      <c r="L60" s="8">
        <f>IF(OR(ISBLANK(G60), ISBLANK(K60)), 0, K60-G60)</f>
        <v/>
      </c>
    </row>
    <row r="61" ht="15" customHeight="1" s="4">
      <c r="A61" s="8" t="n">
        <v>2028</v>
      </c>
      <c r="D61" s="8">
        <f>IF(ISBLANK(E61), 0, E61*$B$33)</f>
        <v/>
      </c>
      <c r="E61" s="8">
        <f>WEO_Data!B30*1000</f>
        <v/>
      </c>
      <c r="F61" s="8">
        <f>$B$31</f>
        <v/>
      </c>
      <c r="G61" s="8">
        <f>IF(OR(ISBLANK(D61), ISBLANK(F61), ISBLANK(E61)), 0, EXP(F61+0.65*LN(D61)+0.35*LN(E61)))</f>
        <v/>
      </c>
      <c r="H61" s="8" t="n">
        <v>812.5</v>
      </c>
      <c r="I61" s="8">
        <f>IF(H61=0, 0, H61)</f>
        <v/>
      </c>
      <c r="J61" s="8">
        <f>J60*(1-$B$3)+I61</f>
        <v/>
      </c>
      <c r="K61" s="8">
        <f>IF(OR(ISBLANK(J61), ISBLANK(F61), ISBLANK(E61)), 0, EXP(F61+0.65*LN(J61)+0.35*LN(E61)))</f>
        <v/>
      </c>
      <c r="L61" s="8">
        <f>IF(OR(ISBLANK(G61), ISBLANK(K61)), 0, K61-G61)</f>
        <v/>
      </c>
    </row>
    <row r="62" ht="15" customHeight="1" s="4">
      <c r="A62" s="8" t="n">
        <v>2029</v>
      </c>
      <c r="D62" s="8">
        <f>IF(ISBLANK(E62), 0, E62*$B$33)</f>
        <v/>
      </c>
      <c r="E62" s="8">
        <f>WEO_Data!B31*1000</f>
        <v/>
      </c>
      <c r="F62" s="8">
        <f>$B$31</f>
        <v/>
      </c>
      <c r="G62" s="8">
        <f>IF(OR(ISBLANK(D62), ISBLANK(F62), ISBLANK(E62)), 0, EXP(F62+0.65*LN(D62)+0.35*LN(E62)))</f>
        <v/>
      </c>
      <c r="H62" s="8" t="n">
        <v>812.5</v>
      </c>
      <c r="I62" s="8">
        <f>IF(H62=0, 0, H62)</f>
        <v/>
      </c>
      <c r="J62" s="8">
        <f>J61*(1-$B$3)+I62</f>
        <v/>
      </c>
      <c r="K62" s="8">
        <f>IF(OR(ISBLANK(J62), ISBLANK(F62), ISBLANK(E62)), 0, EXP(F62+0.65*LN(J62)+0.35*LN(E62)))</f>
        <v/>
      </c>
      <c r="L62" s="8">
        <f>IF(OR(ISBLANK(G62), ISBLANK(K62)), 0, K62-G62)</f>
        <v/>
      </c>
    </row>
    <row r="63" ht="15" customHeight="1" s="4">
      <c r="A63" s="8" t="n">
        <v>2030</v>
      </c>
      <c r="D63" s="8">
        <f>IF(ISBLANK(E63), 0, E63*$B$33)</f>
        <v/>
      </c>
      <c r="E63" s="8">
        <f>WEO_Data!B32*1000</f>
        <v/>
      </c>
      <c r="F63" s="8">
        <f>$B$31</f>
        <v/>
      </c>
      <c r="G63" s="8">
        <f>IF(OR(ISBLANK(D63), ISBLANK(F63), ISBLANK(E63)), 0, EXP(F63+0.65*LN(D63)+0.35*LN(E63)))</f>
        <v/>
      </c>
      <c r="H63" s="8" t="n">
        <v>812.5</v>
      </c>
      <c r="I63" s="8">
        <f>IF(H63=0, 0, H63)</f>
        <v/>
      </c>
      <c r="J63" s="8">
        <f>J62*(1-$B$3)+I63</f>
        <v/>
      </c>
      <c r="K63" s="8">
        <f>IF(OR(ISBLANK(J63), ISBLANK(F63), ISBLANK(E63)), 0, EXP(F63+0.65*LN(J63)+0.35*LN(E63)))</f>
        <v/>
      </c>
      <c r="L63" s="8">
        <f>IF(OR(ISBLANK(G63), ISBLANK(K63)), 0, K63-G63)</f>
        <v/>
      </c>
    </row>
    <row r="64" ht="15" customHeight="1" s="4">
      <c r="A64" s="8" t="n">
        <v>2031</v>
      </c>
      <c r="D64" s="8">
        <f>IF(ISBLANK(E64), 0, E64*$B$33)</f>
        <v/>
      </c>
      <c r="E64" s="8">
        <f>WEO_Data!B33*1000</f>
        <v/>
      </c>
      <c r="F64" s="8">
        <f>$B$31</f>
        <v/>
      </c>
      <c r="G64" s="8">
        <f>IF(OR(ISBLANK(D64), ISBLANK(F64), ISBLANK(E64)), 0, EXP(F64+0.65*LN(D64)+0.35*LN(E64)))</f>
        <v/>
      </c>
      <c r="H64" s="8" t="n">
        <v>812.5</v>
      </c>
      <c r="I64" s="8">
        <f>IF(H64=0, 0, H64)</f>
        <v/>
      </c>
      <c r="J64" s="8">
        <f>J63*(1-$B$3)+I64</f>
        <v/>
      </c>
      <c r="K64" s="8">
        <f>IF(OR(ISBLANK(J64), ISBLANK(F64), ISBLANK(E64)), 0, EXP(F64+0.65*LN(J64)+0.35*LN(E64)))</f>
        <v/>
      </c>
      <c r="L64" s="8">
        <f>IF(OR(ISBLANK(G64), ISBLANK(K64)), 0, K64-G64)</f>
        <v/>
      </c>
    </row>
    <row r="65" ht="15" customHeight="1" s="4">
      <c r="A65" s="8" t="n">
        <v>2032</v>
      </c>
      <c r="D65" s="8">
        <f>IF(ISBLANK(E65), 0, E65*$B$33)</f>
        <v/>
      </c>
      <c r="E65" s="8">
        <f>WEO_Data!B34*1000</f>
        <v/>
      </c>
      <c r="F65" s="8">
        <f>$B$31</f>
        <v/>
      </c>
      <c r="G65" s="8">
        <f>IF(OR(ISBLANK(D65), ISBLANK(F65), ISBLANK(E65)), 0, EXP(F65+0.65*LN(D65)+0.35*LN(E65)))</f>
        <v/>
      </c>
      <c r="H65" s="8" t="n">
        <v>812.5</v>
      </c>
      <c r="I65" s="8">
        <f>IF(H65=0, 0, H65)</f>
        <v/>
      </c>
      <c r="J65" s="8">
        <f>J64*(1-$B$3)+I65</f>
        <v/>
      </c>
      <c r="K65" s="8">
        <f>IF(OR(ISBLANK(J65), ISBLANK(F65), ISBLANK(E65)), 0, EXP(F65+0.65*LN(J65)+0.35*LN(E65)))</f>
        <v/>
      </c>
      <c r="L65" s="8">
        <f>IF(OR(ISBLANK(G65), ISBLANK(K65)), 0, K65-G65)</f>
        <v/>
      </c>
    </row>
    <row r="66" ht="15" customHeight="1" s="4">
      <c r="A66" s="8" t="n">
        <v>2033</v>
      </c>
      <c r="D66" s="8">
        <f>IF(ISBLANK(E66), 0, E66*$B$33)</f>
        <v/>
      </c>
      <c r="E66" s="8">
        <f>WEO_Data!B35*1000</f>
        <v/>
      </c>
      <c r="F66" s="8">
        <f>$B$31</f>
        <v/>
      </c>
      <c r="G66" s="8">
        <f>IF(OR(ISBLANK(D66), ISBLANK(F66), ISBLANK(E66)), 0, EXP(F66+0.65*LN(D66)+0.35*LN(E66)))</f>
        <v/>
      </c>
      <c r="H66" s="8" t="n">
        <v>812.5</v>
      </c>
      <c r="I66" s="8">
        <f>IF(H66=0, 0, H66)</f>
        <v/>
      </c>
      <c r="J66" s="8">
        <f>J65*(1-$B$3)+I66</f>
        <v/>
      </c>
      <c r="K66" s="8">
        <f>IF(OR(ISBLANK(J66), ISBLANK(F66), ISBLANK(E66)), 0, EXP(F66+0.65*LN(J66)+0.35*LN(E66)))</f>
        <v/>
      </c>
      <c r="L66" s="8">
        <f>IF(OR(ISBLANK(G66), ISBLANK(K66)), 0, K66-G66)</f>
        <v/>
      </c>
    </row>
    <row r="67" ht="15" customHeight="1" s="4">
      <c r="A67" s="8" t="n">
        <v>2034</v>
      </c>
      <c r="D67" s="8">
        <f>IF(ISBLANK(E67), 0, E67*$B$33)</f>
        <v/>
      </c>
      <c r="E67" s="8">
        <f>WEO_Data!B36*1000</f>
        <v/>
      </c>
      <c r="F67" s="8">
        <f>$B$31</f>
        <v/>
      </c>
      <c r="G67" s="8">
        <f>IF(OR(ISBLANK(D67), ISBLANK(F67), ISBLANK(E67)), 0, EXP(F67+0.65*LN(D67)+0.35*LN(E67)))</f>
        <v/>
      </c>
      <c r="H67" s="8" t="n">
        <v>0</v>
      </c>
      <c r="I67" s="8">
        <f>IF(H67=0, 0, H67)</f>
        <v/>
      </c>
      <c r="J67" s="8">
        <f>J66*(1-$B$3)+I67</f>
        <v/>
      </c>
      <c r="K67" s="8">
        <f>IF(OR(ISBLANK(J67), ISBLANK(F67), ISBLANK(E67)), 0, EXP(F67+0.65*LN(J67)+0.35*LN(E67)))</f>
        <v/>
      </c>
      <c r="L67" s="8">
        <f>IF(OR(ISBLANK(G67), ISBLANK(K67)), 0, K67-G67)</f>
        <v/>
      </c>
    </row>
    <row r="68" ht="15" customHeight="1" s="4">
      <c r="A68" s="8" t="n">
        <v>2035</v>
      </c>
      <c r="D68" s="8">
        <f>IF(ISBLANK(E68), 0, E68*$B$33)</f>
        <v/>
      </c>
      <c r="E68" s="8">
        <f>WEO_Data!B37*1000</f>
        <v/>
      </c>
      <c r="F68" s="8">
        <f>$B$31</f>
        <v/>
      </c>
      <c r="G68" s="8">
        <f>IF(OR(ISBLANK(D68), ISBLANK(F68), ISBLANK(E68)), 0, EXP(F68+0.65*LN(D68)+0.35*LN(E68)))</f>
        <v/>
      </c>
      <c r="H68" s="8" t="n">
        <v>0</v>
      </c>
      <c r="I68" s="8">
        <f>IF(H68=0, 0, H68)</f>
        <v/>
      </c>
      <c r="J68" s="8">
        <f>J67*(1-$B$3)+I68</f>
        <v/>
      </c>
      <c r="K68" s="8">
        <f>IF(OR(ISBLANK(J68), ISBLANK(F68), ISBLANK(E68)), 0, EXP(F68+0.65*LN(J68)+0.35*LN(E68)))</f>
        <v/>
      </c>
      <c r="L68" s="8">
        <f>IF(OR(ISBLANK(G68), ISBLANK(K68)), 0, K68-G68)</f>
        <v/>
      </c>
    </row>
    <row r="69" ht="15" customHeight="1" s="4">
      <c r="A69" s="8" t="n">
        <v>2036</v>
      </c>
      <c r="D69" s="8">
        <f>IF(ISBLANK(E69), 0, E69*$B$33)</f>
        <v/>
      </c>
      <c r="E69" s="8">
        <f>WEO_Data!B38*1000</f>
        <v/>
      </c>
      <c r="F69" s="8">
        <f>$B$31</f>
        <v/>
      </c>
      <c r="G69" s="8">
        <f>IF(OR(ISBLANK(D69), ISBLANK(F69), ISBLANK(E69)), 0, EXP(F69+0.65*LN(D69)+0.35*LN(E69)))</f>
        <v/>
      </c>
      <c r="H69" s="8" t="n">
        <v>0</v>
      </c>
      <c r="I69" s="8">
        <f>IF(H69=0, 0, H69)</f>
        <v/>
      </c>
      <c r="J69" s="8">
        <f>J68*(1-$B$3)+I69</f>
        <v/>
      </c>
      <c r="K69" s="8">
        <f>IF(OR(ISBLANK(J69), ISBLANK(F69), ISBLANK(E69)), 0, EXP(F69+0.65*LN(J69)+0.35*LN(E69)))</f>
        <v/>
      </c>
      <c r="L69" s="8">
        <f>IF(OR(ISBLANK(G69), ISBLANK(K69)), 0, K69-G69)</f>
        <v/>
      </c>
    </row>
    <row r="70" ht="15" customHeight="1" s="4">
      <c r="A70" s="8" t="n">
        <v>2037</v>
      </c>
      <c r="D70" s="8">
        <f>IF(ISBLANK(E70), 0, E70*$B$33)</f>
        <v/>
      </c>
      <c r="E70" s="8">
        <f>WEO_Data!B39*1000</f>
        <v/>
      </c>
      <c r="F70" s="8">
        <f>$B$31</f>
        <v/>
      </c>
      <c r="G70" s="8">
        <f>IF(OR(ISBLANK(D70), ISBLANK(F70), ISBLANK(E70)), 0, EXP(F70+0.65*LN(D70)+0.35*LN(E70)))</f>
        <v/>
      </c>
      <c r="H70" s="8" t="n">
        <v>0</v>
      </c>
      <c r="I70" s="8">
        <f>IF(H70=0, 0, H70)</f>
        <v/>
      </c>
      <c r="J70" s="8">
        <f>J69*(1-$B$3)+I70</f>
        <v/>
      </c>
      <c r="K70" s="8">
        <f>IF(OR(ISBLANK(J70), ISBLANK(F70), ISBLANK(E70)), 0, EXP(F70+0.65*LN(J70)+0.35*LN(E70)))</f>
        <v/>
      </c>
      <c r="L70" s="8">
        <f>IF(OR(ISBLANK(G70), ISBLANK(K70)), 0, K70-G70)</f>
        <v/>
      </c>
    </row>
    <row r="71" ht="15" customHeight="1" s="4">
      <c r="A71" s="8" t="n">
        <v>2038</v>
      </c>
      <c r="D71" s="8">
        <f>IF(ISBLANK(E71), 0, E71*$B$33)</f>
        <v/>
      </c>
      <c r="E71" s="8">
        <f>WEO_Data!B40*1000</f>
        <v/>
      </c>
      <c r="F71" s="8">
        <f>$B$31</f>
        <v/>
      </c>
      <c r="G71" s="8">
        <f>IF(OR(ISBLANK(D71), ISBLANK(F71), ISBLANK(E71)), 0, EXP(F71+0.65*LN(D71)+0.35*LN(E71)))</f>
        <v/>
      </c>
      <c r="H71" s="8" t="n">
        <v>0</v>
      </c>
      <c r="I71" s="8">
        <f>IF(H71=0, 0, H71)</f>
        <v/>
      </c>
      <c r="J71" s="8">
        <f>J70*(1-$B$3)+I71</f>
        <v/>
      </c>
      <c r="K71" s="8">
        <f>IF(OR(ISBLANK(J71), ISBLANK(F71), ISBLANK(E71)), 0, EXP(F71+0.65*LN(J71)+0.35*LN(E71)))</f>
        <v/>
      </c>
      <c r="L71" s="8">
        <f>IF(OR(ISBLANK(G71), ISBLANK(K71)), 0, K71-G71)</f>
        <v/>
      </c>
    </row>
    <row r="72" ht="15" customHeight="1" s="4">
      <c r="A72" s="8" t="n">
        <v>2039</v>
      </c>
      <c r="D72" s="8">
        <f>IF(ISBLANK(E72), 0, E72*$B$33)</f>
        <v/>
      </c>
      <c r="E72" s="8">
        <f>WEO_Data!B41*1000</f>
        <v/>
      </c>
      <c r="F72" s="8">
        <f>$B$31</f>
        <v/>
      </c>
      <c r="G72" s="8">
        <f>IF(OR(ISBLANK(D72), ISBLANK(F72), ISBLANK(E72)), 0, EXP(F72+0.65*LN(D72)+0.35*LN(E72)))</f>
        <v/>
      </c>
      <c r="H72" s="8" t="n">
        <v>0</v>
      </c>
      <c r="I72" s="8">
        <f>IF(H72=0, 0, H72)</f>
        <v/>
      </c>
      <c r="J72" s="8">
        <f>J71*(1-$B$3)+I72</f>
        <v/>
      </c>
      <c r="K72" s="8">
        <f>IF(OR(ISBLANK(J72), ISBLANK(F72), ISBLANK(E72)), 0, EXP(F72+0.65*LN(J72)+0.35*LN(E72)))</f>
        <v/>
      </c>
      <c r="L72" s="8">
        <f>IF(OR(ISBLANK(G72), ISBLANK(K72)), 0, K72-G72)</f>
        <v/>
      </c>
    </row>
    <row r="73" ht="15" customHeight="1" s="4">
      <c r="A73" s="8" t="n">
        <v>2040</v>
      </c>
      <c r="D73" s="8">
        <f>IF(ISBLANK(E73), 0, E73*$B$33)</f>
        <v/>
      </c>
      <c r="E73" s="8">
        <f>WEO_Data!B42*1000</f>
        <v/>
      </c>
      <c r="F73" s="8">
        <f>$B$31</f>
        <v/>
      </c>
      <c r="G73" s="8">
        <f>IF(OR(ISBLANK(D73), ISBLANK(F73), ISBLANK(E73)), 0, EXP(F73+0.65*LN(D73)+0.35*LN(E73)))</f>
        <v/>
      </c>
      <c r="H73" s="8" t="n">
        <v>0</v>
      </c>
      <c r="I73" s="8">
        <f>IF(H73=0, 0, H73)</f>
        <v/>
      </c>
      <c r="J73" s="8">
        <f>J72*(1-$B$3)+I73</f>
        <v/>
      </c>
      <c r="K73" s="8">
        <f>IF(OR(ISBLANK(J73), ISBLANK(F73), ISBLANK(E73)), 0, EXP(F73+0.65*LN(J73)+0.35*LN(E73)))</f>
        <v/>
      </c>
      <c r="L73" s="8">
        <f>IF(OR(ISBLANK(G73), ISBLANK(K73)), 0, K73-G73)</f>
        <v/>
      </c>
    </row>
    <row r="74" ht="15" customHeight="1" s="4">
      <c r="A74" s="8" t="n">
        <v>2041</v>
      </c>
      <c r="D74" s="8">
        <f>IF(ISBLANK(E74), 0, E74*$B$33)</f>
        <v/>
      </c>
      <c r="E74" s="8">
        <f>WEO_Data!B43*1000</f>
        <v/>
      </c>
      <c r="F74" s="8">
        <f>$B$31</f>
        <v/>
      </c>
      <c r="G74" s="8">
        <f>IF(OR(ISBLANK(D74), ISBLANK(F74), ISBLANK(E74)), 0, EXP(F74+0.65*LN(D74)+0.35*LN(E74)))</f>
        <v/>
      </c>
      <c r="H74" s="8" t="n">
        <v>0</v>
      </c>
      <c r="I74" s="8">
        <f>IF(H74=0, 0, H74)</f>
        <v/>
      </c>
      <c r="J74" s="8">
        <f>J73*(1-$B$3)+I74</f>
        <v/>
      </c>
      <c r="K74" s="8">
        <f>IF(OR(ISBLANK(J74), ISBLANK(F74), ISBLANK(E74)), 0, EXP(F74+0.65*LN(J74)+0.35*LN(E74)))</f>
        <v/>
      </c>
      <c r="L74" s="8">
        <f>IF(OR(ISBLANK(G74), ISBLANK(K74)), 0, K74-G74)</f>
        <v/>
      </c>
    </row>
    <row r="75" ht="15" customHeight="1" s="4">
      <c r="A75" s="8" t="n">
        <v>2042</v>
      </c>
      <c r="D75" s="8">
        <f>IF(ISBLANK(E75), 0, E75*$B$33)</f>
        <v/>
      </c>
      <c r="E75" s="8">
        <f>WEO_Data!B44*1000</f>
        <v/>
      </c>
      <c r="F75" s="8">
        <f>$B$31</f>
        <v/>
      </c>
      <c r="G75" s="8">
        <f>IF(OR(ISBLANK(D75), ISBLANK(F75), ISBLANK(E75)), 0, EXP(F75+0.65*LN(D75)+0.35*LN(E75)))</f>
        <v/>
      </c>
      <c r="H75" s="8" t="n">
        <v>0</v>
      </c>
      <c r="I75" s="8">
        <f>IF(H75=0, 0, H75)</f>
        <v/>
      </c>
      <c r="J75" s="8">
        <f>J74*(1-$B$3)+I75</f>
        <v/>
      </c>
      <c r="K75" s="8">
        <f>IF(OR(ISBLANK(J75), ISBLANK(F75), ISBLANK(E75)), 0, EXP(F75+0.65*LN(J75)+0.35*LN(E75)))</f>
        <v/>
      </c>
      <c r="L75" s="8">
        <f>IF(OR(ISBLANK(G75), ISBLANK(K75)), 0, K75-G75)</f>
        <v/>
      </c>
    </row>
    <row r="76" ht="15" customHeight="1" s="4">
      <c r="A76" s="8" t="n">
        <v>2043</v>
      </c>
      <c r="D76" s="8">
        <f>IF(ISBLANK(E76), 0, E76*$B$33)</f>
        <v/>
      </c>
      <c r="E76" s="8">
        <f>WEO_Data!B45*1000</f>
        <v/>
      </c>
      <c r="F76" s="8">
        <f>$B$31</f>
        <v/>
      </c>
      <c r="G76" s="8">
        <f>IF(OR(ISBLANK(D76), ISBLANK(F76), ISBLANK(E76)), 0, EXP(F76+0.65*LN(D76)+0.35*LN(E76)))</f>
        <v/>
      </c>
      <c r="H76" s="8" t="n">
        <v>0</v>
      </c>
      <c r="I76" s="8">
        <f>IF(H76=0, 0, H76)</f>
        <v/>
      </c>
      <c r="J76" s="8">
        <f>J75*(1-$B$3)+I76</f>
        <v/>
      </c>
      <c r="K76" s="8">
        <f>IF(OR(ISBLANK(J76), ISBLANK(F76), ISBLANK(E76)), 0, EXP(F76+0.65*LN(J76)+0.35*LN(E76)))</f>
        <v/>
      </c>
      <c r="L76" s="8">
        <f>IF(OR(ISBLANK(G76), ISBLANK(K76)), 0, K76-G76)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style="4" min="1" max="1"/>
  </cols>
  <sheetData>
    <row r="1">
      <c r="A1" s="11" t="inlineStr">
        <is>
          <t>MODEL DOCUMENTATION</t>
        </is>
      </c>
    </row>
    <row r="3">
      <c r="A3" s="12" t="inlineStr">
        <is>
          <t>Data Sources:</t>
        </is>
      </c>
    </row>
    <row r="4">
      <c r="A4" t="inlineStr">
        <is>
          <t>PWT Sheet: Penn World Table 11.0 - Capital Stock and Output data for Georgia (2023)</t>
        </is>
      </c>
    </row>
    <row r="5">
      <c r="A5" t="inlineStr">
        <is>
          <t>WEO_Data Sheet: IMF World Economic Outlook - Real GDP levels and growth rates (2000-2027, extended to 2043)</t>
        </is>
      </c>
    </row>
    <row r="6">
      <c r="A6" t="inlineStr">
        <is>
          <t>CFC_Data Sheet: ECB Data Portal - Consumption of Fixed Capital for Georgia (2000-2023)</t>
        </is>
      </c>
    </row>
    <row r="7">
      <c r="A7" t="inlineStr">
        <is>
          <t>Investment Sheet: User-specified investment shock of $6.5 billion over 8 years (2026-2033)</t>
        </is>
      </c>
    </row>
    <row r="9">
      <c r="A9" s="12" t="inlineStr">
        <is>
          <t>Methodology:</t>
        </is>
      </c>
    </row>
    <row r="10">
      <c r="A10" t="inlineStr">
        <is>
          <t>1. Cobb-Douglas Production Function: Y = A * K^α * L^(1-α)</t>
        </is>
      </c>
    </row>
    <row r="11">
      <c r="A11" t="inlineStr">
        <is>
          <t xml:space="preserve">   - α (Capital share) = 0.65 (from labor share of 0.35)</t>
        </is>
      </c>
    </row>
    <row r="12">
      <c r="A12" t="inlineStr">
        <is>
          <t xml:space="preserve">   - A = Total Factor Productivity (TFP), extracted via HP filtering</t>
        </is>
      </c>
    </row>
    <row r="13">
      <c r="A13" t="inlineStr">
        <is>
          <t>2. Capital Stock Extension (2024-2043):</t>
        </is>
      </c>
    </row>
    <row r="14">
      <c r="A14" t="inlineStr">
        <is>
          <t xml:space="preserve">   - Uses average K/Y ratio from 2015-2023 as anchor</t>
        </is>
      </c>
    </row>
    <row r="15">
      <c r="A15" t="inlineStr">
        <is>
          <t xml:space="preserve">   - K_extended = Y * average(K/Y ratio)</t>
        </is>
      </c>
    </row>
    <row r="16">
      <c r="A16" t="inlineStr">
        <is>
          <t>3. TFP Trend (LnZ_Trend):</t>
        </is>
      </c>
    </row>
    <row r="17">
      <c r="A17" t="inlineStr">
        <is>
          <t xml:space="preserve">   - Extracted from production function residuals using HP filtering</t>
        </is>
      </c>
    </row>
    <row r="18">
      <c r="A18" t="inlineStr">
        <is>
          <t xml:space="preserve">   - Extended as constant for future periods</t>
        </is>
      </c>
    </row>
    <row r="19">
      <c r="A19" t="inlineStr">
        <is>
          <t>4. Investment Shock Impact:</t>
        </is>
      </c>
    </row>
    <row r="20">
      <c r="A20" t="inlineStr">
        <is>
          <t xml:space="preserve">   - Annual investment: $812.5 million (2026-2033)</t>
        </is>
      </c>
    </row>
    <row r="21">
      <c r="A21" t="inlineStr">
        <is>
          <t xml:space="preserve">   - Increases capital stock each year</t>
        </is>
      </c>
    </row>
    <row r="22">
      <c r="A22" t="inlineStr">
        <is>
          <t xml:space="preserve">   - New capital depreciates at historical average rate</t>
        </is>
      </c>
    </row>
    <row r="23">
      <c r="A23" t="inlineStr">
        <is>
          <t xml:space="preserve">   - Impact on GDP calculated via production function</t>
        </is>
      </c>
    </row>
    <row r="25">
      <c r="A25" s="12" t="inlineStr">
        <is>
          <t>Key Formulas:</t>
        </is>
      </c>
    </row>
    <row r="26">
      <c r="A26" t="inlineStr">
        <is>
          <t>LnZ (TFP log): = LnY - α*LnK</t>
        </is>
      </c>
    </row>
    <row r="27">
      <c r="A27" t="inlineStr">
        <is>
          <t>Ystar_Base: = exp(LnZ_Trend + α*LnK + (1-α)*LnY) without shock</t>
        </is>
      </c>
    </row>
    <row r="28">
      <c r="A28" t="inlineStr">
        <is>
          <t>Ystar_With: = exp(LnZ_Trend + α*LnK_with_shock + (1-α)*LnY) with shock</t>
        </is>
      </c>
    </row>
    <row r="29">
      <c r="A29" t="inlineStr">
        <is>
          <t>Shock Impact: = Ystar_With - Ystar_Base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8" min="1" max="1"/>
    <col width="30" customWidth="1" style="8" min="2" max="2"/>
  </cols>
  <sheetData>
    <row r="1" ht="15" customHeight="1" s="4">
      <c r="A1" s="8" t="inlineStr">
        <is>
          <t>Investment Shock Analysis</t>
        </is>
      </c>
    </row>
    <row r="3" ht="15" customHeight="1" s="4">
      <c r="A3" s="8" t="inlineStr">
        <is>
          <t>Total Investment</t>
        </is>
      </c>
      <c r="B3" s="8" t="n">
        <v>6500</v>
      </c>
    </row>
    <row r="4" ht="15" customHeight="1" s="4">
      <c r="A4" s="8" t="inlineStr">
        <is>
          <t>Duration (years)</t>
        </is>
      </c>
      <c r="B4" s="8" t="n">
        <v>8</v>
      </c>
    </row>
    <row r="5" ht="15" customHeight="1" s="4">
      <c r="A5" s="8" t="inlineStr">
        <is>
          <t>Start Year</t>
        </is>
      </c>
      <c r="B5" s="8" t="n">
        <v>2026</v>
      </c>
    </row>
    <row r="6" ht="15" customHeight="1" s="4">
      <c r="A6" s="8" t="inlineStr">
        <is>
          <t>Annual Investment</t>
        </is>
      </c>
      <c r="B6" s="8">
        <f>B3/B4</f>
        <v/>
      </c>
    </row>
    <row r="8" ht="15" customHeight="1" s="4">
      <c r="A8" s="8" t="inlineStr">
        <is>
          <t>Year</t>
        </is>
      </c>
      <c r="B8" s="8" t="inlineStr">
        <is>
          <t>Annual Investment (USD millions)</t>
        </is>
      </c>
    </row>
    <row r="9" ht="15" customHeight="1" s="4">
      <c r="A9" s="8" t="n">
        <v>2026</v>
      </c>
      <c r="B9" s="8">
        <f>$B6</f>
        <v/>
      </c>
    </row>
    <row r="10" ht="15" customHeight="1" s="4">
      <c r="A10" s="8" t="n">
        <v>2027</v>
      </c>
      <c r="B10" s="8">
        <f>$B6</f>
        <v/>
      </c>
    </row>
    <row r="11" ht="15" customHeight="1" s="4">
      <c r="A11" s="8" t="n">
        <v>2028</v>
      </c>
      <c r="B11" s="8">
        <f>$B6</f>
        <v/>
      </c>
    </row>
    <row r="12" ht="15" customHeight="1" s="4">
      <c r="A12" s="8" t="n">
        <v>2029</v>
      </c>
      <c r="B12" s="8">
        <f>$B6</f>
        <v/>
      </c>
    </row>
    <row r="13" ht="15" customHeight="1" s="4">
      <c r="A13" s="8" t="n">
        <v>2030</v>
      </c>
      <c r="B13" s="8">
        <f>$B6</f>
        <v/>
      </c>
    </row>
    <row r="14" ht="15" customHeight="1" s="4">
      <c r="A14" s="8" t="n">
        <v>2031</v>
      </c>
      <c r="B14" s="8">
        <f>$B6</f>
        <v/>
      </c>
    </row>
    <row r="15" ht="15" customHeight="1" s="4">
      <c r="A15" s="8" t="n">
        <v>2032</v>
      </c>
      <c r="B15" s="8">
        <f>$B6</f>
        <v/>
      </c>
    </row>
    <row r="16" ht="15" customHeight="1" s="4">
      <c r="A16" s="8" t="n">
        <v>2033</v>
      </c>
      <c r="B16" s="8">
        <f>$B6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2026-01-29T04:18:48Z</dcterms:created>
  <dcterms:modified xsi:type="dcterms:W3CDTF">2026-01-29T04:20:58Z</dcterms:modified>
  <cp:revision>0</cp:revision>
</cp:coreProperties>
</file>