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<sst xmlns="http://schemas.openxmlformats.org/spreadsheetml/2006/main" count="878" uniqueCount="627">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</sst>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STDEV('Gold price'!C3:C6)*SQRT(12)</f>
        <v>12.2354712657413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C12*$C$5/100*$C$3</f>
        <v>1503.71433584351</v>
      </c>
      <c r="D13" s="1" t="n">
        <f aca="false">D12*$C$5/100*$C$3</f>
        <v>201.676049326087</v>
      </c>
      <c r="E13" s="1" t="n">
        <f aca="false">E12*$C$5/100*$C$3</f>
        <v>2.15563920986267</v>
      </c>
      <c r="F13" s="1" t="n">
        <f aca="false">F12*$C$5/100*$C$3</f>
        <v>780.466183541726</v>
      </c>
      <c r="G13" s="1" t="n">
        <f aca="false">G12*$C$5/100*$C$3</f>
        <v>11088.644324764</v>
      </c>
      <c r="H13" s="1" t="n">
        <f aca="false">H12*$C$5/100*$C$3</f>
        <v>2037.26825041241</v>
      </c>
      <c r="I13" s="1" t="n">
        <f aca="false">I12*$C$5/100*$C$3</f>
        <v>185.4292522187</v>
      </c>
      <c r="J13" s="1" t="n">
        <f aca="false">J12*$C$5/100*$C$3</f>
        <v>162.447843723638</v>
      </c>
      <c r="K13" s="1" t="n">
        <f aca="false">K12*$C$5/100*$C$3</f>
        <v>656.891751921378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INDEX($C$12:$K$12,MATCH(C20,$C$11:$K$11,0))</f>
        <v>7471</v>
      </c>
      <c r="D21" s="4" t="n">
        <f aca="false">INDEX($C$12:$K$12,MATCH(D20,$C$11:$K$11,0))</f>
        <v>1002</v>
      </c>
      <c r="E21" s="5" t="n">
        <f aca="false">INDEX($C$12:$K$12,MATCH(E20,$C$11:$K$11,0))</f>
        <v>10.71</v>
      </c>
      <c r="F21" s="5" t="n">
        <f aca="false">INDEX($C$12:$K$12,MATCH(F20,$C$11:$K$11,0))</f>
        <v>55092.42</v>
      </c>
      <c r="G21" s="5" t="n">
        <f aca="false">INDEX($C$12:$K$12,MATCH(G20,$C$11:$K$11,0))</f>
        <v>10121.89</v>
      </c>
      <c r="H21" s="3" t="n">
        <f aca="false">INDEX($C$12:$K$12,MATCH(H20,$C$11:$K$11,0))</f>
        <v>921.28</v>
      </c>
      <c r="I21" s="3" t="n">
        <f aca="false">INDEX($C$12:$K$12,MATCH(I20,$C$11:$K$11,0))</f>
        <v>807.1</v>
      </c>
    </row>
    <row r="22" customFormat="false" ht="12.75" hidden="false" customHeight="true" outlineLevel="0" collapsed="false">
      <c r="B22" s="1" t="s">
        <v>17</v>
      </c>
      <c r="C22" s="1" t="n">
        <f aca="false">INDEX($C$13:$K$13,MATCH(C20,$C$11:$K$11,0))</f>
        <v>1503.71433584351</v>
      </c>
      <c r="D22" s="1" t="n">
        <f aca="false">INDEX($C$13:$K$13,MATCH(D20,$C$11:$K$11,0))</f>
        <v>201.676049326087</v>
      </c>
      <c r="E22" s="1" t="n">
        <f aca="false">INDEX($C$13:$K$13,MATCH(E20,$C$11:$K$11,0))</f>
        <v>2.15563920986267</v>
      </c>
      <c r="F22" s="1" t="n">
        <f aca="false">INDEX($C$13:$K$13,MATCH(F20,$C$11:$K$11,0))</f>
        <v>11088.644324764</v>
      </c>
      <c r="G22" s="1" t="n">
        <f aca="false">INDEX($C$13:$K$13,MATCH(G20,$C$11:$K$11,0))</f>
        <v>2037.26825041241</v>
      </c>
      <c r="H22" s="1" t="n">
        <f aca="false">INDEX($C$13:$K$13,MATCH(H20,$C$11:$K$11,0))</f>
        <v>185.4292522187</v>
      </c>
      <c r="I22" s="1" t="n">
        <f aca="false">INDEX($C$13:$K$13,MATCH(I20,$C$11:$K$11,0))</f>
        <v>162.447843723638</v>
      </c>
    </row>
    <row r="23" customFormat="false" ht="12.75" hidden="false" customHeight="true" outlineLevel="0" collapsed="false">
      <c r="B23" s="1" t="s">
        <v>19</v>
      </c>
      <c r="C23" s="3" t="n">
        <f aca="false">'Total Reserves'!D18</f>
        <v>14425.9</v>
      </c>
      <c r="D23" s="5" t="n">
        <f aca="false">'Total Reserves'!E18</f>
        <v>6158.7</v>
      </c>
      <c r="E23" s="5" t="n">
        <f aca="false">'Total Reserves'!H18</f>
        <v>5999.34</v>
      </c>
      <c r="F23" s="5" t="n">
        <f aca="false">'Total Reserves'!I18</f>
        <v>66311.75</v>
      </c>
      <c r="G23" s="5" t="n">
        <f aca="false">'Total Reserves'!J18</f>
        <v>175830.49</v>
      </c>
      <c r="H23" s="5" t="n">
        <f aca="false">'Total Reserves'!K18</f>
        <v>6076.9</v>
      </c>
      <c r="I23" s="3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10.4237124605294</v>
      </c>
      <c r="D24" s="1" t="n">
        <f aca="false">D22/D23*100</f>
        <v>3.27465291905901</v>
      </c>
      <c r="E24" s="1" t="n">
        <f aca="false">E22/E23*100</f>
        <v>0.0359312726043643</v>
      </c>
      <c r="F24" s="1" t="n">
        <f aca="false">F22/F23*100</f>
        <v>16.7219901823794</v>
      </c>
      <c r="G24" s="1" t="n">
        <f aca="false">G22/G23*100</f>
        <v>1.15865470795902</v>
      </c>
      <c r="H24" s="1" t="n">
        <f aca="false">H22/H23*100</f>
        <v>3.05137902908885</v>
      </c>
      <c r="I24" s="1" t="n">
        <f aca="false">I22/I23*100</f>
        <v>2.29358639676448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IF(AND(B3&lt;&gt;"",B2&lt;&gt;""),LN(B3/B2)*100,"")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IF(AND(B4&lt;&gt;"",B3&lt;&gt;""),LN(B4/B3)*100,"")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IF(AND(B5&lt;&gt;"",B4&lt;&gt;""),LN(B5/B4)*100,"")</f>
        <v>-4.80179165459846</v>
      </c>
      <c r="D5" s="6" t="n">
        <f aca="false">IF(COUNT(C3:C5)=3,STDEV(C3:C5),"")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IF(AND(B6&lt;&gt;"",B5&lt;&gt;""),LN(B6/B5)*100,"")</f>
        <v>-1.37044584198046</v>
      </c>
      <c r="D6" s="6" t="n">
        <f aca="false">IF(COUNT(C4:C6)=3,STDEV(C4:C6),"")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IF(AND(B7&lt;&gt;"",B6&lt;&gt;""),LN(B7/B6)*100,"")</f>
        <v>-4.62031190186234</v>
      </c>
      <c r="D7" s="6" t="n">
        <f aca="false">IF(COUNT(C5:C7)=3,STDEV(C5:C7),"")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IF(AND(B8&lt;&gt;"",B7&lt;&gt;""),LN(B8/B7)*100,"")</f>
        <v>2.78915482477398</v>
      </c>
      <c r="D8" s="6" t="n">
        <f aca="false">IF(COUNT(C6:C8)=3,STDEV(C6:C8),"")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IF(AND(B9&lt;&gt;"",B8&lt;&gt;""),LN(B9/B8)*100,"")</f>
        <v>8.49326744877091</v>
      </c>
      <c r="D9" s="6" t="n">
        <f aca="false">IF(COUNT(C7:C9)=3,STDEV(C7:C9),"")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IF(AND(B10&lt;&gt;"",B9&lt;&gt;""),LN(B10/B9)*100,"")</f>
        <v>-1.24348428928857</v>
      </c>
      <c r="D10" s="6" t="n">
        <f aca="false">IF(COUNT(C8:C10)=3,STDEV(C8:C10),"")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IF(AND(B11&lt;&gt;"",B10&lt;&gt;""),LN(B11/B10)*100,"")</f>
        <v>-2.27315495571925</v>
      </c>
      <c r="D11" s="6" t="n">
        <f aca="false">IF(COUNT(C9:C11)=3,STDEV(C9:C11),"")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IF(AND(B12&lt;&gt;"",B11&lt;&gt;""),LN(B12/B11)*100,"")</f>
        <v>0.209465299343003</v>
      </c>
      <c r="D12" s="6" t="n">
        <f aca="false">IF(COUNT(C10:C12)=3,STDEV(C10:C12),"")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IF(AND(B13&lt;&gt;"",B12&lt;&gt;""),LN(B13/B12)*100,"")</f>
        <v>-1.34792130493926</v>
      </c>
      <c r="D13" s="6" t="n">
        <f aca="false">IF(COUNT(C11:C13)=3,STDEV(C11:C13),"")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IF(AND(B14&lt;&gt;"",B13&lt;&gt;""),LN(B14/B13)*100,"")</f>
        <v>1.84646751324177</v>
      </c>
      <c r="D14" s="6" t="n">
        <f aca="false">IF(COUNT(C12:C14)=3,STDEV(C12:C14),"")</f>
        <v>1.59735975937521</v>
      </c>
      <c r="E14" s="6" t="n">
        <f aca="false">IF(COUNT(C3:C14)=12,STDEV(C3:C14),"")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IF(AND(B15&lt;&gt;"",B14&lt;&gt;""),LN(B15/B14)*100,"")</f>
        <v>-5.16376293239246</v>
      </c>
      <c r="D15" s="6" t="n">
        <f aca="false">IF(COUNT(C13:C15)=3,STDEV(C13:C15),"")</f>
        <v>3.50970317235949</v>
      </c>
      <c r="E15" s="6" t="n">
        <f aca="false">IF(COUNT(C4:C15)=12,STDEV(C4:C15),"")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IF(AND(B16&lt;&gt;"",B15&lt;&gt;""),LN(B16/B15)*100,"")</f>
        <v>-0.448561253977092</v>
      </c>
      <c r="D16" s="6" t="n">
        <f aca="false">IF(COUNT(C14:C16)=3,STDEV(C14:C16),"")</f>
        <v>3.57406432537222</v>
      </c>
      <c r="E16" s="6" t="n">
        <f aca="false">IF(COUNT(C5:C16)=12,STDEV(C5:C16),"")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IF(AND(B17&lt;&gt;"",B16&lt;&gt;""),LN(B17/B16)*100,"")</f>
        <v>-1.23079271123674</v>
      </c>
      <c r="D17" s="6" t="n">
        <f aca="false">IF(COUNT(C15:C17)=3,STDEV(C15:C17),"")</f>
        <v>2.52696351646778</v>
      </c>
      <c r="E17" s="6" t="n">
        <f aca="false">IF(COUNT(C6:C17)=12,STDEV(C6:C17),"")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IF(AND(B18&lt;&gt;"",B17&lt;&gt;""),LN(B18/B17)*100,"")</f>
        <v>-0.379998447749823</v>
      </c>
      <c r="D18" s="6" t="n">
        <f aca="false">IF(COUNT(C16:C18)=3,STDEV(C16:C18),"")</f>
        <v>0.472658754618764</v>
      </c>
      <c r="E18" s="6" t="n">
        <f aca="false">IF(COUNT(C7:C18)=12,STDEV(C7:C18),"")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IF(AND(B19&lt;&gt;"",B18&lt;&gt;""),LN(B19/B18)*100,"")</f>
        <v>2.7480835168127</v>
      </c>
      <c r="D19" s="6" t="n">
        <f aca="false">IF(COUNT(C17:C19)=3,STDEV(C17:C19),"")</f>
        <v>2.0952407854445</v>
      </c>
      <c r="E19" s="6" t="n">
        <f aca="false">IF(COUNT(C8:C19)=12,STDEV(C8:C19),"")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IF(AND(B20&lt;&gt;"",B19&lt;&gt;""),LN(B20/B19)*100,"")</f>
        <v>0.240169016237603</v>
      </c>
      <c r="D20" s="6" t="n">
        <f aca="false">IF(COUNT(C18:C20)=3,STDEV(C18:C20),"")</f>
        <v>1.65625781017554</v>
      </c>
      <c r="E20" s="6" t="n">
        <f aca="false">IF(COUNT(C9:C20)=12,STDEV(C9:C20),"")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IF(AND(B21&lt;&gt;"",B20&lt;&gt;""),LN(B21/B20)*100,"")</f>
        <v>-3.07086333309545</v>
      </c>
      <c r="D21" s="6" t="n">
        <f aca="false">IF(COUNT(C19:C21)=3,STDEV(C19:C21),"")</f>
        <v>2.91869585039223</v>
      </c>
      <c r="E21" s="6" t="n">
        <f aca="false">IF(COUNT(C10:C21)=12,STDEV(C10:C21),"")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IF(AND(B22&lt;&gt;"",B21&lt;&gt;""),LN(B22/B21)*100,"")</f>
        <v>-2.24747965696714</v>
      </c>
      <c r="D22" s="6" t="n">
        <f aca="false">IF(COUNT(C20:C22)=3,STDEV(C20:C22),"")</f>
        <v>1.72381804036572</v>
      </c>
      <c r="E22" s="6" t="n">
        <f aca="false">IF(COUNT(C11:C22)=12,STDEV(C11:C22),"")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IF(AND(B23&lt;&gt;"",B22&lt;&gt;""),LN(B23/B22)*100,"")</f>
        <v>2.84702994467017</v>
      </c>
      <c r="D23" s="6" t="n">
        <f aca="false">IF(COUNT(C21:C23)=3,STDEV(C21:C23),"")</f>
        <v>3.20555376407657</v>
      </c>
      <c r="E23" s="6" t="n">
        <f aca="false">IF(COUNT(C12:C23)=12,STDEV(C12:C23),"")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IF(AND(B24&lt;&gt;"",B23&lt;&gt;""),LN(B24/B23)*100,"")</f>
        <v>0.215932728821503</v>
      </c>
      <c r="D24" s="6" t="n">
        <f aca="false">IF(COUNT(C22:C24)=3,STDEV(C22:C24),"")</f>
        <v>2.54771470220137</v>
      </c>
      <c r="E24" s="6" t="n">
        <f aca="false">IF(COUNT(C13:C24)=12,STDEV(C13:C24),"")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IF(AND(B25&lt;&gt;"",B24&lt;&gt;""),LN(B25/B24)*100,"")</f>
        <v>0.538611017672481</v>
      </c>
      <c r="D25" s="6" t="n">
        <f aca="false">IF(COUNT(C23:C25)=3,STDEV(C23:C25),"")</f>
        <v>1.43501404057379</v>
      </c>
      <c r="E25" s="6" t="n">
        <f aca="false">IF(COUNT(C14:C25)=12,STDEV(C14:C25),"")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IF(AND(B26&lt;&gt;"",B25&lt;&gt;""),LN(B26/B25)*100,"")</f>
        <v>-1.9075530166859</v>
      </c>
      <c r="D26" s="6" t="n">
        <f aca="false">IF(COUNT(C24:C26)=3,STDEV(C24:C26),"")</f>
        <v>1.32897400729895</v>
      </c>
      <c r="E26" s="6" t="n">
        <f aca="false">IF(COUNT(C15:C26)=12,STDEV(C15:C26),"")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IF(AND(B27&lt;&gt;"",B26&lt;&gt;""),LN(B27/B26)*100,"")</f>
        <v>-0.259981579532838</v>
      </c>
      <c r="D27" s="6" t="n">
        <f aca="false">IF(COUNT(C25:C27)=3,STDEV(C25:C27),"")</f>
        <v>1.24739463548511</v>
      </c>
      <c r="E27" s="6" t="n">
        <f aca="false">IF(COUNT(C16:C27)=12,STDEV(C16:C27),"")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IF(AND(B28&lt;&gt;"",B27&lt;&gt;""),LN(B28/B27)*100,"")</f>
        <v>-2.75008277979762</v>
      </c>
      <c r="D28" s="6" t="n">
        <f aca="false">IF(COUNT(C26:C28)=3,STDEV(C26:C28),"")</f>
        <v>1.26655385658696</v>
      </c>
      <c r="E28" s="6" t="n">
        <f aca="false">IF(COUNT(C17:C28)=12,STDEV(C17:C28),"")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IF(AND(B29&lt;&gt;"",B28&lt;&gt;""),LN(B29/B28)*100,"")</f>
        <v>-1.60844923877242</v>
      </c>
      <c r="D29" s="6" t="n">
        <f aca="false">IF(COUNT(C27:C29)=3,STDEV(C27:C29),"")</f>
        <v>1.24648145845074</v>
      </c>
      <c r="E29" s="6" t="n">
        <f aca="false">IF(COUNT(C18:C29)=12,STDEV(C18:C29),"")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IF(AND(B30&lt;&gt;"",B29&lt;&gt;""),LN(B30/B29)*100,"")</f>
        <v>-0.471345557938947</v>
      </c>
      <c r="D30" s="6" t="n">
        <f aca="false">IF(COUNT(C28:C30)=3,STDEV(C28:C30),"")</f>
        <v>1.1393693613313</v>
      </c>
      <c r="E30" s="6" t="n">
        <f aca="false">IF(COUNT(C19:C30)=12,STDEV(C19:C30),"")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IF(AND(B31&lt;&gt;"",B30&lt;&gt;""),LN(B31/B30)*100,"")</f>
        <v>1.15702603726684</v>
      </c>
      <c r="D31" s="6" t="n">
        <f aca="false">IF(COUNT(C29:C31)=3,STDEV(C29:C31),"")</f>
        <v>1.38999114717939</v>
      </c>
      <c r="E31" s="6" t="n">
        <f aca="false">IF(COUNT(C20:C31)=12,STDEV(C20:C31),"")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IF(AND(B32&lt;&gt;"",B31&lt;&gt;""),LN(B32/B31)*100,"")</f>
        <v>3.24071540368765</v>
      </c>
      <c r="D32" s="6" t="n">
        <f aca="false">IF(COUNT(C30:C32)=3,STDEV(C30:C32),"")</f>
        <v>1.86067872968622</v>
      </c>
      <c r="E32" s="6" t="n">
        <f aca="false">IF(COUNT(C21:C32)=12,STDEV(C21:C32),"")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IF(AND(B33&lt;&gt;"",B32&lt;&gt;""),LN(B33/B32)*100,"")</f>
        <v>-2.69358704012723</v>
      </c>
      <c r="D33" s="6" t="n">
        <f aca="false">IF(COUNT(C31:C33)=3,STDEV(C31:C33),"")</f>
        <v>3.01067345572937</v>
      </c>
      <c r="E33" s="6" t="n">
        <f aca="false">IF(COUNT(C22:C33)=12,STDEV(C22:C33),"")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IF(AND(B34&lt;&gt;"",B33&lt;&gt;""),LN(B34/B33)*100,"")</f>
        <v>0.614524233314385</v>
      </c>
      <c r="D34" s="6" t="n">
        <f aca="false">IF(COUNT(C32:C34)=3,STDEV(C32:C34),"")</f>
        <v>2.97367409544392</v>
      </c>
      <c r="E34" s="6" t="n">
        <f aca="false">IF(COUNT(C23:C34)=12,STDEV(C23:C34),"")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IF(AND(B35&lt;&gt;"",B34&lt;&gt;""),LN(B35/B34)*100,"")</f>
        <v>-0.0330788254435048</v>
      </c>
      <c r="D35" s="6" t="n">
        <f aca="false">IF(COUNT(C33:C35)=3,STDEV(C33:C35),"")</f>
        <v>1.75315400918761</v>
      </c>
      <c r="E35" s="6" t="n">
        <f aca="false">IF(COUNT(C24:C35)=12,STDEV(C24:C35),"")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IF(AND(B36&lt;&gt;"",B35&lt;&gt;""),LN(B36/B35)*100,"")</f>
        <v>-2.89510923965977</v>
      </c>
      <c r="D36" s="6" t="n">
        <f aca="false">IF(COUNT(C34:C36)=3,STDEV(C34:C36),"")</f>
        <v>1.86762482528978</v>
      </c>
      <c r="E36" s="6" t="n">
        <f aca="false">IF(COUNT(C25:C36)=12,STDEV(C25:C36),"")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IF(AND(B37&lt;&gt;"",B36&lt;&gt;""),LN(B37/B36)*100,"")</f>
        <v>-0.0726746072149938</v>
      </c>
      <c r="D37" s="6" t="n">
        <f aca="false">IF(COUNT(C35:C37)=3,STDEV(C35:C37),"")</f>
        <v>1.64108313684676</v>
      </c>
      <c r="E37" s="6" t="n">
        <f aca="false">IF(COUNT(C26:C37)=12,STDEV(C26:C37),"")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IF(AND(B38&lt;&gt;"",B37&lt;&gt;""),LN(B38/B37)*100,"")</f>
        <v>-1.74040336083754</v>
      </c>
      <c r="D38" s="6" t="n">
        <f aca="false">IF(COUNT(C36:C38)=3,STDEV(C36:C38),"")</f>
        <v>1.41896688454839</v>
      </c>
      <c r="E38" s="6" t="n">
        <f aca="false">IF(COUNT(C27:C38)=12,STDEV(C27:C38),"")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IF(AND(B39&lt;&gt;"",B38&lt;&gt;""),LN(B39/B38)*100,"")</f>
        <v>0.0818554503010278</v>
      </c>
      <c r="D39" s="6" t="n">
        <f aca="false">IF(COUNT(C37:C39)=3,STDEV(C37:C39),"")</f>
        <v>1.01043108862072</v>
      </c>
      <c r="E39" s="6" t="n">
        <f aca="false">IF(COUNT(C28:C39)=12,STDEV(C28:C39),"")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IF(AND(B40&lt;&gt;"",B39&lt;&gt;""),LN(B40/B39)*100,"")</f>
        <v>0.241726004435254</v>
      </c>
      <c r="D40" s="6" t="n">
        <f aca="false">IF(COUNT(C38:C40)=3,STDEV(C38:C40),"")</f>
        <v>1.10113748683865</v>
      </c>
      <c r="E40" s="6" t="n">
        <f aca="false">IF(COUNT(C29:C40)=12,STDEV(C29:C40),"")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IF(AND(B41&lt;&gt;"",B40&lt;&gt;""),LN(B41/B40)*100,"")</f>
        <v>3.55913543408704</v>
      </c>
      <c r="D41" s="6" t="n">
        <f aca="false">IF(COUNT(C39:C41)=3,STDEV(C39:C41),"")</f>
        <v>1.96308600608246</v>
      </c>
      <c r="E41" s="6" t="n">
        <f aca="false">IF(COUNT(C30:C41)=12,STDEV(C30:C41),"")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IF(AND(B42&lt;&gt;"",B41&lt;&gt;""),LN(B42/B41)*100,"")</f>
        <v>6.94790377799645</v>
      </c>
      <c r="D42" s="6" t="n">
        <f aca="false">IF(COUNT(C40:C42)=3,STDEV(C40:C42),"")</f>
        <v>3.35315216234991</v>
      </c>
      <c r="E42" s="6" t="n">
        <f aca="false">IF(COUNT(C31:C42)=12,STDEV(C31:C42),"")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IF(AND(B43&lt;&gt;"",B42&lt;&gt;""),LN(B43/B42)*100,"")</f>
        <v>1.39261600622473</v>
      </c>
      <c r="D43" s="6" t="n">
        <f aca="false">IF(COUNT(C41:C43)=3,STDEV(C41:C43),"")</f>
        <v>2.79996367676392</v>
      </c>
      <c r="E43" s="6" t="n">
        <f aca="false">IF(COUNT(C32:C43)=12,STDEV(C32:C43),"")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IF(AND(B44&lt;&gt;"",B43&lt;&gt;""),LN(B44/B43)*100,"")</f>
        <v>5.38987475967688</v>
      </c>
      <c r="D44" s="6" t="n">
        <f aca="false">IF(COUNT(C42:C44)=3,STDEV(C42:C44),"")</f>
        <v>2.86550618539355</v>
      </c>
      <c r="E44" s="6" t="n">
        <f aca="false">IF(COUNT(C33:C44)=12,STDEV(C33:C44),"")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IF(AND(B45&lt;&gt;"",B44&lt;&gt;""),LN(B45/B44)*100,"")</f>
        <v>-3.55373449950969</v>
      </c>
      <c r="D45" s="6" t="n">
        <f aca="false">IF(COUNT(C43:C45)=3,STDEV(C43:C45),"")</f>
        <v>4.480189866673</v>
      </c>
      <c r="E45" s="6" t="n">
        <f aca="false">IF(COUNT(C34:C45)=12,STDEV(C34:C45),"")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IF(AND(B46&lt;&gt;"",B45&lt;&gt;""),LN(B46/B45)*100,"")</f>
        <v>-6.63181656329737</v>
      </c>
      <c r="D46" s="6" t="n">
        <f aca="false">IF(COUNT(C44:C46)=3,STDEV(C44:C46),"")</f>
        <v>6.24478179545789</v>
      </c>
      <c r="E46" s="6" t="n">
        <f aca="false">IF(COUNT(C35:C46)=12,STDEV(C35:C46),"")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IF(AND(B47&lt;&gt;"",B46&lt;&gt;""),LN(B47/B46)*100,"")</f>
        <v>2.22671969734358</v>
      </c>
      <c r="D47" s="6" t="n">
        <f aca="false">IF(COUNT(C45:C47)=3,STDEV(C45:C47),"")</f>
        <v>4.49744195060594</v>
      </c>
      <c r="E47" s="6" t="n">
        <f aca="false">IF(COUNT(C36:C47)=12,STDEV(C36:C47),"")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IF(AND(B48&lt;&gt;"",B47&lt;&gt;""),LN(B48/B47)*100,"")</f>
        <v>3.2010188997119</v>
      </c>
      <c r="D48" s="6" t="n">
        <f aca="false">IF(COUNT(C46:C48)=3,STDEV(C46:C48),"")</f>
        <v>5.4176805747392</v>
      </c>
      <c r="E48" s="6" t="n">
        <f aca="false">IF(COUNT(C37:C48)=12,STDEV(C37:C48),"")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IF(AND(B49&lt;&gt;"",B48&lt;&gt;""),LN(B49/B48)*100,"")</f>
        <v>2.41196078340818</v>
      </c>
      <c r="D49" s="6" t="n">
        <f aca="false">IF(COUNT(C47:C49)=3,STDEV(C47:C49),"")</f>
        <v>0.51739506288823</v>
      </c>
      <c r="E49" s="6" t="n">
        <f aca="false">IF(COUNT(C38:C49)=12,STDEV(C38:C49),"")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IF(AND(B50&lt;&gt;"",B49&lt;&gt;""),LN(B50/B49)*100,"")</f>
        <v>0.980177390890843</v>
      </c>
      <c r="D50" s="6" t="n">
        <f aca="false">IF(COUNT(C48:C50)=3,STDEV(C48:C50),"")</f>
        <v>1.1258147717169</v>
      </c>
      <c r="E50" s="6" t="n">
        <f aca="false">IF(COUNT(C39:C50)=12,STDEV(C39:C50),"")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IF(AND(B51&lt;&gt;"",B50&lt;&gt;""),LN(B51/B50)*100,"")</f>
        <v>-1.24062690295922</v>
      </c>
      <c r="D51" s="6" t="n">
        <f aca="false">IF(COUNT(C49:C51)=3,STDEV(C49:C51),"")</f>
        <v>1.84044252836441</v>
      </c>
      <c r="E51" s="6" t="n">
        <f aca="false">IF(COUNT(C40:C51)=12,STDEV(C40:C51),"")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IF(AND(B52&lt;&gt;"",B51&lt;&gt;""),LN(B52/B51)*100,"")</f>
        <v>0.410479744350224</v>
      </c>
      <c r="D52" s="6" t="n">
        <f aca="false">IF(COUNT(C50:C52)=3,STDEV(C50:C52),"")</f>
        <v>1.15344991806076</v>
      </c>
      <c r="E52" s="6" t="n">
        <f aca="false">IF(COUNT(C41:C52)=12,STDEV(C41:C52),"")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IF(AND(B53&lt;&gt;"",B52&lt;&gt;""),LN(B53/B52)*100,"")</f>
        <v>-1.72270945330121</v>
      </c>
      <c r="D53" s="6" t="n">
        <f aca="false">IF(COUNT(C51:C53)=3,STDEV(C51:C53),"")</f>
        <v>1.11870854851405</v>
      </c>
      <c r="E53" s="6" t="n">
        <f aca="false">IF(COUNT(C42:C53)=12,STDEV(C42:C53),"")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IF(AND(B54&lt;&gt;"",B53&lt;&gt;""),LN(B54/B53)*100,"")</f>
        <v>1.12503210797978</v>
      </c>
      <c r="D54" s="6" t="n">
        <f aca="false">IF(COUNT(C52:C54)=3,STDEV(C52:C54),"")</f>
        <v>1.48159335588371</v>
      </c>
      <c r="E54" s="6" t="n">
        <f aca="false">IF(COUNT(C43:C54)=12,STDEV(C43:C54),"")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IF(AND(B55&lt;&gt;"",B54&lt;&gt;""),LN(B55/B54)*100,"")</f>
        <v>1.08251248568354</v>
      </c>
      <c r="D55" s="6" t="n">
        <f aca="false">IF(COUNT(C53:C55)=3,STDEV(C53:C55),"")</f>
        <v>1.63200847858749</v>
      </c>
      <c r="E55" s="6" t="n">
        <f aca="false">IF(COUNT(C44:C55)=12,STDEV(C44:C55),"")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IF(AND(B56&lt;&gt;"",B55&lt;&gt;""),LN(B56/B55)*100,"")</f>
        <v>-0.0890108896459827</v>
      </c>
      <c r="D56" s="6" t="n">
        <f aca="false">IF(COUNT(C54:C56)=3,STDEV(C54:C56),"")</f>
        <v>0.688981777372457</v>
      </c>
      <c r="E56" s="6" t="n">
        <f aca="false">IF(COUNT(C45:C56)=12,STDEV(C45:C56),"")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IF(AND(B57&lt;&gt;"",B56&lt;&gt;""),LN(B57/B56)*100,"")</f>
        <v>-1.210893255773</v>
      </c>
      <c r="D57" s="6" t="n">
        <f aca="false">IF(COUNT(C55:C57)=3,STDEV(C55:C57),"")</f>
        <v>1.14679240763939</v>
      </c>
      <c r="E57" s="6" t="n">
        <f aca="false">IF(COUNT(C46:C57)=12,STDEV(C46:C57),"")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IF(AND(B58&lt;&gt;"",B57&lt;&gt;""),LN(B58/B57)*100,"")</f>
        <v>2.89055985092225</v>
      </c>
      <c r="D58" s="6" t="n">
        <f aca="false">IF(COUNT(C56:C58)=3,STDEV(C56:C58),"")</f>
        <v>2.11968470249301</v>
      </c>
      <c r="E58" s="6" t="n">
        <f aca="false">IF(COUNT(C47:C58)=12,STDEV(C47:C58),"")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IF(AND(B59&lt;&gt;"",B58&lt;&gt;""),LN(B59/B58)*100,"")</f>
        <v>-0.597207491999134</v>
      </c>
      <c r="D59" s="6" t="n">
        <f aca="false">IF(COUNT(C57:C59)=3,STDEV(C57:C59),"")</f>
        <v>2.21220285542969</v>
      </c>
      <c r="E59" s="6" t="n">
        <f aca="false">IF(COUNT(C48:C59)=12,STDEV(C48:C59),"")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IF(AND(B60&lt;&gt;"",B59&lt;&gt;""),LN(B60/B59)*100,"")</f>
        <v>-1.33153402166627</v>
      </c>
      <c r="D60" s="6" t="n">
        <f aca="false">IF(COUNT(C58:C60)=3,STDEV(C58:C60),"")</f>
        <v>2.25572727220703</v>
      </c>
      <c r="E60" s="6" t="n">
        <f aca="false">IF(COUNT(C49:C60)=12,STDEV(C49:C60),"")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IF(AND(B61&lt;&gt;"",B60&lt;&gt;""),LN(B61/B60)*100,"")</f>
        <v>-1.31999495446413</v>
      </c>
      <c r="D61" s="6" t="n">
        <f aca="false">IF(COUNT(C59:C61)=3,STDEV(C59:C61),"")</f>
        <v>0.420672144339956</v>
      </c>
      <c r="E61" s="6" t="n">
        <f aca="false">IF(COUNT(C50:C61)=12,STDEV(C50:C61),"")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IF(AND(B62&lt;&gt;"",B61&lt;&gt;""),LN(B62/B61)*100,"")</f>
        <v>-0.224290911112622</v>
      </c>
      <c r="D62" s="6" t="n">
        <f aca="false">IF(COUNT(C60:C62)=3,STDEV(C60:C62),"")</f>
        <v>0.635962237683608</v>
      </c>
      <c r="E62" s="6" t="n">
        <f aca="false">IF(COUNT(C51:C62)=12,STDEV(C51:C62),"")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IF(AND(B63&lt;&gt;"",B62&lt;&gt;""),LN(B63/B62)*100,"")</f>
        <v>-0.541614353042014</v>
      </c>
      <c r="D63" s="6" t="n">
        <f aca="false">IF(COUNT(C61:C63)=3,STDEV(C61:C63),"")</f>
        <v>0.563787471494506</v>
      </c>
      <c r="E63" s="6" t="n">
        <f aca="false">IF(COUNT(C52:C63)=12,STDEV(C52:C63),"")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IF(AND(B64&lt;&gt;"",B63&lt;&gt;""),LN(B64/B63)*100,"")</f>
        <v>1.36031382567964</v>
      </c>
      <c r="D64" s="6" t="n">
        <f aca="false">IF(COUNT(C62:C64)=3,STDEV(C62:C64),"")</f>
        <v>1.0189044063501</v>
      </c>
      <c r="E64" s="6" t="n">
        <f aca="false">IF(COUNT(C53:C64)=12,STDEV(C53:C64),"")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IF(AND(B65&lt;&gt;"",B64&lt;&gt;""),LN(B65/B64)*100,"")</f>
        <v>2.42860674045802</v>
      </c>
      <c r="D65" s="6" t="n">
        <f aca="false">IF(COUNT(C63:C65)=3,STDEV(C63:C65),"")</f>
        <v>1.50448185394251</v>
      </c>
      <c r="E65" s="6" t="n">
        <f aca="false">IF(COUNT(C54:C65)=12,STDEV(C54:C65),"")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IF(AND(B66&lt;&gt;"",B65&lt;&gt;""),LN(B66/B65)*100,"")</f>
        <v>-1.50090474677351</v>
      </c>
      <c r="D66" s="6" t="n">
        <f aca="false">IF(COUNT(C64:C66)=3,STDEV(C64:C66),"")</f>
        <v>2.03178419127135</v>
      </c>
      <c r="E66" s="6" t="n">
        <f aca="false">IF(COUNT(C55:C66)=12,STDEV(C55:C66),"")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IF(AND(B67&lt;&gt;"",B66&lt;&gt;""),LN(B67/B66)*100,"")</f>
        <v>0.587912995321146</v>
      </c>
      <c r="D67" s="6" t="n">
        <f aca="false">IF(COUNT(C65:C67)=3,STDEV(C65:C67),"")</f>
        <v>1.96606093290451</v>
      </c>
      <c r="E67" s="6" t="n">
        <f aca="false">IF(COUNT(C56:C67)=12,STDEV(C56:C67),"")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IF(AND(B68&lt;&gt;"",B67&lt;&gt;""),LN(B68/B67)*100,"")</f>
        <v>-0.323110010305594</v>
      </c>
      <c r="D68" s="6" t="n">
        <f aca="false">IF(COUNT(C66:C68)=3,STDEV(C66:C68),"")</f>
        <v>1.04724423430593</v>
      </c>
      <c r="E68" s="6" t="n">
        <f aca="false">IF(COUNT(C57:C68)=12,STDEV(C57:C68),"")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IF(AND(B69&lt;&gt;"",B68&lt;&gt;""),LN(B69/B68)*100,"")</f>
        <v>-0.660535149773923</v>
      </c>
      <c r="D69" s="6" t="n">
        <f aca="false">IF(COUNT(C67:C69)=3,STDEV(C67:C69),"")</f>
        <v>0.645812332456537</v>
      </c>
      <c r="E69" s="6" t="n">
        <f aca="false">IF(COUNT(C58:C69)=12,STDEV(C58:C69),"")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IF(AND(B70&lt;&gt;"",B69&lt;&gt;""),LN(B70/B69)*100,"")</f>
        <v>-0.125211539113834</v>
      </c>
      <c r="D70" s="6" t="n">
        <f aca="false">IF(COUNT(C68:C70)=3,STDEV(C68:C70),"")</f>
        <v>0.270675358370937</v>
      </c>
      <c r="E70" s="6" t="n">
        <f aca="false">IF(COUNT(C59:C70)=12,STDEV(C59:C70),"")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IF(AND(B71&lt;&gt;"",B70&lt;&gt;""),LN(B71/B70)*100,"")</f>
        <v>-0.0387500011320083</v>
      </c>
      <c r="D71" s="6" t="n">
        <f aca="false">IF(COUNT(C69:C71)=3,STDEV(C69:C71),"")</f>
        <v>0.3368144238677</v>
      </c>
      <c r="E71" s="6" t="n">
        <f aca="false">IF(COUNT(C60:C71)=12,STDEV(C60:C71),"")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IF(AND(B72&lt;&gt;"",B71&lt;&gt;""),LN(B72/B71)*100,"")</f>
        <v>0.678320681692849</v>
      </c>
      <c r="D72" s="6" t="n">
        <f aca="false">IF(COUNT(C70:C72)=3,STDEV(C70:C72),"")</f>
        <v>0.441083890658684</v>
      </c>
      <c r="E72" s="6" t="n">
        <f aca="false">IF(COUNT(C61:C72)=12,STDEV(C61:C72),"")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IF(AND(B73&lt;&gt;"",B72&lt;&gt;""),LN(B73/B72)*100,"")</f>
        <v>0.486626801038158</v>
      </c>
      <c r="D73" s="6" t="n">
        <f aca="false">IF(COUNT(C71:C73)=3,STDEV(C71:C73),"")</f>
        <v>0.371249622290697</v>
      </c>
      <c r="E73" s="6" t="n">
        <f aca="false">IF(COUNT(C62:C73)=12,STDEV(C62:C73),"")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IF(AND(B74&lt;&gt;"",B73&lt;&gt;""),LN(B74/B73)*100,"")</f>
        <v>3.17763146918707</v>
      </c>
      <c r="D74" s="6" t="n">
        <f aca="false">IF(COUNT(C72:C74)=3,STDEV(C72:C74),"")</f>
        <v>1.50137753859385</v>
      </c>
      <c r="E74" s="6" t="n">
        <f aca="false">IF(COUNT(C63:C74)=12,STDEV(C63:C74),"")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IF(AND(B75&lt;&gt;"",B74&lt;&gt;""),LN(B75/B74)*100,"")</f>
        <v>1.09717311413044</v>
      </c>
      <c r="D75" s="6" t="n">
        <f aca="false">IF(COUNT(C73:C75)=3,STDEV(C73:C75),"")</f>
        <v>1.41082599278784</v>
      </c>
      <c r="E75" s="6" t="n">
        <f aca="false">IF(COUNT(C64:C75)=12,STDEV(C64:C75),"")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IF(AND(B76&lt;&gt;"",B75&lt;&gt;""),LN(B76/B75)*100,"")</f>
        <v>-2.03748069918874</v>
      </c>
      <c r="D76" s="6" t="n">
        <f aca="false">IF(COUNT(C74:C76)=3,STDEV(C74:C76),"")</f>
        <v>2.62525415992506</v>
      </c>
      <c r="E76" s="6" t="n">
        <f aca="false">IF(COUNT(C65:C76)=12,STDEV(C65:C76),"")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IF(AND(B77&lt;&gt;"",B76&lt;&gt;""),LN(B77/B76)*100,"")</f>
        <v>-0.805945096454015</v>
      </c>
      <c r="D77" s="6" t="n">
        <f aca="false">IF(COUNT(C75:C77)=3,STDEV(C75:C77),"")</f>
        <v>1.57927163557645</v>
      </c>
      <c r="E77" s="6" t="n">
        <f aca="false">IF(COUNT(C66:C77)=12,STDEV(C66:C77),"")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IF(AND(B78&lt;&gt;"",B77&lt;&gt;""),LN(B78/B77)*100,"")</f>
        <v>-0.306238045568545</v>
      </c>
      <c r="D78" s="6" t="n">
        <f aca="false">IF(COUNT(C76:C78)=3,STDEV(C76:C78),"")</f>
        <v>0.891028263975739</v>
      </c>
      <c r="E78" s="6" t="n">
        <f aca="false">IF(COUNT(C67:C78)=12,STDEV(C67:C78),"")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IF(AND(B79&lt;&gt;"",B78&lt;&gt;""),LN(B79/B78)*100,"")</f>
        <v>-1.7165238214155</v>
      </c>
      <c r="D79" s="6" t="n">
        <f aca="false">IF(COUNT(C77:C79)=3,STDEV(C77:C79),"")</f>
        <v>0.715048567186571</v>
      </c>
      <c r="E79" s="6" t="n">
        <f aca="false">IF(COUNT(C68:C79)=12,STDEV(C68:C79),"")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IF(AND(B80&lt;&gt;"",B79&lt;&gt;""),LN(B80/B79)*100,"")</f>
        <v>-0.43860570726479</v>
      </c>
      <c r="D80" s="6" t="n">
        <f aca="false">IF(COUNT(C78:C80)=3,STDEV(C78:C80),"")</f>
        <v>0.77883479997298</v>
      </c>
      <c r="E80" s="6" t="n">
        <f aca="false">IF(COUNT(C69:C80)=12,STDEV(C69:C80),"")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IF(AND(B81&lt;&gt;"",B80&lt;&gt;""),LN(B81/B80)*100,"")</f>
        <v>1.0077334481346</v>
      </c>
      <c r="D81" s="6" t="n">
        <f aca="false">IF(COUNT(C79:C81)=3,STDEV(C79:C81),"")</f>
        <v>1.36299604606986</v>
      </c>
      <c r="E81" s="6" t="n">
        <f aca="false">IF(COUNT(C70:C81)=12,STDEV(C70:C81),"")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IF(AND(B82&lt;&gt;"",B81&lt;&gt;""),LN(B82/B81)*100,"")</f>
        <v>-1.1698539728232</v>
      </c>
      <c r="D82" s="6" t="n">
        <f aca="false">IF(COUNT(C80:C82)=3,STDEV(C80:C82),"")</f>
        <v>1.10818981182807</v>
      </c>
      <c r="E82" s="6" t="n">
        <f aca="false">IF(COUNT(C71:C82)=12,STDEV(C71:C82),"")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IF(AND(B83&lt;&gt;"",B82&lt;&gt;""),LN(B83/B82)*100,"")</f>
        <v>-0.495335968210093</v>
      </c>
      <c r="D83" s="6" t="n">
        <f aca="false">IF(COUNT(C81:C83)=3,STDEV(C81:C83),"")</f>
        <v>1.11475551765186</v>
      </c>
      <c r="E83" s="6" t="n">
        <f aca="false">IF(COUNT(C72:C83)=12,STDEV(C72:C83),"")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IF(AND(B84&lt;&gt;"",B83&lt;&gt;""),LN(B84/B83)*100,"")</f>
        <v>-0.673013732465595</v>
      </c>
      <c r="D84" s="6" t="n">
        <f aca="false">IF(COUNT(C82:C84)=3,STDEV(C82:C84),"")</f>
        <v>0.349617445907353</v>
      </c>
      <c r="E84" s="6" t="n">
        <f aca="false">IF(COUNT(C73:C84)=12,STDEV(C73:C84),"")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IF(AND(B85&lt;&gt;"",B84&lt;&gt;""),LN(B85/B84)*100,"")</f>
        <v>-2.55239913511018</v>
      </c>
      <c r="D85" s="6" t="n">
        <f aca="false">IF(COUNT(C83:C85)=3,STDEV(C83:C85),"")</f>
        <v>1.13982219024149</v>
      </c>
      <c r="E85" s="6" t="n">
        <f aca="false">IF(COUNT(C74:C85)=12,STDEV(C74:C85),"")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IF(AND(B86&lt;&gt;"",B85&lt;&gt;""),LN(B86/B85)*100,"")</f>
        <v>-3.805505778785</v>
      </c>
      <c r="D86" s="6" t="n">
        <f aca="false">IF(COUNT(C84:C86)=3,STDEV(C84:C86),"")</f>
        <v>1.5766458158778</v>
      </c>
      <c r="E86" s="6" t="n">
        <f aca="false">IF(COUNT(C75:C86)=12,STDEV(C75:C86),"")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IF(AND(B87&lt;&gt;"",B86&lt;&gt;""),LN(B87/B86)*100,"")</f>
        <v>-2.4183132367766</v>
      </c>
      <c r="D87" s="6" t="n">
        <f aca="false">IF(COUNT(C85:C87)=3,STDEV(C85:C87),"")</f>
        <v>0.765131626710682</v>
      </c>
      <c r="E87" s="6" t="n">
        <f aca="false">IF(COUNT(C76:C87)=12,STDEV(C76:C87),"")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IF(AND(B88&lt;&gt;"",B87&lt;&gt;""),LN(B88/B87)*100,"")</f>
        <v>1.45798915985968</v>
      </c>
      <c r="D88" s="6" t="n">
        <f aca="false">IF(COUNT(C86:C88)=3,STDEV(C86:C88),"")</f>
        <v>2.72807631821124</v>
      </c>
      <c r="E88" s="6" t="n">
        <f aca="false">IF(COUNT(C77:C88)=12,STDEV(C77:C88),"")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IF(AND(B89&lt;&gt;"",B88&lt;&gt;""),LN(B89/B88)*100,"")</f>
        <v>-2.07418175244604</v>
      </c>
      <c r="D89" s="6" t="n">
        <f aca="false">IF(COUNT(C87:C89)=3,STDEV(C87:C89),"")</f>
        <v>2.14555269112702</v>
      </c>
      <c r="E89" s="6" t="n">
        <f aca="false">IF(COUNT(C78:C89)=12,STDEV(C78:C89),"")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IF(AND(B90&lt;&gt;"",B89&lt;&gt;""),LN(B90/B89)*100,"")</f>
        <v>-0.255868784113634</v>
      </c>
      <c r="D90" s="6" t="n">
        <f aca="false">IF(COUNT(C88:C90)=3,STDEV(C88:C90),"")</f>
        <v>1.76634285350008</v>
      </c>
      <c r="E90" s="6" t="n">
        <f aca="false">IF(COUNT(C79:C90)=12,STDEV(C79:C90),"")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IF(AND(B91&lt;&gt;"",B90&lt;&gt;""),LN(B91/B90)*100,"")</f>
        <v>-0.943172578436849</v>
      </c>
      <c r="D91" s="6" t="n">
        <f aca="false">IF(COUNT(C89:C91)=3,STDEV(C89:C91),"")</f>
        <v>0.918134912761543</v>
      </c>
      <c r="E91" s="6" t="n">
        <f aca="false">IF(COUNT(C80:C91)=12,STDEV(C80:C91),"")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IF(AND(B92&lt;&gt;"",B91&lt;&gt;""),LN(B92/B91)*100,"")</f>
        <v>-4.93285672526802</v>
      </c>
      <c r="D92" s="6" t="n">
        <f aca="false">IF(COUNT(C90:C92)=3,STDEV(C90:C92),"")</f>
        <v>2.52534427682216</v>
      </c>
      <c r="E92" s="6" t="n">
        <f aca="false">IF(COUNT(C81:C92)=12,STDEV(C81:C92),"")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IF(AND(B93&lt;&gt;"",B92&lt;&gt;""),LN(B93/B92)*100,"")</f>
        <v>-0.0119219109325181</v>
      </c>
      <c r="D93" s="6" t="n">
        <f aca="false">IF(COUNT(C91:C93)=3,STDEV(C91:C93),"")</f>
        <v>2.61407749324507</v>
      </c>
      <c r="E93" s="6" t="n">
        <f aca="false">IF(COUNT(C82:C93)=12,STDEV(C82:C93),"")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IF(AND(B94&lt;&gt;"",B93&lt;&gt;""),LN(B94/B93)*100,"")</f>
        <v>0.131439120860782</v>
      </c>
      <c r="D94" s="6" t="n">
        <f aca="false">IF(COUNT(C92:C94)=3,STDEV(C92:C94),"")</f>
        <v>2.88337892785223</v>
      </c>
      <c r="E94" s="6" t="n">
        <f aca="false">IF(COUNT(C83:C94)=12,STDEV(C83:C94),"")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IF(AND(B95&lt;&gt;"",B94&lt;&gt;""),LN(B95/B94)*100,"")</f>
        <v>-0.182881605112033</v>
      </c>
      <c r="D95" s="6" t="n">
        <f aca="false">IF(COUNT(C93:C95)=3,STDEV(C93:C95),"")</f>
        <v>0.157362173158434</v>
      </c>
      <c r="E95" s="6" t="n">
        <f aca="false">IF(COUNT(C84:C95)=12,STDEV(C84:C95),"")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IF(AND(B96&lt;&gt;"",B95&lt;&gt;""),LN(B96/B95)*100,"")</f>
        <v>-5.8937275593325</v>
      </c>
      <c r="D96" s="6" t="n">
        <f aca="false">IF(COUNT(C94:C96)=3,STDEV(C94:C96),"")</f>
        <v>3.39153830770355</v>
      </c>
      <c r="E96" s="6" t="n">
        <f aca="false">IF(COUNT(C85:C96)=12,STDEV(C85:C96),"")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IF(AND(B97&lt;&gt;"",B96&lt;&gt;""),LN(B97/B96)*100,"")</f>
        <v>-5.9805939286053</v>
      </c>
      <c r="D97" s="6" t="n">
        <f aca="false">IF(COUNT(C95:C97)=3,STDEV(C95:C97),"")</f>
        <v>3.32251850922692</v>
      </c>
      <c r="E97" s="6" t="n">
        <f aca="false">IF(COUNT(C86:C97)=12,STDEV(C86:C97),"")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IF(AND(B98&lt;&gt;"",B97&lt;&gt;""),LN(B98/B97)*100,"")</f>
        <v>0.651514953142455</v>
      </c>
      <c r="D98" s="6" t="n">
        <f aca="false">IF(COUNT(C96:C98)=3,STDEV(C96:C98),"")</f>
        <v>3.80422163594993</v>
      </c>
      <c r="E98" s="6" t="n">
        <f aca="false">IF(COUNT(C87:C98)=12,STDEV(C87:C98),"")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IF(AND(B99&lt;&gt;"",B98&lt;&gt;""),LN(B99/B98)*100,"")</f>
        <v>2.71085342454731</v>
      </c>
      <c r="D99" s="6" t="n">
        <f aca="false">IF(COUNT(C97:C99)=3,STDEV(C97:C99),"")</f>
        <v>4.5417874647872</v>
      </c>
      <c r="E99" s="6" t="n">
        <f aca="false">IF(COUNT(C88:C99)=12,STDEV(C88:C99),"")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IF(AND(B100&lt;&gt;"",B99&lt;&gt;""),LN(B100/B99)*100,"")</f>
        <v>-0.505790450917729</v>
      </c>
      <c r="D100" s="6" t="n">
        <f aca="false">IF(COUNT(C98:C100)=3,STDEV(C98:C100),"")</f>
        <v>1.62926509811642</v>
      </c>
      <c r="E100" s="6" t="n">
        <f aca="false">IF(COUNT(C89:C100)=12,STDEV(C89:C100),"")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IF(AND(B101&lt;&gt;"",B100&lt;&gt;""),LN(B101/B100)*100,"")</f>
        <v>4.08187649295606</v>
      </c>
      <c r="D101" s="6" t="n">
        <f aca="false">IF(COUNT(C99:C101)=3,STDEV(C99:C101),"")</f>
        <v>2.35489525823648</v>
      </c>
      <c r="E101" s="6" t="n">
        <f aca="false">IF(COUNT(C90:C101)=12,STDEV(C90:C101),"")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IF(AND(B102&lt;&gt;"",B101&lt;&gt;""),LN(B102/B101)*100,"")</f>
        <v>-3.06515459484771</v>
      </c>
      <c r="D102" s="6" t="n">
        <f aca="false">IF(COUNT(C100:C102)=3,STDEV(C100:C102),"")</f>
        <v>3.62116662092896</v>
      </c>
      <c r="E102" s="6" t="n">
        <f aca="false">IF(COUNT(C91:C102)=12,STDEV(C91:C102),"")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IF(AND(B103&lt;&gt;"",B102&lt;&gt;""),LN(B103/B102)*100,"")</f>
        <v>-2.17764014430102</v>
      </c>
      <c r="D103" s="6" t="n">
        <f aca="false">IF(COUNT(C101:C103)=3,STDEV(C101:C103),"")</f>
        <v>3.89549491511372</v>
      </c>
      <c r="E103" s="6" t="n">
        <f aca="false">IF(COUNT(C92:C103)=12,STDEV(C92:C103),"")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IF(AND(B104&lt;&gt;"",B103&lt;&gt;""),LN(B104/B103)*100,"")</f>
        <v>0.072997225384285</v>
      </c>
      <c r="D104" s="6" t="n">
        <f aca="false">IF(COUNT(C102:C104)=3,STDEV(C102:C104),"")</f>
        <v>1.61766536076834</v>
      </c>
      <c r="E104" s="6" t="n">
        <f aca="false">IF(COUNT(C93:C104)=12,STDEV(C93:C104),"")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IF(AND(B105&lt;&gt;"",B104&lt;&gt;""),LN(B105/B104)*100,"")</f>
        <v>-2.99652809859844</v>
      </c>
      <c r="D105" s="6" t="n">
        <f aca="false">IF(COUNT(C103:C105)=3,STDEV(C103:C105),"")</f>
        <v>1.58944076989826</v>
      </c>
      <c r="E105" s="6" t="n">
        <f aca="false">IF(COUNT(C94:C105)=12,STDEV(C94:C105),"")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IF(AND(B106&lt;&gt;"",B105&lt;&gt;""),LN(B106/B105)*100,"")</f>
        <v>1.70023146715485</v>
      </c>
      <c r="D106" s="6" t="n">
        <f aca="false">IF(COUNT(C104:C106)=3,STDEV(C104:C106),"")</f>
        <v>2.38500270477334</v>
      </c>
      <c r="E106" s="6" t="n">
        <f aca="false">IF(COUNT(C95:C106)=12,STDEV(C95:C106),"")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IF(AND(B107&lt;&gt;"",B106&lt;&gt;""),LN(B107/B106)*100,"")</f>
        <v>2.30323900493817</v>
      </c>
      <c r="D107" s="6" t="n">
        <f aca="false">IF(COUNT(C105:C107)=3,STDEV(C105:C107),"")</f>
        <v>2.90145652678235</v>
      </c>
      <c r="E107" s="6" t="n">
        <f aca="false">IF(COUNT(C96:C107)=12,STDEV(C96:C107),"")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IF(AND(B108&lt;&gt;"",B107&lt;&gt;""),LN(B108/B107)*100,"")</f>
        <v>-0.678052872689304</v>
      </c>
      <c r="D108" s="6" t="n">
        <f aca="false">IF(COUNT(C106:C108)=3,STDEV(C106:C108),"")</f>
        <v>1.57628020729073</v>
      </c>
      <c r="E108" s="6" t="n">
        <f aca="false">IF(COUNT(C97:C108)=12,STDEV(C97:C108),"")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IF(AND(B109&lt;&gt;"",B108&lt;&gt;""),LN(B109/B108)*100,"")</f>
        <v>-0.696188305089656</v>
      </c>
      <c r="D109" s="6" t="n">
        <f aca="false">IF(COUNT(C107:C109)=3,STDEV(C107:C109),"")</f>
        <v>1.72650872869966</v>
      </c>
      <c r="E109" s="6" t="n">
        <f aca="false">IF(COUNT(C98:C109)=12,STDEV(C98:C109),"")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IF(AND(B110&lt;&gt;"",B109&lt;&gt;""),LN(B110/B109)*100,"")</f>
        <v>-1.63916463740936</v>
      </c>
      <c r="D110" s="6" t="n">
        <f aca="false">IF(COUNT(C108:C110)=3,STDEV(C108:C110),"")</f>
        <v>0.549737677064672</v>
      </c>
      <c r="E110" s="6" t="n">
        <f aca="false">IF(COUNT(C99:C110)=12,STDEV(C99:C110),"")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IF(AND(B111&lt;&gt;"",B110&lt;&gt;""),LN(B111/B110)*100,"")</f>
        <v>0.249976326926377</v>
      </c>
      <c r="D111" s="6" t="n">
        <f aca="false">IF(COUNT(C109:C111)=3,STDEV(C109:C111),"")</f>
        <v>0.944570930575052</v>
      </c>
      <c r="E111" s="6" t="n">
        <f aca="false">IF(COUNT(C100:C111)=12,STDEV(C100:C111),"")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IF(AND(B112&lt;&gt;"",B111&lt;&gt;""),LN(B112/B111)*100,"")</f>
        <v>-0.502333300517367</v>
      </c>
      <c r="D112" s="6" t="n">
        <f aca="false">IF(COUNT(C110:C112)=3,STDEV(C110:C112),"")</f>
        <v>0.95107034853856</v>
      </c>
      <c r="E112" s="6" t="n">
        <f aca="false">IF(COUNT(C101:C112)=12,STDEV(C101:C112),"")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IF(AND(B113&lt;&gt;"",B112&lt;&gt;""),LN(B113/B112)*100,"")</f>
        <v>-1.26441190729532</v>
      </c>
      <c r="D113" s="6" t="n">
        <f aca="false">IF(COUNT(C111:C113)=3,STDEV(C111:C113),"")</f>
        <v>0.757199368550789</v>
      </c>
      <c r="E113" s="6" t="n">
        <f aca="false">IF(COUNT(C102:C113)=12,STDEV(C102:C113),"")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IF(AND(B114&lt;&gt;"",B113&lt;&gt;""),LN(B114/B113)*100,"")</f>
        <v>-2.04018496700234</v>
      </c>
      <c r="D114" s="6" t="n">
        <f aca="false">IF(COUNT(C112:C114)=3,STDEV(C112:C114),"")</f>
        <v>0.76893599551441</v>
      </c>
      <c r="E114" s="6" t="n">
        <f aca="false">IF(COUNT(C103:C114)=12,STDEV(C103:C114),"")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IF(AND(B115&lt;&gt;"",B114&lt;&gt;""),LN(B115/B114)*100,"")</f>
        <v>-5.79711857220378</v>
      </c>
      <c r="D115" s="6" t="n">
        <f aca="false">IF(COUNT(C113:C115)=3,STDEV(C113:C115),"")</f>
        <v>2.42424571307464</v>
      </c>
      <c r="E115" s="6" t="n">
        <f aca="false">IF(COUNT(C104:C115)=12,STDEV(C104:C115),"")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IF(AND(B116&lt;&gt;"",B115&lt;&gt;""),LN(B116/B115)*100,"")</f>
        <v>-1.78398313651627</v>
      </c>
      <c r="D116" s="6" t="n">
        <f aca="false">IF(COUNT(C114:C116)=3,STDEV(C114:C116),"")</f>
        <v>2.24668071893505</v>
      </c>
      <c r="E116" s="6" t="n">
        <f aca="false">IF(COUNT(C105:C116)=12,STDEV(C105:C116),"")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IF(AND(B117&lt;&gt;"",B116&lt;&gt;""),LN(B117/B116)*100,"")</f>
        <v>0.082586469690026</v>
      </c>
      <c r="D117" s="6" t="n">
        <f aca="false">IF(COUNT(C115:C117)=3,STDEV(C115:C117),"")</f>
        <v>3.00444863215797</v>
      </c>
      <c r="E117" s="6" t="n">
        <f aca="false">IF(COUNT(C106:C117)=12,STDEV(C106:C117),"")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IF(AND(B118&lt;&gt;"",B117&lt;&gt;""),LN(B118/B117)*100,"")</f>
        <v>2.84185555026446</v>
      </c>
      <c r="D118" s="6" t="n">
        <f aca="false">IF(COUNT(C116:C118)=3,STDEV(C116:C118),"")</f>
        <v>2.32723124155238</v>
      </c>
      <c r="E118" s="6" t="n">
        <f aca="false">IF(COUNT(C107:C118)=12,STDEV(C107:C118),"")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IF(AND(B119&lt;&gt;"",B118&lt;&gt;""),LN(B119/B118)*100,"")</f>
        <v>16.1964400030657</v>
      </c>
      <c r="D119" s="6" t="n">
        <f aca="false">IF(COUNT(C117:C119)=3,STDEV(C117:C119),"")</f>
        <v>8.61795381225631</v>
      </c>
      <c r="E119" s="6" t="n">
        <f aca="false">IF(COUNT(C108:C119)=12,STDEV(C108:C119),"")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IF(AND(B120&lt;&gt;"",B119&lt;&gt;""),LN(B120/B119)*100,"")</f>
        <v>-5.82896384800064</v>
      </c>
      <c r="D120" s="6" t="n">
        <f aca="false">IF(COUNT(C118:C120)=3,STDEV(C118:C120),"")</f>
        <v>11.0953928107338</v>
      </c>
      <c r="E120" s="6" t="n">
        <f aca="false">IF(COUNT(C109:C120)=12,STDEV(C109:C120),"")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IF(AND(B121&lt;&gt;"",B120&lt;&gt;""),LN(B121/B120)*100,"")</f>
        <v>-3.55212041800086</v>
      </c>
      <c r="D121" s="6" t="n">
        <f aca="false">IF(COUNT(C119:C121)=3,STDEV(C119:C121),"")</f>
        <v>12.1127210644555</v>
      </c>
      <c r="E121" s="6" t="n">
        <f aca="false">IF(COUNT(C110:C121)=12,STDEV(C110:C121),"")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IF(AND(B122&lt;&gt;"",B121&lt;&gt;""),LN(B122/B121)*100,"")</f>
        <v>0.392578128297169</v>
      </c>
      <c r="D122" s="6" t="n">
        <f aca="false">IF(COUNT(C120:C122)=3,STDEV(C120:C122),"")</f>
        <v>3.14781001091062</v>
      </c>
      <c r="E122" s="6" t="n">
        <f aca="false">IF(COUNT(C111:C122)=12,STDEV(C111:C122),"")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IF(AND(B123&lt;&gt;"",B122&lt;&gt;""),LN(B123/B122)*100,"")</f>
        <v>5.36267377088092</v>
      </c>
      <c r="D123" s="6" t="n">
        <f aca="false">IF(COUNT(C121:C123)=3,STDEV(C121:C123),"")</f>
        <v>4.46721488080504</v>
      </c>
      <c r="E123" s="6" t="n">
        <f aca="false">IF(COUNT(C112:C123)=12,STDEV(C112:C123),"")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IF(AND(B124&lt;&gt;"",B123&lt;&gt;""),LN(B124/B123)*100,"")</f>
        <v>-4.36146507908793</v>
      </c>
      <c r="D124" s="6" t="n">
        <f aca="false">IF(COUNT(C122:C124)=3,STDEV(C122:C124),"")</f>
        <v>4.8624694324247</v>
      </c>
      <c r="E124" s="6" t="n">
        <f aca="false">IF(COUNT(C113:C124)=12,STDEV(C113:C124),"")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IF(AND(B125&lt;&gt;"",B124&lt;&gt;""),LN(B125/B124)*100,"")</f>
        <v>-2.56691407716598</v>
      </c>
      <c r="D125" s="6" t="n">
        <f aca="false">IF(COUNT(C123:C125)=3,STDEV(C123:C125),"")</f>
        <v>5.17457974319116</v>
      </c>
      <c r="E125" s="6" t="n">
        <f aca="false">IF(COUNT(C114:C125)=12,STDEV(C114:C125),"")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IF(AND(B126&lt;&gt;"",B125&lt;&gt;""),LN(B126/B125)*100,"")</f>
        <v>-1.04665092889411</v>
      </c>
      <c r="D126" s="6" t="n">
        <f aca="false">IF(COUNT(C124:C126)=3,STDEV(C124:C126),"")</f>
        <v>1.659297350729</v>
      </c>
      <c r="E126" s="6" t="n">
        <f aca="false">IF(COUNT(C115:C126)=12,STDEV(C115:C126),"")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IF(AND(B127&lt;&gt;"",B126&lt;&gt;""),LN(B127/B126)*100,"")</f>
        <v>3.19719500353687</v>
      </c>
      <c r="D127" s="6" t="n">
        <f aca="false">IF(COUNT(C125:C127)=3,STDEV(C125:C127),"")</f>
        <v>2.98737292149378</v>
      </c>
      <c r="E127" s="6" t="n">
        <f aca="false">IF(COUNT(C116:C127)=12,STDEV(C116:C127),"")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IF(AND(B128&lt;&gt;"",B127&lt;&gt;""),LN(B128/B127)*100,"")</f>
        <v>-1.46167797757907</v>
      </c>
      <c r="D128" s="6" t="n">
        <f aca="false">IF(COUNT(C126:C128)=3,STDEV(C126:C128),"")</f>
        <v>2.57835778495807</v>
      </c>
      <c r="E128" s="6" t="n">
        <f aca="false">IF(COUNT(C117:C128)=12,STDEV(C117:C128),"")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IF(AND(B129&lt;&gt;"",B128&lt;&gt;""),LN(B129/B128)*100,"")</f>
        <v>-2.57588929549234</v>
      </c>
      <c r="D129" s="6" t="n">
        <f aca="false">IF(COUNT(C127:C129)=3,STDEV(C127:C129),"")</f>
        <v>3.06254432998762</v>
      </c>
      <c r="E129" s="6" t="n">
        <f aca="false">IF(COUNT(C118:C129)=12,STDEV(C118:C129),"")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IF(AND(B130&lt;&gt;"",B129&lt;&gt;""),LN(B130/B129)*100,"")</f>
        <v>-0.326669451287245</v>
      </c>
      <c r="D130" s="6" t="n">
        <f aca="false">IF(COUNT(C128:C130)=3,STDEV(C128:C130),"")</f>
        <v>1.12462594694763</v>
      </c>
      <c r="E130" s="6" t="n">
        <f aca="false">IF(COUNT(C119:C130)=12,STDEV(C119:C130),"")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IF(AND(B131&lt;&gt;"",B130&lt;&gt;""),LN(B131/B130)*100,"")</f>
        <v>-1.32539314321256</v>
      </c>
      <c r="D131" s="6" t="n">
        <f aca="false">IF(COUNT(C129:C131)=3,STDEV(C129:C131),"")</f>
        <v>1.12695604374834</v>
      </c>
      <c r="E131" s="6" t="n">
        <f aca="false">IF(COUNT(C120:C131)=12,STDEV(C120:C131),"")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IF(AND(B132&lt;&gt;"",B131&lt;&gt;""),LN(B132/B131)*100,"")</f>
        <v>-1.35437629451948</v>
      </c>
      <c r="D132" s="6" t="n">
        <f aca="false">IF(COUNT(C130:C132)=3,STDEV(C130:C132),"")</f>
        <v>0.585159578163508</v>
      </c>
      <c r="E132" s="6" t="n">
        <f aca="false">IF(COUNT(C121:C132)=12,STDEV(C121:C132),"")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IF(AND(B133&lt;&gt;"",B132&lt;&gt;""),LN(B133/B132)*100,"")</f>
        <v>1.91643496682725</v>
      </c>
      <c r="D133" s="6" t="n">
        <f aca="false">IF(COUNT(C131:C133)=3,STDEV(C131:C133),"")</f>
        <v>1.88009289776935</v>
      </c>
      <c r="E133" s="6" t="n">
        <f aca="false">IF(COUNT(C122:C133)=12,STDEV(C122:C133),"")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IF(AND(B134&lt;&gt;"",B133&lt;&gt;""),LN(B134/B133)*100,"")</f>
        <v>-2.22144821937714</v>
      </c>
      <c r="D134" s="6" t="n">
        <f aca="false">IF(COUNT(C132:C134)=3,STDEV(C132:C134),"")</f>
        <v>2.18220443943359</v>
      </c>
      <c r="E134" s="6" t="n">
        <f aca="false">IF(COUNT(C123:C134)=12,STDEV(C123:C134),"")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IF(AND(B135&lt;&gt;"",B134&lt;&gt;""),LN(B135/B134)*100,"")</f>
        <v>-1.28775300236011</v>
      </c>
      <c r="D135" s="6" t="n">
        <f aca="false">IF(COUNT(C133:C135)=3,STDEV(C133:C135),"")</f>
        <v>2.17027972708737</v>
      </c>
      <c r="E135" s="6" t="n">
        <f aca="false">IF(COUNT(C124:C135)=12,STDEV(C124:C135),"")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IF(AND(B136&lt;&gt;"",B135&lt;&gt;""),LN(B136/B135)*100,"")</f>
        <v>0.357177714644906</v>
      </c>
      <c r="D136" s="6" t="n">
        <f aca="false">IF(COUNT(C134:C136)=3,STDEV(C134:C136),"")</f>
        <v>1.30555834349639</v>
      </c>
      <c r="E136" s="6" t="n">
        <f aca="false">IF(COUNT(C125:C136)=12,STDEV(C125:C136),"")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IF(AND(B137&lt;&gt;"",B136&lt;&gt;""),LN(B137/B136)*100,"")</f>
        <v>-1.03055340762553</v>
      </c>
      <c r="D137" s="6" t="n">
        <f aca="false">IF(COUNT(C135:C137)=3,STDEV(C135:C137),"")</f>
        <v>0.884848985514498</v>
      </c>
      <c r="E137" s="6" t="n">
        <f aca="false">IF(COUNT(C126:C137)=12,STDEV(C126:C137),"")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IF(AND(B138&lt;&gt;"",B137&lt;&gt;""),LN(B138/B137)*100,"")</f>
        <v>4.4192396571595</v>
      </c>
      <c r="D138" s="6" t="n">
        <f aca="false">IF(COUNT(C136:C138)=3,STDEV(C136:C138),"")</f>
        <v>2.83214845837109</v>
      </c>
      <c r="E138" s="6" t="n">
        <f aca="false">IF(COUNT(C127:C138)=12,STDEV(C127:C138),"")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IF(AND(B139&lt;&gt;"",B138&lt;&gt;""),LN(B139/B138)*100,"")</f>
        <v>-0.697335029748531</v>
      </c>
      <c r="D139" s="6" t="n">
        <f aca="false">IF(COUNT(C137:C139)=3,STDEV(C137:C139),"")</f>
        <v>3.05479446834649</v>
      </c>
      <c r="E139" s="6" t="n">
        <f aca="false">IF(COUNT(C128:C139)=12,STDEV(C128:C139),"")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IF(AND(B140&lt;&gt;"",B139&lt;&gt;""),LN(B140/B139)*100,"")</f>
        <v>-0.995376752383034</v>
      </c>
      <c r="D140" s="6" t="n">
        <f aca="false">IF(COUNT(C138:C140)=3,STDEV(C138:C140),"")</f>
        <v>3.04374320690895</v>
      </c>
      <c r="E140" s="6" t="n">
        <f aca="false">IF(COUNT(C129:C140)=12,STDEV(C129:C140),"")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IF(AND(B141&lt;&gt;"",B140&lt;&gt;""),LN(B141/B140)*100,"")</f>
        <v>1.69231614482731</v>
      </c>
      <c r="D141" s="6" t="n">
        <f aca="false">IF(COUNT(C139:C141)=3,STDEV(C139:C141),"")</f>
        <v>1.47325912601379</v>
      </c>
      <c r="E141" s="6" t="n">
        <f aca="false">IF(COUNT(C130:C141)=12,STDEV(C130:C141),"")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IF(AND(B142&lt;&gt;"",B141&lt;&gt;""),LN(B142/B141)*100,"")</f>
        <v>4.44954395855907</v>
      </c>
      <c r="D142" s="6" t="n">
        <f aca="false">IF(COUNT(C140:C142)=3,STDEV(C140:C142),"")</f>
        <v>2.72253435469531</v>
      </c>
      <c r="E142" s="6" t="n">
        <f aca="false">IF(COUNT(C131:C142)=12,STDEV(C131:C142),"")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IF(AND(B143&lt;&gt;"",B142&lt;&gt;""),LN(B143/B142)*100,"")</f>
        <v>-0.778213322199913</v>
      </c>
      <c r="D143" s="6" t="n">
        <f aca="false">IF(COUNT(C141:C143)=3,STDEV(C141:C143),"")</f>
        <v>2.61518856078596</v>
      </c>
      <c r="E143" s="6" t="n">
        <f aca="false">IF(COUNT(C132:C143)=12,STDEV(C132:C143),"")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IF(AND(B144&lt;&gt;"",B143&lt;&gt;""),LN(B144/B143)*100,"")</f>
        <v>-1.81710392832371</v>
      </c>
      <c r="D144" s="6" t="n">
        <f aca="false">IF(COUNT(C142:C144)=3,STDEV(C142:C144),"")</f>
        <v>3.35856158735138</v>
      </c>
      <c r="E144" s="6" t="n">
        <f aca="false">IF(COUNT(C133:C144)=12,STDEV(C133:C144),"")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IF(AND(B145&lt;&gt;"",B144&lt;&gt;""),LN(B145/B144)*100,"")</f>
        <v>-0.487744803401117</v>
      </c>
      <c r="D145" s="6" t="n">
        <f aca="false">IF(COUNT(C143:C145)=3,STDEV(C143:C145),"")</f>
        <v>0.69891121693202</v>
      </c>
      <c r="E145" s="6" t="n">
        <f aca="false">IF(COUNT(C134:C145)=12,STDEV(C134:C145),"")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IF(AND(B146&lt;&gt;"",B145&lt;&gt;""),LN(B146/B145)*100,"")</f>
        <v>1.85492188845688</v>
      </c>
      <c r="D146" s="6" t="n">
        <f aca="false">IF(COUNT(C144:C146)=3,STDEV(C144:C146),"")</f>
        <v>1.85916901290419</v>
      </c>
      <c r="E146" s="6" t="n">
        <f aca="false">IF(COUNT(C135:C146)=12,STDEV(C135:C146),"")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IF(AND(B147&lt;&gt;"",B146&lt;&gt;""),LN(B147/B146)*100,"")</f>
        <v>4.95947886861316</v>
      </c>
      <c r="D147" s="6" t="n">
        <f aca="false">IF(COUNT(C145:C147)=3,STDEV(C145:C147),"")</f>
        <v>2.73247772193208</v>
      </c>
      <c r="E147" s="6" t="n">
        <f aca="false">IF(COUNT(C136:C147)=12,STDEV(C136:C147),"")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IF(AND(B148&lt;&gt;"",B147&lt;&gt;""),LN(B148/B147)*100,"")</f>
        <v>-0.420813910550384</v>
      </c>
      <c r="D148" s="6" t="n">
        <f aca="false">IF(COUNT(C146:C148)=3,STDEV(C146:C148),"")</f>
        <v>2.70076525758409</v>
      </c>
      <c r="E148" s="6" t="n">
        <f aca="false">IF(COUNT(C137:C148)=12,STDEV(C137:C148),"")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IF(AND(B149&lt;&gt;"",B148&lt;&gt;""),LN(B149/B148)*100,"")</f>
        <v>2.89458354718984</v>
      </c>
      <c r="D149" s="6" t="n">
        <f aca="false">IF(COUNT(C147:C149)=3,STDEV(C147:C149),"")</f>
        <v>2.71425875027743</v>
      </c>
      <c r="E149" s="6" t="n">
        <f aca="false">IF(COUNT(C138:C149)=12,STDEV(C138:C149),"")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IF(AND(B150&lt;&gt;"",B149&lt;&gt;""),LN(B150/B149)*100,"")</f>
        <v>3.82752420279639</v>
      </c>
      <c r="D150" s="6" t="n">
        <f aca="false">IF(COUNT(C148:C150)=3,STDEV(C148:C150),"")</f>
        <v>2.23273432122248</v>
      </c>
      <c r="E150" s="6" t="n">
        <f aca="false">IF(COUNT(C139:C150)=12,STDEV(C139:C150),"")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IF(AND(B151&lt;&gt;"",B150&lt;&gt;""),LN(B151/B150)*100,"")</f>
        <v>2.10323983334763</v>
      </c>
      <c r="D151" s="6" t="n">
        <f aca="false">IF(COUNT(C149:C151)=3,STDEV(C149:C151),"")</f>
        <v>0.863110627039053</v>
      </c>
      <c r="E151" s="6" t="n">
        <f aca="false">IF(COUNT(C140:C151)=12,STDEV(C140:C151),"")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IF(AND(B152&lt;&gt;"",B151&lt;&gt;""),LN(B152/B151)*100,"")</f>
        <v>-2.48613523614704</v>
      </c>
      <c r="D152" s="6" t="n">
        <f aca="false">IF(COUNT(C150:C152)=3,STDEV(C150:C152),"")</f>
        <v>3.26337799491529</v>
      </c>
      <c r="E152" s="6" t="n">
        <f aca="false">IF(COUNT(C141:C152)=12,STDEV(C141:C152),"")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IF(AND(B153&lt;&gt;"",B152&lt;&gt;""),LN(B153/B152)*100,"")</f>
        <v>-0.965525728265579</v>
      </c>
      <c r="D153" s="6" t="n">
        <f aca="false">IF(COUNT(C151:C153)=3,STDEV(C151:C153),"")</f>
        <v>2.33780305971589</v>
      </c>
      <c r="E153" s="6" t="n">
        <f aca="false">IF(COUNT(C142:C153)=12,STDEV(C142:C153),"")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IF(AND(B154&lt;&gt;"",B153&lt;&gt;""),LN(B154/B153)*100,"")</f>
        <v>2.81382638858509</v>
      </c>
      <c r="D154" s="6" t="n">
        <f aca="false">IF(COUNT(C152:C154)=3,STDEV(C152:C154),"")</f>
        <v>2.7290214645008</v>
      </c>
      <c r="E154" s="6" t="n">
        <f aca="false">IF(COUNT(C143:C154)=12,STDEV(C143:C154),"")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IF(AND(B155&lt;&gt;"",B154&lt;&gt;""),LN(B155/B154)*100,"")</f>
        <v>-0.811463977905334</v>
      </c>
      <c r="D155" s="6" t="n">
        <f aca="false">IF(COUNT(C153:C155)=3,STDEV(C153:C155),"")</f>
        <v>2.13892370471054</v>
      </c>
      <c r="E155" s="6" t="n">
        <f aca="false">IF(COUNT(C144:C155)=12,STDEV(C144:C155),"")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IF(AND(B156&lt;&gt;"",B155&lt;&gt;""),LN(B156/B155)*100,"")</f>
        <v>1.21798676244252</v>
      </c>
      <c r="D156" s="6" t="n">
        <f aca="false">IF(COUNT(C154:C156)=3,STDEV(C154:C156),"")</f>
        <v>1.8169619635183</v>
      </c>
      <c r="E156" s="6" t="n">
        <f aca="false">IF(COUNT(C145:C156)=12,STDEV(C145:C156),"")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IF(AND(B157&lt;&gt;"",B156&lt;&gt;""),LN(B157/B156)*100,"")</f>
        <v>3.55620545403232</v>
      </c>
      <c r="D157" s="6" t="n">
        <f aca="false">IF(COUNT(C155:C157)=3,STDEV(C155:C157),"")</f>
        <v>2.18565296207948</v>
      </c>
      <c r="E157" s="6" t="n">
        <f aca="false">IF(COUNT(C146:C157)=12,STDEV(C146:C157),"")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IF(AND(B158&lt;&gt;"",B157&lt;&gt;""),LN(B158/B157)*100,"")</f>
        <v>7.20972691527628</v>
      </c>
      <c r="D158" s="6" t="n">
        <f aca="false">IF(COUNT(C156:C158)=3,STDEV(C156:C158),"")</f>
        <v>3.01983541981321</v>
      </c>
      <c r="E158" s="6" t="n">
        <f aca="false">IF(COUNT(C147:C158)=12,STDEV(C147:C158),"")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IF(AND(B159&lt;&gt;"",B158&lt;&gt;""),LN(B159/B158)*100,"")</f>
        <v>0.589781900898677</v>
      </c>
      <c r="D159" s="6" t="n">
        <f aca="false">IF(COUNT(C157:C159)=3,STDEV(C157:C159),"")</f>
        <v>3.31591012538386</v>
      </c>
      <c r="E159" s="6" t="n">
        <f aca="false">IF(COUNT(C148:C159)=12,STDEV(C148:C159),"")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IF(AND(B160&lt;&gt;"",B159&lt;&gt;""),LN(B160/B159)*100,"")</f>
        <v>-5.2676861849554</v>
      </c>
      <c r="D160" s="6" t="n">
        <f aca="false">IF(COUNT(C158:C160)=3,STDEV(C158:C160),"")</f>
        <v>6.24258816576393</v>
      </c>
      <c r="E160" s="6" t="n">
        <f aca="false">IF(COUNT(C149:C160)=12,STDEV(C149:C160),"")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IF(AND(B161&lt;&gt;"",B160&lt;&gt;""),LN(B161/B160)*100,"")</f>
        <v>-3.69997193403231</v>
      </c>
      <c r="D161" s="6" t="n">
        <f aca="false">IF(COUNT(C159:C161)=3,STDEV(C159:C161),"")</f>
        <v>3.03231617507287</v>
      </c>
      <c r="E161" s="6" t="n">
        <f aca="false">IF(COUNT(C150:C161)=12,STDEV(C150:C161),"")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IF(AND(B162&lt;&gt;"",B161&lt;&gt;""),LN(B162/B161)*100,"")</f>
        <v>8.04762406341038</v>
      </c>
      <c r="D162" s="6" t="n">
        <f aca="false">IF(COUNT(C160:C162)=3,STDEV(C160:C162),"")</f>
        <v>7.27737620645785</v>
      </c>
      <c r="E162" s="6" t="n">
        <f aca="false">IF(COUNT(C151:C162)=12,STDEV(C151:C162),"")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IF(AND(B163&lt;&gt;"",B162&lt;&gt;""),LN(B163/B162)*100,"")</f>
        <v>0.188159644404626</v>
      </c>
      <c r="D163" s="6" t="n">
        <f aca="false">IF(COUNT(C161:C163)=3,STDEV(C161:C163),"")</f>
        <v>5.98462975524228</v>
      </c>
      <c r="E163" s="6" t="n">
        <f aca="false">IF(COUNT(C152:C163)=12,STDEV(C152:C163),"")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IF(AND(B164&lt;&gt;"",B163&lt;&gt;""),LN(B164/B163)*100,"")</f>
        <v>-1.50781121526923</v>
      </c>
      <c r="D164" s="6" t="n">
        <f aca="false">IF(COUNT(C162:C164)=3,STDEV(C162:C164),"")</f>
        <v>5.09826508849686</v>
      </c>
      <c r="E164" s="6" t="n">
        <f aca="false">IF(COUNT(C153:C164)=12,STDEV(C153:C164),"")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IF(AND(B165&lt;&gt;"",B164&lt;&gt;""),LN(B165/B164)*100,"")</f>
        <v>2.46160262041768</v>
      </c>
      <c r="D165" s="6" t="n">
        <f aca="false">IF(COUNT(C163:C165)=3,STDEV(C163:C165),"")</f>
        <v>1.99169552228701</v>
      </c>
      <c r="E165" s="6" t="n">
        <f aca="false">IF(COUNT(C154:C165)=12,STDEV(C154:C165),"")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IF(AND(B166&lt;&gt;"",B165&lt;&gt;""),LN(B166/B165)*100,"")</f>
        <v>5.1934285843264</v>
      </c>
      <c r="D166" s="6" t="n">
        <f aca="false">IF(COUNT(C164:C166)=3,STDEV(C164:C166),"")</f>
        <v>3.36961259266089</v>
      </c>
      <c r="E166" s="6" t="n">
        <f aca="false">IF(COUNT(C155:C166)=12,STDEV(C155:C166),"")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IF(AND(B167&lt;&gt;"",B166&lt;&gt;""),LN(B167/B166)*100,"")</f>
        <v>-0.00683217390933194</v>
      </c>
      <c r="D167" s="6" t="n">
        <f aca="false">IF(COUNT(C165:C167)=3,STDEV(C165:C167),"")</f>
        <v>2.6012418631805</v>
      </c>
      <c r="E167" s="6" t="n">
        <f aca="false">IF(COUNT(C156:C167)=12,STDEV(C156:C167),"")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IF(AND(B168&lt;&gt;"",B167&lt;&gt;""),LN(B168/B167)*100,"")</f>
        <v>2.85919896807971</v>
      </c>
      <c r="D168" s="6" t="n">
        <f aca="false">IF(COUNT(C166:C168)=3,STDEV(C166:C168),"")</f>
        <v>2.6046584664744</v>
      </c>
      <c r="E168" s="6" t="n">
        <f aca="false">IF(COUNT(C157:C168)=12,STDEV(C157:C168),"")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IF(AND(B169&lt;&gt;"",B168&lt;&gt;""),LN(B169/B168)*100,"")</f>
        <v>4.27808510808952</v>
      </c>
      <c r="D169" s="6" t="n">
        <f aca="false">IF(COUNT(C167:C169)=3,STDEV(C167:C169),"")</f>
        <v>2.18280738571285</v>
      </c>
      <c r="E169" s="6" t="n">
        <f aca="false">IF(COUNT(C158:C169)=12,STDEV(C158:C169),"")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IF(AND(B170&lt;&gt;"",B169&lt;&gt;""),LN(B170/B169)*100,"")</f>
        <v>1.66572011933136</v>
      </c>
      <c r="D170" s="6" t="n">
        <f aca="false">IF(COUNT(C168:C170)=3,STDEV(C168:C170),"")</f>
        <v>1.3078022579383</v>
      </c>
      <c r="E170" s="6" t="n">
        <f aca="false">IF(COUNT(C159:C170)=12,STDEV(C159:C170),"")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IF(AND(B171&lt;&gt;"",B170&lt;&gt;""),LN(B171/B170)*100,"")</f>
        <v>-2.17694433180942</v>
      </c>
      <c r="D171" s="6" t="n">
        <f aca="false">IF(COUNT(C169:C171)=3,STDEV(C169:C171),"")</f>
        <v>3.24699671461985</v>
      </c>
      <c r="E171" s="6" t="n">
        <f aca="false">IF(COUNT(C160:C171)=12,STDEV(C160:C171),"")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IF(AND(B172&lt;&gt;"",B171&lt;&gt;""),LN(B172/B171)*100,"")</f>
        <v>0.441107873582108</v>
      </c>
      <c r="D172" s="6" t="n">
        <f aca="false">IF(COUNT(C170:C172)=3,STDEV(C170:C172),"")</f>
        <v>1.96298847791896</v>
      </c>
      <c r="E172" s="6" t="n">
        <f aca="false">IF(COUNT(C161:C172)=12,STDEV(C161:C172),"")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IF(AND(B173&lt;&gt;"",B172&lt;&gt;""),LN(B173/B172)*100,"")</f>
        <v>-0.84141157436131</v>
      </c>
      <c r="D173" s="6" t="n">
        <f aca="false">IF(COUNT(C171:C173)=3,STDEV(C171:C173),"")</f>
        <v>1.30911555580638</v>
      </c>
      <c r="E173" s="6" t="n">
        <f aca="false">IF(COUNT(C162:C173)=12,STDEV(C162:C173),"")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IF(AND(B174&lt;&gt;"",B173&lt;&gt;""),LN(B174/B173)*100,"")</f>
        <v>-4.95147862715606</v>
      </c>
      <c r="D174" s="6" t="n">
        <f aca="false">IF(COUNT(C172:C174)=3,STDEV(C172:C174),"")</f>
        <v>2.81713496543224</v>
      </c>
      <c r="E174" s="6" t="n">
        <f aca="false">IF(COUNT(C163:C174)=12,STDEV(C163:C174),"")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IF(AND(B175&lt;&gt;"",B174&lt;&gt;""),LN(B175/B174)*100,"")</f>
        <v>2.2145493974357</v>
      </c>
      <c r="D175" s="6" t="n">
        <f aca="false">IF(COUNT(C173:C175)=3,STDEV(C173:C175),"")</f>
        <v>3.59591217655201</v>
      </c>
      <c r="E175" s="6" t="n">
        <f aca="false">IF(COUNT(C164:C175)=12,STDEV(C164:C175),"")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IF(AND(B176&lt;&gt;"",B175&lt;&gt;""),LN(B176/B175)*100,"")</f>
        <v>1.44681710903018</v>
      </c>
      <c r="D176" s="6" t="n">
        <f aca="false">IF(COUNT(C174:C176)=3,STDEV(C174:C176),"")</f>
        <v>3.93445377071993</v>
      </c>
      <c r="E176" s="6" t="n">
        <f aca="false">IF(COUNT(C165:C176)=12,STDEV(C165:C176),"")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IF(AND(B177&lt;&gt;"",B176&lt;&gt;""),LN(B177/B176)*100,"")</f>
        <v>0.605715202171259</v>
      </c>
      <c r="D177" s="6" t="n">
        <f aca="false">IF(COUNT(C175:C177)=3,STDEV(C175:C177),"")</f>
        <v>0.804695879637586</v>
      </c>
      <c r="E177" s="6" t="n">
        <f aca="false">IF(COUNT(C166:C177)=12,STDEV(C166:C177),"")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IF(AND(B178&lt;&gt;"",B177&lt;&gt;""),LN(B178/B177)*100,"")</f>
        <v>1.18283030028966</v>
      </c>
      <c r="D178" s="6" t="n">
        <f aca="false">IF(COUNT(C176:C178)=3,STDEV(C176:C178),"")</f>
        <v>0.430155648067635</v>
      </c>
      <c r="E178" s="6" t="n">
        <f aca="false">IF(COUNT(C167:C178)=12,STDEV(C167:C178),"")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IF(AND(B179&lt;&gt;"",B178&lt;&gt;""),LN(B179/B178)*100,"")</f>
        <v>3.67936938753568</v>
      </c>
      <c r="D179" s="6" t="n">
        <f aca="false">IF(COUNT(C177:C179)=3,STDEV(C177:C179),"")</f>
        <v>1.63366251624132</v>
      </c>
      <c r="E179" s="6" t="n">
        <f aca="false">IF(COUNT(C168:C179)=12,STDEV(C168:C179),"")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IF(AND(B180&lt;&gt;"",B179&lt;&gt;""),LN(B180/B179)*100,"")</f>
        <v>4.39937196619358</v>
      </c>
      <c r="D180" s="6" t="n">
        <f aca="false">IF(COUNT(C178:C180)=3,STDEV(C178:C180),"")</f>
        <v>1.6880586194362</v>
      </c>
      <c r="E180" s="6" t="n">
        <f aca="false">IF(COUNT(C169:C180)=12,STDEV(C169:C180),"")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IF(AND(B181&lt;&gt;"",B180&lt;&gt;""),LN(B181/B180)*100,"")</f>
        <v>0.6135217518899</v>
      </c>
      <c r="D181" s="6" t="n">
        <f aca="false">IF(COUNT(C179:C181)=3,STDEV(C179:C181),"")</f>
        <v>2.01040987874828</v>
      </c>
      <c r="E181" s="6" t="n">
        <f aca="false">IF(COUNT(C170:C181)=12,STDEV(C170:C181),"")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IF(AND(B182&lt;&gt;"",B181&lt;&gt;""),LN(B182/B181)*100,"")</f>
        <v>-4.16842726378865</v>
      </c>
      <c r="D182" s="6" t="n">
        <f aca="false">IF(COUNT(C180:C182)=3,STDEV(C180:C182),"")</f>
        <v>4.29353936900114</v>
      </c>
      <c r="E182" s="6" t="n">
        <f aca="false">IF(COUNT(C171:C182)=12,STDEV(C171:C182),"")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IF(AND(B183&lt;&gt;"",B182&lt;&gt;""),LN(B183/B182)*100,"")</f>
        <v>-0.160494735765566</v>
      </c>
      <c r="D183" s="6" t="n">
        <f aca="false">IF(COUNT(C181:C183)=3,STDEV(C181:C183),"")</f>
        <v>2.56676388541736</v>
      </c>
      <c r="E183" s="6" t="n">
        <f aca="false">IF(COUNT(C172:C183)=12,STDEV(C172:C183),"")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IF(AND(B184&lt;&gt;"",B183&lt;&gt;""),LN(B184/B183)*100,"")</f>
        <v>2.55856187175103</v>
      </c>
      <c r="D184" s="6" t="n">
        <f aca="false">IF(COUNT(C182:C184)=3,STDEV(C182:C184),"")</f>
        <v>3.38401080607351</v>
      </c>
      <c r="E184" s="6" t="n">
        <f aca="false">IF(COUNT(C173:C184)=12,STDEV(C173:C184),"")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IF(AND(B185&lt;&gt;"",B184&lt;&gt;""),LN(B185/B184)*100,"")</f>
        <v>-1.1784207194169</v>
      </c>
      <c r="D185" s="6" t="n">
        <f aca="false">IF(COUNT(C183:C185)=3,STDEV(C183:C185),"")</f>
        <v>1.93194552329012</v>
      </c>
      <c r="E185" s="6" t="n">
        <f aca="false">IF(COUNT(C174:C185)=12,STDEV(C174:C185),"")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IF(AND(B186&lt;&gt;"",B185&lt;&gt;""),LN(B186/B185)*100,"")</f>
        <v>-1.72975359283177</v>
      </c>
      <c r="D186" s="6" t="n">
        <f aca="false">IF(COUNT(C184:C186)=3,STDEV(C184:C186),"")</f>
        <v>2.33304723297593</v>
      </c>
      <c r="E186" s="6" t="n">
        <f aca="false">IF(COUNT(C175:C186)=12,STDEV(C175:C186),"")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IF(AND(B187&lt;&gt;"",B186&lt;&gt;""),LN(B187/B186)*100,"")</f>
        <v>2.06083917307763</v>
      </c>
      <c r="D187" s="6" t="n">
        <f aca="false">IF(COUNT(C185:C187)=3,STDEV(C185:C187),"")</f>
        <v>2.04798136813612</v>
      </c>
      <c r="E187" s="6" t="n">
        <f aca="false">IF(COUNT(C176:C187)=12,STDEV(C176:C187),"")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IF(AND(B188&lt;&gt;"",B187&lt;&gt;""),LN(B188/B187)*100,"")</f>
        <v>-1.44500024926008</v>
      </c>
      <c r="D188" s="6" t="n">
        <f aca="false">IF(COUNT(C186:C188)=3,STDEV(C186:C188),"")</f>
        <v>2.11110508339657</v>
      </c>
      <c r="E188" s="6" t="n">
        <f aca="false">IF(COUNT(C177:C188)=12,STDEV(C177:C188),"")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IF(AND(B189&lt;&gt;"",B188&lt;&gt;""),LN(B189/B188)*100,"")</f>
        <v>3.11965173897777</v>
      </c>
      <c r="D189" s="6" t="n">
        <f aca="false">IF(COUNT(C187:C189)=3,STDEV(C187:C189),"")</f>
        <v>2.3891435661707</v>
      </c>
      <c r="E189" s="6" t="n">
        <f aca="false">IF(COUNT(C178:C189)=12,STDEV(C178:C189),"")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IF(AND(B190&lt;&gt;"",B189&lt;&gt;""),LN(B190/B189)*100,"")</f>
        <v>4.05394267978862</v>
      </c>
      <c r="D190" s="6" t="n">
        <f aca="false">IF(COUNT(C188:C190)=3,STDEV(C188:C190),"")</f>
        <v>2.94242872110608</v>
      </c>
      <c r="E190" s="6" t="n">
        <f aca="false">IF(COUNT(C179:C190)=12,STDEV(C179:C190),"")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IF(AND(B191&lt;&gt;"",B190&lt;&gt;""),LN(B191/B190)*100,"")</f>
        <v>2.99173700525829</v>
      </c>
      <c r="D191" s="6" t="n">
        <f aca="false">IF(COUNT(C189:C191)=3,STDEV(C189:C191),"")</f>
        <v>0.579876802460111</v>
      </c>
      <c r="E191" s="6" t="n">
        <f aca="false">IF(COUNT(C180:C191)=12,STDEV(C180:C191),"")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IF(AND(B192&lt;&gt;"",B191&lt;&gt;""),LN(B192/B191)*100,"")</f>
        <v>1.43010061030767</v>
      </c>
      <c r="D192" s="6" t="n">
        <f aca="false">IF(COUNT(C190:C192)=3,STDEV(C190:C192),"")</f>
        <v>1.31981920040946</v>
      </c>
      <c r="E192" s="6" t="n">
        <f aca="false">IF(COUNT(C181:C192)=12,STDEV(C181:C192),"")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IF(AND(B193&lt;&gt;"",B192&lt;&gt;""),LN(B193/B192)*100,"")</f>
        <v>6.77854940939066</v>
      </c>
      <c r="D193" s="6" t="n">
        <f aca="false">IF(COUNT(C191:C193)=3,STDEV(C191:C193),"")</f>
        <v>2.75028971111946</v>
      </c>
      <c r="E193" s="6" t="n">
        <f aca="false">IF(COUNT(C182:C193)=12,STDEV(C182:C193),"")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IF(AND(B194&lt;&gt;"",B193&lt;&gt;""),LN(B194/B193)*100,"")</f>
        <v>7.50701551724569</v>
      </c>
      <c r="D194" s="6" t="n">
        <f aca="false">IF(COUNT(C192:C194)=3,STDEV(C192:C194),"")</f>
        <v>3.31826918269327</v>
      </c>
      <c r="E194" s="6" t="n">
        <f aca="false">IF(COUNT(C183:C194)=12,STDEV(C183:C194),"")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IF(AND(B195&lt;&gt;"",B194&lt;&gt;""),LN(B195/B194)*100,"")</f>
        <v>0.928761016567174</v>
      </c>
      <c r="D195" s="6" t="n">
        <f aca="false">IF(COUNT(C193:C195)=3,STDEV(C193:C195),"")</f>
        <v>3.60610869190052</v>
      </c>
      <c r="E195" s="6" t="n">
        <f aca="false">IF(COUNT(C184:C195)=12,STDEV(C184:C195),"")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IF(AND(B196&lt;&gt;"",B195&lt;&gt;""),LN(B196/B195)*100,"")</f>
        <v>0.377394567527851</v>
      </c>
      <c r="D196" s="6" t="n">
        <f aca="false">IF(COUNT(C194:C196)=3,STDEV(C194:C196),"")</f>
        <v>3.96671426001165</v>
      </c>
      <c r="E196" s="6" t="n">
        <f aca="false">IF(COUNT(C185:C196)=12,STDEV(C185:C196),"")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IF(AND(B197&lt;&gt;"",B196&lt;&gt;""),LN(B197/B196)*100,"")</f>
        <v>9.17954621215165</v>
      </c>
      <c r="D197" s="6" t="n">
        <f aca="false">IF(COUNT(C195:C197)=3,STDEV(C195:C197),"")</f>
        <v>4.93047216940656</v>
      </c>
      <c r="E197" s="6" t="n">
        <f aca="false">IF(COUNT(C186:C197)=12,STDEV(C186:C197),"")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IF(AND(B198&lt;&gt;"",B197&lt;&gt;""),LN(B198/B197)*100,"")</f>
        <v>10.076601965843</v>
      </c>
      <c r="D198" s="6" t="n">
        <f aca="false">IF(COUNT(C196:C198)=3,STDEV(C196:C198),"")</f>
        <v>5.35968293147574</v>
      </c>
      <c r="E198" s="6" t="n">
        <f aca="false">IF(COUNT(C187:C198)=12,STDEV(C187:C198),"")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IF(AND(B199&lt;&gt;"",B198&lt;&gt;""),LN(B199/B198)*100,"")</f>
        <v>-12.4809843611618</v>
      </c>
      <c r="D199" s="6" t="n">
        <f aca="false">IF(COUNT(C197:C199)=3,STDEV(C197:C199),"")</f>
        <v>12.7725486535444</v>
      </c>
      <c r="E199" s="6" t="n">
        <f aca="false">IF(COUNT(C188:C199)=12,STDEV(C188:C199),"")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IF(AND(B200&lt;&gt;"",B199&lt;&gt;""),LN(B200/B199)*100,"")</f>
        <v>6.11059965691346</v>
      </c>
      <c r="D200" s="6" t="n">
        <f aca="false">IF(COUNT(C198:C200)=3,STDEV(C198:C200),"")</f>
        <v>12.0431230135422</v>
      </c>
      <c r="E200" s="6" t="n">
        <f aca="false">IF(COUNT(C189:C200)=12,STDEV(C189:C200),"")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IF(AND(B201&lt;&gt;"",B200&lt;&gt;""),LN(B201/B200)*100,"")</f>
        <v>-0.176315232618395</v>
      </c>
      <c r="D201" s="6" t="n">
        <f aca="false">IF(COUNT(C199:C201)=3,STDEV(C199:C201),"")</f>
        <v>9.45671875346038</v>
      </c>
      <c r="E201" s="6" t="n">
        <f aca="false">IF(COUNT(C190:C201)=12,STDEV(C190:C201),"")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IF(AND(B202&lt;&gt;"",B201&lt;&gt;""),LN(B202/B201)*100,"")</f>
        <v>-5.59262680400257</v>
      </c>
      <c r="D202" s="6" t="n">
        <f aca="false">IF(COUNT(C200:C202)=3,STDEV(C200:C202),"")</f>
        <v>5.85700776082254</v>
      </c>
      <c r="E202" s="6" t="n">
        <f aca="false">IF(COUNT(C191:C202)=12,STDEV(C191:C202),"")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IF(AND(B203&lt;&gt;"",B202&lt;&gt;""),LN(B203/B202)*100,"")</f>
        <v>-2.09577482441966</v>
      </c>
      <c r="D203" s="6" t="n">
        <f aca="false">IF(COUNT(C201:C203)=3,STDEV(C201:C203),"")</f>
        <v>2.74617096851783</v>
      </c>
      <c r="E203" s="6" t="n">
        <f aca="false">IF(COUNT(C192:C203)=12,STDEV(C192:C203),"")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IF(AND(B204&lt;&gt;"",B203&lt;&gt;""),LN(B204/B203)*100,"")</f>
        <v>6.93215687097292</v>
      </c>
      <c r="D204" s="6" t="n">
        <f aca="false">IF(COUNT(C202:C204)=3,STDEV(C202:C204),"")</f>
        <v>6.46273588310605</v>
      </c>
      <c r="E204" s="6" t="n">
        <f aca="false">IF(COUNT(C193:C204)=12,STDEV(C193:C204),"")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IF(AND(B205&lt;&gt;"",B204&lt;&gt;""),LN(B205/B204)*100,"")</f>
        <v>0.312321330999755</v>
      </c>
      <c r="D205" s="6" t="n">
        <f aca="false">IF(COUNT(C203:C205)=3,STDEV(C203:C205),"")</f>
        <v>4.67483868468049</v>
      </c>
      <c r="E205" s="6" t="n">
        <f aca="false">IF(COUNT(C194:C205)=12,STDEV(C194:C205),"")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IF(AND(B206&lt;&gt;"",B205&lt;&gt;""),LN(B206/B205)*100,"")</f>
        <v>0.218045987564851</v>
      </c>
      <c r="D206" s="6" t="n">
        <f aca="false">IF(COUNT(C204:C206)=3,STDEV(C204:C206),"")</f>
        <v>3.84946739544079</v>
      </c>
      <c r="E206" s="6" t="n">
        <f aca="false">IF(COUNT(C195:C206)=12,STDEV(C195:C206),"")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IF(AND(B207&lt;&gt;"",B206&lt;&gt;""),LN(B207/B206)*100,"")</f>
        <v>5.18347500756159</v>
      </c>
      <c r="D207" s="6" t="n">
        <f aca="false">IF(COUNT(C205:C207)=3,STDEV(C205:C207),"")</f>
        <v>2.83996805538628</v>
      </c>
      <c r="E207" s="6" t="n">
        <f aca="false">IF(COUNT(C196:C207)=12,STDEV(C196:C207),"")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IF(AND(B208&lt;&gt;"",B207&lt;&gt;""),LN(B208/B207)*100,"")</f>
        <v>-1.49278969551556</v>
      </c>
      <c r="D208" s="6" t="n">
        <f aca="false">IF(COUNT(C206:C208)=3,STDEV(C206:C208),"")</f>
        <v>3.46782723696651</v>
      </c>
      <c r="E208" s="6" t="n">
        <f aca="false">IF(COUNT(C197:C208)=12,STDEV(C197:C208),"")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IF(AND(B209&lt;&gt;"",B208&lt;&gt;""),LN(B209/B208)*100,"")</f>
        <v>3.66879624903975</v>
      </c>
      <c r="D209" s="6" t="n">
        <f aca="false">IF(COUNT(C207:C209)=3,STDEV(C207:C209),"")</f>
        <v>3.50020788882846</v>
      </c>
      <c r="E209" s="6" t="n">
        <f aca="false">IF(COUNT(C198:C209)=12,STDEV(C198:C209),"")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IF(AND(B210&lt;&gt;"",B209&lt;&gt;""),LN(B210/B209)*100,"")</f>
        <v>-1.85841592521981</v>
      </c>
      <c r="D210" s="6" t="n">
        <f aca="false">IF(COUNT(C208:C210)=3,STDEV(C208:C210),"")</f>
        <v>3.09100108978094</v>
      </c>
      <c r="E210" s="6" t="n">
        <f aca="false">IF(COUNT(C199:C210)=12,STDEV(C199:C210),"")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IF(AND(B211&lt;&gt;"",B210&lt;&gt;""),LN(B211/B210)*100,"")</f>
        <v>-1.71956407313222</v>
      </c>
      <c r="D211" s="6" t="n">
        <f aca="false">IF(COUNT(C209:C211)=3,STDEV(C209:C211),"")</f>
        <v>3.15181908368454</v>
      </c>
      <c r="E211" s="6" t="n">
        <f aca="false">IF(COUNT(C200:C211)=12,STDEV(C200:C211),"")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IF(AND(B212&lt;&gt;"",B211&lt;&gt;""),LN(B212/B211)*100,"")</f>
        <v>1.48474605148076</v>
      </c>
      <c r="D212" s="6" t="n">
        <f aca="false">IF(COUNT(C210:C212)=3,STDEV(C210:C212),"")</f>
        <v>1.89136701946775</v>
      </c>
      <c r="E212" s="6" t="n">
        <f aca="false">IF(COUNT(C201:C212)=12,STDEV(C201:C212),"")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IF(AND(B213&lt;&gt;"",B212&lt;&gt;""),LN(B213/B212)*100,"")</f>
        <v>0.0174206804411644</v>
      </c>
      <c r="D213" s="6" t="n">
        <f aca="false">IF(COUNT(C211:C213)=3,STDEV(C211:C213),"")</f>
        <v>1.60404505097478</v>
      </c>
      <c r="E213" s="6" t="n">
        <f aca="false">IF(COUNT(C202:C213)=12,STDEV(C202:C213),"")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IF(AND(B214&lt;&gt;"",B213&lt;&gt;""),LN(B214/B213)*100,"")</f>
        <v>6.8588482987172</v>
      </c>
      <c r="D214" s="6" t="n">
        <f aca="false">IF(COUNT(C212:C214)=3,STDEV(C212:C214),"")</f>
        <v>3.60183172298851</v>
      </c>
      <c r="E214" s="6" t="n">
        <f aca="false">IF(COUNT(C203:C214)=12,STDEV(C203:C214),"")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IF(AND(B215&lt;&gt;"",B214&lt;&gt;""),LN(B215/B214)*100,"")</f>
        <v>5.71996449479661</v>
      </c>
      <c r="D215" s="6" t="n">
        <f aca="false">IF(COUNT(C213:C215)=3,STDEV(C213:C215),"")</f>
        <v>3.66563305423011</v>
      </c>
      <c r="E215" s="6" t="n">
        <f aca="false">IF(COUNT(C204:C215)=12,STDEV(C204:C215),"")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IF(AND(B216&lt;&gt;"",B215&lt;&gt;""),LN(B216/B215)*100,"")</f>
        <v>6.61974799432195</v>
      </c>
      <c r="D216" s="6" t="n">
        <f aca="false">IF(COUNT(C214:C216)=3,STDEV(C214:C216),"")</f>
        <v>0.600532488770399</v>
      </c>
      <c r="E216" s="6" t="n">
        <f aca="false">IF(COUNT(C205:C216)=12,STDEV(C205:C216),"")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IF(AND(B217&lt;&gt;"",B216&lt;&gt;""),LN(B217/B216)*100,"")</f>
        <v>-0.378363846541323</v>
      </c>
      <c r="D217" s="6" t="n">
        <f aca="false">IF(COUNT(C215:C217)=3,STDEV(C215:C217),"")</f>
        <v>3.8072909932132</v>
      </c>
      <c r="E217" s="6" t="n">
        <f aca="false">IF(COUNT(C206:C217)=12,STDEV(C206:C217),"")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IF(AND(B218&lt;&gt;"",B217&lt;&gt;""),LN(B218/B217)*100,"")</f>
        <v>10.2159403180484</v>
      </c>
      <c r="D218" s="6" t="n">
        <f aca="false">IF(COUNT(C216:C218)=3,STDEV(C216:C218),"")</f>
        <v>5.38741510835366</v>
      </c>
      <c r="E218" s="6" t="n">
        <f aca="false">IF(COUNT(C207:C218)=12,STDEV(C207:C218),"")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IF(AND(B219&lt;&gt;"",B218&lt;&gt;""),LN(B219/B218)*100,"")</f>
        <v>3.61011547659273</v>
      </c>
      <c r="D219" s="6" t="n">
        <f aca="false">IF(COUNT(C217:C219)=3,STDEV(C217:C219),"")</f>
        <v>5.35076583115141</v>
      </c>
      <c r="E219" s="6" t="n">
        <f aca="false">IF(COUNT(C208:C219)=12,STDEV(C208:C219),"")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IF(AND(B220&lt;&gt;"",B219&lt;&gt;""),LN(B220/B219)*100,"")</f>
        <v>4.88125825943894</v>
      </c>
      <c r="D220" s="6" t="n">
        <f aca="false">IF(COUNT(C218:C220)=3,STDEV(C218:C220),"")</f>
        <v>3.50503348716349</v>
      </c>
      <c r="E220" s="6" t="n">
        <f aca="false">IF(COUNT(C209:C220)=12,STDEV(C209:C220),"")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IF(AND(B221&lt;&gt;"",B220&lt;&gt;""),LN(B221/B220)*100,"")</f>
        <v>-6.256067982708</v>
      </c>
      <c r="D221" s="6" t="n">
        <f aca="false">IF(COUNT(C219:C221)=3,STDEV(C219:C221),"")</f>
        <v>6.09641172946535</v>
      </c>
      <c r="E221" s="6" t="n">
        <f aca="false">IF(COUNT(C210:C221)=12,STDEV(C210:C221),"")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IF(AND(B222&lt;&gt;"",B221&lt;&gt;""),LN(B222/B221)*100,"")</f>
        <v>-2.34023480803921</v>
      </c>
      <c r="D222" s="6" t="n">
        <f aca="false">IF(COUNT(C220:C222)=3,STDEV(C220:C222),"")</f>
        <v>5.6498340300031</v>
      </c>
      <c r="E222" s="6" t="n">
        <f aca="false">IF(COUNT(C211:C222)=12,STDEV(C211:C222),"")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IF(AND(B223&lt;&gt;"",B222&lt;&gt;""),LN(B223/B222)*100,"")</f>
        <v>0.0928599973063643</v>
      </c>
      <c r="D223" s="6" t="n">
        <f aca="false">IF(COUNT(C221:C223)=3,STDEV(C221:C223),"")</f>
        <v>3.20319076024323</v>
      </c>
      <c r="E223" s="6" t="n">
        <f aca="false">IF(COUNT(C212:C223)=12,STDEV(C212:C223),"")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IF(AND(B224&lt;&gt;"",B223&lt;&gt;""),LN(B224/B223)*100,"")</f>
        <v>5.49908917031469</v>
      </c>
      <c r="D224" s="6" t="n">
        <f aca="false">IF(COUNT(C222:C224)=3,STDEV(C222:C224),"")</f>
        <v>4.01252756253213</v>
      </c>
      <c r="E224" s="6" t="n">
        <f aca="false">IF(COUNT(C213:C224)=12,STDEV(C213:C224),"")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IF(AND(B225&lt;&gt;"",B224&lt;&gt;""),LN(B225/B224)*100,"")</f>
        <v>-11.3396511662491</v>
      </c>
      <c r="D225" s="6" t="n">
        <f aca="false">IF(COUNT(C223:C225)=3,STDEV(C223:C225),"")</f>
        <v>8.59721661836093</v>
      </c>
      <c r="E225" s="6" t="n">
        <f aca="false">IF(COUNT(C214:C225)=12,STDEV(C214:C225),"")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IF(AND(B226&lt;&gt;"",B225&lt;&gt;""),LN(B226/B225)*100,"")</f>
        <v>-1.08969527535848</v>
      </c>
      <c r="D226" s="6" t="n">
        <f aca="false">IF(COUNT(C224:C226)=3,STDEV(C224:C226),"")</f>
        <v>8.48544687842042</v>
      </c>
      <c r="E226" s="6" t="n">
        <f aca="false">IF(COUNT(C215:C226)=12,STDEV(C215:C226),"")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IF(AND(B227&lt;&gt;"",B226&lt;&gt;""),LN(B227/B226)*100,"")</f>
        <v>-2.84914120960471</v>
      </c>
      <c r="D227" s="6" t="n">
        <f aca="false">IF(COUNT(C225:C227)=3,STDEV(C225:C227),"")</f>
        <v>5.48096714526152</v>
      </c>
      <c r="E227" s="6" t="n">
        <f aca="false">IF(COUNT(C216:C227)=12,STDEV(C216:C227),"")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IF(AND(B228&lt;&gt;"",B227&lt;&gt;""),LN(B228/B227)*100,"")</f>
        <v>-5.83994803264145</v>
      </c>
      <c r="D228" s="6" t="n">
        <f aca="false">IF(COUNT(C226:C228)=3,STDEV(C226:C228),"")</f>
        <v>2.40157853318511</v>
      </c>
      <c r="E228" s="6" t="n">
        <f aca="false">IF(COUNT(C217:C228)=12,STDEV(C217:C228),"")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IF(AND(B229&lt;&gt;"",B228&lt;&gt;""),LN(B229/B228)*100,"")</f>
        <v>7.00745644662554</v>
      </c>
      <c r="D229" s="6" t="n">
        <f aca="false">IF(COUNT(C227:C229)=3,STDEV(C227:C229),"")</f>
        <v>6.72251496420073</v>
      </c>
      <c r="E229" s="6" t="n">
        <f aca="false">IF(COUNT(C218:C229)=12,STDEV(C218:C229),"")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IF(AND(B230&lt;&gt;"",B229&lt;&gt;""),LN(B230/B229)*100,"")</f>
        <v>5.08813039630916</v>
      </c>
      <c r="D230" s="6" t="n">
        <f aca="false">IF(COUNT(C228:C230)=3,STDEV(C228:C230),"")</f>
        <v>6.93015767606347</v>
      </c>
      <c r="E230" s="6" t="n">
        <f aca="false">IF(COUNT(C219:C230)=12,STDEV(C219:C230),"")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IF(AND(B231&lt;&gt;"",B230&lt;&gt;""),LN(B231/B230)*100,"")</f>
        <v>9.38300635086556</v>
      </c>
      <c r="D231" s="6" t="n">
        <f aca="false">IF(COUNT(C229:C231)=3,STDEV(C229:C231),"")</f>
        <v>2.15147272428231</v>
      </c>
      <c r="E231" s="6" t="n">
        <f aca="false">IF(COUNT(C220:C231)=12,STDEV(C220:C231),"")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IF(AND(B232&lt;&gt;"",B231&lt;&gt;""),LN(B232/B231)*100,"")</f>
        <v>-2.023140268627</v>
      </c>
      <c r="D232" s="6" t="n">
        <f aca="false">IF(COUNT(C230:C232)=3,STDEV(C230:C232),"")</f>
        <v>5.76073361416712</v>
      </c>
      <c r="E232" s="6" t="n">
        <f aca="false">IF(COUNT(C221:C232)=12,STDEV(C221:C232),"")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IF(AND(B233&lt;&gt;"",B232&lt;&gt;""),LN(B233/B232)*100,"")</f>
        <v>-3.75610308950363</v>
      </c>
      <c r="D233" s="6" t="n">
        <f aca="false">IF(COUNT(C231:C233)=3,STDEV(C231:C233),"")</f>
        <v>7.13838844709715</v>
      </c>
      <c r="E233" s="6" t="n">
        <f aca="false">IF(COUNT(C222:C233)=12,STDEV(C222:C233),"")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IF(AND(B234&lt;&gt;"",B233&lt;&gt;""),LN(B234/B233)*100,"")</f>
        <v>4.22800944989025</v>
      </c>
      <c r="D234" s="6" t="n">
        <f aca="false">IF(COUNT(C232:C234)=3,STDEV(C232:C234),"")</f>
        <v>4.19972391917146</v>
      </c>
      <c r="E234" s="6" t="n">
        <f aca="false">IF(COUNT(C223:C234)=12,STDEV(C223:C234),"")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IF(AND(B235&lt;&gt;"",B234&lt;&gt;""),LN(B235/B234)*100,"")</f>
        <v>1.81679005636476</v>
      </c>
      <c r="D235" s="6" t="n">
        <f aca="false">IF(COUNT(C233:C235)=3,STDEV(C233:C235),"")</f>
        <v>4.09506145702127</v>
      </c>
      <c r="E235" s="6" t="n">
        <f aca="false">IF(COUNT(C224:C235)=12,STDEV(C224:C235),"")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IF(AND(B236&lt;&gt;"",B235&lt;&gt;""),LN(B236/B235)*100,"")</f>
        <v>-1.2173352621353</v>
      </c>
      <c r="D236" s="6" t="n">
        <f aca="false">IF(COUNT(C234:C236)=3,STDEV(C234:C236),"")</f>
        <v>2.72860386904063</v>
      </c>
      <c r="E236" s="6" t="n">
        <f aca="false">IF(COUNT(C225:C236)=12,STDEV(C225:C236),"")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IF(AND(B237&lt;&gt;"",B236&lt;&gt;""),LN(B237/B236)*100,"")</f>
        <v>1.60830743270863</v>
      </c>
      <c r="D237" s="6" t="n">
        <f aca="false">IF(COUNT(C235:C237)=3,STDEV(C235:C237),"")</f>
        <v>1.6947781610806</v>
      </c>
      <c r="E237" s="6" t="n">
        <f aca="false">IF(COUNT(C226:C237)=12,STDEV(C226:C237),"")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IF(AND(B238&lt;&gt;"",B237&lt;&gt;""),LN(B238/B237)*100,"")</f>
        <v>4.85364905320306</v>
      </c>
      <c r="D238" s="6" t="n">
        <f aca="false">IF(COUNT(C236:C238)=3,STDEV(C236:C238),"")</f>
        <v>3.03790907889299</v>
      </c>
      <c r="E238" s="6" t="n">
        <f aca="false">IF(COUNT(C227:C238)=12,STDEV(C227:C238),"")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IF(AND(B239&lt;&gt;"",B238&lt;&gt;""),LN(B239/B238)*100,"")</f>
        <v>4.56686115186029</v>
      </c>
      <c r="D239" s="6" t="n">
        <f aca="false">IF(COUNT(C237:C239)=3,STDEV(C237:C239),"")</f>
        <v>1.79664175816884</v>
      </c>
      <c r="E239" s="6" t="n">
        <f aca="false">IF(COUNT(C228:C239)=12,STDEV(C228:C239),"")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IF(AND(B240&lt;&gt;"",B239&lt;&gt;""),LN(B240/B239)*100,"")</f>
        <v>7.73372278315053</v>
      </c>
      <c r="D240" s="6" t="n">
        <f aca="false">IF(COUNT(C238:C240)=3,STDEV(C238:C240),"")</f>
        <v>1.75147959270766</v>
      </c>
      <c r="E240" s="6" t="n">
        <f aca="false">IF(COUNT(C229:C240)=12,STDEV(C229:C240),"")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IF(AND(B241&lt;&gt;"",B240&lt;&gt;""),LN(B241/B240)*100,"")</f>
        <v>0.679824700978153</v>
      </c>
      <c r="D241" s="6" t="n">
        <f aca="false">IF(COUNT(C239:C241)=3,STDEV(C239:C241),"")</f>
        <v>3.53307097569758</v>
      </c>
      <c r="E241" s="6" t="n">
        <f aca="false">IF(COUNT(C230:C241)=12,STDEV(C230:C241),"")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IF(AND(B242&lt;&gt;"",B241&lt;&gt;""),LN(B242/B241)*100,"")</f>
        <v>-1.48813391288159</v>
      </c>
      <c r="D242" s="6" t="n">
        <f aca="false">IF(COUNT(C240:C242)=3,STDEV(C240:C242),"")</f>
        <v>4.82182820838798</v>
      </c>
      <c r="E242" s="6" t="n">
        <f aca="false">IF(COUNT(C231:C242)=12,STDEV(C231:C242),"")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IF(AND(B243&lt;&gt;"",B242&lt;&gt;""),LN(B243/B242)*100,"")</f>
        <v>-2.03768274720479</v>
      </c>
      <c r="D243" s="6" t="n">
        <f aca="false">IF(COUNT(C241:C243)=3,STDEV(C241:C243),"")</f>
        <v>1.43683072556955</v>
      </c>
      <c r="E243" s="6" t="n">
        <f aca="false">IF(COUNT(C232:C243)=12,STDEV(C232:C243),"")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IF(AND(B244&lt;&gt;"",B243&lt;&gt;""),LN(B244/B243)*100,"")</f>
        <v>1.62307680170913</v>
      </c>
      <c r="D244" s="6" t="n">
        <f aca="false">IF(COUNT(C242:C244)=3,STDEV(C242:C244),"")</f>
        <v>1.97411568838871</v>
      </c>
      <c r="E244" s="6" t="n">
        <f aca="false">IF(COUNT(C233:C244)=12,STDEV(C233:C244),"")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IF(AND(B245&lt;&gt;"",B244&lt;&gt;""),LN(B245/B244)*100,"")</f>
        <v>3.12582135675076</v>
      </c>
      <c r="D245" s="6" t="n">
        <f aca="false">IF(COUNT(C243:C245)=3,STDEV(C243:C245),"")</f>
        <v>2.65584814777494</v>
      </c>
      <c r="E245" s="6" t="n">
        <f aca="false">IF(COUNT(C234:C245)=12,STDEV(C234:C245),"")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IF(AND(B246&lt;&gt;"",B245&lt;&gt;""),LN(B246/B245)*100,"")</f>
        <v>4.82198564776923</v>
      </c>
      <c r="D246" s="6" t="n">
        <f aca="false">IF(COUNT(C244:C246)=3,STDEV(C244:C246),"")</f>
        <v>1.60042870846298</v>
      </c>
      <c r="E246" s="6" t="n">
        <f aca="false">IF(COUNT(C235:C246)=12,STDEV(C235:C246),"")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IF(AND(B247&lt;&gt;"",B246&lt;&gt;""),LN(B247/B246)*100,"")</f>
        <v>2.25458656292168</v>
      </c>
      <c r="D247" s="6" t="n">
        <f aca="false">IF(COUNT(C245:C247)=3,STDEV(C245:C247),"")</f>
        <v>1.3056008469271</v>
      </c>
      <c r="E247" s="6" t="n">
        <f aca="false">IF(COUNT(C236:C247)=12,STDEV(C236:C247),"")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IF(AND(B248&lt;&gt;"",B247&lt;&gt;""),LN(B248/B247)*100,"")</f>
        <v>-3.29431414259571</v>
      </c>
      <c r="D248" s="6" t="n">
        <f aca="false">IF(COUNT(C246:C248)=3,STDEV(C246:C248),"")</f>
        <v>4.14841655308877</v>
      </c>
      <c r="E248" s="6" t="n">
        <f aca="false">IF(COUNT(C237:C248)=12,STDEV(C237:C248),"")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IF(AND(B249&lt;&gt;"",B248&lt;&gt;""),LN(B249/B248)*100,"")</f>
        <v>1.8967562745877</v>
      </c>
      <c r="D249" s="6" t="n">
        <f aca="false">IF(COUNT(C247:C249)=3,STDEV(C247:C249),"")</f>
        <v>3.10552071938286</v>
      </c>
      <c r="E249" s="6" t="n">
        <f aca="false">IF(COUNT(C238:C249)=12,STDEV(C238:C249),"")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IF(AND(B250&lt;&gt;"",B249&lt;&gt;""),LN(B250/B249)*100,"")</f>
        <v>4.43759809665701</v>
      </c>
      <c r="D250" s="6" t="n">
        <f aca="false">IF(COUNT(C248:C250)=3,STDEV(C248:C250),"")</f>
        <v>3.94092958823252</v>
      </c>
      <c r="E250" s="6" t="n">
        <f aca="false">IF(COUNT(C239:C250)=12,STDEV(C239:C250),"")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IF(AND(B251&lt;&gt;"",B250&lt;&gt;""),LN(B251/B250)*100,"")</f>
        <v>5.43926695761718</v>
      </c>
      <c r="D251" s="6" t="n">
        <f aca="false">IF(COUNT(C249:C251)=3,STDEV(C249:C251),"")</f>
        <v>1.82613433291803</v>
      </c>
      <c r="E251" s="6" t="n">
        <f aca="false">IF(COUNT(C240:C251)=12,STDEV(C240:C251),"")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IF(AND(B252&lt;&gt;"",B251&lt;&gt;""),LN(B252/B251)*100,"")</f>
        <v>2.05490099358443</v>
      </c>
      <c r="D252" s="6" t="n">
        <f aca="false">IF(COUNT(C250:C252)=3,STDEV(C250:C252),"")</f>
        <v>1.73851080767953</v>
      </c>
      <c r="E252" s="6" t="n">
        <f aca="false">IF(COUNT(C241:C252)=12,STDEV(C241:C252),"")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IF(AND(B253&lt;&gt;"",B252&lt;&gt;""),LN(B253/B252)*100,"")</f>
        <v>1.49734546564682</v>
      </c>
      <c r="D253" s="6" t="n">
        <f aca="false">IF(COUNT(C251:C253)=3,STDEV(C251:C253),"")</f>
        <v>2.13321143639096</v>
      </c>
      <c r="E253" s="6" t="n">
        <f aca="false">IF(COUNT(C242:C253)=12,STDEV(C242:C253),"")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IF(AND(B254&lt;&gt;"",B253&lt;&gt;""),LN(B254/B253)*100,"")</f>
        <v>-2.48671135360927</v>
      </c>
      <c r="D254" s="6" t="n">
        <f aca="false">IF(COUNT(C252:C254)=3,STDEV(C252:C254),"")</f>
        <v>2.47688714646621</v>
      </c>
      <c r="E254" s="6" t="n">
        <f aca="false">IF(COUNT(C243:C254)=12,STDEV(C243:C254),"")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IF(AND(B255&lt;&gt;"",B254&lt;&gt;""),LN(B255/B254)*100,"")</f>
        <v>1.19636841226517</v>
      </c>
      <c r="D255" s="6" t="n">
        <f aca="false">IF(COUNT(C253:C255)=3,STDEV(C253:C255),"")</f>
        <v>2.21842182972179</v>
      </c>
      <c r="E255" s="6" t="n">
        <f aca="false">IF(COUNT(C244:C255)=12,STDEV(C244:C255),"")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IF(AND(B256&lt;&gt;"",B255&lt;&gt;""),LN(B256/B255)*100,"")</f>
        <v>3.66796306902968</v>
      </c>
      <c r="D256" s="6" t="n">
        <f aca="false">IF(COUNT(C254:C256)=3,STDEV(C254:C256),"")</f>
        <v>3.09714583549184</v>
      </c>
      <c r="E256" s="6" t="n">
        <f aca="false">IF(COUNT(C245:C256)=12,STDEV(C245:C256),"")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IF(AND(B257&lt;&gt;"",B256&lt;&gt;""),LN(B257/B256)*100,"")</f>
        <v>3.43704228064563</v>
      </c>
      <c r="D257" s="6" t="n">
        <f aca="false">IF(COUNT(C255:C257)=3,STDEV(C255:C257),"")</f>
        <v>1.36520596384439</v>
      </c>
      <c r="E257" s="6" t="n">
        <f aca="false">IF(COUNT(C246:C257)=12,STDEV(C246:C257),"")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IF(AND(B258&lt;&gt;"",B257&lt;&gt;""),LN(B258/B257)*100,"")</f>
        <v>2.45514750723109</v>
      </c>
      <c r="D258" s="6" t="n">
        <f aca="false">IF(COUNT(C256:C258)=3,STDEV(C256:C258),"")</f>
        <v>0.643993186235627</v>
      </c>
      <c r="E258" s="6" t="n">
        <f aca="false">IF(COUNT(C247:C258)=12,STDEV(C247:C258),"")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IF(AND(B259&lt;&gt;"",B258&lt;&gt;""),LN(B259/B258)*100,"")</f>
        <v>1.19915959999452</v>
      </c>
      <c r="D259" s="6" t="n">
        <f aca="false">IF(COUNT(C257:C259)=3,STDEV(C257:C259),"")</f>
        <v>1.12173540117842</v>
      </c>
      <c r="E259" s="6" t="n">
        <f aca="false">IF(COUNT(C248:C259)=12,STDEV(C248:C259),"")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IF(AND(B260&lt;&gt;"",B259&lt;&gt;""),LN(B260/B259)*100,"")</f>
        <v>2.8472585752838</v>
      </c>
      <c r="D260" s="6" t="n">
        <f aca="false">IF(COUNT(C258:C260)=3,STDEV(C258:C260),"")</f>
        <v>0.860957504290379</v>
      </c>
      <c r="E260" s="6" t="n">
        <f aca="false">IF(COUNT(C249:C260)=12,STDEV(C249:C260),"")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IF(AND(B261&lt;&gt;"",B260&lt;&gt;""),LN(B261/B260)*100,"")</f>
        <v>11.0064951022337</v>
      </c>
      <c r="D261" s="6" t="n">
        <f aca="false">IF(COUNT(C259:C261)=3,STDEV(C259:C261),"")</f>
        <v>5.25155850817234</v>
      </c>
      <c r="E261" s="6" t="n">
        <f aca="false">IF(COUNT(C250:C261)=12,STDEV(C250:C261),"")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IF(AND(B262&lt;&gt;"",B261&lt;&gt;""),LN(B262/B261)*100,"")</f>
        <v>0.909700443603982</v>
      </c>
      <c r="D262" s="6" t="n">
        <f aca="false">IF(COUNT(C260:C262)=3,STDEV(C260:C262),"")</f>
        <v>5.35836627146256</v>
      </c>
      <c r="E262" s="6" t="n">
        <f aca="false">IF(COUNT(C251:C262)=12,STDEV(C251:C262),"")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IF(AND(B263&lt;&gt;"",B262&lt;&gt;""),LN(B263/B262)*100,"")</f>
        <v>-6.20716658922635</v>
      </c>
      <c r="D263" s="6" t="n">
        <f aca="false">IF(COUNT(C261:C263)=3,STDEV(C261:C263),"")</f>
        <v>8.64971297760374</v>
      </c>
      <c r="E263" s="6" t="n">
        <f aca="false">IF(COUNT(C252:C263)=12,STDEV(C252:C263),"")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IF(AND(B264&lt;&gt;"",B263&lt;&gt;""),LN(B264/B263)*100,"")</f>
        <v>4.33433508447779</v>
      </c>
      <c r="D264" s="6" t="n">
        <f aca="false">IF(COUNT(C262:C264)=3,STDEV(C262:C264),"")</f>
        <v>5.3774401642908</v>
      </c>
      <c r="E264" s="6" t="n">
        <f aca="false">IF(COUNT(C253:C264)=12,STDEV(C253:C264),"")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IF(AND(B265&lt;&gt;"",B264&lt;&gt;""),LN(B265/B264)*100,"")</f>
        <v>-5.11255471390771</v>
      </c>
      <c r="D265" s="6" t="n">
        <f aca="false">IF(COUNT(C263:C265)=3,STDEV(C263:C265),"")</f>
        <v>5.79604979788154</v>
      </c>
      <c r="E265" s="6" t="n">
        <f aca="false">IF(COUNT(C254:C265)=12,STDEV(C254:C265),"")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IF(AND(B266&lt;&gt;"",B265&lt;&gt;""),LN(B266/B265)*100,"")</f>
        <v>0.230532305238895</v>
      </c>
      <c r="D266" s="6" t="n">
        <f aca="false">IF(COUNT(C264:C266)=3,STDEV(C264:C266),"")</f>
        <v>4.73697341854308</v>
      </c>
      <c r="E266" s="6" t="n">
        <f aca="false">IF(COUNT(C255:C266)=12,STDEV(C255:C266),"")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IF(AND(B267&lt;&gt;"",B266&lt;&gt;""),LN(B267/B266)*100,"")</f>
        <v>5.09122392917201</v>
      </c>
      <c r="D267" s="6" t="n">
        <f aca="false">IF(COUNT(C265:C267)=3,STDEV(C265:C267),"")</f>
        <v>5.10378945089033</v>
      </c>
      <c r="E267" s="6" t="n">
        <f aca="false">IF(COUNT(C256:C267)=12,STDEV(C256:C267),"")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IF(AND(B268&lt;&gt;"",B267&lt;&gt;""),LN(B268/B267)*100,"")</f>
        <v>-4.03089847443557</v>
      </c>
      <c r="D268" s="6" t="n">
        <f aca="false">IF(COUNT(C266:C268)=3,STDEV(C266:C268),"")</f>
        <v>4.56434063327388</v>
      </c>
      <c r="E268" s="6" t="n">
        <f aca="false">IF(COUNT(C257:C268)=12,STDEV(C257:C268),"")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IF(AND(B269&lt;&gt;"",B268&lt;&gt;""),LN(B269/B268)*100,"")</f>
        <v>-1.42650370595162</v>
      </c>
      <c r="D269" s="6" t="n">
        <f aca="false">IF(COUNT(C267:C269)=3,STDEV(C267:C269),"")</f>
        <v>4.698878638962</v>
      </c>
      <c r="E269" s="6" t="n">
        <f aca="false">IF(COUNT(C258:C269)=12,STDEV(C258:C269),"")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IF(AND(B270&lt;&gt;"",B269&lt;&gt;""),LN(B270/B269)*100,"")</f>
        <v>-3.99124776434545</v>
      </c>
      <c r="D270" s="6" t="n">
        <f aca="false">IF(COUNT(C268:C270)=3,STDEV(C268:C270),"")</f>
        <v>1.49233354035347</v>
      </c>
      <c r="E270" s="6" t="n">
        <f aca="false">IF(COUNT(C259:C270)=12,STDEV(C259:C270),"")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IF(AND(B271&lt;&gt;"",B270&lt;&gt;""),LN(B271/B270)*100,"")</f>
        <v>0.703466934359349</v>
      </c>
      <c r="D271" s="6" t="n">
        <f aca="false">IF(COUNT(C269:C271)=3,STDEV(C269:C271),"")</f>
        <v>2.35071028683843</v>
      </c>
      <c r="E271" s="6" t="n">
        <f aca="false">IF(COUNT(C260:C271)=12,STDEV(C260:C271),"")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IF(AND(B272&lt;&gt;"",B271&lt;&gt;""),LN(B272/B271)*100,"")</f>
        <v>-0.17478045364157</v>
      </c>
      <c r="D272" s="6" t="n">
        <f aca="false">IF(COUNT(C270:C272)=3,STDEV(C270:C272),"")</f>
        <v>2.49589954760592</v>
      </c>
      <c r="E272" s="6" t="n">
        <f aca="false">IF(COUNT(C261:C272)=12,STDEV(C261:C272),"")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IF(AND(B273&lt;&gt;"",B272&lt;&gt;""),LN(B273/B272)*100,"")</f>
        <v>1.99544303349643</v>
      </c>
      <c r="D273" s="6" t="n">
        <f aca="false">IF(COUNT(C271:C273)=3,STDEV(C271:C273),"")</f>
        <v>1.09166468443056</v>
      </c>
      <c r="E273" s="6" t="n">
        <f aca="false">IF(COUNT(C262:C273)=12,STDEV(C262:C273),"")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IF(AND(B274&lt;&gt;"",B273&lt;&gt;""),LN(B274/B273)*100,"")</f>
        <v>7.02953427017631</v>
      </c>
      <c r="D274" s="6" t="n">
        <f aca="false">IF(COUNT(C272:C274)=3,STDEV(C272:C274),"")</f>
        <v>3.69581058324065</v>
      </c>
      <c r="E274" s="6" t="n">
        <f aca="false">IF(COUNT(C263:C274)=12,STDEV(C263:C274),"")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IF(AND(B275&lt;&gt;"",B274&lt;&gt;""),LN(B275/B274)*100,"")</f>
        <v>0.146693325236402</v>
      </c>
      <c r="D275" s="6" t="n">
        <f aca="false">IF(COUNT(C273:C275)=3,STDEV(C273:C275),"")</f>
        <v>3.56214938710582</v>
      </c>
      <c r="E275" s="6" t="n">
        <f aca="false">IF(COUNT(C264:C275)=12,STDEV(C264:C275),"")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IF(AND(B276&lt;&gt;"",B275&lt;&gt;""),LN(B276/B275)*100,"")</f>
        <v>-1.49215037712434</v>
      </c>
      <c r="D276" s="6" t="n">
        <f aca="false">IF(COUNT(C274:C276)=3,STDEV(C274:C276),"")</f>
        <v>4.52176988545688</v>
      </c>
      <c r="E276" s="6" t="n">
        <f aca="false">IF(COUNT(C265:C276)=12,STDEV(C265:C276),"")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IF(AND(B277&lt;&gt;"",B276&lt;&gt;""),LN(B277/B276)*100,"")</f>
        <v>-1.91267696440816</v>
      </c>
      <c r="D277" s="6" t="n">
        <f aca="false">IF(COUNT(C275:C277)=3,STDEV(C275:C277),"")</f>
        <v>1.08809139331605</v>
      </c>
      <c r="E277" s="6" t="n">
        <f aca="false">IF(COUNT(C266:C277)=12,STDEV(C266:C277),"")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IF(AND(B278&lt;&gt;"",B277&lt;&gt;""),LN(B278/B277)*100,"")</f>
        <v>-1.04629323221755</v>
      </c>
      <c r="D278" s="6" t="n">
        <f aca="false">IF(COUNT(C276:C278)=3,STDEV(C276:C278),"")</f>
        <v>0.433253577727399</v>
      </c>
      <c r="E278" s="6" t="n">
        <f aca="false">IF(COUNT(C267:C278)=12,STDEV(C267:C278),"")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IF(AND(B279&lt;&gt;"",B278&lt;&gt;""),LN(B279/B278)*100,"")</f>
        <v>-2.62961901449653</v>
      </c>
      <c r="D279" s="6" t="n">
        <f aca="false">IF(COUNT(C277:C279)=3,STDEV(C277:C279),"")</f>
        <v>0.792837436828296</v>
      </c>
      <c r="E279" s="6" t="n">
        <f aca="false">IF(COUNT(C268:C279)=12,STDEV(C268:C279),"")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IF(AND(B280&lt;&gt;"",B279&lt;&gt;""),LN(B280/B279)*100,"")</f>
        <v>-2.15661450223872</v>
      </c>
      <c r="D280" s="6" t="n">
        <f aca="false">IF(COUNT(C278:C280)=3,STDEV(C278:C280),"")</f>
        <v>0.812759407215834</v>
      </c>
      <c r="E280" s="6" t="n">
        <f aca="false">IF(COUNT(C269:C280)=12,STDEV(C269:C280),"")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IF(AND(B281&lt;&gt;"",B280&lt;&gt;""),LN(B281/B280)*100,"")</f>
        <v>-7.00618246708986</v>
      </c>
      <c r="D281" s="6" t="n">
        <f aca="false">IF(COUNT(C279:C281)=3,STDEV(C279:C281),"")</f>
        <v>2.67383464861805</v>
      </c>
      <c r="E281" s="6" t="n">
        <f aca="false">IF(COUNT(C270:C281)=12,STDEV(C270:C281),"")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IF(AND(B282&lt;&gt;"",B281&lt;&gt;""),LN(B282/B281)*100,"")</f>
        <v>-4.94019892514518</v>
      </c>
      <c r="D282" s="6" t="n">
        <f aca="false">IF(COUNT(C280:C282)=3,STDEV(C280:C282),"")</f>
        <v>2.43361663924101</v>
      </c>
      <c r="E282" s="6" t="n">
        <f aca="false">IF(COUNT(C271:C282)=12,STDEV(C271:C282),"")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IF(AND(B283&lt;&gt;"",B282&lt;&gt;""),LN(B283/B282)*100,"")</f>
        <v>-5.16377768526102</v>
      </c>
      <c r="D283" s="6" t="n">
        <f aca="false">IF(COUNT(C281:C283)=3,STDEV(C281:C283),"")</f>
        <v>1.13377914057861</v>
      </c>
      <c r="E283" s="6" t="n">
        <f aca="false">IF(COUNT(C272:C283)=12,STDEV(C272:C283),"")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IF(AND(B284&lt;&gt;"",B283&lt;&gt;""),LN(B284/B283)*100,"")</f>
        <v>-4.23317354773031</v>
      </c>
      <c r="D284" s="6" t="n">
        <f aca="false">IF(COUNT(C282:C284)=3,STDEV(C282:C284),"")</f>
        <v>0.485780541512464</v>
      </c>
      <c r="E284" s="6" t="n">
        <f aca="false">IF(COUNT(C273:C284)=12,STDEV(C273:C284),"")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IF(AND(B285&lt;&gt;"",B284&lt;&gt;""),LN(B285/B284)*100,"")</f>
        <v>4.58512129641291</v>
      </c>
      <c r="D285" s="6" t="n">
        <f aca="false">IF(COUNT(C283:C285)=3,STDEV(C283:C285),"")</f>
        <v>5.38004614871649</v>
      </c>
      <c r="E285" s="6" t="n">
        <f aca="false">IF(COUNT(C274:C285)=12,STDEV(C274:C285),"")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IF(AND(B286&lt;&gt;"",B285&lt;&gt;""),LN(B286/B285)*100,"")</f>
        <v>0.126294424064245</v>
      </c>
      <c r="D286" s="6" t="n">
        <f aca="false">IF(COUNT(C284:C286)=3,STDEV(C284:C286),"")</f>
        <v>4.40924071379121</v>
      </c>
      <c r="E286" s="6" t="n">
        <f aca="false">IF(COUNT(C275:C286)=12,STDEV(C275:C286),"")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IF(AND(B287&lt;&gt;"",B286&lt;&gt;""),LN(B287/B286)*100,"")</f>
        <v>-2.44763076634861</v>
      </c>
      <c r="D287" s="6" t="n">
        <f aca="false">IF(COUNT(C285:C287)=3,STDEV(C285:C287),"")</f>
        <v>3.55822590485054</v>
      </c>
      <c r="E287" s="6" t="n">
        <f aca="false">IF(COUNT(C276:C287)=12,STDEV(C276:C287),"")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IF(AND(B288&lt;&gt;"",B287&lt;&gt;""),LN(B288/B287)*100,"")</f>
        <v>-3.11470064943084</v>
      </c>
      <c r="D288" s="6" t="n">
        <f aca="false">IF(COUNT(C286:C288)=3,STDEV(C286:C288),"")</f>
        <v>1.71143809807116</v>
      </c>
      <c r="E288" s="6" t="n">
        <f aca="false">IF(COUNT(C277:C288)=12,STDEV(C277:C288),"")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IF(AND(B289&lt;&gt;"",B288&lt;&gt;""),LN(B289/B288)*100,"")</f>
        <v>-4.03206407282164</v>
      </c>
      <c r="D289" s="6" t="n">
        <f aca="false">IF(COUNT(C287:C289)=3,STDEV(C287:C289),"")</f>
        <v>0.795504743559258</v>
      </c>
      <c r="E289" s="6" t="n">
        <f aca="false">IF(COUNT(C278:C289)=12,STDEV(C278:C289),"")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IF(AND(B290&lt;&gt;"",B289&lt;&gt;""),LN(B290/B289)*100,"")</f>
        <v>1.57016347408706</v>
      </c>
      <c r="D290" s="6" t="n">
        <f aca="false">IF(COUNT(C288:C290)=3,STDEV(C288:C290),"")</f>
        <v>3.00484223084849</v>
      </c>
      <c r="E290" s="6" t="n">
        <f aca="false">IF(COUNT(C279:C290)=12,STDEV(C279:C290),"")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IF(AND(B291&lt;&gt;"",B290&lt;&gt;""),LN(B291/B290)*100,"")</f>
        <v>4.41427604768108</v>
      </c>
      <c r="D291" s="6" t="n">
        <f aca="false">IF(COUNT(C289:C291)=3,STDEV(C289:C291),"")</f>
        <v>4.29756891063293</v>
      </c>
      <c r="E291" s="6" t="n">
        <f aca="false">IF(COUNT(C280:C291)=12,STDEV(C280:C291),"")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IF(AND(B292&lt;&gt;"",B291&lt;&gt;""),LN(B292/B291)*100,"")</f>
        <v>2.66284650606606</v>
      </c>
      <c r="D292" s="6" t="n">
        <f aca="false">IF(COUNT(C290:C292)=3,STDEV(C290:C292),"")</f>
        <v>1.4347147207077</v>
      </c>
      <c r="E292" s="6" t="n">
        <f aca="false">IF(COUNT(C281:C292)=12,STDEV(C281:C292),"")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IF(AND(B293&lt;&gt;"",B292&lt;&gt;""),LN(B293/B292)*100,"")</f>
        <v>-2.81477107302351</v>
      </c>
      <c r="D293" s="6" t="n">
        <f aca="false">IF(COUNT(C291:C293)=3,STDEV(C291:C293),"")</f>
        <v>3.77118288373291</v>
      </c>
      <c r="E293" s="6" t="n">
        <f aca="false">IF(COUNT(C282:C293)=12,STDEV(C282:C293),"")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IF(AND(B294&lt;&gt;"",B293&lt;&gt;""),LN(B294/B293)*100,"")</f>
        <v>-0.887296684549683</v>
      </c>
      <c r="D294" s="6" t="n">
        <f aca="false">IF(COUNT(C292:C294)=3,STDEV(C292:C294),"")</f>
        <v>2.7785778297194</v>
      </c>
      <c r="E294" s="6" t="n">
        <f aca="false">IF(COUNT(C283:C294)=12,STDEV(C283:C294),"")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IF(AND(B295&lt;&gt;"",B294&lt;&gt;""),LN(B295/B294)*100,"")</f>
        <v>-0.656878808241187</v>
      </c>
      <c r="D295" s="6" t="n">
        <f aca="false">IF(COUNT(C293:C295)=3,STDEV(C293:C295),"")</f>
        <v>1.18495773077583</v>
      </c>
      <c r="E295" s="6" t="n">
        <f aca="false">IF(COUNT(C284:C295)=12,STDEV(C284:C295),"")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IF(AND(B296&lt;&gt;"",B295&lt;&gt;""),LN(B296/B295)*100,"")</f>
        <v>2.46123485647183</v>
      </c>
      <c r="D296" s="6" t="n">
        <f aca="false">IF(COUNT(C294:C296)=3,STDEV(C294:C296),"")</f>
        <v>1.87031141368706</v>
      </c>
      <c r="E296" s="6" t="n">
        <f aca="false">IF(COUNT(C285:C296)=12,STDEV(C285:C296),"")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IF(AND(B297&lt;&gt;"",B296&lt;&gt;""),LN(B297/B296)*100,"")</f>
        <v>-1.14923785034314</v>
      </c>
      <c r="D297" s="6" t="n">
        <f aca="false">IF(COUNT(C295:C297)=3,STDEV(C295:C297),"")</f>
        <v>1.95791400130621</v>
      </c>
      <c r="E297" s="6" t="n">
        <f aca="false">IF(COUNT(C286:C297)=12,STDEV(C286:C297),"")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IF(AND(B298&lt;&gt;"",B297&lt;&gt;""),LN(B298/B297)*100,"")</f>
        <v>-4.51151068525289</v>
      </c>
      <c r="D298" s="6" t="n">
        <f aca="false">IF(COUNT(C296:C298)=3,STDEV(C296:C298),"")</f>
        <v>3.48710893082579</v>
      </c>
      <c r="E298" s="6" t="n">
        <f aca="false">IF(COUNT(C287:C298)=12,STDEV(C287:C298),"")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IF(AND(B299&lt;&gt;"",B298&lt;&gt;""),LN(B299/B298)*100,"")</f>
        <v>-1.32687949018427</v>
      </c>
      <c r="D299" s="6" t="n">
        <f aca="false">IF(COUNT(C297:C299)=3,STDEV(C297:C299),"")</f>
        <v>1.89201440345036</v>
      </c>
      <c r="E299" s="6" t="n">
        <f aca="false">IF(COUNT(C288:C299)=12,STDEV(C288:C299),"")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IF(AND(B300&lt;&gt;"",B299&lt;&gt;""),LN(B300/B299)*100,"")</f>
        <v>-3.85151320832103</v>
      </c>
      <c r="D300" s="6" t="n">
        <f aca="false">IF(COUNT(C298:C300)=3,STDEV(C298:C300),"")</f>
        <v>1.68083550300208</v>
      </c>
      <c r="E300" s="6" t="n">
        <f aca="false">IF(COUNT(C289:C300)=12,STDEV(C289:C300),"")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IF(AND(B301&lt;&gt;"",B300&lt;&gt;""),LN(B301/B300)*100,"")</f>
        <v>2.18537148270187</v>
      </c>
      <c r="D301" s="6" t="n">
        <f aca="false">IF(COUNT(C299:C301)=3,STDEV(C299:C301),"")</f>
        <v>3.03187673122329</v>
      </c>
      <c r="E301" s="6" t="n">
        <f aca="false">IF(COUNT(C290:C301)=12,STDEV(C290:C301),"")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IF(AND(B302&lt;&gt;"",B301&lt;&gt;""),LN(B302/B301)*100,"")</f>
        <v>4.0391019481052</v>
      </c>
      <c r="D302" s="6" t="n">
        <f aca="false">IF(COUNT(C300:C302)=3,STDEV(C300:C302),"")</f>
        <v>4.1259766714055</v>
      </c>
      <c r="E302" s="6" t="n">
        <f aca="false">IF(COUNT(C291:C302)=12,STDEV(C291:C302),"")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IF(AND(B303&lt;&gt;"",B302&lt;&gt;""),LN(B303/B302)*100,"")</f>
        <v>-1.98936875021376</v>
      </c>
      <c r="D303" s="6" t="n">
        <f aca="false">IF(COUNT(C301:C303)=3,STDEV(C301:C303),"")</f>
        <v>3.0878048192629</v>
      </c>
      <c r="E303" s="6" t="n">
        <f aca="false">IF(COUNT(C292:C303)=12,STDEV(C292:C303),"")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IF(AND(B304&lt;&gt;"",B303&lt;&gt;""),LN(B304/B303)*100,"")</f>
        <v>-4.03726044199077</v>
      </c>
      <c r="D304" s="6" t="n">
        <f aca="false">IF(COUNT(C302:C304)=3,STDEV(C302:C304),"")</f>
        <v>4.1984907764159</v>
      </c>
      <c r="E304" s="6" t="n">
        <f aca="false">IF(COUNT(C293:C304)=12,STDEV(C293:C304),"")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IF(AND(B305&lt;&gt;"",B304&lt;&gt;""),LN(B305/B304)*100,"")</f>
        <v>1.62260102922527</v>
      </c>
      <c r="D305" s="6" t="n">
        <f aca="false">IF(COUNT(C303:C305)=3,STDEV(C303:C305),"")</f>
        <v>2.86572323454848</v>
      </c>
      <c r="E305" s="6" t="n">
        <f aca="false">IF(COUNT(C294:C305)=12,STDEV(C294:C305),"")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IF(AND(B306&lt;&gt;"",B305&lt;&gt;""),LN(B306/B305)*100,"")</f>
        <v>0.095339964874527</v>
      </c>
      <c r="D306" s="6" t="n">
        <f aca="false">IF(COUNT(C304:C306)=3,STDEV(C304:C306),"")</f>
        <v>2.928166216675</v>
      </c>
      <c r="E306" s="6" t="n">
        <f aca="false">IF(COUNT(C295:C306)=12,STDEV(C295:C306),"")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IF(AND(B307&lt;&gt;"",B306&lt;&gt;""),LN(B307/B306)*100,"")</f>
        <v>-1.47431064842251</v>
      </c>
      <c r="D307" s="6" t="n">
        <f aca="false">IF(COUNT(C305:C307)=3,STDEV(C305:C307),"")</f>
        <v>1.54850418929886</v>
      </c>
      <c r="E307" s="6" t="n">
        <f aca="false">IF(COUNT(C296:C307)=12,STDEV(C296:C307),"")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IF(AND(B308&lt;&gt;"",B307&lt;&gt;""),LN(B308/B307)*100,"")</f>
        <v>-4.45383277511053</v>
      </c>
      <c r="D308" s="6" t="n">
        <f aca="false">IF(COUNT(C306:C308)=3,STDEV(C306:C308),"")</f>
        <v>2.31071157039956</v>
      </c>
      <c r="E308" s="6" t="n">
        <f aca="false">IF(COUNT(C297:C308)=12,STDEV(C297:C308),"")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IF(AND(B309&lt;&gt;"",B308&lt;&gt;""),LN(B309/B308)*100,"")</f>
        <v>-1.11786611852608</v>
      </c>
      <c r="D309" s="6" t="n">
        <f aca="false">IF(COUNT(C307:C309)=3,STDEV(C307:C309),"")</f>
        <v>1.83181505344471</v>
      </c>
      <c r="E309" s="6" t="n">
        <f aca="false">IF(COUNT(C298:C309)=12,STDEV(C298:C309),"")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IF(AND(B310&lt;&gt;"",B309&lt;&gt;""),LN(B310/B309)*100,"")</f>
        <v>0.629511153025463</v>
      </c>
      <c r="D310" s="6" t="n">
        <f aca="false">IF(COUNT(C308:C310)=3,STDEV(C308:C310),"")</f>
        <v>2.58271131290017</v>
      </c>
      <c r="E310" s="6" t="n">
        <f aca="false">IF(COUNT(C299:C310)=12,STDEV(C299:C310),"")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IF(AND(B311&lt;&gt;"",B310&lt;&gt;""),LN(B311/B310)*100,"")</f>
        <v>3.04025358303584</v>
      </c>
      <c r="D311" s="6" t="n">
        <f aca="false">IF(COUNT(C309:C311)=3,STDEV(C309:C311),"")</f>
        <v>2.08786038188639</v>
      </c>
      <c r="E311" s="6" t="n">
        <f aca="false">IF(COUNT(C300:C311)=12,STDEV(C300:C311),"")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IF(AND(B312&lt;&gt;"",B311&lt;&gt;""),LN(B312/B311)*100,"")</f>
        <v>-6.55421899867284</v>
      </c>
      <c r="D312" s="6" t="n">
        <f aca="false">IF(COUNT(C310:C312)=3,STDEV(C310:C312),"")</f>
        <v>4.99118493074593</v>
      </c>
      <c r="E312" s="6" t="n">
        <f aca="false">IF(COUNT(C301:C312)=12,STDEV(C301:C312),"")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IF(AND(B313&lt;&gt;"",B312&lt;&gt;""),LN(B313/B312)*100,"")</f>
        <v>-1.62028742770283</v>
      </c>
      <c r="D313" s="6" t="n">
        <f aca="false">IF(COUNT(C311:C313)=3,STDEV(C311:C313),"")</f>
        <v>4.79788542625727</v>
      </c>
      <c r="E313" s="6" t="n">
        <f aca="false">IF(COUNT(C302:C313)=12,STDEV(C302:C313),"")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IF(AND(B314&lt;&gt;"",B313&lt;&gt;""),LN(B314/B313)*100,"")</f>
        <v>2.68967052766886</v>
      </c>
      <c r="D314" s="6" t="n">
        <f aca="false">IF(COUNT(C312:C314)=3,STDEV(C312:C314),"")</f>
        <v>4.62545334533629</v>
      </c>
      <c r="E314" s="6" t="n">
        <f aca="false">IF(COUNT(C303:C314)=12,STDEV(C303:C314),"")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IF(AND(B315&lt;&gt;"",B314&lt;&gt;""),LN(B315/B314)*100,"")</f>
        <v>8.93271771364664</v>
      </c>
      <c r="D315" s="6" t="n">
        <f aca="false">IF(COUNT(C313:C315)=3,STDEV(C313:C315),"")</f>
        <v>5.305928967623</v>
      </c>
      <c r="E315" s="6" t="n">
        <f aca="false">IF(COUNT(C304:C315)=12,STDEV(C304:C315),"")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IF(AND(B316&lt;&gt;"",B315&lt;&gt;""),LN(B316/B315)*100,"")</f>
        <v>3.79615866501577</v>
      </c>
      <c r="D316" s="6" t="n">
        <f aca="false">IF(COUNT(C314:C316)=3,STDEV(C314:C316),"")</f>
        <v>3.3312708542063</v>
      </c>
      <c r="E316" s="6" t="n">
        <f aca="false">IF(COUNT(C305:C316)=12,STDEV(C305:C316),"")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IF(AND(B317&lt;&gt;"",B316&lt;&gt;""),LN(B317/B316)*100,"")</f>
        <v>-0.327589337095945</v>
      </c>
      <c r="D317" s="6" t="n">
        <f aca="false">IF(COUNT(C315:C317)=3,STDEV(C315:C317),"")</f>
        <v>4.63937537316941</v>
      </c>
      <c r="E317" s="6" t="n">
        <f aca="false">IF(COUNT(C306:C317)=12,STDEV(C306:C317),"")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IF(AND(B318&lt;&gt;"",B317&lt;&gt;""),LN(B318/B317)*100,"")</f>
        <v>1.3699597318378</v>
      </c>
      <c r="D318" s="6" t="n">
        <f aca="false">IF(COUNT(C316:C318)=3,STDEV(C316:C318),"")</f>
        <v>2.07257535808762</v>
      </c>
      <c r="E318" s="6" t="n">
        <f aca="false">IF(COUNT(C307:C318)=12,STDEV(C307:C318),"")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IF(AND(B319&lt;&gt;"",B318&lt;&gt;""),LN(B319/B318)*100,"")</f>
        <v>1.34137445694396</v>
      </c>
      <c r="D319" s="6" t="n">
        <f aca="false">IF(COUNT(C317:C319)=3,STDEV(C317:C319),"")</f>
        <v>0.971933648729399</v>
      </c>
      <c r="E319" s="6" t="n">
        <f aca="false">IF(COUNT(C308:C319)=12,STDEV(C308:C319),"")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IF(AND(B320&lt;&gt;"",B319&lt;&gt;""),LN(B320/B319)*100,"")</f>
        <v>4.66250637300987</v>
      </c>
      <c r="D320" s="6" t="n">
        <f aca="false">IF(COUNT(C318:C320)=3,STDEV(C318:C320),"")</f>
        <v>1.9092580455134</v>
      </c>
      <c r="E320" s="6" t="n">
        <f aca="false">IF(COUNT(C309:C320)=12,STDEV(C309:C320),"")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IF(AND(B321&lt;&gt;"",B320&lt;&gt;""),LN(B321/B320)*100,"")</f>
        <v>0.280945903115127</v>
      </c>
      <c r="D321" s="6" t="n">
        <f aca="false">IF(COUNT(C319:C321)=3,STDEV(C319:C321),"")</f>
        <v>2.28591695945089</v>
      </c>
      <c r="E321" s="6" t="n">
        <f aca="false">IF(COUNT(C310:C321)=12,STDEV(C310:C321),"")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IF(AND(B322&lt;&gt;"",B321&lt;&gt;""),LN(B322/B321)*100,"")</f>
        <v>-1.12925261735969</v>
      </c>
      <c r="D322" s="6" t="n">
        <f aca="false">IF(COUNT(C320:C322)=3,STDEV(C320:C322),"")</f>
        <v>3.02024293231025</v>
      </c>
      <c r="E322" s="6" t="n">
        <f aca="false">IF(COUNT(C311:C322)=12,STDEV(C311:C322),"")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IF(AND(B323&lt;&gt;"",B322&lt;&gt;""),LN(B323/B322)*100,"")</f>
        <v>-4.5877465730177</v>
      </c>
      <c r="D323" s="6" t="n">
        <f aca="false">IF(COUNT(C321:C323)=3,STDEV(C321:C323),"")</f>
        <v>2.50512829796615</v>
      </c>
      <c r="E323" s="6" t="n">
        <f aca="false">IF(COUNT(C312:C323)=12,STDEV(C312:C323),"")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IF(AND(B324&lt;&gt;"",B323&lt;&gt;""),LN(B324/B323)*100,"")</f>
        <v>-2.44478975116229</v>
      </c>
      <c r="D324" s="6" t="n">
        <f aca="false">IF(COUNT(C322:C324)=3,STDEV(C322:C324),"")</f>
        <v>1.74566521857587</v>
      </c>
      <c r="E324" s="6" t="n">
        <f aca="false">IF(COUNT(C313:C324)=12,STDEV(C313:C324),"")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IF(AND(B325&lt;&gt;"",B324&lt;&gt;""),LN(B325/B324)*100,"")</f>
        <v>-7.08828041349531</v>
      </c>
      <c r="D325" s="6" t="n">
        <f aca="false">IF(COUNT(C323:C325)=3,STDEV(C323:C325),"")</f>
        <v>2.32403883210832</v>
      </c>
      <c r="E325" s="6" t="n">
        <f aca="false">IF(COUNT(C314:C325)=12,STDEV(C314:C325),"")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IF(AND(B326&lt;&gt;"",B325&lt;&gt;""),LN(B326/B325)*100,"")</f>
        <v>3.51687668990806</v>
      </c>
      <c r="D326" s="6" t="n">
        <f aca="false">IF(COUNT(C324:C326)=3,STDEV(C324:C326),"")</f>
        <v>5.31621465383069</v>
      </c>
      <c r="E326" s="6" t="n">
        <f aca="false">IF(COUNT(C315:C326)=12,STDEV(C315:C326),"")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IF(AND(B327&lt;&gt;"",B326&lt;&gt;""),LN(B327/B326)*100,"")</f>
        <v>3.44008191139634</v>
      </c>
      <c r="D327" s="6" t="n">
        <f aca="false">IF(COUNT(C325:C327)=3,STDEV(C325:C327),"")</f>
        <v>6.10084239907451</v>
      </c>
      <c r="E327" s="6" t="n">
        <f aca="false">IF(COUNT(C316:C327)=12,STDEV(C316:C327),"")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IF(AND(B328&lt;&gt;"",B327&lt;&gt;""),LN(B328/B327)*100,"")</f>
        <v>-0.264781062360456</v>
      </c>
      <c r="D328" s="6" t="n">
        <f aca="false">IF(COUNT(C326:C328)=3,STDEV(C326:C328),"")</f>
        <v>2.16151345310076</v>
      </c>
      <c r="E328" s="6" t="n">
        <f aca="false">IF(COUNT(C317:C328)=12,STDEV(C317:C328),"")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IF(AND(B329&lt;&gt;"",B328&lt;&gt;""),LN(B329/B328)*100,"")</f>
        <v>2.76654849296826</v>
      </c>
      <c r="D329" s="6" t="n">
        <f aca="false">IF(COUNT(C327:C329)=3,STDEV(C327:C329),"")</f>
        <v>1.97351698721947</v>
      </c>
      <c r="E329" s="6" t="n">
        <f aca="false">IF(COUNT(C318:C329)=12,STDEV(C318:C329),"")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IF(AND(B330&lt;&gt;"",B329&lt;&gt;""),LN(B330/B329)*100,"")</f>
        <v>-1.64289113652834</v>
      </c>
      <c r="D330" s="6" t="n">
        <f aca="false">IF(COUNT(C328:C330)=3,STDEV(C328:C330),"")</f>
        <v>2.25578161235034</v>
      </c>
      <c r="E330" s="6" t="n">
        <f aca="false">IF(COUNT(C319:C330)=12,STDEV(C319:C330),"")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IF(AND(B331&lt;&gt;"",B330&lt;&gt;""),LN(B331/B330)*100,"")</f>
        <v>1.21761694154755</v>
      </c>
      <c r="D331" s="6" t="n">
        <f aca="false">IF(COUNT(C329:C331)=3,STDEV(C329:C331),"")</f>
        <v>2.23699401213247</v>
      </c>
      <c r="E331" s="6" t="n">
        <f aca="false">IF(COUNT(C320:C331)=12,STDEV(C320:C331),"")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IF(AND(B332&lt;&gt;"",B331&lt;&gt;""),LN(B332/B331)*100,"")</f>
        <v>-1.92560318281221</v>
      </c>
      <c r="D332" s="6" t="n">
        <f aca="false">IF(COUNT(C330:C332)=3,STDEV(C330:C332),"")</f>
        <v>1.7388820793847</v>
      </c>
      <c r="E332" s="6" t="n">
        <f aca="false">IF(COUNT(C321:C332)=12,STDEV(C321:C332),"")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IF(AND(B333&lt;&gt;"",B332&lt;&gt;""),LN(B333/B332)*100,"")</f>
        <v>3.6608254770174</v>
      </c>
      <c r="D333" s="6" t="n">
        <f aca="false">IF(COUNT(C331:C333)=3,STDEV(C331:C333),"")</f>
        <v>2.80051441314325</v>
      </c>
      <c r="E333" s="6" t="n">
        <f aca="false">IF(COUNT(C322:C333)=12,STDEV(C322:C333),"")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IF(AND(B334&lt;&gt;"",B333&lt;&gt;""),LN(B334/B333)*100,"")</f>
        <v>2.51526229153892</v>
      </c>
      <c r="D334" s="6" t="n">
        <f aca="false">IF(COUNT(C332:C334)=3,STDEV(C332:C334),"")</f>
        <v>2.95075657938133</v>
      </c>
      <c r="E334" s="6" t="n">
        <f aca="false">IF(COUNT(C323:C334)=12,STDEV(C323:C334),"")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IF(AND(B335&lt;&gt;"",B334&lt;&gt;""),LN(B335/B334)*100,"")</f>
        <v>-2.73403358722502</v>
      </c>
      <c r="D335" s="6" t="n">
        <f aca="false">IF(COUNT(C333:C335)=3,STDEV(C333:C335),"")</f>
        <v>3.4098300223094</v>
      </c>
      <c r="E335" s="6" t="n">
        <f aca="false">IF(COUNT(C324:C335)=12,STDEV(C324:C335),"")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IF(AND(B336&lt;&gt;"",B335&lt;&gt;""),LN(B336/B335)*100,"")</f>
        <v>0.216289958883369</v>
      </c>
      <c r="D336" s="6" t="n">
        <f aca="false">IF(COUNT(C334:C336)=3,STDEV(C334:C336),"")</f>
        <v>2.63137448354294</v>
      </c>
      <c r="E336" s="6" t="n">
        <f aca="false">IF(COUNT(C325:C336)=12,STDEV(C325:C336),"")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IF(AND(B337&lt;&gt;"",B336&lt;&gt;""),LN(B337/B336)*100,"")</f>
        <v>-1.65349771399635</v>
      </c>
      <c r="D337" s="6" t="n">
        <f aca="false">IF(COUNT(C335:C337)=3,STDEV(C335:C337),"")</f>
        <v>1.49265271366721</v>
      </c>
      <c r="E337" s="6" t="n">
        <f aca="false">IF(COUNT(C326:C337)=12,STDEV(C326:C337),"")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IF(AND(B338&lt;&gt;"",B337&lt;&gt;""),LN(B338/B337)*100,"")</f>
        <v>5.43227650750397</v>
      </c>
      <c r="D338" s="6" t="n">
        <f aca="false">IF(COUNT(C336:C338)=3,STDEV(C336:C338),"")</f>
        <v>3.67221136680889</v>
      </c>
      <c r="E338" s="6" t="n">
        <f aca="false">IF(COUNT(C327:C338)=12,STDEV(C327:C338),"")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IF(AND(B339&lt;&gt;"",B338&lt;&gt;""),LN(B339/B338)*100,"")</f>
        <v>-0.0105819744698236</v>
      </c>
      <c r="D339" s="6" t="n">
        <f aca="false">IF(COUNT(C337:C339)=3,STDEV(C337:C339),"")</f>
        <v>3.70882004821067</v>
      </c>
      <c r="E339" s="6" t="n">
        <f aca="false">IF(COUNT(C328:C339)=12,STDEV(C328:C339),"")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IF(AND(B340&lt;&gt;"",B339&lt;&gt;""),LN(B340/B339)*100,"")</f>
        <v>-0.517123606614103</v>
      </c>
      <c r="D340" s="6" t="n">
        <f aca="false">IF(COUNT(C338:C340)=3,STDEV(C338:C340),"")</f>
        <v>3.29839998074212</v>
      </c>
      <c r="E340" s="6" t="n">
        <f aca="false">IF(COUNT(C329:C340)=12,STDEV(C329:C340),"")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IF(AND(B341&lt;&gt;"",B340&lt;&gt;""),LN(B341/B340)*100,"")</f>
        <v>0.758285048419176</v>
      </c>
      <c r="D341" s="6" t="n">
        <f aca="false">IF(COUNT(C339:C341)=3,STDEV(C339:C341),"")</f>
        <v>0.642184833376833</v>
      </c>
      <c r="E341" s="6" t="n">
        <f aca="false">IF(COUNT(C330:C341)=12,STDEV(C330:C341),"")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IF(AND(B342&lt;&gt;"",B341&lt;&gt;""),LN(B342/B341)*100,"")</f>
        <v>-2.40471182544634</v>
      </c>
      <c r="D342" s="6" t="n">
        <f aca="false">IF(COUNT(C340:C342)=3,STDEV(C340:C342),"")</f>
        <v>1.59134145431305</v>
      </c>
      <c r="E342" s="6" t="n">
        <f aca="false">IF(COUNT(C331:C342)=12,STDEV(C331:C342),"")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IF(AND(B343&lt;&gt;"",B342&lt;&gt;""),LN(B343/B342)*100,"")</f>
        <v>-1.66061102374281</v>
      </c>
      <c r="D343" s="6" t="n">
        <f aca="false">IF(COUNT(C341:C343)=3,STDEV(C341:C343),"")</f>
        <v>1.65374793701557</v>
      </c>
      <c r="E343" s="6" t="n">
        <f aca="false">IF(COUNT(C332:C343)=12,STDEV(C332:C343),"")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IF(AND(B344&lt;&gt;"",B343&lt;&gt;""),LN(B344/B343)*100,"")</f>
        <v>-3.41621323864267</v>
      </c>
      <c r="D344" s="6" t="n">
        <f aca="false">IF(COUNT(C342:C344)=3,STDEV(C342:C344),"")</f>
        <v>0.881188614784537</v>
      </c>
      <c r="E344" s="6" t="n">
        <f aca="false">IF(COUNT(C333:C344)=12,STDEV(C333:C344),"")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IF(AND(B345&lt;&gt;"",B344&lt;&gt;""),LN(B345/B344)*100,"")</f>
        <v>-3.0562258094043</v>
      </c>
      <c r="D345" s="6" t="n">
        <f aca="false">IF(COUNT(C343:C345)=3,STDEV(C343:C345),"")</f>
        <v>0.927314286540073</v>
      </c>
      <c r="E345" s="6" t="n">
        <f aca="false">IF(COUNT(C334:C345)=12,STDEV(C334:C345),"")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IF(AND(B346&lt;&gt;"",B345&lt;&gt;""),LN(B346/B345)*100,"")</f>
        <v>-0.231106807732253</v>
      </c>
      <c r="D346" s="6" t="n">
        <f aca="false">IF(COUNT(C344:C346)=3,STDEV(C344:C346),"")</f>
        <v>1.74431415839412</v>
      </c>
      <c r="E346" s="6" t="n">
        <f aca="false">IF(COUNT(C335:C346)=12,STDEV(C335:C346),"")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IF(AND(B347&lt;&gt;"",B346&lt;&gt;""),LN(B347/B346)*100,"")</f>
        <v>1.40200455040512</v>
      </c>
      <c r="D347" s="6" t="n">
        <f aca="false">IF(COUNT(C345:C347)=3,STDEV(C345:C347),"")</f>
        <v>2.25551797535186</v>
      </c>
      <c r="E347" s="6" t="n">
        <f aca="false">IF(COUNT(C336:C347)=12,STDEV(C336:C347),"")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IF(AND(B348&lt;&gt;"",B347&lt;&gt;""),LN(B348/B347)*100,"")</f>
        <v>0.455764657401606</v>
      </c>
      <c r="D348" s="6" t="n">
        <f aca="false">IF(COUNT(C346:C348)=3,STDEV(C346:C348),"")</f>
        <v>0.819981204337812</v>
      </c>
      <c r="E348" s="6" t="n">
        <f aca="false">IF(COUNT(C337:C348)=12,STDEV(C337:C348),"")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IF(AND(B349&lt;&gt;"",B348&lt;&gt;""),LN(B349/B348)*100,"")</f>
        <v>2.18554722013082</v>
      </c>
      <c r="D349" s="6" t="n">
        <f aca="false">IF(COUNT(C347:C349)=3,STDEV(C347:C349),"")</f>
        <v>0.866165569691522</v>
      </c>
      <c r="E349" s="6" t="n">
        <f aca="false">IF(COUNT(C338:C349)=12,STDEV(C338:C349),"")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IF(AND(B350&lt;&gt;"",B349&lt;&gt;""),LN(B350/B349)*100,"")</f>
        <v>3.45133757843313</v>
      </c>
      <c r="D350" s="6" t="n">
        <f aca="false">IF(COUNT(C348:C350)=3,STDEV(C348:C350),"")</f>
        <v>1.50376361566075</v>
      </c>
      <c r="E350" s="6" t="n">
        <f aca="false">IF(COUNT(C339:C350)=12,STDEV(C339:C350),"")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IF(AND(B351&lt;&gt;"",B350&lt;&gt;""),LN(B351/B350)*100,"")</f>
        <v>2.16866084657456</v>
      </c>
      <c r="D351" s="6" t="n">
        <f aca="false">IF(COUNT(C349:C351)=3,STDEV(C349:C351),"")</f>
        <v>0.735727528735374</v>
      </c>
      <c r="E351" s="6" t="n">
        <f aca="false">IF(COUNT(C340:C351)=12,STDEV(C340:C351),"")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IF(AND(B352&lt;&gt;"",B351&lt;&gt;""),LN(B352/B351)*100,"")</f>
        <v>-1.46264754211973</v>
      </c>
      <c r="D352" s="6" t="n">
        <f aca="false">IF(COUNT(C350:C352)=3,STDEV(C350:C352),"")</f>
        <v>2.54882031461837</v>
      </c>
      <c r="E352" s="6" t="n">
        <f aca="false">IF(COUNT(C341:C352)=12,STDEV(C341:C352),"")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IF(AND(B353&lt;&gt;"",B352&lt;&gt;""),LN(B353/B352)*100,"")</f>
        <v>-1.11719022149409</v>
      </c>
      <c r="D353" s="6" t="n">
        <f aca="false">IF(COUNT(C351:C353)=3,STDEV(C351:C353),"")</f>
        <v>2.00426872016134</v>
      </c>
      <c r="E353" s="6" t="n">
        <f aca="false">IF(COUNT(C342:C353)=12,STDEV(C342:C353),"")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IF(AND(B354&lt;&gt;"",B353&lt;&gt;""),LN(B354/B353)*100,"")</f>
        <v>-0.194319087264253</v>
      </c>
      <c r="D354" s="6" t="n">
        <f aca="false">IF(COUNT(C352:C354)=3,STDEV(C352:C354),"")</f>
        <v>0.655704323630269</v>
      </c>
      <c r="E354" s="6" t="n">
        <f aca="false">IF(COUNT(C343:C354)=12,STDEV(C343:C354),"")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IF(AND(B355&lt;&gt;"",B354&lt;&gt;""),LN(B355/B354)*100,"")</f>
        <v>5.68409983734929</v>
      </c>
      <c r="D355" s="6" t="n">
        <f aca="false">IF(COUNT(C353:C355)=3,STDEV(C353:C355),"")</f>
        <v>3.6892873441938</v>
      </c>
      <c r="E355" s="6" t="n">
        <f aca="false">IF(COUNT(C344:C355)=12,STDEV(C344:C355),"")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IF(AND(B356&lt;&gt;"",B355&lt;&gt;""),LN(B356/B355)*100,"")</f>
        <v>3.89193108204043</v>
      </c>
      <c r="D356" s="6" t="n">
        <f aca="false">IF(COUNT(C354:C356)=3,STDEV(C354:C356),"")</f>
        <v>3.01289225238536</v>
      </c>
      <c r="E356" s="6" t="n">
        <f aca="false">IF(COUNT(C345:C356)=12,STDEV(C345:C356),"")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IF(AND(B357&lt;&gt;"",B356&lt;&gt;""),LN(B357/B356)*100,"")</f>
        <v>5.89634808684186</v>
      </c>
      <c r="D357" s="6" t="n">
        <f aca="false">IF(COUNT(C355:C357)=3,STDEV(C355:C357),"")</f>
        <v>1.1011059361732</v>
      </c>
      <c r="E357" s="6" t="n">
        <f aca="false">IF(COUNT(C346:C357)=12,STDEV(C346:C357),"")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IF(AND(B358&lt;&gt;"",B357&lt;&gt;""),LN(B358/B357)*100,"")</f>
        <v>0.831646078551411</v>
      </c>
      <c r="D358" s="6" t="n">
        <f aca="false">IF(COUNT(C356:C358)=3,STDEV(C356:C358),"")</f>
        <v>2.55062862397025</v>
      </c>
      <c r="E358" s="6" t="n">
        <f aca="false">IF(COUNT(C347:C358)=12,STDEV(C347:C358),"")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IF(AND(B359&lt;&gt;"",B358&lt;&gt;""),LN(B359/B358)*100,"")</f>
        <v>-1.09872415200111</v>
      </c>
      <c r="D359" s="6" t="n">
        <f aca="false">IF(COUNT(C357:C359)=3,STDEV(C357:C359),"")</f>
        <v>3.61267609228063</v>
      </c>
      <c r="E359" s="6" t="n">
        <f aca="false">IF(COUNT(C348:C359)=12,STDEV(C348:C359),"")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IF(AND(B360&lt;&gt;"",B359&lt;&gt;""),LN(B360/B359)*100,"")</f>
        <v>-1.6718680034337</v>
      </c>
      <c r="D360" s="6" t="n">
        <f aca="false">IF(COUNT(C358:C360)=3,STDEV(C358:C360),"")</f>
        <v>1.31164056688155</v>
      </c>
      <c r="E360" s="6" t="n">
        <f aca="false">IF(COUNT(C349:C360)=12,STDEV(C349:C360),"")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IF(AND(B361&lt;&gt;"",B360&lt;&gt;""),LN(B361/B360)*100,"")</f>
        <v>0.409209854230869</v>
      </c>
      <c r="D361" s="6" t="n">
        <f aca="false">IF(COUNT(C359:C361)=3,STDEV(C359:C361),"")</f>
        <v>1.07496076604742</v>
      </c>
      <c r="E361" s="6" t="n">
        <f aca="false">IF(COUNT(C350:C361)=12,STDEV(C350:C361),"")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IF(AND(B362&lt;&gt;"",B361&lt;&gt;""),LN(B362/B361)*100,"")</f>
        <v>5.57511266002436</v>
      </c>
      <c r="D362" s="6" t="n">
        <f aca="false">IF(COUNT(C360:C362)=3,STDEV(C360:C362),"")</f>
        <v>3.73131267306609</v>
      </c>
      <c r="E362" s="6" t="n">
        <f aca="false">IF(COUNT(C351:C362)=12,STDEV(C351:C362),"")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IF(AND(B363&lt;&gt;"",B362&lt;&gt;""),LN(B363/B362)*100,"")</f>
        <v>2.30740862786679</v>
      </c>
      <c r="D363" s="6" t="n">
        <f aca="false">IF(COUNT(C361:C363)=3,STDEV(C361:C363),"")</f>
        <v>2.61303144594284</v>
      </c>
      <c r="E363" s="6" t="n">
        <f aca="false">IF(COUNT(C352:C363)=12,STDEV(C352:C363),"")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IF(AND(B364&lt;&gt;"",B363&lt;&gt;""),LN(B364/B363)*100,"")</f>
        <v>-0.324564659763955</v>
      </c>
      <c r="D364" s="6" t="n">
        <f aca="false">IF(COUNT(C362:C364)=3,STDEV(C362:C364),"")</f>
        <v>2.95554184277055</v>
      </c>
      <c r="E364" s="6" t="n">
        <f aca="false">IF(COUNT(C353:C364)=12,STDEV(C353:C364),"")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IF(AND(B365&lt;&gt;"",B364&lt;&gt;""),LN(B365/B364)*100,"")</f>
        <v>5.55909185307122</v>
      </c>
      <c r="D365" s="6" t="n">
        <f aca="false">IF(COUNT(C363:C365)=3,STDEV(C363:C365),"")</f>
        <v>2.94726260409286</v>
      </c>
      <c r="E365" s="6" t="n">
        <f aca="false">IF(COUNT(C354:C365)=12,STDEV(C354:C365),"")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IF(AND(B366&lt;&gt;"",B365&lt;&gt;""),LN(B366/B365)*100,"")</f>
        <v>1.96820197510571</v>
      </c>
      <c r="D366" s="6" t="n">
        <f aca="false">IF(COUNT(C364:C366)=3,STDEV(C364:C366),"")</f>
        <v>2.96559951551887</v>
      </c>
      <c r="E366" s="6" t="n">
        <f aca="false">IF(COUNT(C355:C366)=12,STDEV(C355:C366),"")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IF(AND(B367&lt;&gt;"",B366&lt;&gt;""),LN(B367/B366)*100,"")</f>
        <v>0.918443153301796</v>
      </c>
      <c r="D367" s="6" t="n">
        <f aca="false">IF(COUNT(C365:C367)=3,STDEV(C365:C367),"")</f>
        <v>2.43351953811422</v>
      </c>
      <c r="E367" s="6" t="n">
        <f aca="false">IF(COUNT(C356:C367)=12,STDEV(C356:C367),"")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IF(AND(B368&lt;&gt;"",B367&lt;&gt;""),LN(B368/B367)*100,"")</f>
        <v>6.21617464176807</v>
      </c>
      <c r="D368" s="6" t="n">
        <f aca="false">IF(COUNT(C366:C368)=3,STDEV(C366:C368),"")</f>
        <v>2.80515074712432</v>
      </c>
      <c r="E368" s="6" t="n">
        <f aca="false">IF(COUNT(C357:C368)=12,STDEV(C357:C368),"")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IF(AND(B369&lt;&gt;"",B368&lt;&gt;""),LN(B369/B368)*100,"")</f>
        <v>6.54690066913256</v>
      </c>
      <c r="D369" s="6" t="n">
        <f aca="false">IF(COUNT(C367:C369)=3,STDEV(C367:C369),"")</f>
        <v>3.15845090291045</v>
      </c>
      <c r="E369" s="6" t="n">
        <f aca="false">IF(COUNT(C358:C369)=12,STDEV(C358:C369),"")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IF(AND(B370&lt;&gt;"",B369&lt;&gt;""),LN(B370/B369)*100,"")</f>
        <v>-2.35560688163231</v>
      </c>
      <c r="D370" s="6" t="n">
        <f aca="false">IF(COUNT(C368:C370)=3,STDEV(C368:C370),"")</f>
        <v>5.04710245060652</v>
      </c>
      <c r="E370" s="6" t="n">
        <f aca="false">IF(COUNT(C359:C370)=12,STDEV(C359:C370),"")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IF(AND(B371&lt;&gt;"",B370&lt;&gt;""),LN(B371/B370)*100,"")</f>
        <v>-1.14788449847722</v>
      </c>
      <c r="D371" s="6" t="n">
        <f aca="false">IF(COUNT(C369:C371)=3,STDEV(C369:C371),"")</f>
        <v>4.82912954236866</v>
      </c>
      <c r="E371" s="6" t="n">
        <f aca="false">IF(COUNT(C360:C371)=12,STDEV(C360:C371),"")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IF(AND(B372&lt;&gt;"",B371&lt;&gt;""),LN(B372/B371)*100,"")</f>
        <v>-1.95460056443816</v>
      </c>
      <c r="D372" s="6" t="n">
        <f aca="false">IF(COUNT(C370:C372)=3,STDEV(C370:C372),"")</f>
        <v>0.615113842076259</v>
      </c>
      <c r="E372" s="6" t="n">
        <f aca="false">IF(COUNT(C361:C372)=12,STDEV(C361:C372),"")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IF(AND(B373&lt;&gt;"",B372&lt;&gt;""),LN(B373/B372)*100,"")</f>
        <v>-0.40530767252408</v>
      </c>
      <c r="D373" s="6" t="n">
        <f aca="false">IF(COUNT(C371:C373)=3,STDEV(C371:C373),"")</f>
        <v>0.774867689615202</v>
      </c>
      <c r="E373" s="6" t="n">
        <f aca="false">IF(COUNT(C362:C373)=12,STDEV(C362:C373),"")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IF(AND(B374&lt;&gt;"",B373&lt;&gt;""),LN(B374/B373)*100,"")</f>
        <v>0.592530007620606</v>
      </c>
      <c r="D374" s="6" t="n">
        <f aca="false">IF(COUNT(C372:C374)=3,STDEV(C372:C374),"")</f>
        <v>1.28347592186014</v>
      </c>
      <c r="E374" s="6" t="n">
        <f aca="false">IF(COUNT(C363:C374)=12,STDEV(C363:C374),"")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IF(AND(B375&lt;&gt;"",B374&lt;&gt;""),LN(B375/B374)*100,"")</f>
        <v>-3.20067809263814</v>
      </c>
      <c r="D375" s="6" t="n">
        <f aca="false">IF(COUNT(C373:C375)=3,STDEV(C373:C375),"")</f>
        <v>1.966308025778</v>
      </c>
      <c r="E375" s="6" t="n">
        <f aca="false">IF(COUNT(C364:C375)=12,STDEV(C364:C375),"")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IF(AND(B376&lt;&gt;"",B375&lt;&gt;""),LN(B376/B375)*100,"")</f>
        <v>-5.1024370283689</v>
      </c>
      <c r="D376" s="6" t="n">
        <f aca="false">IF(COUNT(C374:C376)=3,STDEV(C374:C376),"")</f>
        <v>2.89936097219449</v>
      </c>
      <c r="E376" s="6" t="n">
        <f aca="false">IF(COUNT(C365:C376)=12,STDEV(C365:C376),"")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IF(AND(B377&lt;&gt;"",B376&lt;&gt;""),LN(B377/B376)*100,"")</f>
        <v>2.49728010771956</v>
      </c>
      <c r="D377" s="6" t="n">
        <f aca="false">IF(COUNT(C375:C377)=3,STDEV(C375:C377),"")</f>
        <v>3.9547253434175</v>
      </c>
      <c r="E377" s="6" t="n">
        <f aca="false">IF(COUNT(C366:C377)=12,STDEV(C366:C377),"")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IF(AND(B378&lt;&gt;"",B377&lt;&gt;""),LN(B378/B377)*100,"")</f>
        <v>5.19200571783596</v>
      </c>
      <c r="D378" s="6" t="n">
        <f aca="false">IF(COUNT(C376:C378)=3,STDEV(C376:C378),"")</f>
        <v>5.3384267051455</v>
      </c>
      <c r="E378" s="6" t="n">
        <f aca="false">IF(COUNT(C367:C378)=12,STDEV(C367:C378),"")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IF(AND(B379&lt;&gt;"",B378&lt;&gt;""),LN(B379/B378)*100,"")</f>
        <v>-1.13786455751445</v>
      </c>
      <c r="D379" s="6" t="n">
        <f aca="false">IF(COUNT(C377:C379)=3,STDEV(C377:C379),"")</f>
        <v>3.17655685068391</v>
      </c>
      <c r="E379" s="6" t="n">
        <f aca="false">IF(COUNT(C368:C379)=12,STDEV(C368:C379),"")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IF(AND(B380&lt;&gt;"",B379&lt;&gt;""),LN(B380/B379)*100,"")</f>
        <v>-1.50883142996084</v>
      </c>
      <c r="D380" s="6" t="n">
        <f aca="false">IF(COUNT(C378:C380)=3,STDEV(C378:C380),"")</f>
        <v>3.76621146079432</v>
      </c>
      <c r="E380" s="6" t="n">
        <f aca="false">IF(COUNT(C369:C380)=12,STDEV(C369:C380),"")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IF(AND(B381&lt;&gt;"",B380&lt;&gt;""),LN(B381/B380)*100,"")</f>
        <v>-1.28788934004664</v>
      </c>
      <c r="D381" s="6" t="n">
        <f aca="false">IF(COUNT(C379:C381)=3,STDEV(C379:C381),"")</f>
        <v>0.186609781327306</v>
      </c>
      <c r="E381" s="6" t="n">
        <f aca="false">IF(COUNT(C370:C381)=12,STDEV(C370:C381),"")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IF(AND(B382&lt;&gt;"",B381&lt;&gt;""),LN(B382/B381)*100,"")</f>
        <v>-0.377217940261543</v>
      </c>
      <c r="D382" s="6" t="n">
        <f aca="false">IF(COUNT(C380:C382)=3,STDEV(C380:C382),"")</f>
        <v>0.599817596656354</v>
      </c>
      <c r="E382" s="6" t="n">
        <f aca="false">IF(COUNT(C371:C382)=12,STDEV(C371:C382),"")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IF(AND(B383&lt;&gt;"",B382&lt;&gt;""),LN(B383/B382)*100,"")</f>
        <v>-0.0223690969514605</v>
      </c>
      <c r="D383" s="6" t="n">
        <f aca="false">IF(COUNT(C381:C383)=3,STDEV(C381:C383),"")</f>
        <v>0.652786538064412</v>
      </c>
      <c r="E383" s="6" t="n">
        <f aca="false">IF(COUNT(C372:C383)=12,STDEV(C372:C383),"")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IF(AND(B384&lt;&gt;"",B383&lt;&gt;""),LN(B384/B383)*100,"")</f>
        <v>2.41203005504514</v>
      </c>
      <c r="D384" s="6" t="n">
        <f aca="false">IF(COUNT(C382:C384)=3,STDEV(C382:C384),"")</f>
        <v>1.51833907676352</v>
      </c>
      <c r="E384" s="6" t="n">
        <f aca="false">IF(COUNT(C373:C384)=12,STDEV(C373:C384),"")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IF(AND(B385&lt;&gt;"",B384&lt;&gt;""),LN(B385/B384)*100,"")</f>
        <v>-1.86212832721008</v>
      </c>
      <c r="D385" s="6" t="n">
        <f aca="false">IF(COUNT(C383:C385)=3,STDEV(C383:C385),"")</f>
        <v>2.14396218612355</v>
      </c>
      <c r="E385" s="6" t="n">
        <f aca="false">IF(COUNT(C374:C385)=12,STDEV(C374:C385),"")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IF(AND(B386&lt;&gt;"",B385&lt;&gt;""),LN(B386/B385)*100,"")</f>
        <v>1.67136160583153</v>
      </c>
      <c r="D386" s="6" t="n">
        <f aca="false">IF(COUNT(C384:C386)=3,STDEV(C384:C386),"")</f>
        <v>2.28409612812777</v>
      </c>
      <c r="E386" s="6" t="n">
        <f aca="false">IF(COUNT(C375:C386)=12,STDEV(C375:C386),"")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IF(AND(B387&lt;&gt;"",B386&lt;&gt;""),LN(B387/B386)*100,"")</f>
        <v>2.15251187167534</v>
      </c>
      <c r="D387" s="6" t="n">
        <f aca="false">IF(COUNT(C385:C387)=3,STDEV(C385:C387),"")</f>
        <v>2.19219800701392</v>
      </c>
      <c r="E387" s="6" t="n">
        <f aca="false">IF(COUNT(C376:C387)=12,STDEV(C376:C387),"")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IF(AND(B388&lt;&gt;"",B387&lt;&gt;""),LN(B388/B387)*100,"")</f>
        <v>4.81324738633257</v>
      </c>
      <c r="D388" s="6" t="n">
        <f aca="false">IF(COUNT(C386:C388)=3,STDEV(C386:C388),"")</f>
        <v>1.69226009205611</v>
      </c>
      <c r="E388" s="6" t="n">
        <f aca="false">IF(COUNT(C377:C388)=12,STDEV(C377:C388),"")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IF(AND(B389&lt;&gt;"",B388&lt;&gt;""),LN(B389/B388)*100,"")</f>
        <v>-0.717635017648219</v>
      </c>
      <c r="D389" s="6" t="n">
        <f aca="false">IF(COUNT(C387:C389)=3,STDEV(C387:C389),"")</f>
        <v>2.76610185435257</v>
      </c>
      <c r="E389" s="6" t="n">
        <f aca="false">IF(COUNT(C378:C389)=12,STDEV(C378:C389),"")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IF(AND(B390&lt;&gt;"",B389&lt;&gt;""),LN(B390/B389)*100,"")</f>
        <v>-4.44432263517937</v>
      </c>
      <c r="D390" s="6" t="n">
        <f aca="false">IF(COUNT(C388:C390)=3,STDEV(C388:C390),"")</f>
        <v>4.65799426557041</v>
      </c>
      <c r="E390" s="6" t="n">
        <f aca="false">IF(COUNT(C379:C390)=12,STDEV(C379:C390),"")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IF(AND(B391&lt;&gt;"",B390&lt;&gt;""),LN(B391/B390)*100,"")</f>
        <v>-0.692676851005132</v>
      </c>
      <c r="D391" s="6" t="n">
        <f aca="false">IF(COUNT(C389:C391)=3,STDEV(C389:C391),"")</f>
        <v>2.15884496890716</v>
      </c>
      <c r="E391" s="6" t="n">
        <f aca="false">IF(COUNT(C380:C391)=12,STDEV(C380:C391),"")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IF(AND(B392&lt;&gt;"",B391&lt;&gt;""),LN(B392/B391)*100,"")</f>
        <v>-5.57901891153862</v>
      </c>
      <c r="D392" s="6" t="n">
        <f aca="false">IF(COUNT(C390:C392)=3,STDEV(C390:C392),"")</f>
        <v>2.55730067525749</v>
      </c>
      <c r="E392" s="6" t="n">
        <f aca="false">IF(COUNT(C381:C392)=12,STDEV(C381:C392),"")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IF(AND(B393&lt;&gt;"",B392&lt;&gt;""),LN(B393/B392)*100,"")</f>
        <v>1.52806243477506</v>
      </c>
      <c r="D393" s="6" t="n">
        <f aca="false">IF(COUNT(C391:C393)=3,STDEV(C391:C393),"")</f>
        <v>3.63590032341982</v>
      </c>
      <c r="E393" s="6" t="n">
        <f aca="false">IF(COUNT(C382:C393)=12,STDEV(C382:C393),"")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IF(AND(B394&lt;&gt;"",B393&lt;&gt;""),LN(B394/B393)*100,"")</f>
        <v>-4.69575253361284</v>
      </c>
      <c r="D394" s="6" t="n">
        <f aca="false">IF(COUNT(C392:C394)=3,STDEV(C392:C394),"")</f>
        <v>3.87355645194058</v>
      </c>
      <c r="E394" s="6" t="n">
        <f aca="false">IF(COUNT(C383:C394)=12,STDEV(C383:C394),"")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IF(AND(B395&lt;&gt;"",B394&lt;&gt;""),LN(B395/B394)*100,"")</f>
        <v>-0.98999809425187</v>
      </c>
      <c r="D395" s="6" t="n">
        <f aca="false">IF(COUNT(C393:C395)=3,STDEV(C393:C395),"")</f>
        <v>3.13073786705882</v>
      </c>
      <c r="E395" s="6" t="n">
        <f aca="false">IF(COUNT(C384:C395)=12,STDEV(C384:C395),"")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IF(AND(B396&lt;&gt;"",B395&lt;&gt;""),LN(B396/B395)*100,"")</f>
        <v>3.61043856715569</v>
      </c>
      <c r="D396" s="6" t="n">
        <f aca="false">IF(COUNT(C394:C396)=3,STDEV(C394:C396),"")</f>
        <v>4.1611185203611</v>
      </c>
      <c r="E396" s="6" t="n">
        <f aca="false">IF(COUNT(C385:C396)=12,STDEV(C385:C396),"")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IF(AND(B397&lt;&gt;"",B396&lt;&gt;""),LN(B397/B396)*100,"")</f>
        <v>3.9439719111929</v>
      </c>
      <c r="D397" s="6" t="n">
        <f aca="false">IF(COUNT(C395:C397)=3,STDEV(C395:C397),"")</f>
        <v>2.75739375684831</v>
      </c>
      <c r="E397" s="6" t="n">
        <f aca="false">IF(COUNT(C386:C397)=12,STDEV(C386:C397),"")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IF(AND(B398&lt;&gt;"",B397&lt;&gt;""),LN(B398/B397)*100,"")</f>
        <v>5.34320809086622</v>
      </c>
      <c r="D398" s="6" t="n">
        <f aca="false">IF(COUNT(C396:C398)=3,STDEV(C396:C398),"")</f>
        <v>0.9193835435036</v>
      </c>
      <c r="E398" s="6" t="n">
        <f aca="false">IF(COUNT(C387:C398)=12,STDEV(C387:C398),"")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IF(AND(B399&lt;&gt;"",B398&lt;&gt;""),LN(B399/B398)*100,"")</f>
        <v>-2.27511630710384</v>
      </c>
      <c r="D399" s="6" t="n">
        <f aca="false">IF(COUNT(C397:C399)=3,STDEV(C397:C399),"")</f>
        <v>4.0553213351137</v>
      </c>
      <c r="E399" s="6" t="n">
        <f aca="false">IF(COUNT(C388:C399)=12,STDEV(C388:C399),"")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IF(AND(B400&lt;&gt;"",B399&lt;&gt;""),LN(B400/B399)*100,"")</f>
        <v>3.19848582930816</v>
      </c>
      <c r="D400" s="6" t="n">
        <f aca="false">IF(COUNT(C398:C400)=3,STDEV(C398:C400),"")</f>
        <v>3.92850736199859</v>
      </c>
      <c r="E400" s="6" t="n">
        <f aca="false">IF(COUNT(C389:C400)=12,STDEV(C389:C400),"")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IF(AND(B401&lt;&gt;"",B400&lt;&gt;""),LN(B401/B400)*100,"")</f>
        <v>4.39699124297165</v>
      </c>
      <c r="D401" s="6" t="n">
        <f aca="false">IF(COUNT(C399:C401)=3,STDEV(C399:C401),"")</f>
        <v>3.5570061084684</v>
      </c>
      <c r="E401" s="6" t="n">
        <f aca="false">IF(COUNT(C390:C401)=12,STDEV(C390:C401),"")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IF(AND(B402&lt;&gt;"",B401&lt;&gt;""),LN(B402/B401)*100,"")</f>
        <v>-0.493373838817124</v>
      </c>
      <c r="D402" s="6" t="n">
        <f aca="false">IF(COUNT(C400:C402)=3,STDEV(C400:C402),"")</f>
        <v>2.54891851801536</v>
      </c>
      <c r="E402" s="6" t="n">
        <f aca="false">IF(COUNT(C391:C402)=12,STDEV(C391:C402),"")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IF(AND(B403&lt;&gt;"",B402&lt;&gt;""),LN(B403/B402)*100,"")</f>
        <v>-2.2925229676043</v>
      </c>
      <c r="D403" s="6" t="n">
        <f aca="false">IF(COUNT(C401:C403)=3,STDEV(C401:C403),"")</f>
        <v>3.46174832019632</v>
      </c>
      <c r="E403" s="6" t="n">
        <f aca="false">IF(COUNT(C392:C403)=12,STDEV(C392:C403),"")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IF(AND(B404&lt;&gt;"",B403&lt;&gt;""),LN(B404/B403)*100,"")</f>
        <v>0.284537577152104</v>
      </c>
      <c r="D404" s="6" t="n">
        <f aca="false">IF(COUNT(C402:C404)=3,STDEV(C402:C404),"")</f>
        <v>1.32182479991683</v>
      </c>
      <c r="E404" s="6" t="n">
        <f aca="false">IF(COUNT(C393:C404)=12,STDEV(C393:C404),"")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IF(AND(B405&lt;&gt;"",B404&lt;&gt;""),LN(B405/B404)*100,"")</f>
        <v>-1.60061556408253</v>
      </c>
      <c r="D405" s="6" t="n">
        <f aca="false">IF(COUNT(C403:C405)=3,STDEV(C403:C405),"")</f>
        <v>1.3337777971046</v>
      </c>
      <c r="E405" s="6" t="n">
        <f aca="false">IF(COUNT(C394:C405)=12,STDEV(C394:C405),"")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IF(AND(B406&lt;&gt;"",B405&lt;&gt;""),LN(B406/B405)*100,"")</f>
        <v>-0.201704230783474</v>
      </c>
      <c r="D406" s="6" t="n">
        <f aca="false">IF(COUNT(C404:C406)=3,STDEV(C404:C406),"")</f>
        <v>0.978705469836201</v>
      </c>
      <c r="E406" s="6" t="n">
        <f aca="false">IF(COUNT(C395:C406)=12,STDEV(C395:C406),"")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IF(AND(B407&lt;&gt;"",B406&lt;&gt;""),LN(B407/B406)*100,"")</f>
        <v>-0.0757408057535744</v>
      </c>
      <c r="D407" s="6" t="n">
        <f aca="false">IF(COUNT(C405:C407)=3,STDEV(C405:C407),"")</f>
        <v>0.846370952111286</v>
      </c>
      <c r="E407" s="6" t="n">
        <f aca="false">IF(COUNT(C396:C407)=12,STDEV(C396:C407),"")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IF(AND(B408&lt;&gt;"",B407&lt;&gt;""),LN(B408/B407)*100,"")</f>
        <v>3.68234210342348</v>
      </c>
      <c r="D408" s="6" t="n">
        <f aca="false">IF(COUNT(C406:C408)=3,STDEV(C406:C408),"")</f>
        <v>2.20699153687247</v>
      </c>
      <c r="E408" s="6" t="n">
        <f aca="false">IF(COUNT(C397:C408)=12,STDEV(C397:C408),"")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IF(AND(B409&lt;&gt;"",B408&lt;&gt;""),LN(B409/B408)*100,"")</f>
        <v>2.43398546328813</v>
      </c>
      <c r="D409" s="6" t="n">
        <f aca="false">IF(COUNT(C407:C409)=3,STDEV(C407:C409),"")</f>
        <v>1.91399701317847</v>
      </c>
      <c r="E409" s="6" t="n">
        <f aca="false">IF(COUNT(C398:C409)=12,STDEV(C398:C409),"")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IF(AND(B410&lt;&gt;"",B409&lt;&gt;""),LN(B410/B409)*100,"")</f>
        <v>-0.0343203964240416</v>
      </c>
      <c r="D410" s="6" t="n">
        <f aca="false">IF(COUNT(C408:C410)=3,STDEV(C408:C410),"")</f>
        <v>1.89140636634191</v>
      </c>
      <c r="E410" s="6" t="n">
        <f aca="false">IF(COUNT(C399:C410)=12,STDEV(C399:C410),"")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IF(AND(B411&lt;&gt;"",B410&lt;&gt;""),LN(B411/B410)*100,"")</f>
        <v>-0.471111325614399</v>
      </c>
      <c r="D411" s="6" t="n">
        <f aca="false">IF(COUNT(C409:C411)=3,STDEV(C409:C411),"")</f>
        <v>1.56646669747579</v>
      </c>
      <c r="E411" s="6" t="n">
        <f aca="false">IF(COUNT(C400:C411)=12,STDEV(C400:C411),"")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IF(AND(B412&lt;&gt;"",B411&lt;&gt;""),LN(B412/B411)*100,"")</f>
        <v>6.58976545332425</v>
      </c>
      <c r="D412" s="6" t="n">
        <f aca="false">IF(COUNT(C410:C412)=3,STDEV(C410:C412),"")</f>
        <v>3.95654058802243</v>
      </c>
      <c r="E412" s="6" t="n">
        <f aca="false">IF(COUNT(C401:C412)=12,STDEV(C401:C412),"")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IF(AND(B413&lt;&gt;"",B412&lt;&gt;""),LN(B413/B412)*100,"")</f>
        <v>7.61970765032086</v>
      </c>
      <c r="D413" s="6" t="n">
        <f aca="false">IF(COUNT(C411:C413)=3,STDEV(C411:C413),"")</f>
        <v>4.40412900049229</v>
      </c>
      <c r="E413" s="6" t="n">
        <f aca="false">IF(COUNT(C402:C413)=12,STDEV(C402:C413),"")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IF(AND(B414&lt;&gt;"",B413&lt;&gt;""),LN(B414/B413)*100,"")</f>
        <v>0.727822697612787</v>
      </c>
      <c r="D414" s="6" t="n">
        <f aca="false">IF(COUNT(C412:C414)=3,STDEV(C412:C414),"")</f>
        <v>3.71755367595762</v>
      </c>
      <c r="E414" s="6" t="n">
        <f aca="false">IF(COUNT(C403:C414)=12,STDEV(C403:C414),"")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IF(AND(B415&lt;&gt;"",B414&lt;&gt;""),LN(B415/B414)*100,"")</f>
        <v>-0.95468537378427</v>
      </c>
      <c r="D415" s="6" t="n">
        <f aca="false">IF(COUNT(C413:C415)=3,STDEV(C413:C415),"")</f>
        <v>4.54329409392757</v>
      </c>
      <c r="E415" s="6" t="n">
        <f aca="false">IF(COUNT(C404:C415)=12,STDEV(C404:C415),"")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IF(AND(B416&lt;&gt;"",B415&lt;&gt;""),LN(B416/B415)*100,"")</f>
        <v>2.78275253959863</v>
      </c>
      <c r="D416" s="6" t="n">
        <f aca="false">IF(COUNT(C414:C416)=3,STDEV(C414:C416),"")</f>
        <v>1.87180893888738</v>
      </c>
      <c r="E416" s="6" t="n">
        <f aca="false">IF(COUNT(C405:C416)=12,STDEV(C405:C416),"")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IF(AND(B417&lt;&gt;"",B416&lt;&gt;""),LN(B417/B416)*100,"")</f>
        <v>3.05914495182151</v>
      </c>
      <c r="D417" s="6" t="n">
        <f aca="false">IF(COUNT(C415:C417)=3,STDEV(C415:C417),"")</f>
        <v>2.24186190493077</v>
      </c>
      <c r="E417" s="6" t="n">
        <f aca="false">IF(COUNT(C406:C417)=12,STDEV(C406:C417),"")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IF(AND(B418&lt;&gt;"",B417&lt;&gt;""),LN(B418/B417)*100,"")</f>
        <v>3.9994553892326</v>
      </c>
      <c r="D418" s="6" t="n">
        <f aca="false">IF(COUNT(C416:C418)=3,STDEV(C416:C418),"")</f>
        <v>0.637827341912375</v>
      </c>
      <c r="E418" s="6" t="n">
        <f aca="false">IF(COUNT(C407:C418)=12,STDEV(C407:C418),"")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IF(AND(B419&lt;&gt;"",B418&lt;&gt;""),LN(B419/B418)*100,"")</f>
        <v>4.56814261321841</v>
      </c>
      <c r="D419" s="6" t="n">
        <f aca="false">IF(COUNT(C417:C419)=3,STDEV(C417:C419),"")</f>
        <v>0.76208735495898</v>
      </c>
      <c r="E419" s="6" t="n">
        <f aca="false">IF(COUNT(C408:C419)=12,STDEV(C408:C419),"")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IF(AND(B420&lt;&gt;"",B419&lt;&gt;""),LN(B420/B419)*100,"")</f>
        <v>-1.38279314673054</v>
      </c>
      <c r="D420" s="6" t="n">
        <f aca="false">IF(COUNT(C418:C420)=3,STDEV(C418:C420),"")</f>
        <v>3.28394175954856</v>
      </c>
      <c r="E420" s="6" t="n">
        <f aca="false">IF(COUNT(C409:C420)=12,STDEV(C409:C420),"")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IF(AND(B421&lt;&gt;"",B420&lt;&gt;""),LN(B421/B420)*100,"")</f>
        <v>-0.438107500881164</v>
      </c>
      <c r="D421" s="6" t="n">
        <f aca="false">IF(COUNT(C419:C421)=3,STDEV(C419:C421),"")</f>
        <v>3.19814028234731</v>
      </c>
      <c r="E421" s="6" t="n">
        <f aca="false">IF(COUNT(C410:C421)=12,STDEV(C410:C421),"")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IF(AND(B422&lt;&gt;"",B421&lt;&gt;""),LN(B422/B421)*100,"")</f>
        <v>2.50054262738359</v>
      </c>
      <c r="D422" s="6" t="n">
        <f aca="false">IF(COUNT(C420:C422)=3,STDEV(C420:C422),"")</f>
        <v>2.02519103133256</v>
      </c>
      <c r="E422" s="6" t="n">
        <f aca="false">IF(COUNT(C411:C422)=12,STDEV(C411:C422),"")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IF(AND(B423&lt;&gt;"",B422&lt;&gt;""),LN(B423/B422)*100,"")</f>
        <v>6.67572697591449</v>
      </c>
      <c r="D423" s="6" t="n">
        <f aca="false">IF(COUNT(C421:C423)=3,STDEV(C421:C423),"")</f>
        <v>3.57478367373035</v>
      </c>
      <c r="E423" s="6" t="n">
        <f aca="false">IF(COUNT(C412:C423)=12,STDEV(C412:C423),"")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IF(AND(B424&lt;&gt;"",B423&lt;&gt;""),LN(B424/B423)*100,"")</f>
        <v>3.12495669089656</v>
      </c>
      <c r="D424" s="6" t="n">
        <f aca="false">IF(COUNT(C422:C424)=3,STDEV(C422:C424),"")</f>
        <v>2.25203711055481</v>
      </c>
      <c r="E424" s="6" t="n">
        <f aca="false">IF(COUNT(C413:C424)=12,STDEV(C413:C424),"")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IF(AND(B425&lt;&gt;"",B424&lt;&gt;""),LN(B425/B424)*100,"")</f>
        <v>7.59854600636019</v>
      </c>
      <c r="D425" s="6" t="n">
        <f aca="false">IF(COUNT(C423:C425)=3,STDEV(C423:C425),"")</f>
        <v>2.36194009038295</v>
      </c>
      <c r="E425" s="6" t="n">
        <f aca="false">IF(COUNT(C414:C425)=12,STDEV(C414:C425),"")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IF(AND(B426&lt;&gt;"",B425&lt;&gt;""),LN(B426/B425)*100,"")</f>
        <v>2.02764275958818</v>
      </c>
      <c r="D426" s="6" t="n">
        <f aca="false">IF(COUNT(C424:C426)=3,STDEV(C424:C426),"")</f>
        <v>2.9510467694297</v>
      </c>
      <c r="E426" s="6" t="n">
        <f aca="false">IF(COUNT(C415:C426)=12,STDEV(C415:C426),"")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IF(AND(B427&lt;&gt;"",B426&lt;&gt;""),LN(B427/B426)*100,"")</f>
        <v>1.92326091266376</v>
      </c>
      <c r="D427" s="6" t="n">
        <f aca="false">IF(COUNT(C425:C427)=3,STDEV(C425:C427),"")</f>
        <v>3.24691441858254</v>
      </c>
      <c r="E427" s="6" t="n">
        <f aca="false">IF(COUNT(C416:C427)=12,STDEV(C416:C427),"")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IF(AND(B428&lt;&gt;"",B427&lt;&gt;""),LN(B428/B427)*100,"")</f>
        <v>-0.305055267457412</v>
      </c>
      <c r="D428" s="6" t="n">
        <f aca="false">IF(COUNT(C426:C428)=3,STDEV(C426:C428),"")</f>
        <v>1.31768538568833</v>
      </c>
      <c r="E428" s="6" t="n">
        <f aca="false">IF(COUNT(C417:C428)=12,STDEV(C417:C428),"")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IF(AND(B429&lt;&gt;"",B428&lt;&gt;""),LN(B429/B428)*100,"")</f>
        <v>0.763378917129707</v>
      </c>
      <c r="D429" s="6" t="n">
        <f aca="false">IF(COUNT(C427:C429)=3,STDEV(C427:C429),"")</f>
        <v>1.11447078987804</v>
      </c>
      <c r="E429" s="6" t="n">
        <f aca="false">IF(COUNT(C418:C429)=12,STDEV(C418:C429),"")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IF(AND(B430&lt;&gt;"",B429&lt;&gt;""),LN(B430/B429)*100,"")</f>
        <v>8.51457491730966</v>
      </c>
      <c r="D430" s="6" t="n">
        <f aca="false">IF(COUNT(C428:C430)=3,STDEV(C428:C430),"")</f>
        <v>4.81332296229356</v>
      </c>
      <c r="E430" s="6" t="n">
        <f aca="false">IF(COUNT(C419:C430)=12,STDEV(C419:C430),"")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2026-01-29T03:18:39Z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