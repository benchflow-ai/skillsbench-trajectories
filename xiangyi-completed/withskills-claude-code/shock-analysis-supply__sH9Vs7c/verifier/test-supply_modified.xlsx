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AVERAGE(PWT!C28:C35)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SUMXMY2(K6:K27,L6:L27)+100*SUMSQ(M8:M27)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-1.437815275816755</v>
      </c>
      <c r="M6" t="inlineStr"/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-1.374186522202152</v>
      </c>
      <c r="M7" t="inlineStr"/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-1.311051325546551</v>
      </c>
      <c r="M8">
        <f>(L8-L7)-(L7-L6)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-1.24901152513285</v>
      </c>
      <c r="M9">
        <f>(L9-L8)-(L8-L7)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-1.188897811848544</v>
      </c>
      <c r="M10">
        <f>(L10-L9)-(L9-L8)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-1.131539695052742</v>
      </c>
      <c r="M11">
        <f>(L11-L10)-(L10-L9)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-1.077521948248499</v>
      </c>
      <c r="M12">
        <f>(L12-L11)-(L11-L10)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-1.026643327669472</v>
      </c>
      <c r="M13">
        <f>(L13-L12)-(L12-L11)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-0.9782509299995999</v>
      </c>
      <c r="M14">
        <f>(L14-L13)-(L13-L12)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-0.9320999676647769</v>
      </c>
      <c r="M15">
        <f>(L15-L14)-(L14-L13)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-0.8881870770167195</v>
      </c>
      <c r="M16">
        <f>(L16-L15)-(L15-L14)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-0.8464886470936612</v>
      </c>
      <c r="M17">
        <f>(L17-L16)-(L16-L15)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-0.8068135024049563</v>
      </c>
      <c r="M18">
        <f>(L18-L17)-(L17-L16)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-0.7687475932389022</v>
      </c>
      <c r="M19">
        <f>(L19-L18)-(L18-L17)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-0.7317175401846671</v>
      </c>
      <c r="M20">
        <f>(L20-L19)-(L19-L18)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-0.6951331979417991</v>
      </c>
      <c r="M21">
        <f>(L21-L20)-(L20-L19)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-0.6585173009361097</v>
      </c>
      <c r="M22">
        <f>(L22-L21)-(L21-L20)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-0.6214623849114077</v>
      </c>
      <c r="M23">
        <f>(L23-L22)-(L22-L21)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-0.5834988915210285</v>
      </c>
      <c r="M24">
        <f>(L24-L23)-(L23-L22)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-0.5440240535227413</v>
      </c>
      <c r="M25">
        <f>(L25-L24)-(L24-L23)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-0.5033766359912188</v>
      </c>
      <c r="M26">
        <f>(L26-L25)-(L25-L24)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-0.4622548595138602</v>
      </c>
      <c r="M27" s="7">
        <f>(L27-L26)-(L26-L25)</f>
        <v/>
      </c>
      <c r="N27" s="8">
        <f>K27-L27</f>
        <v/>
      </c>
    </row>
    <row r="34">
      <c r="O34" t="inlineStr">
        <is>
          <t>K/Y Anchor (avg 9 yrs)</t>
        </is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Impact (Level)</t>
        </is>
      </c>
      <c r="N35" t="inlineStr">
        <is>
          <t>Impact (%)</t>
        </is>
      </c>
      <c r="O35" t="inlineStr">
        <is>
          <t>Impact (%)</t>
        </is>
      </c>
      <c r="P35" t="inlineStr">
        <is>
          <t>K/Y Anchor</t>
        </is>
      </c>
      <c r="Q35" t="inlineStr">
        <is>
          <t>Shock Accum</t>
        </is>
      </c>
    </row>
    <row r="36">
      <c r="C36" t="n">
        <v>2002</v>
      </c>
      <c r="D36">
        <f>IF(F36=0,"",E36/F36)</f>
        <v/>
      </c>
      <c r="E36" s="19">
        <f>D6</f>
        <v/>
      </c>
      <c r="F36">
        <f>WEO_Data!C10</f>
        <v/>
      </c>
      <c r="G36">
        <f>L6</f>
        <v/>
      </c>
      <c r="H36">
        <f>EXP(G36)*POWER(E36,$B$2)</f>
        <v/>
      </c>
      <c r="I36" t="n">
        <v>0</v>
      </c>
      <c r="J36">
        <f>I36</f>
        <v/>
      </c>
      <c r="K36" s="19">
        <f>E36+Q36</f>
        <v/>
      </c>
      <c r="L36">
        <f>EXP(G36)*POWER(K36,$B$2)</f>
        <v/>
      </c>
      <c r="M36">
        <f>L36-H36</f>
        <v/>
      </c>
      <c r="N36">
        <f>IF(H36=0,"",M36/H36*100)</f>
        <v/>
      </c>
      <c r="O36">
        <f>IF(H36=0,"",N36/H36)</f>
        <v/>
      </c>
      <c r="P36">
        <f>AVERAGE(D49:D57)</f>
        <v/>
      </c>
      <c r="Q36" t="n">
        <v>0</v>
      </c>
    </row>
    <row r="37">
      <c r="C37" t="n">
        <v>2003</v>
      </c>
      <c r="D37">
        <f>IF(F37=0,"",E37/F37)</f>
        <v/>
      </c>
      <c r="E37" s="19">
        <f>D7</f>
        <v/>
      </c>
      <c r="F37">
        <f>WEO_Data!C11</f>
        <v/>
      </c>
      <c r="G37">
        <f>L7</f>
        <v/>
      </c>
      <c r="H37">
        <f>EXP(G37)*POWER(E37,$B$2)</f>
        <v/>
      </c>
      <c r="I37" t="n">
        <v>0</v>
      </c>
      <c r="J37">
        <f>I37</f>
        <v/>
      </c>
      <c r="K37" s="19">
        <f>E37+Q37</f>
        <v/>
      </c>
      <c r="L37">
        <f>EXP(G37)*POWER(K37,$B$2)</f>
        <v/>
      </c>
      <c r="M37">
        <f>L37-H37</f>
        <v/>
      </c>
      <c r="N37">
        <f>IF(H37=0,"",M37/H37*100)</f>
        <v/>
      </c>
      <c r="O37">
        <f>IF(H37=0,"",N37/H37)</f>
        <v/>
      </c>
      <c r="Q37">
        <f>Q36*(1-$B$3)+I37</f>
        <v/>
      </c>
    </row>
    <row r="38">
      <c r="C38" t="n">
        <v>2004</v>
      </c>
      <c r="D38">
        <f>IF(F38=0,"",E38/F38)</f>
        <v/>
      </c>
      <c r="E38" s="19">
        <f>D8</f>
        <v/>
      </c>
      <c r="F38">
        <f>WEO_Data!C12</f>
        <v/>
      </c>
      <c r="G38">
        <f>L8</f>
        <v/>
      </c>
      <c r="H38">
        <f>EXP(G38)*POWER(E38,$B$2)</f>
        <v/>
      </c>
      <c r="I38" t="n">
        <v>0</v>
      </c>
      <c r="J38">
        <f>I38</f>
        <v/>
      </c>
      <c r="K38" s="19">
        <f>E38+Q38</f>
        <v/>
      </c>
      <c r="L38">
        <f>EXP(G38)*POWER(K38,$B$2)</f>
        <v/>
      </c>
      <c r="M38">
        <f>L38-H38</f>
        <v/>
      </c>
      <c r="N38">
        <f>IF(H38=0,"",M38/H38*100)</f>
        <v/>
      </c>
      <c r="O38">
        <f>IF(H38=0,"",N38/H38)</f>
        <v/>
      </c>
      <c r="Q38">
        <f>Q37*(1-$B$3)+I38</f>
        <v/>
      </c>
    </row>
    <row r="39">
      <c r="C39" t="n">
        <v>2005</v>
      </c>
      <c r="D39">
        <f>IF(F39=0,"",E39/F39)</f>
        <v/>
      </c>
      <c r="E39" s="19">
        <f>D9</f>
        <v/>
      </c>
      <c r="F39">
        <f>WEO_Data!C13</f>
        <v/>
      </c>
      <c r="G39">
        <f>L9</f>
        <v/>
      </c>
      <c r="H39">
        <f>EXP(G39)*POWER(E39,$B$2)</f>
        <v/>
      </c>
      <c r="I39" t="n">
        <v>0</v>
      </c>
      <c r="J39">
        <f>I39</f>
        <v/>
      </c>
      <c r="K39" s="19">
        <f>E39+Q39</f>
        <v/>
      </c>
      <c r="L39">
        <f>EXP(G39)*POWER(K39,$B$2)</f>
        <v/>
      </c>
      <c r="M39">
        <f>L39-H39</f>
        <v/>
      </c>
      <c r="N39">
        <f>IF(H39=0,"",M39/H39*100)</f>
        <v/>
      </c>
      <c r="O39">
        <f>IF(H39=0,"",N39/H39)</f>
        <v/>
      </c>
      <c r="Q39">
        <f>Q38*(1-$B$3)+I39</f>
        <v/>
      </c>
    </row>
    <row r="40">
      <c r="C40" t="n">
        <v>2006</v>
      </c>
      <c r="D40">
        <f>IF(F40=0,"",E40/F40)</f>
        <v/>
      </c>
      <c r="E40" s="19">
        <f>D10</f>
        <v/>
      </c>
      <c r="F40">
        <f>WEO_Data!C14</f>
        <v/>
      </c>
      <c r="G40">
        <f>L10</f>
        <v/>
      </c>
      <c r="H40">
        <f>EXP(G40)*POWER(E40,$B$2)</f>
        <v/>
      </c>
      <c r="I40" t="n">
        <v>0</v>
      </c>
      <c r="J40">
        <f>I40</f>
        <v/>
      </c>
      <c r="K40" s="19">
        <f>E40+Q40</f>
        <v/>
      </c>
      <c r="L40">
        <f>EXP(G40)*POWER(K40,$B$2)</f>
        <v/>
      </c>
      <c r="M40">
        <f>L40-H40</f>
        <v/>
      </c>
      <c r="N40">
        <f>IF(H40=0,"",M40/H40*100)</f>
        <v/>
      </c>
      <c r="O40">
        <f>IF(H40=0,"",N40/H40)</f>
        <v/>
      </c>
      <c r="Q40">
        <f>Q39*(1-$B$3)+I40</f>
        <v/>
      </c>
    </row>
    <row r="41">
      <c r="C41" t="n">
        <v>2007</v>
      </c>
      <c r="D41">
        <f>IF(F41=0,"",E41/F41)</f>
        <v/>
      </c>
      <c r="E41" s="19">
        <f>D11</f>
        <v/>
      </c>
      <c r="F41">
        <f>WEO_Data!C15</f>
        <v/>
      </c>
      <c r="G41">
        <f>L11</f>
        <v/>
      </c>
      <c r="H41">
        <f>EXP(G41)*POWER(E41,$B$2)</f>
        <v/>
      </c>
      <c r="I41" t="n">
        <v>0</v>
      </c>
      <c r="J41">
        <f>I41</f>
        <v/>
      </c>
      <c r="K41" s="19">
        <f>E41+Q41</f>
        <v/>
      </c>
      <c r="L41">
        <f>EXP(G41)*POWER(K41,$B$2)</f>
        <v/>
      </c>
      <c r="M41">
        <f>L41-H41</f>
        <v/>
      </c>
      <c r="N41">
        <f>IF(H41=0,"",M41/H41*100)</f>
        <v/>
      </c>
      <c r="O41">
        <f>IF(H41=0,"",N41/H41)</f>
        <v/>
      </c>
      <c r="Q41">
        <f>Q40*(1-$B$3)+I41</f>
        <v/>
      </c>
    </row>
    <row r="42">
      <c r="C42" t="n">
        <v>2008</v>
      </c>
      <c r="D42">
        <f>IF(F42=0,"",E42/F42)</f>
        <v/>
      </c>
      <c r="E42" s="19">
        <f>D12</f>
        <v/>
      </c>
      <c r="F42">
        <f>WEO_Data!C16</f>
        <v/>
      </c>
      <c r="G42">
        <f>L12</f>
        <v/>
      </c>
      <c r="H42">
        <f>EXP(G42)*POWER(E42,$B$2)</f>
        <v/>
      </c>
      <c r="I42" t="n">
        <v>0</v>
      </c>
      <c r="J42">
        <f>I42</f>
        <v/>
      </c>
      <c r="K42" s="19">
        <f>E42+Q42</f>
        <v/>
      </c>
      <c r="L42">
        <f>EXP(G42)*POWER(K42,$B$2)</f>
        <v/>
      </c>
      <c r="M42">
        <f>L42-H42</f>
        <v/>
      </c>
      <c r="N42">
        <f>IF(H42=0,"",M42/H42*100)</f>
        <v/>
      </c>
      <c r="O42">
        <f>IF(H42=0,"",N42/H42)</f>
        <v/>
      </c>
      <c r="Q42">
        <f>Q41*(1-$B$3)+I42</f>
        <v/>
      </c>
    </row>
    <row r="43">
      <c r="C43" t="n">
        <v>2009</v>
      </c>
      <c r="D43">
        <f>IF(F43=0,"",E43/F43)</f>
        <v/>
      </c>
      <c r="E43" s="19">
        <f>D13</f>
        <v/>
      </c>
      <c r="F43">
        <f>WEO_Data!C17</f>
        <v/>
      </c>
      <c r="G43">
        <f>L13</f>
        <v/>
      </c>
      <c r="H43">
        <f>EXP(G43)*POWER(E43,$B$2)</f>
        <v/>
      </c>
      <c r="I43" t="n">
        <v>0</v>
      </c>
      <c r="J43">
        <f>I43</f>
        <v/>
      </c>
      <c r="K43" s="19">
        <f>E43+Q43</f>
        <v/>
      </c>
      <c r="L43">
        <f>EXP(G43)*POWER(K43,$B$2)</f>
        <v/>
      </c>
      <c r="M43">
        <f>L43-H43</f>
        <v/>
      </c>
      <c r="N43">
        <f>IF(H43=0,"",M43/H43*100)</f>
        <v/>
      </c>
      <c r="O43">
        <f>IF(H43=0,"",N43/H43)</f>
        <v/>
      </c>
      <c r="Q43">
        <f>Q42*(1-$B$3)+I43</f>
        <v/>
      </c>
    </row>
    <row r="44">
      <c r="C44" t="n">
        <v>2010</v>
      </c>
      <c r="D44">
        <f>IF(F44=0,"",E44/F44)</f>
        <v/>
      </c>
      <c r="E44" s="19">
        <f>D14</f>
        <v/>
      </c>
      <c r="F44">
        <f>WEO_Data!C18</f>
        <v/>
      </c>
      <c r="G44">
        <f>L14</f>
        <v/>
      </c>
      <c r="H44">
        <f>EXP(G44)*POWER(E44,$B$2)</f>
        <v/>
      </c>
      <c r="I44" t="n">
        <v>0</v>
      </c>
      <c r="J44">
        <f>I44</f>
        <v/>
      </c>
      <c r="K44" s="19">
        <f>E44+Q44</f>
        <v/>
      </c>
      <c r="L44">
        <f>EXP(G44)*POWER(K44,$B$2)</f>
        <v/>
      </c>
      <c r="M44">
        <f>L44-H44</f>
        <v/>
      </c>
      <c r="N44">
        <f>IF(H44=0,"",M44/H44*100)</f>
        <v/>
      </c>
      <c r="O44">
        <f>IF(H44=0,"",N44/H44)</f>
        <v/>
      </c>
      <c r="Q44">
        <f>Q43*(1-$B$3)+I44</f>
        <v/>
      </c>
    </row>
    <row r="45">
      <c r="C45" t="n">
        <v>2011</v>
      </c>
      <c r="D45">
        <f>IF(F45=0,"",E45/F45)</f>
        <v/>
      </c>
      <c r="E45" s="19">
        <f>D15</f>
        <v/>
      </c>
      <c r="F45">
        <f>WEO_Data!C19</f>
        <v/>
      </c>
      <c r="G45">
        <f>L15</f>
        <v/>
      </c>
      <c r="H45">
        <f>EXP(G45)*POWER(E45,$B$2)</f>
        <v/>
      </c>
      <c r="I45" t="n">
        <v>0</v>
      </c>
      <c r="J45">
        <f>I45</f>
        <v/>
      </c>
      <c r="K45" s="19">
        <f>E45+Q45</f>
        <v/>
      </c>
      <c r="L45">
        <f>EXP(G45)*POWER(K45,$B$2)</f>
        <v/>
      </c>
      <c r="M45">
        <f>L45-H45</f>
        <v/>
      </c>
      <c r="N45">
        <f>IF(H45=0,"",M45/H45*100)</f>
        <v/>
      </c>
      <c r="O45">
        <f>IF(H45=0,"",N45/H45)</f>
        <v/>
      </c>
      <c r="Q45">
        <f>Q44*(1-$B$3)+I45</f>
        <v/>
      </c>
    </row>
    <row r="46">
      <c r="C46" t="n">
        <v>2012</v>
      </c>
      <c r="D46">
        <f>IF(F46=0,"",E46/F46)</f>
        <v/>
      </c>
      <c r="E46" s="19">
        <f>D16</f>
        <v/>
      </c>
      <c r="F46">
        <f>WEO_Data!C20</f>
        <v/>
      </c>
      <c r="G46">
        <f>L16</f>
        <v/>
      </c>
      <c r="H46">
        <f>EXP(G46)*POWER(E46,$B$2)</f>
        <v/>
      </c>
      <c r="I46" t="n">
        <v>0</v>
      </c>
      <c r="J46">
        <f>I46</f>
        <v/>
      </c>
      <c r="K46" s="19">
        <f>E46+Q46</f>
        <v/>
      </c>
      <c r="L46">
        <f>EXP(G46)*POWER(K46,$B$2)</f>
        <v/>
      </c>
      <c r="M46">
        <f>L46-H46</f>
        <v/>
      </c>
      <c r="N46">
        <f>IF(H46=0,"",M46/H46*100)</f>
        <v/>
      </c>
      <c r="O46">
        <f>IF(H46=0,"",N46/H46)</f>
        <v/>
      </c>
      <c r="Q46">
        <f>Q45*(1-$B$3)+I46</f>
        <v/>
      </c>
    </row>
    <row r="47">
      <c r="C47" t="n">
        <v>2013</v>
      </c>
      <c r="D47">
        <f>IF(F47=0,"",E47/F47)</f>
        <v/>
      </c>
      <c r="E47" s="19">
        <f>D17</f>
        <v/>
      </c>
      <c r="F47">
        <f>WEO_Data!C21</f>
        <v/>
      </c>
      <c r="G47">
        <f>L17</f>
        <v/>
      </c>
      <c r="H47">
        <f>EXP(G47)*POWER(E47,$B$2)</f>
        <v/>
      </c>
      <c r="I47" t="n">
        <v>0</v>
      </c>
      <c r="J47">
        <f>I47</f>
        <v/>
      </c>
      <c r="K47" s="19">
        <f>E47+Q47</f>
        <v/>
      </c>
      <c r="L47">
        <f>EXP(G47)*POWER(K47,$B$2)</f>
        <v/>
      </c>
      <c r="M47">
        <f>L47-H47</f>
        <v/>
      </c>
      <c r="N47">
        <f>IF(H47=0,"",M47/H47*100)</f>
        <v/>
      </c>
      <c r="O47">
        <f>IF(H47=0,"",N47/H47)</f>
        <v/>
      </c>
      <c r="Q47">
        <f>Q46*(1-$B$3)+I47</f>
        <v/>
      </c>
    </row>
    <row r="48">
      <c r="C48" t="n">
        <v>2014</v>
      </c>
      <c r="D48">
        <f>IF(F48=0,"",E48/F48)</f>
        <v/>
      </c>
      <c r="E48" s="19">
        <f>D18</f>
        <v/>
      </c>
      <c r="F48">
        <f>WEO_Data!C22</f>
        <v/>
      </c>
      <c r="G48">
        <f>L18</f>
        <v/>
      </c>
      <c r="H48">
        <f>EXP(G48)*POWER(E48,$B$2)</f>
        <v/>
      </c>
      <c r="I48" t="n">
        <v>0</v>
      </c>
      <c r="J48">
        <f>I48</f>
        <v/>
      </c>
      <c r="K48" s="19">
        <f>E48+Q48</f>
        <v/>
      </c>
      <c r="L48">
        <f>EXP(G48)*POWER(K48,$B$2)</f>
        <v/>
      </c>
      <c r="M48">
        <f>L48-H48</f>
        <v/>
      </c>
      <c r="N48">
        <f>IF(H48=0,"",M48/H48*100)</f>
        <v/>
      </c>
      <c r="O48">
        <f>IF(H48=0,"",N48/H48)</f>
        <v/>
      </c>
      <c r="Q48">
        <f>Q47*(1-$B$3)+I48</f>
        <v/>
      </c>
    </row>
    <row r="49">
      <c r="C49" t="n">
        <v>2015</v>
      </c>
      <c r="D49">
        <f>IF(F49=0,"",E49/F49)</f>
        <v/>
      </c>
      <c r="E49" s="19">
        <f>D19</f>
        <v/>
      </c>
      <c r="F49">
        <f>WEO_Data!C23</f>
        <v/>
      </c>
      <c r="G49">
        <f>L19</f>
        <v/>
      </c>
      <c r="H49">
        <f>EXP(G49)*POWER(E49,$B$2)</f>
        <v/>
      </c>
      <c r="I49" t="n">
        <v>0</v>
      </c>
      <c r="J49">
        <f>I49</f>
        <v/>
      </c>
      <c r="K49" s="19">
        <f>E49+Q49</f>
        <v/>
      </c>
      <c r="L49">
        <f>EXP(G49)*POWER(K49,$B$2)</f>
        <v/>
      </c>
      <c r="M49">
        <f>L49-H49</f>
        <v/>
      </c>
      <c r="N49">
        <f>IF(H49=0,"",M49/H49*100)</f>
        <v/>
      </c>
      <c r="O49">
        <f>IF(H49=0,"",N49/H49)</f>
        <v/>
      </c>
      <c r="Q49">
        <f>Q48*(1-$B$3)+I49</f>
        <v/>
      </c>
    </row>
    <row r="50">
      <c r="C50" t="n">
        <v>2016</v>
      </c>
      <c r="D50">
        <f>IF(F50=0,"",E50/F50)</f>
        <v/>
      </c>
      <c r="E50" s="19">
        <f>D20</f>
        <v/>
      </c>
      <c r="F50">
        <f>WEO_Data!C24</f>
        <v/>
      </c>
      <c r="G50">
        <f>L20</f>
        <v/>
      </c>
      <c r="H50">
        <f>EXP(G50)*POWER(E50,$B$2)</f>
        <v/>
      </c>
      <c r="I50" t="n">
        <v>0</v>
      </c>
      <c r="J50">
        <f>I50</f>
        <v/>
      </c>
      <c r="K50" s="19">
        <f>E50+Q50</f>
        <v/>
      </c>
      <c r="L50">
        <f>EXP(G50)*POWER(K50,$B$2)</f>
        <v/>
      </c>
      <c r="M50">
        <f>L50-H50</f>
        <v/>
      </c>
      <c r="N50">
        <f>IF(H50=0,"",M50/H50*100)</f>
        <v/>
      </c>
      <c r="O50">
        <f>IF(H50=0,"",N50/H50)</f>
        <v/>
      </c>
      <c r="Q50">
        <f>Q49*(1-$B$3)+I50</f>
        <v/>
      </c>
    </row>
    <row r="51">
      <c r="C51" t="n">
        <v>2017</v>
      </c>
      <c r="D51">
        <f>IF(F51=0,"",E51/F51)</f>
        <v/>
      </c>
      <c r="E51" s="19">
        <f>D21</f>
        <v/>
      </c>
      <c r="F51">
        <f>WEO_Data!C25</f>
        <v/>
      </c>
      <c r="G51">
        <f>L21</f>
        <v/>
      </c>
      <c r="H51">
        <f>EXP(G51)*POWER(E51,$B$2)</f>
        <v/>
      </c>
      <c r="I51" t="n">
        <v>0</v>
      </c>
      <c r="J51">
        <f>I51</f>
        <v/>
      </c>
      <c r="K51" s="19">
        <f>E51+Q51</f>
        <v/>
      </c>
      <c r="L51">
        <f>EXP(G51)*POWER(K51,$B$2)</f>
        <v/>
      </c>
      <c r="M51">
        <f>L51-H51</f>
        <v/>
      </c>
      <c r="N51">
        <f>IF(H51=0,"",M51/H51*100)</f>
        <v/>
      </c>
      <c r="O51">
        <f>IF(H51=0,"",N51/H51)</f>
        <v/>
      </c>
      <c r="Q51">
        <f>Q50*(1-$B$3)+I51</f>
        <v/>
      </c>
    </row>
    <row r="52">
      <c r="C52" t="n">
        <v>2018</v>
      </c>
      <c r="D52">
        <f>IF(F52=0,"",E52/F52)</f>
        <v/>
      </c>
      <c r="E52" s="19">
        <f>D22</f>
        <v/>
      </c>
      <c r="F52">
        <f>WEO_Data!C26</f>
        <v/>
      </c>
      <c r="G52">
        <f>L22</f>
        <v/>
      </c>
      <c r="H52">
        <f>EXP(G52)*POWER(E52,$B$2)</f>
        <v/>
      </c>
      <c r="I52" t="n">
        <v>0</v>
      </c>
      <c r="J52">
        <f>I52</f>
        <v/>
      </c>
      <c r="K52" s="19">
        <f>E52+Q52</f>
        <v/>
      </c>
      <c r="L52">
        <f>EXP(G52)*POWER(K52,$B$2)</f>
        <v/>
      </c>
      <c r="M52">
        <f>L52-H52</f>
        <v/>
      </c>
      <c r="N52">
        <f>IF(H52=0,"",M52/H52*100)</f>
        <v/>
      </c>
      <c r="O52">
        <f>IF(H52=0,"",N52/H52)</f>
        <v/>
      </c>
      <c r="Q52">
        <f>Q51*(1-$B$3)+I52</f>
        <v/>
      </c>
    </row>
    <row r="53">
      <c r="C53" t="n">
        <v>2019</v>
      </c>
      <c r="D53">
        <f>IF(F53=0,"",E53/F53)</f>
        <v/>
      </c>
      <c r="E53" s="19">
        <f>D23</f>
        <v/>
      </c>
      <c r="F53">
        <f>WEO_Data!C27</f>
        <v/>
      </c>
      <c r="G53">
        <f>L23</f>
        <v/>
      </c>
      <c r="H53">
        <f>EXP(G53)*POWER(E53,$B$2)</f>
        <v/>
      </c>
      <c r="I53" t="n">
        <v>0</v>
      </c>
      <c r="J53">
        <f>I53</f>
        <v/>
      </c>
      <c r="K53" s="19">
        <f>E53+Q53</f>
        <v/>
      </c>
      <c r="L53">
        <f>EXP(G53)*POWER(K53,$B$2)</f>
        <v/>
      </c>
      <c r="M53">
        <f>L53-H53</f>
        <v/>
      </c>
      <c r="N53">
        <f>IF(H53=0,"",M53/H53*100)</f>
        <v/>
      </c>
      <c r="O53">
        <f>IF(H53=0,"",N53/H53)</f>
        <v/>
      </c>
      <c r="Q53">
        <f>Q52*(1-$B$3)+I53</f>
        <v/>
      </c>
    </row>
    <row r="54">
      <c r="C54" t="n">
        <v>2020</v>
      </c>
      <c r="D54">
        <f>IF(F54=0,"",E54/F54)</f>
        <v/>
      </c>
      <c r="E54" s="19">
        <f>D24</f>
        <v/>
      </c>
      <c r="F54">
        <f>WEO_Data!C28</f>
        <v/>
      </c>
      <c r="G54">
        <f>L24</f>
        <v/>
      </c>
      <c r="H54">
        <f>EXP(G54)*POWER(E54,$B$2)</f>
        <v/>
      </c>
      <c r="I54" t="n">
        <v>0</v>
      </c>
      <c r="J54">
        <f>I54</f>
        <v/>
      </c>
      <c r="K54" s="19">
        <f>E54+Q54</f>
        <v/>
      </c>
      <c r="L54">
        <f>EXP(G54)*POWER(K54,$B$2)</f>
        <v/>
      </c>
      <c r="M54">
        <f>L54-H54</f>
        <v/>
      </c>
      <c r="N54">
        <f>IF(H54=0,"",M54/H54*100)</f>
        <v/>
      </c>
      <c r="O54">
        <f>IF(H54=0,"",N54/H54)</f>
        <v/>
      </c>
      <c r="Q54">
        <f>Q53*(1-$B$3)+I54</f>
        <v/>
      </c>
    </row>
    <row r="55">
      <c r="C55" t="n">
        <v>2021</v>
      </c>
      <c r="D55">
        <f>IF(F55=0,"",E55/F55)</f>
        <v/>
      </c>
      <c r="E55" s="19">
        <f>D25</f>
        <v/>
      </c>
      <c r="F55">
        <f>WEO_Data!C29</f>
        <v/>
      </c>
      <c r="G55">
        <f>L25</f>
        <v/>
      </c>
      <c r="H55">
        <f>EXP(G55)*POWER(E55,$B$2)</f>
        <v/>
      </c>
      <c r="I55" t="n">
        <v>0</v>
      </c>
      <c r="J55">
        <f>I55</f>
        <v/>
      </c>
      <c r="K55" s="19">
        <f>E55+Q55</f>
        <v/>
      </c>
      <c r="L55">
        <f>EXP(G55)*POWER(K55,$B$2)</f>
        <v/>
      </c>
      <c r="M55">
        <f>L55-H55</f>
        <v/>
      </c>
      <c r="N55">
        <f>IF(H55=0,"",M55/H55*100)</f>
        <v/>
      </c>
      <c r="O55">
        <f>IF(H55=0,"",N55/H55)</f>
        <v/>
      </c>
      <c r="Q55">
        <f>Q54*(1-$B$3)+I55</f>
        <v/>
      </c>
    </row>
    <row r="56">
      <c r="C56" t="n">
        <v>2022</v>
      </c>
      <c r="D56">
        <f>IF(F56=0,"",E56/F56)</f>
        <v/>
      </c>
      <c r="E56" s="19">
        <f>D26</f>
        <v/>
      </c>
      <c r="F56">
        <f>WEO_Data!C30</f>
        <v/>
      </c>
      <c r="G56">
        <f>L26</f>
        <v/>
      </c>
      <c r="H56">
        <f>EXP(G56)*POWER(E56,$B$2)</f>
        <v/>
      </c>
      <c r="I56" t="n">
        <v>0</v>
      </c>
      <c r="J56">
        <f>I56</f>
        <v/>
      </c>
      <c r="K56" s="19">
        <f>E56+Q56</f>
        <v/>
      </c>
      <c r="L56">
        <f>EXP(G56)*POWER(K56,$B$2)</f>
        <v/>
      </c>
      <c r="M56">
        <f>L56-H56</f>
        <v/>
      </c>
      <c r="N56">
        <f>IF(H56=0,"",M56/H56*100)</f>
        <v/>
      </c>
      <c r="O56">
        <f>IF(H56=0,"",N56/H56)</f>
        <v/>
      </c>
      <c r="Q56">
        <f>Q55*(1-$B$3)+I56</f>
        <v/>
      </c>
    </row>
    <row r="57">
      <c r="C57" t="n">
        <v>2023</v>
      </c>
      <c r="D57">
        <f>IF(F57=0,"",E57/F57)</f>
        <v/>
      </c>
      <c r="E57" s="19">
        <f>D27</f>
        <v/>
      </c>
      <c r="F57">
        <f>WEO_Data!C31</f>
        <v/>
      </c>
      <c r="G57">
        <f>L27</f>
        <v/>
      </c>
      <c r="H57">
        <f>EXP(G57)*POWER(E57,$B$2)</f>
        <v/>
      </c>
      <c r="I57" t="n">
        <v>0</v>
      </c>
      <c r="J57">
        <f>I57</f>
        <v/>
      </c>
      <c r="K57" s="19">
        <f>E57+Q57</f>
        <v/>
      </c>
      <c r="L57">
        <f>EXP(G57)*POWER(K57,$B$2)</f>
        <v/>
      </c>
      <c r="M57">
        <f>L57-H57</f>
        <v/>
      </c>
      <c r="N57">
        <f>IF(H57=0,"",M57/H57*100)</f>
        <v/>
      </c>
      <c r="O57">
        <f>IF(H57=0,"",N57/H57)</f>
        <v/>
      </c>
      <c r="Q57">
        <f>Q56*(1-$B$3)+I57</f>
        <v/>
      </c>
    </row>
    <row r="58">
      <c r="C58" t="n">
        <v>2024</v>
      </c>
      <c r="D58">
        <f>IF(F58=0,"",E58/F58)</f>
        <v/>
      </c>
      <c r="E58" s="21">
        <f>F58*$P$36</f>
        <v/>
      </c>
      <c r="F58">
        <f>WEO_Data!C32</f>
        <v/>
      </c>
      <c r="G58" s="20">
        <f>TREND($L$6:$L$27,$C$6:$C$27,C58)</f>
        <v/>
      </c>
      <c r="H58">
        <f>EXP(G58)*POWER(E58,$B$2)</f>
        <v/>
      </c>
      <c r="I58" t="n">
        <v>0</v>
      </c>
      <c r="J58">
        <f>I58</f>
        <v/>
      </c>
      <c r="K58" s="19">
        <f>E58+Q58</f>
        <v/>
      </c>
      <c r="L58">
        <f>EXP(G58)*POWER(K58,$B$2)</f>
        <v/>
      </c>
      <c r="M58">
        <f>L58-H58</f>
        <v/>
      </c>
      <c r="N58">
        <f>IF(H58=0,"",M58/H58*100)</f>
        <v/>
      </c>
      <c r="O58">
        <f>IF(H58=0,"",N58/H58)</f>
        <v/>
      </c>
      <c r="Q58">
        <f>Q57*(1-$B$3)+I58</f>
        <v/>
      </c>
    </row>
    <row r="59">
      <c r="C59" t="n">
        <v>2025</v>
      </c>
      <c r="D59">
        <f>IF(F59=0,"",E59/F59)</f>
        <v/>
      </c>
      <c r="E59" s="21">
        <f>F59*$P$36</f>
        <v/>
      </c>
      <c r="F59">
        <f>WEO_Data!C33</f>
        <v/>
      </c>
      <c r="G59" s="20">
        <f>TREND($L$6:$L$27,$C$6:$C$27,C59)</f>
        <v/>
      </c>
      <c r="H59">
        <f>EXP(G59)*POWER(E59,$B$2)</f>
        <v/>
      </c>
      <c r="I59" t="n">
        <v>0</v>
      </c>
      <c r="J59">
        <f>I59</f>
        <v/>
      </c>
      <c r="K59" s="19">
        <f>E59+Q59</f>
        <v/>
      </c>
      <c r="L59">
        <f>EXP(G59)*POWER(K59,$B$2)</f>
        <v/>
      </c>
      <c r="M59">
        <f>L59-H59</f>
        <v/>
      </c>
      <c r="N59">
        <f>IF(H59=0,"",M59/H59*100)</f>
        <v/>
      </c>
      <c r="O59">
        <f>IF(H59=0,"",N59/H59)</f>
        <v/>
      </c>
      <c r="Q59">
        <f>Q58*(1-$B$3)+I59</f>
        <v/>
      </c>
    </row>
    <row r="60">
      <c r="C60" t="n">
        <v>2026</v>
      </c>
      <c r="D60">
        <f>IF(F60=0,"",E60/F60)</f>
        <v/>
      </c>
      <c r="E60" s="21">
        <f>F60*$P$36</f>
        <v/>
      </c>
      <c r="F60" s="20">
        <f>WEO_Data!C34</f>
        <v/>
      </c>
      <c r="G60" s="20">
        <f>TREND($L$6:$L$27,$C$6:$C$27,C60)</f>
        <v/>
      </c>
      <c r="H60">
        <f>EXP(G60)*POWER(E60,$B$2)</f>
        <v/>
      </c>
      <c r="I60" s="17">
        <f>Investment!C2</f>
        <v/>
      </c>
      <c r="J60">
        <f>I60</f>
        <v/>
      </c>
      <c r="K60" s="19">
        <f>E60+Q60</f>
        <v/>
      </c>
      <c r="L60">
        <f>EXP(G60)*POWER(K60,$B$2)</f>
        <v/>
      </c>
      <c r="M60">
        <f>L60-H60</f>
        <v/>
      </c>
      <c r="N60">
        <f>IF(H60=0,"",M60/H60*100)</f>
        <v/>
      </c>
      <c r="O60">
        <f>IF(H60=0,"",N60/H60)</f>
        <v/>
      </c>
      <c r="Q60">
        <f>Q59*(1-$B$3)+I60</f>
        <v/>
      </c>
    </row>
    <row r="61">
      <c r="C61" t="n">
        <v>2027</v>
      </c>
      <c r="D61">
        <f>IF(F61=0,"",E61/F61)</f>
        <v/>
      </c>
      <c r="E61" s="21">
        <f>F61*$P$36</f>
        <v/>
      </c>
      <c r="F61" s="20">
        <f>WEO_Data!C35</f>
        <v/>
      </c>
      <c r="G61" s="20">
        <f>TREND($L$6:$L$27,$C$6:$C$27,C61)</f>
        <v/>
      </c>
      <c r="H61">
        <f>EXP(G61)*POWER(E61,$B$2)</f>
        <v/>
      </c>
      <c r="I61" s="17">
        <f>Investment!C3</f>
        <v/>
      </c>
      <c r="J61">
        <f>I61</f>
        <v/>
      </c>
      <c r="K61" s="19">
        <f>E61+Q61</f>
        <v/>
      </c>
      <c r="L61">
        <f>EXP(G61)*POWER(K61,$B$2)</f>
        <v/>
      </c>
      <c r="M61">
        <f>L61-H61</f>
        <v/>
      </c>
      <c r="N61">
        <f>IF(H61=0,"",M61/H61*100)</f>
        <v/>
      </c>
      <c r="O61">
        <f>IF(H61=0,"",N61/H61)</f>
        <v/>
      </c>
      <c r="Q61">
        <f>Q60*(1-$B$3)+I61</f>
        <v/>
      </c>
    </row>
    <row r="62">
      <c r="C62" t="n">
        <v>2028</v>
      </c>
      <c r="D62">
        <f>IF(F62=0,"",E62/F62)</f>
        <v/>
      </c>
      <c r="E62" s="21">
        <f>F62*$P$36</f>
        <v/>
      </c>
      <c r="F62" s="20">
        <f>WEO_Data!C36</f>
        <v/>
      </c>
      <c r="G62" s="20">
        <f>TREND($L$6:$L$27,$C$6:$C$27,C62)</f>
        <v/>
      </c>
      <c r="H62">
        <f>EXP(G62)*POWER(E62,$B$2)</f>
        <v/>
      </c>
      <c r="I62" s="17">
        <f>Investment!C4</f>
        <v/>
      </c>
      <c r="J62">
        <f>I62</f>
        <v/>
      </c>
      <c r="K62" s="19">
        <f>E62+Q62</f>
        <v/>
      </c>
      <c r="L62">
        <f>EXP(G62)*POWER(K62,$B$2)</f>
        <v/>
      </c>
      <c r="M62">
        <f>L62-H62</f>
        <v/>
      </c>
      <c r="N62">
        <f>IF(H62=0,"",M62/H62*100)</f>
        <v/>
      </c>
      <c r="O62">
        <f>IF(H62=0,"",N62/H62)</f>
        <v/>
      </c>
      <c r="Q62">
        <f>Q61*(1-$B$3)+I62</f>
        <v/>
      </c>
    </row>
    <row r="63">
      <c r="C63" t="n">
        <v>2029</v>
      </c>
      <c r="D63">
        <f>IF(F63=0,"",E63/F63)</f>
        <v/>
      </c>
      <c r="E63" s="21">
        <f>F63*$P$36</f>
        <v/>
      </c>
      <c r="F63" s="20">
        <f>WEO_Data!C37</f>
        <v/>
      </c>
      <c r="G63" s="20">
        <f>TREND($L$6:$L$27,$C$6:$C$27,C63)</f>
        <v/>
      </c>
      <c r="H63">
        <f>EXP(G63)*POWER(E63,$B$2)</f>
        <v/>
      </c>
      <c r="I63" s="17">
        <f>Investment!C5</f>
        <v/>
      </c>
      <c r="J63">
        <f>I63</f>
        <v/>
      </c>
      <c r="K63" s="19">
        <f>E63+Q63</f>
        <v/>
      </c>
      <c r="L63">
        <f>EXP(G63)*POWER(K63,$B$2)</f>
        <v/>
      </c>
      <c r="M63">
        <f>L63-H63</f>
        <v/>
      </c>
      <c r="N63">
        <f>IF(H63=0,"",M63/H63*100)</f>
        <v/>
      </c>
      <c r="O63">
        <f>IF(H63=0,"",N63/H63)</f>
        <v/>
      </c>
      <c r="Q63">
        <f>Q62*(1-$B$3)+I63</f>
        <v/>
      </c>
    </row>
    <row r="64">
      <c r="C64" t="n">
        <v>2030</v>
      </c>
      <c r="D64">
        <f>IF(F64=0,"",E64/F64)</f>
        <v/>
      </c>
      <c r="E64" s="21">
        <f>F64*$P$36</f>
        <v/>
      </c>
      <c r="F64" s="20">
        <f>WEO_Data!C38</f>
        <v/>
      </c>
      <c r="G64" s="20">
        <f>TREND($L$6:$L$27,$C$6:$C$27,C64)</f>
        <v/>
      </c>
      <c r="H64">
        <f>EXP(G64)*POWER(E64,$B$2)</f>
        <v/>
      </c>
      <c r="I64" s="17">
        <f>Investment!C6</f>
        <v/>
      </c>
      <c r="J64">
        <f>I64</f>
        <v/>
      </c>
      <c r="K64" s="19">
        <f>E64+Q64</f>
        <v/>
      </c>
      <c r="L64">
        <f>EXP(G64)*POWER(K64,$B$2)</f>
        <v/>
      </c>
      <c r="M64">
        <f>L64-H64</f>
        <v/>
      </c>
      <c r="N64">
        <f>IF(H64=0,"",M64/H64*100)</f>
        <v/>
      </c>
      <c r="O64">
        <f>IF(H64=0,"",N64/H64)</f>
        <v/>
      </c>
      <c r="Q64">
        <f>Q63*(1-$B$3)+I64</f>
        <v/>
      </c>
    </row>
    <row r="65">
      <c r="C65" t="n">
        <v>2031</v>
      </c>
      <c r="D65">
        <f>IF(F65=0,"",E65/F65)</f>
        <v/>
      </c>
      <c r="E65" s="21">
        <f>F65*$P$36</f>
        <v/>
      </c>
      <c r="F65" s="20">
        <f>WEO_Data!C39</f>
        <v/>
      </c>
      <c r="G65" s="20">
        <f>TREND($L$6:$L$27,$C$6:$C$27,C65)</f>
        <v/>
      </c>
      <c r="H65">
        <f>EXP(G65)*POWER(E65,$B$2)</f>
        <v/>
      </c>
      <c r="I65" s="17">
        <f>Investment!C7</f>
        <v/>
      </c>
      <c r="J65">
        <f>I65</f>
        <v/>
      </c>
      <c r="K65" s="19">
        <f>E65+Q65</f>
        <v/>
      </c>
      <c r="L65">
        <f>EXP(G65)*POWER(K65,$B$2)</f>
        <v/>
      </c>
      <c r="M65">
        <f>L65-H65</f>
        <v/>
      </c>
      <c r="N65">
        <f>IF(H65=0,"",M65/H65*100)</f>
        <v/>
      </c>
      <c r="O65">
        <f>IF(H65=0,"",N65/H65)</f>
        <v/>
      </c>
      <c r="Q65">
        <f>Q64*(1-$B$3)+I65</f>
        <v/>
      </c>
    </row>
    <row r="66">
      <c r="C66" t="n">
        <v>2032</v>
      </c>
      <c r="D66">
        <f>IF(F66=0,"",E66/F66)</f>
        <v/>
      </c>
      <c r="E66" s="21">
        <f>F66*$P$36</f>
        <v/>
      </c>
      <c r="F66" s="20">
        <f>WEO_Data!C40</f>
        <v/>
      </c>
      <c r="G66" s="20">
        <f>TREND($L$6:$L$27,$C$6:$C$27,C66)</f>
        <v/>
      </c>
      <c r="H66">
        <f>EXP(G66)*POWER(E66,$B$2)</f>
        <v/>
      </c>
      <c r="I66" s="17">
        <f>Investment!C8</f>
        <v/>
      </c>
      <c r="J66">
        <f>I66</f>
        <v/>
      </c>
      <c r="K66" s="19">
        <f>E66+Q66</f>
        <v/>
      </c>
      <c r="L66">
        <f>EXP(G66)*POWER(K66,$B$2)</f>
        <v/>
      </c>
      <c r="M66">
        <f>L66-H66</f>
        <v/>
      </c>
      <c r="N66">
        <f>IF(H66=0,"",M66/H66*100)</f>
        <v/>
      </c>
      <c r="O66">
        <f>IF(H66=0,"",N66/H66)</f>
        <v/>
      </c>
      <c r="Q66">
        <f>Q65*(1-$B$3)+I66</f>
        <v/>
      </c>
    </row>
    <row r="67">
      <c r="C67" t="n">
        <v>2033</v>
      </c>
      <c r="D67">
        <f>IF(F67=0,"",E67/F67)</f>
        <v/>
      </c>
      <c r="E67" s="21">
        <f>F67*$P$36</f>
        <v/>
      </c>
      <c r="F67" s="20">
        <f>WEO_Data!C41</f>
        <v/>
      </c>
      <c r="G67" s="20">
        <f>TREND($L$6:$L$27,$C$6:$C$27,C67)</f>
        <v/>
      </c>
      <c r="H67">
        <f>EXP(G67)*POWER(E67,$B$2)</f>
        <v/>
      </c>
      <c r="I67" s="17">
        <f>Investment!C9</f>
        <v/>
      </c>
      <c r="J67">
        <f>I67</f>
        <v/>
      </c>
      <c r="K67" s="19">
        <f>E67+Q67</f>
        <v/>
      </c>
      <c r="L67">
        <f>EXP(G67)*POWER(K67,$B$2)</f>
        <v/>
      </c>
      <c r="M67">
        <f>L67-H67</f>
        <v/>
      </c>
      <c r="N67">
        <f>IF(H67=0,"",M67/H67*100)</f>
        <v/>
      </c>
      <c r="O67">
        <f>IF(H67=0,"",N67/H67)</f>
        <v/>
      </c>
      <c r="Q67">
        <f>Q66*(1-$B$3)+I67</f>
        <v/>
      </c>
    </row>
    <row r="68">
      <c r="C68" t="n">
        <v>2034</v>
      </c>
      <c r="D68">
        <f>IF(F68=0,"",E68/F68)</f>
        <v/>
      </c>
      <c r="E68" s="21">
        <f>F68*$P$36</f>
        <v/>
      </c>
      <c r="F68" s="20">
        <f>WEO_Data!C42</f>
        <v/>
      </c>
      <c r="G68" s="20">
        <f>TREND($L$6:$L$27,$C$6:$C$27,C68)</f>
        <v/>
      </c>
      <c r="H68">
        <f>EXP(G68)*POWER(E68,$B$2)</f>
        <v/>
      </c>
      <c r="I68" t="n">
        <v>0</v>
      </c>
      <c r="J68">
        <f>I68</f>
        <v/>
      </c>
      <c r="K68" s="19">
        <f>E68+Q68</f>
        <v/>
      </c>
      <c r="L68">
        <f>EXP(G68)*POWER(K68,$B$2)</f>
        <v/>
      </c>
      <c r="M68">
        <f>L68-H68</f>
        <v/>
      </c>
      <c r="N68">
        <f>IF(H68=0,"",M68/H68*100)</f>
        <v/>
      </c>
      <c r="O68">
        <f>IF(H68=0,"",N68/H68)</f>
        <v/>
      </c>
      <c r="Q68">
        <f>Q67*(1-$B$3)+I68</f>
        <v/>
      </c>
    </row>
    <row r="69">
      <c r="C69" t="n">
        <v>2035</v>
      </c>
      <c r="D69">
        <f>IF(F69=0,"",E69/F69)</f>
        <v/>
      </c>
      <c r="E69" s="21">
        <f>F69*$P$36</f>
        <v/>
      </c>
      <c r="F69" s="20">
        <f>WEO_Data!C43</f>
        <v/>
      </c>
      <c r="G69" s="20">
        <f>TREND($L$6:$L$27,$C$6:$C$27,C69)</f>
        <v/>
      </c>
      <c r="H69">
        <f>EXP(G69)*POWER(E69,$B$2)</f>
        <v/>
      </c>
      <c r="I69" t="n">
        <v>0</v>
      </c>
      <c r="J69">
        <f>I69</f>
        <v/>
      </c>
      <c r="K69" s="19">
        <f>E69+Q69</f>
        <v/>
      </c>
      <c r="L69">
        <f>EXP(G69)*POWER(K69,$B$2)</f>
        <v/>
      </c>
      <c r="M69">
        <f>L69-H69</f>
        <v/>
      </c>
      <c r="N69">
        <f>IF(H69=0,"",M69/H69*100)</f>
        <v/>
      </c>
      <c r="O69">
        <f>IF(H69=0,"",N69/H69)</f>
        <v/>
      </c>
      <c r="Q69">
        <f>Q68*(1-$B$3)+I69</f>
        <v/>
      </c>
    </row>
    <row r="70">
      <c r="C70" t="n">
        <v>2036</v>
      </c>
      <c r="D70">
        <f>IF(F70=0,"",E70/F70)</f>
        <v/>
      </c>
      <c r="E70" s="21">
        <f>F70*$P$36</f>
        <v/>
      </c>
      <c r="F70" s="20">
        <f>WEO_Data!C44</f>
        <v/>
      </c>
      <c r="G70" s="20">
        <f>TREND($L$6:$L$27,$C$6:$C$27,C70)</f>
        <v/>
      </c>
      <c r="H70">
        <f>EXP(G70)*POWER(E70,$B$2)</f>
        <v/>
      </c>
      <c r="I70" t="n">
        <v>0</v>
      </c>
      <c r="J70">
        <f>I70</f>
        <v/>
      </c>
      <c r="K70" s="19">
        <f>E70+Q70</f>
        <v/>
      </c>
      <c r="L70">
        <f>EXP(G70)*POWER(K70,$B$2)</f>
        <v/>
      </c>
      <c r="M70">
        <f>L70-H70</f>
        <v/>
      </c>
      <c r="N70">
        <f>IF(H70=0,"",M70/H70*100)</f>
        <v/>
      </c>
      <c r="O70">
        <f>IF(H70=0,"",N70/H70)</f>
        <v/>
      </c>
      <c r="Q70">
        <f>Q69*(1-$B$3)+I70</f>
        <v/>
      </c>
    </row>
    <row r="71">
      <c r="C71" t="n">
        <v>2037</v>
      </c>
      <c r="D71">
        <f>IF(F71=0,"",E71/F71)</f>
        <v/>
      </c>
      <c r="E71" s="21">
        <f>F71*$P$36</f>
        <v/>
      </c>
      <c r="F71" s="20">
        <f>WEO_Data!C45</f>
        <v/>
      </c>
      <c r="G71" s="20">
        <f>TREND($L$6:$L$27,$C$6:$C$27,C71)</f>
        <v/>
      </c>
      <c r="H71">
        <f>EXP(G71)*POWER(E71,$B$2)</f>
        <v/>
      </c>
      <c r="I71" t="n">
        <v>0</v>
      </c>
      <c r="J71">
        <f>I71</f>
        <v/>
      </c>
      <c r="K71" s="19">
        <f>E71+Q71</f>
        <v/>
      </c>
      <c r="L71">
        <f>EXP(G71)*POWER(K71,$B$2)</f>
        <v/>
      </c>
      <c r="M71">
        <f>L71-H71</f>
        <v/>
      </c>
      <c r="N71">
        <f>IF(H71=0,"",M71/H71*100)</f>
        <v/>
      </c>
      <c r="O71">
        <f>IF(H71=0,"",N71/H71)</f>
        <v/>
      </c>
      <c r="Q71">
        <f>Q70*(1-$B$3)+I71</f>
        <v/>
      </c>
    </row>
    <row r="72">
      <c r="C72" t="n">
        <v>2038</v>
      </c>
      <c r="D72">
        <f>IF(F72=0,"",E72/F72)</f>
        <v/>
      </c>
      <c r="E72" s="21">
        <f>F72*$P$36</f>
        <v/>
      </c>
      <c r="F72" s="20">
        <f>WEO_Data!C46</f>
        <v/>
      </c>
      <c r="G72" s="20">
        <f>TREND($L$6:$L$27,$C$6:$C$27,C72)</f>
        <v/>
      </c>
      <c r="H72">
        <f>EXP(G72)*POWER(E72,$B$2)</f>
        <v/>
      </c>
      <c r="I72" t="n">
        <v>0</v>
      </c>
      <c r="J72">
        <f>I72</f>
        <v/>
      </c>
      <c r="K72" s="19">
        <f>E72+Q72</f>
        <v/>
      </c>
      <c r="L72">
        <f>EXP(G72)*POWER(K72,$B$2)</f>
        <v/>
      </c>
      <c r="M72">
        <f>L72-H72</f>
        <v/>
      </c>
      <c r="N72">
        <f>IF(H72=0,"",M72/H72*100)</f>
        <v/>
      </c>
      <c r="O72">
        <f>IF(H72=0,"",N72/H72)</f>
        <v/>
      </c>
      <c r="Q72">
        <f>Q71*(1-$B$3)+I72</f>
        <v/>
      </c>
    </row>
    <row r="73">
      <c r="C73" t="n">
        <v>2039</v>
      </c>
      <c r="D73">
        <f>IF(F73=0,"",E73/F73)</f>
        <v/>
      </c>
      <c r="E73" s="21">
        <f>F73*$P$36</f>
        <v/>
      </c>
      <c r="F73" s="20">
        <f>WEO_Data!C47</f>
        <v/>
      </c>
      <c r="G73" s="20">
        <f>TREND($L$6:$L$27,$C$6:$C$27,C73)</f>
        <v/>
      </c>
      <c r="H73">
        <f>EXP(G73)*POWER(E73,$B$2)</f>
        <v/>
      </c>
      <c r="I73" t="n">
        <v>0</v>
      </c>
      <c r="J73">
        <f>I73</f>
        <v/>
      </c>
      <c r="K73" s="19">
        <f>E73+Q73</f>
        <v/>
      </c>
      <c r="L73">
        <f>EXP(G73)*POWER(K73,$B$2)</f>
        <v/>
      </c>
      <c r="M73">
        <f>L73-H73</f>
        <v/>
      </c>
      <c r="N73">
        <f>IF(H73=0,"",M73/H73*100)</f>
        <v/>
      </c>
      <c r="O73">
        <f>IF(H73=0,"",N73/H73)</f>
        <v/>
      </c>
      <c r="Q73">
        <f>Q72*(1-$B$3)+I73</f>
        <v/>
      </c>
    </row>
    <row r="74">
      <c r="C74" t="n">
        <v>2040</v>
      </c>
      <c r="D74">
        <f>IF(F74=0,"",E74/F74)</f>
        <v/>
      </c>
      <c r="E74" s="21">
        <f>F74*$P$36</f>
        <v/>
      </c>
      <c r="F74" s="20">
        <f>WEO_Data!C48</f>
        <v/>
      </c>
      <c r="G74" s="20">
        <f>TREND($L$6:$L$27,$C$6:$C$27,C74)</f>
        <v/>
      </c>
      <c r="H74">
        <f>EXP(G74)*POWER(E74,$B$2)</f>
        <v/>
      </c>
      <c r="I74" t="n">
        <v>0</v>
      </c>
      <c r="J74">
        <f>I74</f>
        <v/>
      </c>
      <c r="K74" s="19">
        <f>E74+Q74</f>
        <v/>
      </c>
      <c r="L74">
        <f>EXP(G74)*POWER(K74,$B$2)</f>
        <v/>
      </c>
      <c r="M74">
        <f>L74-H74</f>
        <v/>
      </c>
      <c r="N74">
        <f>IF(H74=0,"",M74/H74*100)</f>
        <v/>
      </c>
      <c r="O74">
        <f>IF(H74=0,"",N74/H74)</f>
        <v/>
      </c>
      <c r="Q74">
        <f>Q73*(1-$B$3)+I74</f>
        <v/>
      </c>
    </row>
    <row r="75">
      <c r="C75" t="n">
        <v>2041</v>
      </c>
      <c r="D75">
        <f>IF(F75=0,"",E75/F75)</f>
        <v/>
      </c>
      <c r="E75" s="21">
        <f>F75*$P$36</f>
        <v/>
      </c>
      <c r="F75" s="20">
        <f>WEO_Data!C49</f>
        <v/>
      </c>
      <c r="G75" s="20">
        <f>TREND($L$6:$L$27,$C$6:$C$27,C75)</f>
        <v/>
      </c>
      <c r="H75">
        <f>EXP(G75)*POWER(E75,$B$2)</f>
        <v/>
      </c>
      <c r="I75" t="n">
        <v>0</v>
      </c>
      <c r="J75">
        <f>I75</f>
        <v/>
      </c>
      <c r="K75" s="19">
        <f>E75+Q75</f>
        <v/>
      </c>
      <c r="L75">
        <f>EXP(G75)*POWER(K75,$B$2)</f>
        <v/>
      </c>
      <c r="M75">
        <f>L75-H75</f>
        <v/>
      </c>
      <c r="N75">
        <f>IF(H75=0,"",M75/H75*100)</f>
        <v/>
      </c>
      <c r="O75">
        <f>IF(H75=0,"",N75/H75)</f>
        <v/>
      </c>
      <c r="Q75">
        <f>Q74*(1-$B$3)+I75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PWT!C8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PWT!C9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PWT!C10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PWT!C11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PWT!C12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PWT!C13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PWT!C14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PWT!C15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PWT!C16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PWT!C17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PWT!C18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PWT!C19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PWT!C20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PWT!C21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PWT!C22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PWT!C23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PWT!C24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PWT!C25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PWT!C26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PWT!C27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PWT!C28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PWT!C29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PWT!C30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PWT!C31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PWT!C32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PWT!C33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PWT!C34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PWT!C35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delta</t>
        </is>
      </c>
    </row>
    <row r="2">
      <c r="A2" s="19" t="n">
        <v>1990</v>
      </c>
      <c r="B2" s="19" t="n">
        <v>333953.90625</v>
      </c>
      <c r="C2" t="n">
        <v>0.0409929528832436</v>
      </c>
    </row>
    <row r="3">
      <c r="A3" s="19" t="n">
        <v>1991</v>
      </c>
      <c r="B3" s="19" t="n">
        <v>336800.125</v>
      </c>
      <c r="C3" t="n">
        <v>0.0411235168576241</v>
      </c>
    </row>
    <row r="4">
      <c r="A4" s="19" t="n">
        <v>1992</v>
      </c>
      <c r="B4" s="19" t="n">
        <v>331575.34375</v>
      </c>
      <c r="C4" t="n">
        <v>0.0402376800775528</v>
      </c>
    </row>
    <row r="5">
      <c r="A5" s="19" t="n">
        <v>1993</v>
      </c>
      <c r="B5" s="19" t="n">
        <v>318977.5625</v>
      </c>
      <c r="C5" t="n">
        <v>0.0383953675627708</v>
      </c>
    </row>
    <row r="6">
      <c r="A6" s="19" t="n">
        <v>1994</v>
      </c>
      <c r="B6" s="19" t="n">
        <v>310557.21875</v>
      </c>
      <c r="C6" t="n">
        <v>0.0363418571650982</v>
      </c>
    </row>
    <row r="7">
      <c r="A7" s="19" t="n">
        <v>1995</v>
      </c>
      <c r="B7" s="19" t="n">
        <v>305633.28125</v>
      </c>
      <c r="C7" t="n">
        <v>0.0346032343804836</v>
      </c>
    </row>
    <row r="8">
      <c r="A8" s="19" t="n">
        <v>1996</v>
      </c>
      <c r="B8" s="19" t="n">
        <v>301706.46875</v>
      </c>
      <c r="C8" t="n">
        <v>0.0332826301455498</v>
      </c>
    </row>
    <row r="9">
      <c r="A9" s="19" t="n">
        <v>1997</v>
      </c>
      <c r="B9" s="19" t="n">
        <v>298764.625</v>
      </c>
      <c r="C9" t="n">
        <v>0.0324222669005394</v>
      </c>
    </row>
    <row r="10">
      <c r="A10" s="19" t="n">
        <v>1998</v>
      </c>
      <c r="B10" s="19" t="n">
        <v>298990.5</v>
      </c>
      <c r="C10" t="n">
        <v>0.0320810526609421</v>
      </c>
    </row>
    <row r="11">
      <c r="A11" s="19" t="n">
        <v>1999</v>
      </c>
      <c r="B11" s="19" t="n">
        <v>299754.78125</v>
      </c>
      <c r="C11" t="n">
        <v>0.0320445038378239</v>
      </c>
    </row>
    <row r="12">
      <c r="A12" s="19" t="n">
        <v>2000</v>
      </c>
      <c r="B12" s="19" t="n">
        <v>300383.3125</v>
      </c>
      <c r="C12" t="n">
        <v>0.031913548707962</v>
      </c>
    </row>
    <row r="13">
      <c r="A13" s="19" t="n">
        <v>2001</v>
      </c>
      <c r="B13" s="19" t="n">
        <v>302284.0625</v>
      </c>
      <c r="C13" t="n">
        <v>0.0318191163241863</v>
      </c>
    </row>
    <row r="14">
      <c r="A14" s="19" t="n">
        <v>2002</v>
      </c>
      <c r="B14" s="19" t="n">
        <v>303592.625</v>
      </c>
      <c r="C14" t="n">
        <v>0.0315976105630398</v>
      </c>
    </row>
    <row r="15">
      <c r="A15" s="19" t="n">
        <v>2003</v>
      </c>
      <c r="B15" s="19" t="n">
        <v>307310.28125</v>
      </c>
      <c r="C15" t="n">
        <v>0.0312637500464916</v>
      </c>
    </row>
    <row r="16">
      <c r="A16" s="19" t="n">
        <v>2004</v>
      </c>
      <c r="B16" s="19" t="n">
        <v>311984.28125</v>
      </c>
      <c r="C16" t="n">
        <v>0.0316877923905849</v>
      </c>
    </row>
    <row r="17">
      <c r="A17" s="19" t="n">
        <v>2005</v>
      </c>
      <c r="B17" s="19" t="n">
        <v>317837.8125</v>
      </c>
      <c r="C17" t="n">
        <v>0.0329389497637749</v>
      </c>
    </row>
    <row r="18">
      <c r="A18" s="19" t="n">
        <v>2006</v>
      </c>
      <c r="B18" s="19" t="n">
        <v>322943.65625</v>
      </c>
      <c r="C18" t="n">
        <v>0.0344443172216415</v>
      </c>
    </row>
    <row r="19">
      <c r="A19" s="19" t="n">
        <v>2007</v>
      </c>
      <c r="B19" s="19" t="n">
        <v>329445.875</v>
      </c>
      <c r="C19" t="n">
        <v>0.0360632352530956</v>
      </c>
    </row>
    <row r="20">
      <c r="A20" s="19" t="n">
        <v>2008</v>
      </c>
      <c r="B20" s="19" t="n">
        <v>332604.46875</v>
      </c>
      <c r="C20" t="n">
        <v>0.0373382940888405</v>
      </c>
    </row>
    <row r="21">
      <c r="A21" s="19" t="n">
        <v>2009</v>
      </c>
      <c r="B21" s="19" t="n">
        <v>330608.28125</v>
      </c>
      <c r="C21" t="n">
        <v>0.0375244617462158</v>
      </c>
    </row>
    <row r="22">
      <c r="A22" s="19" t="n">
        <v>2010</v>
      </c>
      <c r="B22" s="19" t="n">
        <v>332551.53125</v>
      </c>
      <c r="C22" t="n">
        <v>0.0372243337333202</v>
      </c>
    </row>
    <row r="23">
      <c r="A23" s="19" t="n">
        <v>2011</v>
      </c>
      <c r="B23" s="19" t="n">
        <v>336560.28125</v>
      </c>
      <c r="C23" t="n">
        <v>0.037186823785305</v>
      </c>
    </row>
    <row r="24">
      <c r="A24" s="19" t="n">
        <v>2012</v>
      </c>
      <c r="B24" s="19" t="n">
        <v>341471.1875</v>
      </c>
      <c r="C24" t="n">
        <v>0.0371892042458057</v>
      </c>
    </row>
    <row r="25">
      <c r="A25" s="19" t="n">
        <v>2013</v>
      </c>
      <c r="B25" s="19" t="n">
        <v>344239.03125</v>
      </c>
      <c r="C25" t="n">
        <v>0.0372365638613701</v>
      </c>
    </row>
    <row r="26">
      <c r="A26" s="19" t="n">
        <v>2014</v>
      </c>
      <c r="B26" s="19" t="n">
        <v>350962.15625</v>
      </c>
      <c r="C26" t="n">
        <v>0.03755883872509</v>
      </c>
    </row>
    <row r="27">
      <c r="A27" s="19" t="n">
        <v>2015</v>
      </c>
      <c r="B27" s="19" t="n">
        <v>360259.8125</v>
      </c>
      <c r="C27" t="n">
        <v>0.0383267849683762</v>
      </c>
    </row>
    <row r="28">
      <c r="A28" s="19" t="n">
        <v>2016</v>
      </c>
      <c r="B28" s="19" t="n">
        <v>370547.65625</v>
      </c>
      <c r="C28" t="n">
        <v>0.0393099114298821</v>
      </c>
    </row>
    <row r="29">
      <c r="A29" s="19" t="n">
        <v>2017</v>
      </c>
      <c r="B29" s="19" t="n">
        <v>380655.78125</v>
      </c>
      <c r="C29" t="n">
        <v>0.0404252856969833</v>
      </c>
    </row>
    <row r="30">
      <c r="A30" s="19" t="n">
        <v>2018</v>
      </c>
      <c r="B30" s="19" t="n">
        <v>390625.1875</v>
      </c>
      <c r="C30" t="n">
        <v>0.0412590205669403</v>
      </c>
    </row>
    <row r="31">
      <c r="A31" s="19" t="n">
        <v>2019</v>
      </c>
      <c r="B31" s="19" t="n">
        <v>399934.28125</v>
      </c>
      <c r="C31" t="n">
        <v>0.0420626476407051</v>
      </c>
    </row>
    <row r="32">
      <c r="A32" s="19" t="n">
        <v>2020</v>
      </c>
      <c r="B32" s="19" t="n">
        <v>405156.15625</v>
      </c>
      <c r="C32" t="n">
        <v>0.0429592169821262</v>
      </c>
    </row>
    <row r="33">
      <c r="A33" s="19" t="n">
        <v>2021</v>
      </c>
      <c r="B33" s="19" t="n">
        <v>409189.75</v>
      </c>
      <c r="C33" t="n">
        <v>0.0433573126792908</v>
      </c>
    </row>
    <row r="34">
      <c r="A34" s="19" t="n">
        <v>2022</v>
      </c>
      <c r="B34" s="19" t="n">
        <v>415085.84375</v>
      </c>
      <c r="C34" t="n">
        <v>0.0436077080667019</v>
      </c>
    </row>
    <row r="35">
      <c r="A35" s="19" t="n">
        <v>2023</v>
      </c>
      <c r="B35" s="19" t="n">
        <v>426190.5</v>
      </c>
      <c r="C35" t="n">
        <v>0.0444894470274448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 t="n">
        <v>82.816</v>
      </c>
      <c r="D36" t="n">
        <v>5</v>
      </c>
    </row>
    <row r="37">
      <c r="B37" t="n">
        <v>2029</v>
      </c>
      <c r="C37" t="n">
        <v>86.95699999999999</v>
      </c>
      <c r="D37" t="n">
        <v>5</v>
      </c>
    </row>
    <row r="38">
      <c r="B38" t="n">
        <v>2030</v>
      </c>
      <c r="C38" t="n">
        <v>91.30500000000001</v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2026-01-29T03:25:55Z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