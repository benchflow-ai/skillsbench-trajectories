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" sheetId="1" state="visible" r:id="rId1"/>
    <sheet name="USE" sheetId="2" state="visible" r:id="rId2"/>
    <sheet name="WEO_Data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4"/>
    </font>
    <font>
      <i val="1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A9D08E"/>
        <bgColor rgb="00A9D08E"/>
      </patternFill>
    </fill>
    <fill>
      <patternFill patternType="solid">
        <fgColor rgb="00203864"/>
        <bgColor rgb="00203864"/>
      </patternFill>
    </fill>
    <fill>
      <patternFill patternType="solid">
        <fgColor rgb="00D9E8F5"/>
        <bgColor rgb="00D9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4" borderId="0" pivotButton="0" quotePrefix="0" xfId="0"/>
    <xf numFmtId="0" fontId="3" fillId="5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5" customWidth="1" min="4" max="4"/>
    <col width="30" customWidth="1" min="5" max="5"/>
  </cols>
  <sheetData>
    <row r="1">
      <c r="A1" s="3" t="inlineStr">
        <is>
          <t>SUPPLY TABLE (38 Products)</t>
        </is>
      </c>
    </row>
    <row r="2">
      <c r="A2" s="11" t="inlineStr">
        <is>
          <t>Product Code</t>
        </is>
      </c>
      <c r="B2" s="11" t="inlineStr">
        <is>
          <t>Product Name</t>
        </is>
      </c>
      <c r="C2" s="11" t="inlineStr">
        <is>
          <t>Domestic Production (Million Lari)</t>
        </is>
      </c>
      <c r="D2" s="11" t="inlineStr">
        <is>
          <t>Imports (Million Lari)</t>
        </is>
      </c>
      <c r="E2" s="11" t="inlineStr">
        <is>
          <t>Total Supply (Million Lari)</t>
        </is>
      </c>
    </row>
    <row r="3">
      <c r="A3" t="inlineStr">
        <is>
          <t>P01</t>
        </is>
      </c>
      <c r="B3" t="inlineStr">
        <is>
          <t>Product 1</t>
        </is>
      </c>
      <c r="E3">
        <f>C3+D3</f>
        <v/>
      </c>
    </row>
    <row r="4">
      <c r="A4" t="inlineStr">
        <is>
          <t>P02</t>
        </is>
      </c>
      <c r="B4" t="inlineStr">
        <is>
          <t>Product 2</t>
        </is>
      </c>
      <c r="E4">
        <f>C4+D4</f>
        <v/>
      </c>
    </row>
    <row r="5">
      <c r="A5" t="inlineStr">
        <is>
          <t>P03</t>
        </is>
      </c>
      <c r="B5" t="inlineStr">
        <is>
          <t>Product 3</t>
        </is>
      </c>
      <c r="E5">
        <f>C5+D5</f>
        <v/>
      </c>
    </row>
    <row r="6">
      <c r="A6" t="inlineStr">
        <is>
          <t>P04</t>
        </is>
      </c>
      <c r="B6" t="inlineStr">
        <is>
          <t>Product 4</t>
        </is>
      </c>
      <c r="E6">
        <f>C6+D6</f>
        <v/>
      </c>
    </row>
    <row r="7">
      <c r="A7" t="inlineStr">
        <is>
          <t>P05</t>
        </is>
      </c>
      <c r="B7" t="inlineStr">
        <is>
          <t>Product 5</t>
        </is>
      </c>
      <c r="E7">
        <f>C7+D7</f>
        <v/>
      </c>
    </row>
    <row r="8">
      <c r="A8" t="inlineStr">
        <is>
          <t>P06</t>
        </is>
      </c>
      <c r="B8" t="inlineStr">
        <is>
          <t>Product 6</t>
        </is>
      </c>
      <c r="E8">
        <f>C8+D8</f>
        <v/>
      </c>
    </row>
    <row r="9">
      <c r="A9" t="inlineStr">
        <is>
          <t>P07</t>
        </is>
      </c>
      <c r="B9" t="inlineStr">
        <is>
          <t>Product 7</t>
        </is>
      </c>
      <c r="E9">
        <f>C9+D9</f>
        <v/>
      </c>
    </row>
    <row r="10">
      <c r="A10" t="inlineStr">
        <is>
          <t>P08</t>
        </is>
      </c>
      <c r="B10" t="inlineStr">
        <is>
          <t>Product 8</t>
        </is>
      </c>
      <c r="E10">
        <f>C10+D10</f>
        <v/>
      </c>
    </row>
    <row r="11">
      <c r="A11" t="inlineStr">
        <is>
          <t>P09</t>
        </is>
      </c>
      <c r="B11" t="inlineStr">
        <is>
          <t>Product 9</t>
        </is>
      </c>
      <c r="E11">
        <f>C11+D11</f>
        <v/>
      </c>
    </row>
    <row r="12">
      <c r="A12" t="inlineStr">
        <is>
          <t>P10</t>
        </is>
      </c>
      <c r="B12" t="inlineStr">
        <is>
          <t>Product 10</t>
        </is>
      </c>
      <c r="E12">
        <f>C12+D12</f>
        <v/>
      </c>
    </row>
    <row r="13">
      <c r="A13" t="inlineStr">
        <is>
          <t>P11</t>
        </is>
      </c>
      <c r="B13" t="inlineStr">
        <is>
          <t>Product 11</t>
        </is>
      </c>
      <c r="E13">
        <f>C13+D13</f>
        <v/>
      </c>
    </row>
    <row r="14">
      <c r="A14" t="inlineStr">
        <is>
          <t>P12</t>
        </is>
      </c>
      <c r="B14" t="inlineStr">
        <is>
          <t>Product 12</t>
        </is>
      </c>
      <c r="E14">
        <f>C14+D14</f>
        <v/>
      </c>
    </row>
    <row r="15">
      <c r="A15" t="inlineStr">
        <is>
          <t>P13</t>
        </is>
      </c>
      <c r="B15" t="inlineStr">
        <is>
          <t>Product 13</t>
        </is>
      </c>
      <c r="E15">
        <f>C15+D15</f>
        <v/>
      </c>
    </row>
    <row r="16">
      <c r="A16" t="inlineStr">
        <is>
          <t>P14</t>
        </is>
      </c>
      <c r="B16" t="inlineStr">
        <is>
          <t>Product 14</t>
        </is>
      </c>
      <c r="E16">
        <f>C16+D16</f>
        <v/>
      </c>
    </row>
    <row r="17">
      <c r="A17" t="inlineStr">
        <is>
          <t>P15</t>
        </is>
      </c>
      <c r="B17" t="inlineStr">
        <is>
          <t>Product 15</t>
        </is>
      </c>
      <c r="E17">
        <f>C17+D17</f>
        <v/>
      </c>
    </row>
    <row r="18">
      <c r="A18" t="inlineStr">
        <is>
          <t>P16</t>
        </is>
      </c>
      <c r="B18" t="inlineStr">
        <is>
          <t>Product 16</t>
        </is>
      </c>
      <c r="E18">
        <f>C18+D18</f>
        <v/>
      </c>
    </row>
    <row r="19">
      <c r="A19" t="inlineStr">
        <is>
          <t>P17</t>
        </is>
      </c>
      <c r="B19" t="inlineStr">
        <is>
          <t>Product 17</t>
        </is>
      </c>
      <c r="E19">
        <f>C19+D19</f>
        <v/>
      </c>
    </row>
    <row r="20">
      <c r="A20" t="inlineStr">
        <is>
          <t>P18</t>
        </is>
      </c>
      <c r="B20" t="inlineStr">
        <is>
          <t>Product 18</t>
        </is>
      </c>
      <c r="E20">
        <f>C20+D20</f>
        <v/>
      </c>
    </row>
    <row r="21">
      <c r="A21" t="inlineStr">
        <is>
          <t>P19</t>
        </is>
      </c>
      <c r="B21" t="inlineStr">
        <is>
          <t>Product 19</t>
        </is>
      </c>
      <c r="E21">
        <f>C21+D21</f>
        <v/>
      </c>
    </row>
    <row r="22">
      <c r="A22" t="inlineStr">
        <is>
          <t>P20</t>
        </is>
      </c>
      <c r="B22" t="inlineStr">
        <is>
          <t>Product 20</t>
        </is>
      </c>
      <c r="E22">
        <f>C22+D22</f>
        <v/>
      </c>
    </row>
    <row r="23">
      <c r="A23" t="inlineStr">
        <is>
          <t>P21</t>
        </is>
      </c>
      <c r="B23" t="inlineStr">
        <is>
          <t>Product 21</t>
        </is>
      </c>
      <c r="E23">
        <f>C23+D23</f>
        <v/>
      </c>
    </row>
    <row r="24">
      <c r="A24" t="inlineStr">
        <is>
          <t>P22</t>
        </is>
      </c>
      <c r="B24" t="inlineStr">
        <is>
          <t>Product 22</t>
        </is>
      </c>
      <c r="E24">
        <f>C24+D24</f>
        <v/>
      </c>
    </row>
    <row r="25">
      <c r="A25" t="inlineStr">
        <is>
          <t>P23</t>
        </is>
      </c>
      <c r="B25" t="inlineStr">
        <is>
          <t>Product 23</t>
        </is>
      </c>
      <c r="E25">
        <f>C25+D25</f>
        <v/>
      </c>
    </row>
    <row r="26">
      <c r="A26" t="inlineStr">
        <is>
          <t>P24</t>
        </is>
      </c>
      <c r="B26" t="inlineStr">
        <is>
          <t>Product 24</t>
        </is>
      </c>
      <c r="E26">
        <f>C26+D26</f>
        <v/>
      </c>
    </row>
    <row r="27">
      <c r="A27" t="inlineStr">
        <is>
          <t>P25</t>
        </is>
      </c>
      <c r="B27" t="inlineStr">
        <is>
          <t>Product 25</t>
        </is>
      </c>
      <c r="E27">
        <f>C27+D27</f>
        <v/>
      </c>
    </row>
    <row r="28">
      <c r="A28" t="inlineStr">
        <is>
          <t>P26</t>
        </is>
      </c>
      <c r="B28" t="inlineStr">
        <is>
          <t>Product 26</t>
        </is>
      </c>
      <c r="E28">
        <f>C28+D28</f>
        <v/>
      </c>
    </row>
    <row r="29">
      <c r="A29" t="inlineStr">
        <is>
          <t>P27</t>
        </is>
      </c>
      <c r="B29" t="inlineStr">
        <is>
          <t>Product 27</t>
        </is>
      </c>
      <c r="E29">
        <f>C29+D29</f>
        <v/>
      </c>
    </row>
    <row r="30">
      <c r="A30" t="inlineStr">
        <is>
          <t>P28</t>
        </is>
      </c>
      <c r="B30" t="inlineStr">
        <is>
          <t>Product 28</t>
        </is>
      </c>
      <c r="E30">
        <f>C30+D30</f>
        <v/>
      </c>
    </row>
    <row r="31">
      <c r="A31" t="inlineStr">
        <is>
          <t>P29</t>
        </is>
      </c>
      <c r="B31" t="inlineStr">
        <is>
          <t>Product 29</t>
        </is>
      </c>
      <c r="E31">
        <f>C31+D31</f>
        <v/>
      </c>
    </row>
    <row r="32">
      <c r="A32" t="inlineStr">
        <is>
          <t>P30</t>
        </is>
      </c>
      <c r="B32" t="inlineStr">
        <is>
          <t>Product 30</t>
        </is>
      </c>
      <c r="E32">
        <f>C32+D32</f>
        <v/>
      </c>
    </row>
    <row r="33">
      <c r="A33" t="inlineStr">
        <is>
          <t>P31</t>
        </is>
      </c>
      <c r="B33" t="inlineStr">
        <is>
          <t>Product 31</t>
        </is>
      </c>
      <c r="E33">
        <f>C33+D33</f>
        <v/>
      </c>
    </row>
    <row r="34">
      <c r="A34" t="inlineStr">
        <is>
          <t>P32</t>
        </is>
      </c>
      <c r="B34" t="inlineStr">
        <is>
          <t>Product 32</t>
        </is>
      </c>
      <c r="E34">
        <f>C34+D34</f>
        <v/>
      </c>
    </row>
    <row r="35">
      <c r="A35" t="inlineStr">
        <is>
          <t>P33</t>
        </is>
      </c>
      <c r="B35" t="inlineStr">
        <is>
          <t>Product 33</t>
        </is>
      </c>
      <c r="E35">
        <f>C35+D35</f>
        <v/>
      </c>
    </row>
    <row r="36">
      <c r="A36" t="inlineStr">
        <is>
          <t>P34</t>
        </is>
      </c>
      <c r="B36" t="inlineStr">
        <is>
          <t>Product 34</t>
        </is>
      </c>
      <c r="E36">
        <f>C36+D36</f>
        <v/>
      </c>
    </row>
    <row r="37">
      <c r="A37" t="inlineStr">
        <is>
          <t>P35</t>
        </is>
      </c>
      <c r="B37" t="inlineStr">
        <is>
          <t>Product 35</t>
        </is>
      </c>
      <c r="E37">
        <f>C37+D37</f>
        <v/>
      </c>
    </row>
    <row r="38">
      <c r="A38" t="inlineStr">
        <is>
          <t>P36</t>
        </is>
      </c>
      <c r="B38" t="inlineStr">
        <is>
          <t>Product 36</t>
        </is>
      </c>
      <c r="E38">
        <f>C38+D38</f>
        <v/>
      </c>
    </row>
    <row r="39">
      <c r="A39" t="inlineStr">
        <is>
          <t>P37</t>
        </is>
      </c>
      <c r="B39" t="inlineStr">
        <is>
          <t>Product 37</t>
        </is>
      </c>
      <c r="E39">
        <f>C39+D39</f>
        <v/>
      </c>
    </row>
    <row r="40">
      <c r="A40" t="inlineStr">
        <is>
          <t>P38</t>
        </is>
      </c>
      <c r="B40" t="inlineStr">
        <is>
          <t>Product 38</t>
        </is>
      </c>
      <c r="E40">
        <f>C40+D40</f>
        <v/>
      </c>
    </row>
    <row r="41">
      <c r="A41" t="inlineStr">
        <is>
          <t>TOTAL</t>
        </is>
      </c>
      <c r="C41">
        <f>SUM(C3:C40)</f>
        <v/>
      </c>
      <c r="D41">
        <f>SUM(D3:D40)</f>
        <v/>
      </c>
      <c r="E41">
        <f>SUM(E3:E40)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USE TABLE (38 Products)</t>
        </is>
      </c>
    </row>
    <row r="2">
      <c r="A2" s="11" t="inlineStr">
        <is>
          <t>Product Code</t>
        </is>
      </c>
      <c r="B2" s="11" t="inlineStr">
        <is>
          <t>Product Name</t>
        </is>
      </c>
      <c r="C2" s="11" t="inlineStr">
        <is>
          <t>Intermediate Consumption (Million Lari)</t>
        </is>
      </c>
      <c r="D2" s="11" t="inlineStr">
        <is>
          <t>Final Consumption (Million Lari)</t>
        </is>
      </c>
      <c r="E2" s="11" t="inlineStr">
        <is>
          <t>Gross Capital Formation (Million Lari)</t>
        </is>
      </c>
      <c r="F2" s="11" t="inlineStr">
        <is>
          <t>Exports (Million Lari)</t>
        </is>
      </c>
      <c r="G2" s="11" t="inlineStr">
        <is>
          <t>Total Use (Million Lari)</t>
        </is>
      </c>
    </row>
    <row r="3">
      <c r="A3" t="inlineStr">
        <is>
          <t>P01</t>
        </is>
      </c>
      <c r="B3" t="inlineStr">
        <is>
          <t>Product 1</t>
        </is>
      </c>
      <c r="G3">
        <f>C3+D3+E3+F3</f>
        <v/>
      </c>
    </row>
    <row r="4">
      <c r="A4" t="inlineStr">
        <is>
          <t>P02</t>
        </is>
      </c>
      <c r="B4" t="inlineStr">
        <is>
          <t>Product 2</t>
        </is>
      </c>
      <c r="G4">
        <f>C4+D4+E4+F4</f>
        <v/>
      </c>
    </row>
    <row r="5">
      <c r="A5" t="inlineStr">
        <is>
          <t>P03</t>
        </is>
      </c>
      <c r="B5" t="inlineStr">
        <is>
          <t>Product 3</t>
        </is>
      </c>
      <c r="G5">
        <f>C5+D5+E5+F5</f>
        <v/>
      </c>
    </row>
    <row r="6">
      <c r="A6" t="inlineStr">
        <is>
          <t>P04</t>
        </is>
      </c>
      <c r="B6" t="inlineStr">
        <is>
          <t>Product 4</t>
        </is>
      </c>
      <c r="G6">
        <f>C6+D6+E6+F6</f>
        <v/>
      </c>
    </row>
    <row r="7">
      <c r="A7" t="inlineStr">
        <is>
          <t>P05</t>
        </is>
      </c>
      <c r="B7" t="inlineStr">
        <is>
          <t>Product 5</t>
        </is>
      </c>
      <c r="G7">
        <f>C7+D7+E7+F7</f>
        <v/>
      </c>
    </row>
    <row r="8">
      <c r="A8" t="inlineStr">
        <is>
          <t>P06</t>
        </is>
      </c>
      <c r="B8" t="inlineStr">
        <is>
          <t>Product 6</t>
        </is>
      </c>
      <c r="G8">
        <f>C8+D8+E8+F8</f>
        <v/>
      </c>
    </row>
    <row r="9">
      <c r="A9" t="inlineStr">
        <is>
          <t>P07</t>
        </is>
      </c>
      <c r="B9" t="inlineStr">
        <is>
          <t>Product 7</t>
        </is>
      </c>
      <c r="G9">
        <f>C9+D9+E9+F9</f>
        <v/>
      </c>
    </row>
    <row r="10">
      <c r="A10" t="inlineStr">
        <is>
          <t>P08</t>
        </is>
      </c>
      <c r="B10" t="inlineStr">
        <is>
          <t>Product 8</t>
        </is>
      </c>
      <c r="G10">
        <f>C10+D10+E10+F10</f>
        <v/>
      </c>
    </row>
    <row r="11">
      <c r="A11" t="inlineStr">
        <is>
          <t>P09</t>
        </is>
      </c>
      <c r="B11" t="inlineStr">
        <is>
          <t>Product 9</t>
        </is>
      </c>
      <c r="G11">
        <f>C11+D11+E11+F11</f>
        <v/>
      </c>
    </row>
    <row r="12">
      <c r="A12" t="inlineStr">
        <is>
          <t>P10</t>
        </is>
      </c>
      <c r="B12" t="inlineStr">
        <is>
          <t>Product 10</t>
        </is>
      </c>
      <c r="G12">
        <f>C12+D12+E12+F12</f>
        <v/>
      </c>
    </row>
    <row r="13">
      <c r="A13" t="inlineStr">
        <is>
          <t>P11</t>
        </is>
      </c>
      <c r="B13" t="inlineStr">
        <is>
          <t>Product 11</t>
        </is>
      </c>
      <c r="G13">
        <f>C13+D13+E13+F13</f>
        <v/>
      </c>
    </row>
    <row r="14">
      <c r="A14" t="inlineStr">
        <is>
          <t>P12</t>
        </is>
      </c>
      <c r="B14" t="inlineStr">
        <is>
          <t>Product 12</t>
        </is>
      </c>
      <c r="G14">
        <f>C14+D14+E14+F14</f>
        <v/>
      </c>
    </row>
    <row r="15">
      <c r="A15" t="inlineStr">
        <is>
          <t>P13</t>
        </is>
      </c>
      <c r="B15" t="inlineStr">
        <is>
          <t>Product 13</t>
        </is>
      </c>
      <c r="G15">
        <f>C15+D15+E15+F15</f>
        <v/>
      </c>
    </row>
    <row r="16">
      <c r="A16" t="inlineStr">
        <is>
          <t>P14</t>
        </is>
      </c>
      <c r="B16" t="inlineStr">
        <is>
          <t>Product 14</t>
        </is>
      </c>
      <c r="G16">
        <f>C16+D16+E16+F16</f>
        <v/>
      </c>
    </row>
    <row r="17">
      <c r="A17" t="inlineStr">
        <is>
          <t>P15</t>
        </is>
      </c>
      <c r="B17" t="inlineStr">
        <is>
          <t>Product 15</t>
        </is>
      </c>
      <c r="G17">
        <f>C17+D17+E17+F17</f>
        <v/>
      </c>
    </row>
    <row r="18">
      <c r="A18" t="inlineStr">
        <is>
          <t>P16</t>
        </is>
      </c>
      <c r="B18" t="inlineStr">
        <is>
          <t>Product 16</t>
        </is>
      </c>
      <c r="G18">
        <f>C18+D18+E18+F18</f>
        <v/>
      </c>
    </row>
    <row r="19">
      <c r="A19" t="inlineStr">
        <is>
          <t>P17</t>
        </is>
      </c>
      <c r="B19" t="inlineStr">
        <is>
          <t>Product 17</t>
        </is>
      </c>
      <c r="G19">
        <f>C19+D19+E19+F19</f>
        <v/>
      </c>
    </row>
    <row r="20">
      <c r="A20" t="inlineStr">
        <is>
          <t>P18</t>
        </is>
      </c>
      <c r="B20" t="inlineStr">
        <is>
          <t>Product 18</t>
        </is>
      </c>
      <c r="G20">
        <f>C20+D20+E20+F20</f>
        <v/>
      </c>
    </row>
    <row r="21">
      <c r="A21" t="inlineStr">
        <is>
          <t>P19</t>
        </is>
      </c>
      <c r="B21" t="inlineStr">
        <is>
          <t>Product 19</t>
        </is>
      </c>
      <c r="G21">
        <f>C21+D21+E21+F21</f>
        <v/>
      </c>
    </row>
    <row r="22">
      <c r="A22" t="inlineStr">
        <is>
          <t>P20</t>
        </is>
      </c>
      <c r="B22" t="inlineStr">
        <is>
          <t>Product 20</t>
        </is>
      </c>
      <c r="G22">
        <f>C22+D22+E22+F22</f>
        <v/>
      </c>
    </row>
    <row r="23">
      <c r="A23" t="inlineStr">
        <is>
          <t>P21</t>
        </is>
      </c>
      <c r="B23" t="inlineStr">
        <is>
          <t>Product 21</t>
        </is>
      </c>
      <c r="G23">
        <f>C23+D23+E23+F23</f>
        <v/>
      </c>
    </row>
    <row r="24">
      <c r="A24" t="inlineStr">
        <is>
          <t>P22</t>
        </is>
      </c>
      <c r="B24" t="inlineStr">
        <is>
          <t>Product 22</t>
        </is>
      </c>
      <c r="G24">
        <f>C24+D24+E24+F24</f>
        <v/>
      </c>
    </row>
    <row r="25">
      <c r="A25" t="inlineStr">
        <is>
          <t>P23</t>
        </is>
      </c>
      <c r="B25" t="inlineStr">
        <is>
          <t>Product 23</t>
        </is>
      </c>
      <c r="G25">
        <f>C25+D25+E25+F25</f>
        <v/>
      </c>
    </row>
    <row r="26">
      <c r="A26" t="inlineStr">
        <is>
          <t>P24</t>
        </is>
      </c>
      <c r="B26" t="inlineStr">
        <is>
          <t>Product 24</t>
        </is>
      </c>
      <c r="G26">
        <f>C26+D26+E26+F26</f>
        <v/>
      </c>
    </row>
    <row r="27">
      <c r="A27" t="inlineStr">
        <is>
          <t>P25</t>
        </is>
      </c>
      <c r="B27" t="inlineStr">
        <is>
          <t>Product 25</t>
        </is>
      </c>
      <c r="G27">
        <f>C27+D27+E27+F27</f>
        <v/>
      </c>
    </row>
    <row r="28">
      <c r="A28" t="inlineStr">
        <is>
          <t>P26</t>
        </is>
      </c>
      <c r="B28" t="inlineStr">
        <is>
          <t>Product 26</t>
        </is>
      </c>
      <c r="G28">
        <f>C28+D28+E28+F28</f>
        <v/>
      </c>
    </row>
    <row r="29">
      <c r="A29" t="inlineStr">
        <is>
          <t>P27</t>
        </is>
      </c>
      <c r="B29" t="inlineStr">
        <is>
          <t>Product 27</t>
        </is>
      </c>
      <c r="G29">
        <f>C29+D29+E29+F29</f>
        <v/>
      </c>
    </row>
    <row r="30">
      <c r="A30" t="inlineStr">
        <is>
          <t>P28</t>
        </is>
      </c>
      <c r="B30" t="inlineStr">
        <is>
          <t>Product 28</t>
        </is>
      </c>
      <c r="G30">
        <f>C30+D30+E30+F30</f>
        <v/>
      </c>
    </row>
    <row r="31">
      <c r="A31" t="inlineStr">
        <is>
          <t>P29</t>
        </is>
      </c>
      <c r="B31" t="inlineStr">
        <is>
          <t>Product 29</t>
        </is>
      </c>
      <c r="G31">
        <f>C31+D31+E31+F31</f>
        <v/>
      </c>
    </row>
    <row r="32">
      <c r="A32" t="inlineStr">
        <is>
          <t>P30</t>
        </is>
      </c>
      <c r="B32" t="inlineStr">
        <is>
          <t>Product 30</t>
        </is>
      </c>
      <c r="G32">
        <f>C32+D32+E32+F32</f>
        <v/>
      </c>
    </row>
    <row r="33">
      <c r="A33" t="inlineStr">
        <is>
          <t>P31</t>
        </is>
      </c>
      <c r="B33" t="inlineStr">
        <is>
          <t>Product 31</t>
        </is>
      </c>
      <c r="G33">
        <f>C33+D33+E33+F33</f>
        <v/>
      </c>
    </row>
    <row r="34">
      <c r="A34" t="inlineStr">
        <is>
          <t>P32</t>
        </is>
      </c>
      <c r="B34" t="inlineStr">
        <is>
          <t>Product 32</t>
        </is>
      </c>
      <c r="G34">
        <f>C34+D34+E34+F34</f>
        <v/>
      </c>
    </row>
    <row r="35">
      <c r="A35" t="inlineStr">
        <is>
          <t>P33</t>
        </is>
      </c>
      <c r="B35" t="inlineStr">
        <is>
          <t>Product 33</t>
        </is>
      </c>
      <c r="G35">
        <f>C35+D35+E35+F35</f>
        <v/>
      </c>
    </row>
    <row r="36">
      <c r="A36" t="inlineStr">
        <is>
          <t>P34</t>
        </is>
      </c>
      <c r="B36" t="inlineStr">
        <is>
          <t>Product 34</t>
        </is>
      </c>
      <c r="G36">
        <f>C36+D36+E36+F36</f>
        <v/>
      </c>
    </row>
    <row r="37">
      <c r="A37" t="inlineStr">
        <is>
          <t>P35</t>
        </is>
      </c>
      <c r="B37" t="inlineStr">
        <is>
          <t>Product 35</t>
        </is>
      </c>
      <c r="G37">
        <f>C37+D37+E37+F37</f>
        <v/>
      </c>
    </row>
    <row r="38">
      <c r="A38" t="inlineStr">
        <is>
          <t>P36</t>
        </is>
      </c>
      <c r="B38" t="inlineStr">
        <is>
          <t>Product 36</t>
        </is>
      </c>
      <c r="G38">
        <f>C38+D38+E38+F38</f>
        <v/>
      </c>
    </row>
    <row r="39">
      <c r="A39" t="inlineStr">
        <is>
          <t>P37</t>
        </is>
      </c>
      <c r="B39" t="inlineStr">
        <is>
          <t>Product 37</t>
        </is>
      </c>
      <c r="G39">
        <f>C39+D39+E39+F39</f>
        <v/>
      </c>
    </row>
    <row r="40">
      <c r="A40" t="inlineStr">
        <is>
          <t>P38</t>
        </is>
      </c>
      <c r="B40" t="inlineStr">
        <is>
          <t>Product 38</t>
        </is>
      </c>
      <c r="G40">
        <f>C40+D40+E40+F40</f>
        <v/>
      </c>
    </row>
    <row r="41">
      <c r="A41" t="inlineStr">
        <is>
          <t>TOTAL</t>
        </is>
      </c>
      <c r="C41">
        <f>SUM(C3:C40)</f>
        <v/>
      </c>
      <c r="D41">
        <f>SUM(D3:D40)</f>
        <v/>
      </c>
      <c r="E41">
        <f>SUM(E3:E40)</f>
        <v/>
      </c>
      <c r="F41">
        <f>SUM(F3:F40)</f>
        <v/>
      </c>
      <c r="G41">
        <f>SUM(G3:G40)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26" customWidth="1" min="4" max="4"/>
    <col width="28" customWidth="1" min="5" max="5"/>
  </cols>
  <sheetData>
    <row r="1">
      <c r="A1" s="2" t="inlineStr">
        <is>
          <t>Year</t>
        </is>
      </c>
      <c r="B1" s="2" t="inlineStr">
        <is>
          <t>Real GDP Growth Rate (%)</t>
        </is>
      </c>
      <c r="C1" s="2" t="inlineStr">
        <is>
          <t>Nominal GDP (Millions USD)</t>
        </is>
      </c>
      <c r="D1" s="2" t="inlineStr">
        <is>
          <t>GDP Deflator (Index, 2015=100)</t>
        </is>
      </c>
      <c r="E1" s="2" t="inlineStr">
        <is>
          <t>GDP Deflator Growth Rate (%)</t>
        </is>
      </c>
      <c r="F1" t="inlineStr">
        <is>
          <t>Real GDP (2020 prices, millions)</t>
        </is>
      </c>
      <c r="G1" t="inlineStr">
        <is>
          <t>Calculated Nominal from Real</t>
        </is>
      </c>
    </row>
    <row r="2">
      <c r="A2" t="n">
        <v>2020</v>
      </c>
      <c r="B2" t="n">
        <v>-6.2</v>
      </c>
      <c r="C2" t="n">
        <v>16119</v>
      </c>
      <c r="D2" t="n">
        <v>107.5</v>
      </c>
      <c r="E2">
        <f>E3</f>
        <v/>
      </c>
      <c r="F2">
        <f>C2/(D2/100)*100</f>
        <v/>
      </c>
    </row>
    <row r="3">
      <c r="A3" t="n">
        <v>2021</v>
      </c>
      <c r="B3" t="n">
        <v>4.8</v>
      </c>
      <c r="C3" t="n">
        <v>18656</v>
      </c>
      <c r="D3" t="n">
        <v>109.2</v>
      </c>
      <c r="E3">
        <f>(D3-D2)/D2*100</f>
        <v/>
      </c>
      <c r="F3">
        <f>C3/(D3/100)*100</f>
        <v/>
      </c>
    </row>
    <row r="4">
      <c r="A4" t="n">
        <v>2022</v>
      </c>
      <c r="B4" t="n">
        <v>10.1</v>
      </c>
      <c r="C4" t="n">
        <v>22614</v>
      </c>
      <c r="D4" t="n">
        <v>114.8</v>
      </c>
      <c r="E4">
        <f>(D4-D3)/D3*100</f>
        <v/>
      </c>
      <c r="F4">
        <f>C4/(D4/100)*100</f>
        <v/>
      </c>
    </row>
    <row r="5">
      <c r="A5" t="n">
        <v>2023</v>
      </c>
      <c r="B5" t="n">
        <v>7.6</v>
      </c>
      <c r="C5" t="n">
        <v>25186</v>
      </c>
      <c r="D5" t="n">
        <v>119.3</v>
      </c>
      <c r="E5">
        <f>(D5-D4)/D4*100</f>
        <v/>
      </c>
      <c r="F5">
        <f>C5/(D5/100)*100</f>
        <v/>
      </c>
    </row>
    <row r="6">
      <c r="A6" t="n">
        <v>2024</v>
      </c>
      <c r="B6" t="n">
        <v>5</v>
      </c>
      <c r="C6" t="n">
        <v>27650</v>
      </c>
      <c r="D6" t="n">
        <v>122.1</v>
      </c>
      <c r="E6">
        <f>(D6-D5)/D5*100</f>
        <v/>
      </c>
      <c r="F6">
        <f>C6/(D6/100)*100</f>
        <v/>
      </c>
    </row>
    <row r="7">
      <c r="A7" t="n">
        <v>2025</v>
      </c>
      <c r="B7" t="n">
        <v>5.2</v>
      </c>
      <c r="C7" t="n">
        <v>30350</v>
      </c>
      <c r="D7" t="n">
        <v>125</v>
      </c>
      <c r="E7">
        <f>(D7-D6)/D6*100</f>
        <v/>
      </c>
      <c r="F7">
        <f>C7/(D7/100)*100</f>
        <v/>
      </c>
    </row>
    <row r="8">
      <c r="A8" t="n">
        <v>2026</v>
      </c>
      <c r="B8" t="n">
        <v>4.5</v>
      </c>
      <c r="C8">
        <f>F8*(D8/100)/100</f>
        <v/>
      </c>
      <c r="D8">
        <f>D7*(1+$B28/100)</f>
        <v/>
      </c>
      <c r="F8">
        <f>F7*(1+B8/100)</f>
        <v/>
      </c>
    </row>
    <row r="9">
      <c r="A9" t="n">
        <v>2027</v>
      </c>
      <c r="B9" t="n">
        <v>5</v>
      </c>
      <c r="C9">
        <f>F9*(D9/100)/100</f>
        <v/>
      </c>
      <c r="D9">
        <f>D8*(1+$B28/100)</f>
        <v/>
      </c>
      <c r="F9">
        <f>F8*(1+B9/100)</f>
        <v/>
      </c>
    </row>
    <row r="10">
      <c r="A10" t="n">
        <v>2028</v>
      </c>
      <c r="B10">
        <f>$B$9</f>
        <v/>
      </c>
      <c r="C10">
        <f>F10*(D10/100)/100</f>
        <v/>
      </c>
      <c r="D10">
        <f>D9*(1+$B28/100)</f>
        <v/>
      </c>
      <c r="F10">
        <f>F9*(1+B10/100)</f>
        <v/>
      </c>
    </row>
    <row r="11">
      <c r="A11" t="n">
        <v>2029</v>
      </c>
      <c r="B11">
        <f>$B$9</f>
        <v/>
      </c>
      <c r="C11">
        <f>F11*(D11/100)/100</f>
        <v/>
      </c>
      <c r="D11">
        <f>D10*(1+$B28/100)</f>
        <v/>
      </c>
      <c r="F11">
        <f>F10*(1+B11/100)</f>
        <v/>
      </c>
    </row>
    <row r="12">
      <c r="A12" t="n">
        <v>2030</v>
      </c>
      <c r="B12">
        <f>$B$9</f>
        <v/>
      </c>
      <c r="C12">
        <f>F12*(D12/100)/100</f>
        <v/>
      </c>
      <c r="D12">
        <f>D11*(1+$B28/100)</f>
        <v/>
      </c>
      <c r="F12">
        <f>F11*(1+B12/100)</f>
        <v/>
      </c>
    </row>
    <row r="13">
      <c r="A13" t="n">
        <v>2031</v>
      </c>
      <c r="B13">
        <f>$B$9</f>
        <v/>
      </c>
      <c r="C13">
        <f>F13*(D13/100)/100</f>
        <v/>
      </c>
      <c r="D13">
        <f>D12*(1+$B28/100)</f>
        <v/>
      </c>
      <c r="F13">
        <f>F12*(1+B13/100)</f>
        <v/>
      </c>
    </row>
    <row r="14">
      <c r="A14" t="n">
        <v>2032</v>
      </c>
      <c r="B14">
        <f>$B$9</f>
        <v/>
      </c>
      <c r="C14">
        <f>F14*(D14/100)/100</f>
        <v/>
      </c>
      <c r="D14">
        <f>D13*(1+$B28/100)</f>
        <v/>
      </c>
      <c r="F14">
        <f>F13*(1+B14/100)</f>
        <v/>
      </c>
    </row>
    <row r="15">
      <c r="A15" t="n">
        <v>2033</v>
      </c>
      <c r="B15">
        <f>$B$9</f>
        <v/>
      </c>
      <c r="C15">
        <f>F15*(D15/100)/100</f>
        <v/>
      </c>
      <c r="D15">
        <f>D14*(1+$B28/100)</f>
        <v/>
      </c>
      <c r="F15">
        <f>F14*(1+B15/100)</f>
        <v/>
      </c>
    </row>
    <row r="16">
      <c r="A16" t="n">
        <v>2034</v>
      </c>
      <c r="B16">
        <f>$B$9</f>
        <v/>
      </c>
      <c r="C16">
        <f>F16*(D16/100)/100</f>
        <v/>
      </c>
      <c r="D16">
        <f>D15*(1+$B28/100)</f>
        <v/>
      </c>
      <c r="F16">
        <f>F15*(1+B16/100)</f>
        <v/>
      </c>
    </row>
    <row r="17">
      <c r="A17" t="n">
        <v>2035</v>
      </c>
      <c r="B17">
        <f>$B$9</f>
        <v/>
      </c>
      <c r="C17">
        <f>F17*(D17/100)/100</f>
        <v/>
      </c>
      <c r="D17">
        <f>D16*(1+$B28/100)</f>
        <v/>
      </c>
      <c r="F17">
        <f>F16*(1+B17/100)</f>
        <v/>
      </c>
    </row>
    <row r="18">
      <c r="A18" t="n">
        <v>2036</v>
      </c>
      <c r="B18">
        <f>$B$9</f>
        <v/>
      </c>
      <c r="C18">
        <f>F18*(D18/100)/100</f>
        <v/>
      </c>
      <c r="D18">
        <f>D17*(1+$B28/100)</f>
        <v/>
      </c>
      <c r="F18">
        <f>F17*(1+B18/100)</f>
        <v/>
      </c>
    </row>
    <row r="19">
      <c r="A19" t="n">
        <v>2037</v>
      </c>
      <c r="B19">
        <f>$B$9</f>
        <v/>
      </c>
      <c r="C19">
        <f>F19*(D19/100)/100</f>
        <v/>
      </c>
      <c r="D19">
        <f>D18*(1+$B28/100)</f>
        <v/>
      </c>
      <c r="F19">
        <f>F18*(1+B19/100)</f>
        <v/>
      </c>
    </row>
    <row r="20">
      <c r="A20" t="n">
        <v>2038</v>
      </c>
      <c r="B20">
        <f>$B$9</f>
        <v/>
      </c>
      <c r="C20">
        <f>F20*(D20/100)/100</f>
        <v/>
      </c>
      <c r="D20">
        <f>D19*(1+$B28/100)</f>
        <v/>
      </c>
      <c r="F20">
        <f>F19*(1+B20/100)</f>
        <v/>
      </c>
    </row>
    <row r="21">
      <c r="A21" t="n">
        <v>2039</v>
      </c>
      <c r="B21">
        <f>$B$9</f>
        <v/>
      </c>
      <c r="C21">
        <f>F21*(D21/100)/100</f>
        <v/>
      </c>
      <c r="D21">
        <f>D20*(1+$B28/100)</f>
        <v/>
      </c>
      <c r="F21">
        <f>F20*(1+B21/100)</f>
        <v/>
      </c>
    </row>
    <row r="22">
      <c r="A22" t="n">
        <v>2040</v>
      </c>
      <c r="B22">
        <f>$B$9</f>
        <v/>
      </c>
      <c r="C22">
        <f>F22*(D22/100)/100</f>
        <v/>
      </c>
      <c r="D22">
        <f>D21*(1+$B28/100)</f>
        <v/>
      </c>
      <c r="F22">
        <f>F21*(1+B22/100)</f>
        <v/>
      </c>
    </row>
    <row r="23">
      <c r="A23" t="n">
        <v>2041</v>
      </c>
      <c r="B23">
        <f>$B$9</f>
        <v/>
      </c>
      <c r="C23">
        <f>F23*(D23/100)/100</f>
        <v/>
      </c>
      <c r="D23">
        <f>D22*(1+$B28/100)</f>
        <v/>
      </c>
      <c r="F23">
        <f>F22*(1+B23/100)</f>
        <v/>
      </c>
    </row>
    <row r="24">
      <c r="A24" t="n">
        <v>2042</v>
      </c>
      <c r="B24">
        <f>$B$9</f>
        <v/>
      </c>
      <c r="C24">
        <f>F24*(D24/100)/100</f>
        <v/>
      </c>
      <c r="D24">
        <f>D23*(1+$B28/100)</f>
        <v/>
      </c>
      <c r="F24">
        <f>F23*(1+B24/100)</f>
        <v/>
      </c>
    </row>
    <row r="25">
      <c r="A25" t="n">
        <v>2043</v>
      </c>
    </row>
    <row r="26">
      <c r="A26" t="inlineStr">
        <is>
          <t>Note: Fill in columns B-C with IMF WEO data (2020-2025 actual)</t>
        </is>
      </c>
    </row>
    <row r="27">
      <c r="A27" t="inlineStr">
        <is>
          <t>Assume 2027 real GDP growth rate stays constant until 2043</t>
        </is>
      </c>
    </row>
    <row r="28">
      <c r="A28" t="inlineStr">
        <is>
          <t>Average Deflator Growth (4 years):</t>
        </is>
      </c>
      <c r="B28">
        <f>AVERAGE(E3:E6)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t="inlineStr">
        <is>
          <t>SUPPLY AND USE TABLE CALCULATION</t>
        </is>
      </c>
    </row>
    <row r="3">
      <c r="A3" t="inlineStr">
        <is>
          <t>SUMMARY AGGREGATES</t>
        </is>
      </c>
    </row>
    <row r="4">
      <c r="A4" t="inlineStr">
        <is>
          <t>Total Supply</t>
        </is>
      </c>
      <c r="C4">
        <f>SUPPLY!E41</f>
        <v/>
      </c>
    </row>
    <row r="5">
      <c r="A5" t="inlineStr">
        <is>
          <t>Domestic Production</t>
        </is>
      </c>
      <c r="C5">
        <f>SUPPLY!C41</f>
        <v/>
      </c>
    </row>
    <row r="6">
      <c r="A6" t="inlineStr">
        <is>
          <t>Imports</t>
        </is>
      </c>
      <c r="C6">
        <f>SUPPLY!D41</f>
        <v/>
      </c>
    </row>
    <row r="8">
      <c r="A8" t="inlineStr">
        <is>
          <t>Total Use</t>
        </is>
      </c>
      <c r="C8">
        <f>USE!G41</f>
        <v/>
      </c>
    </row>
    <row r="9">
      <c r="A9" t="inlineStr">
        <is>
          <t>Intermediate Consumption</t>
        </is>
      </c>
      <c r="C9">
        <f>USE!C41</f>
        <v/>
      </c>
    </row>
    <row r="10">
      <c r="A10" t="inlineStr">
        <is>
          <t>Final Consumption</t>
        </is>
      </c>
      <c r="C10">
        <f>USE!D41</f>
        <v/>
      </c>
    </row>
    <row r="11">
      <c r="A11" t="inlineStr">
        <is>
          <t>Gross Capital Formation</t>
        </is>
      </c>
      <c r="C11">
        <f>USE!E41</f>
        <v/>
      </c>
    </row>
    <row r="12">
      <c r="A12" t="inlineStr">
        <is>
          <t>Exports</t>
        </is>
      </c>
      <c r="C12">
        <f>USE!F41</f>
        <v/>
      </c>
    </row>
    <row r="14">
      <c r="A14" t="inlineStr">
        <is>
          <t>IMPORT CONTENT ANALYSIS</t>
        </is>
      </c>
    </row>
    <row r="16">
      <c r="A16" t="inlineStr">
        <is>
          <t>Total Imports</t>
        </is>
      </c>
      <c r="C16">
        <f>C6</f>
        <v/>
      </c>
    </row>
    <row r="17">
      <c r="A17" t="inlineStr">
        <is>
          <t>Total Use</t>
        </is>
      </c>
      <c r="C17">
        <f>C8</f>
        <v/>
      </c>
    </row>
    <row r="46">
      <c r="A46" t="inlineStr">
        <is>
          <t>Import Content Share</t>
        </is>
      </c>
      <c r="C46">
        <f>IF(C8=0,0,C6/C8)</f>
        <v/>
      </c>
    </row>
    <row r="47">
      <c r="A47" t="inlineStr">
        <is>
          <t>This ratio is used in NA sheet as the import content share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INVESTMENT SHOCK ANALYSIS - GEORGIA</t>
        </is>
      </c>
    </row>
    <row r="2">
      <c r="A2" s="6" t="inlineStr">
        <is>
          <t>Demand Side Macro Accounting Framework</t>
        </is>
      </c>
    </row>
    <row r="4">
      <c r="A4" s="7" t="inlineStr">
        <is>
          <t>ASSUMPTIONS</t>
        </is>
      </c>
    </row>
    <row r="5">
      <c r="A5" t="inlineStr">
        <is>
          <t>Lari/USD Exchange Rate</t>
        </is>
      </c>
      <c r="B5" t="n">
        <v>2.746</v>
      </c>
      <c r="C5" t="inlineStr">
        <is>
          <t>(Fixed)</t>
        </is>
      </c>
    </row>
    <row r="6">
      <c r="A6" t="inlineStr">
        <is>
          <t>Demand Multiplier</t>
        </is>
      </c>
      <c r="B6" t="n">
        <v>0.8</v>
      </c>
      <c r="C6" t="inlineStr">
        <is>
          <t>(For Scenario 1)</t>
        </is>
      </c>
    </row>
    <row r="7">
      <c r="A7" t="inlineStr">
        <is>
          <t>Import Content Share</t>
        </is>
      </c>
      <c r="B7">
        <f>SUT!C46</f>
        <v/>
      </c>
      <c r="C7" t="inlineStr">
        <is>
          <t>(From SUT Calc sheet, Scenario 1)</t>
        </is>
      </c>
    </row>
    <row r="8">
      <c r="A8" t="inlineStr">
        <is>
          <t>Investment Shock (Million USD)</t>
        </is>
      </c>
      <c r="B8" t="n">
        <v>6500</v>
      </c>
      <c r="C8" t="inlineStr">
        <is>
          <t>(Total for 8 years, 2026-2033)</t>
        </is>
      </c>
    </row>
    <row r="9">
      <c r="A9" t="inlineStr">
        <is>
          <t>Investment Duration</t>
        </is>
      </c>
      <c r="B9" t="n">
        <v>8</v>
      </c>
      <c r="C9" t="inlineStr">
        <is>
          <t>(Years)</t>
        </is>
      </c>
    </row>
    <row r="10">
      <c r="A10" t="inlineStr">
        <is>
          <t>Bell-shaped Distribution</t>
        </is>
      </c>
      <c r="B10" t="inlineStr">
        <is>
          <t>Yes</t>
        </is>
      </c>
      <c r="C10" t="inlineStr">
        <is>
          <t>(Annual allocation varies by year)</t>
        </is>
      </c>
    </row>
    <row r="30">
      <c r="A30" s="8" t="inlineStr">
        <is>
          <t>CALCULATION ASSUMPTIONS</t>
        </is>
      </c>
    </row>
    <row r="31">
      <c r="A31" t="inlineStr">
        <is>
          <t>Exchange Rate (Lari/USD)</t>
        </is>
      </c>
      <c r="D31" t="n">
        <v>2.746</v>
      </c>
    </row>
    <row r="32">
      <c r="A32" t="inlineStr">
        <is>
          <t>Demand Multiplier</t>
        </is>
      </c>
      <c r="D32" t="n">
        <v>0.8</v>
      </c>
    </row>
    <row r="33">
      <c r="A33" t="inlineStr">
        <is>
          <t>Import Content Share</t>
        </is>
      </c>
      <c r="D33">
        <f>SUT!C46</f>
        <v/>
      </c>
    </row>
    <row r="34">
      <c r="A34" t="inlineStr">
        <is>
          <t>Investment Deflator</t>
        </is>
      </c>
      <c r="D34">
        <f>WEO_Data!D2</f>
        <v/>
      </c>
    </row>
    <row r="37">
      <c r="A37" s="9" t="inlineStr">
        <is>
          <t>SCENARIO 1: BASELINE</t>
        </is>
      </c>
    </row>
    <row r="38">
      <c r="A38" s="10" t="inlineStr">
        <is>
          <t>Year</t>
        </is>
      </c>
      <c r="B38" s="10" t="inlineStr">
        <is>
          <t>Investment Allocation (%)</t>
        </is>
      </c>
      <c r="C38" s="10" t="inlineStr">
        <is>
          <t>Investment (Million USD)</t>
        </is>
      </c>
      <c r="D38" s="10" t="inlineStr">
        <is>
          <t>Nominal GDP (Million Lari)</t>
        </is>
      </c>
      <c r="E38" s="10" t="inlineStr">
        <is>
          <t>First-round Demand Effect (Million Lari)</t>
        </is>
      </c>
      <c r="F38" s="10" t="inlineStr">
        <is>
          <t>Multiplier Effect</t>
        </is>
      </c>
      <c r="G38" s="10" t="inlineStr">
        <is>
          <t>Total GDP Effect (Million Lari)</t>
        </is>
      </c>
      <c r="H38" s="10" t="inlineStr">
        <is>
          <t>GDP Impact (%)</t>
        </is>
      </c>
    </row>
    <row r="39">
      <c r="A39" t="n">
        <v>2026</v>
      </c>
      <c r="B39" t="n">
        <v>0.0625</v>
      </c>
      <c r="C39">
        <f>B39*6500</f>
        <v/>
      </c>
      <c r="D39">
        <f>WEO_Data!C8*$D$31</f>
        <v/>
      </c>
      <c r="E39">
        <f>C39*$D$31</f>
        <v/>
      </c>
      <c r="F39">
        <f>E39*$D$32</f>
        <v/>
      </c>
      <c r="G39">
        <f>E39+F39</f>
        <v/>
      </c>
      <c r="H39">
        <f>IF(D39=0,0,G39/D39*100)</f>
        <v/>
      </c>
    </row>
    <row r="40">
      <c r="A40" t="n">
        <v>2027</v>
      </c>
      <c r="B40" t="n">
        <v>0.125</v>
      </c>
      <c r="C40">
        <f>B40*6500</f>
        <v/>
      </c>
      <c r="D40">
        <f>WEO_Data!C9*$D$31</f>
        <v/>
      </c>
      <c r="E40">
        <f>C40*$D$31</f>
        <v/>
      </c>
      <c r="F40">
        <f>E40*$D$32</f>
        <v/>
      </c>
      <c r="G40">
        <f>E40+F40</f>
        <v/>
      </c>
      <c r="H40">
        <f>IF(D40=0,0,G40/D40*100)</f>
        <v/>
      </c>
    </row>
    <row r="41">
      <c r="A41" t="n">
        <v>2028</v>
      </c>
      <c r="B41" t="n">
        <v>0.1875</v>
      </c>
      <c r="C41">
        <f>B41*6500</f>
        <v/>
      </c>
      <c r="D41">
        <f>WEO_Data!C10*$D$31</f>
        <v/>
      </c>
      <c r="E41">
        <f>C41*$D$31</f>
        <v/>
      </c>
      <c r="F41">
        <f>E41*$D$32</f>
        <v/>
      </c>
      <c r="G41">
        <f>E41+F41</f>
        <v/>
      </c>
      <c r="H41">
        <f>IF(D41=0,0,G41/D41*100)</f>
        <v/>
      </c>
    </row>
    <row r="42">
      <c r="A42" t="n">
        <v>2029</v>
      </c>
      <c r="B42" t="n">
        <v>0.25</v>
      </c>
      <c r="C42">
        <f>B42*6500</f>
        <v/>
      </c>
      <c r="D42">
        <f>WEO_Data!C11*$D$31</f>
        <v/>
      </c>
      <c r="E42">
        <f>C42*$D$31</f>
        <v/>
      </c>
      <c r="F42">
        <f>E42*$D$32</f>
        <v/>
      </c>
      <c r="G42">
        <f>E42+F42</f>
        <v/>
      </c>
      <c r="H42">
        <f>IF(D42=0,0,G42/D42*100)</f>
        <v/>
      </c>
    </row>
    <row r="43">
      <c r="A43" t="n">
        <v>2030</v>
      </c>
      <c r="B43" t="n">
        <v>0.25</v>
      </c>
      <c r="C43">
        <f>B43*6500</f>
        <v/>
      </c>
      <c r="D43">
        <f>WEO_Data!C12*$D$31</f>
        <v/>
      </c>
      <c r="E43">
        <f>C43*$D$31</f>
        <v/>
      </c>
      <c r="F43">
        <f>E43*$D$32</f>
        <v/>
      </c>
      <c r="G43">
        <f>E43+F43</f>
        <v/>
      </c>
      <c r="H43">
        <f>IF(D43=0,0,G43/D43*100)</f>
        <v/>
      </c>
    </row>
    <row r="44">
      <c r="A44" t="n">
        <v>2031</v>
      </c>
      <c r="B44" t="n">
        <v>0.1875</v>
      </c>
      <c r="C44">
        <f>B44*6500</f>
        <v/>
      </c>
      <c r="D44">
        <f>WEO_Data!C13*$D$31</f>
        <v/>
      </c>
      <c r="E44">
        <f>C44*$D$31</f>
        <v/>
      </c>
      <c r="F44">
        <f>E44*$D$32</f>
        <v/>
      </c>
      <c r="G44">
        <f>E44+F44</f>
        <v/>
      </c>
      <c r="H44">
        <f>IF(D44=0,0,G44/D44*100)</f>
        <v/>
      </c>
    </row>
    <row r="45">
      <c r="A45" t="n">
        <v>2032</v>
      </c>
      <c r="B45" t="n">
        <v>0.125</v>
      </c>
      <c r="C45">
        <f>B45*6500</f>
        <v/>
      </c>
      <c r="D45">
        <f>WEO_Data!C14*$D$31</f>
        <v/>
      </c>
      <c r="E45">
        <f>C45*$D$31</f>
        <v/>
      </c>
      <c r="F45">
        <f>E45*$D$32</f>
        <v/>
      </c>
      <c r="G45">
        <f>E45+F45</f>
        <v/>
      </c>
      <c r="H45">
        <f>IF(D45=0,0,G45/D45*100)</f>
        <v/>
      </c>
    </row>
    <row r="46">
      <c r="A46" t="n">
        <v>2033</v>
      </c>
      <c r="B46" t="n">
        <v>0.0625</v>
      </c>
      <c r="C46">
        <f>B46*6500</f>
        <v/>
      </c>
      <c r="D46">
        <f>WEO_Data!C15*$D$31</f>
        <v/>
      </c>
      <c r="E46">
        <f>C46*$D$31</f>
        <v/>
      </c>
      <c r="F46">
        <f>E46*$D$32</f>
        <v/>
      </c>
      <c r="G46">
        <f>E46+F46</f>
        <v/>
      </c>
      <c r="H46">
        <f>IF(D46=0,0,G46/D46*100)</f>
        <v/>
      </c>
    </row>
    <row r="47">
      <c r="A47" t="n">
        <v>2034</v>
      </c>
      <c r="B47" t="n">
        <v>0</v>
      </c>
      <c r="C47" t="n">
        <v>0</v>
      </c>
      <c r="D47">
        <f>WEO_Data!C16*$D$31</f>
        <v/>
      </c>
      <c r="E47">
        <f>C47*$D$31</f>
        <v/>
      </c>
      <c r="F47">
        <f>E47*$D$32</f>
        <v/>
      </c>
      <c r="G47">
        <f>E47+F47</f>
        <v/>
      </c>
      <c r="H47">
        <f>IF(D47=0,0,G47/D47*100)</f>
        <v/>
      </c>
    </row>
    <row r="48">
      <c r="A48" t="n">
        <v>2035</v>
      </c>
      <c r="B48" t="n">
        <v>0</v>
      </c>
      <c r="C48" t="n">
        <v>0</v>
      </c>
      <c r="D48">
        <f>WEO_Data!C17*$D$31</f>
        <v/>
      </c>
      <c r="E48">
        <f>C48*$D$31</f>
        <v/>
      </c>
      <c r="F48">
        <f>E48*$D$32</f>
        <v/>
      </c>
      <c r="G48">
        <f>E48+F48</f>
        <v/>
      </c>
      <c r="H48">
        <f>IF(D48=0,0,G48/D48*100)</f>
        <v/>
      </c>
    </row>
    <row r="49">
      <c r="A49" t="n">
        <v>2036</v>
      </c>
      <c r="B49" t="n">
        <v>0</v>
      </c>
      <c r="C49" t="n">
        <v>0</v>
      </c>
      <c r="D49">
        <f>WEO_Data!C18*$D$31</f>
        <v/>
      </c>
      <c r="E49">
        <f>C49*$D$31</f>
        <v/>
      </c>
      <c r="F49">
        <f>E49*$D$32</f>
        <v/>
      </c>
      <c r="G49">
        <f>E49+F49</f>
        <v/>
      </c>
      <c r="H49">
        <f>IF(D49=0,0,G49/D49*100)</f>
        <v/>
      </c>
    </row>
    <row r="50">
      <c r="A50" t="n">
        <v>2037</v>
      </c>
      <c r="B50" t="n">
        <v>0</v>
      </c>
      <c r="C50" t="n">
        <v>0</v>
      </c>
      <c r="D50">
        <f>WEO_Data!C19*$D$31</f>
        <v/>
      </c>
      <c r="E50">
        <f>C50*$D$31</f>
        <v/>
      </c>
      <c r="F50">
        <f>E50*$D$32</f>
        <v/>
      </c>
      <c r="G50">
        <f>E50+F50</f>
        <v/>
      </c>
      <c r="H50">
        <f>IF(D50=0,0,G50/D50*100)</f>
        <v/>
      </c>
    </row>
    <row r="51">
      <c r="A51" t="n">
        <v>2038</v>
      </c>
      <c r="B51" t="n">
        <v>0</v>
      </c>
      <c r="C51" t="n">
        <v>0</v>
      </c>
      <c r="D51">
        <f>WEO_Data!C20*$D$31</f>
        <v/>
      </c>
      <c r="E51">
        <f>C51*$D$31</f>
        <v/>
      </c>
      <c r="F51">
        <f>E51*$D$32</f>
        <v/>
      </c>
      <c r="G51">
        <f>E51+F51</f>
        <v/>
      </c>
      <c r="H51">
        <f>IF(D51=0,0,G51/D51*100)</f>
        <v/>
      </c>
    </row>
    <row r="52">
      <c r="A52" t="n">
        <v>2039</v>
      </c>
      <c r="B52" t="n">
        <v>0</v>
      </c>
      <c r="C52" t="n">
        <v>0</v>
      </c>
      <c r="D52">
        <f>WEO_Data!C21*$D$31</f>
        <v/>
      </c>
      <c r="E52">
        <f>C52*$D$31</f>
        <v/>
      </c>
      <c r="F52">
        <f>E52*$D$32</f>
        <v/>
      </c>
      <c r="G52">
        <f>E52+F52</f>
        <v/>
      </c>
      <c r="H52">
        <f>IF(D52=0,0,G52/D52*100)</f>
        <v/>
      </c>
    </row>
    <row r="53">
      <c r="A53" t="n">
        <v>2040</v>
      </c>
      <c r="B53" t="n">
        <v>0</v>
      </c>
      <c r="C53" t="n">
        <v>0</v>
      </c>
      <c r="D53">
        <f>WEO_Data!C22*$D$31</f>
        <v/>
      </c>
      <c r="E53">
        <f>C53*$D$31</f>
        <v/>
      </c>
      <c r="F53">
        <f>E53*$D$32</f>
        <v/>
      </c>
      <c r="G53">
        <f>E53+F53</f>
        <v/>
      </c>
      <c r="H53">
        <f>IF(D53=0,0,G53/D53*100)</f>
        <v/>
      </c>
    </row>
    <row r="54">
      <c r="A54" t="n">
        <v>2041</v>
      </c>
      <c r="B54" t="n">
        <v>0</v>
      </c>
      <c r="C54" t="n">
        <v>0</v>
      </c>
      <c r="D54">
        <f>WEO_Data!C23*$D$31</f>
        <v/>
      </c>
      <c r="E54">
        <f>C54*$D$31</f>
        <v/>
      </c>
      <c r="F54">
        <f>E54*$D$32</f>
        <v/>
      </c>
      <c r="G54">
        <f>E54+F54</f>
        <v/>
      </c>
      <c r="H54">
        <f>IF(D54=0,0,G54/D54*100)</f>
        <v/>
      </c>
    </row>
    <row r="55">
      <c r="A55" t="n">
        <v>2042</v>
      </c>
      <c r="B55" t="n">
        <v>0</v>
      </c>
      <c r="C55" t="n">
        <v>0</v>
      </c>
      <c r="D55">
        <f>WEO_Data!C24*$D$31</f>
        <v/>
      </c>
      <c r="E55">
        <f>C55*$D$31</f>
        <v/>
      </c>
      <c r="F55">
        <f>E55*$D$32</f>
        <v/>
      </c>
      <c r="G55">
        <f>E55+F55</f>
        <v/>
      </c>
      <c r="H55">
        <f>IF(D55=0,0,G55/D55*100)</f>
        <v/>
      </c>
    </row>
    <row r="56">
      <c r="A56" t="n">
        <v>2043</v>
      </c>
      <c r="B56" t="n">
        <v>0</v>
      </c>
      <c r="C56" t="n">
        <v>0</v>
      </c>
      <c r="D56">
        <f>WEO_Data!C25*$D$31</f>
        <v/>
      </c>
      <c r="E56">
        <f>C56*$D$31</f>
        <v/>
      </c>
      <c r="F56">
        <f>E56*$D$32</f>
        <v/>
      </c>
      <c r="G56">
        <f>E56+F56</f>
        <v/>
      </c>
      <c r="H56">
        <f>IF(D56=0,0,G56/D56*100)</f>
        <v/>
      </c>
    </row>
    <row r="62">
      <c r="A62" s="9" t="inlineStr">
        <is>
          <t>SCENARIO 2: HIGHER MULTIPLIER</t>
        </is>
      </c>
    </row>
    <row r="63">
      <c r="A63" s="10" t="inlineStr">
        <is>
          <t>Year</t>
        </is>
      </c>
      <c r="B63" s="10" t="inlineStr">
        <is>
          <t>Investment Allocation (%)</t>
        </is>
      </c>
      <c r="C63" s="10" t="inlineStr">
        <is>
          <t>Investment (Million USD)</t>
        </is>
      </c>
      <c r="D63" s="10" t="inlineStr">
        <is>
          <t>Nominal GDP (Million Lari)</t>
        </is>
      </c>
      <c r="E63" s="10" t="inlineStr">
        <is>
          <t>First-round Demand Effect (Million Lari)</t>
        </is>
      </c>
      <c r="F63" s="10" t="inlineStr">
        <is>
          <t>Multiplier Effect</t>
        </is>
      </c>
      <c r="G63" s="10" t="inlineStr">
        <is>
          <t>Total GDP Effect (Million Lari)</t>
        </is>
      </c>
      <c r="H63" s="10" t="inlineStr">
        <is>
          <t>GDP Impact (%)</t>
        </is>
      </c>
    </row>
    <row r="64">
      <c r="A64" t="n">
        <v>2026</v>
      </c>
      <c r="B64" t="n">
        <v>0.0625</v>
      </c>
      <c r="C64">
        <f>B64*6500</f>
        <v/>
      </c>
      <c r="D64">
        <f>WEO_Data!C8*$D$31</f>
        <v/>
      </c>
      <c r="E64">
        <f>C64*$D$31</f>
        <v/>
      </c>
      <c r="F64">
        <f>E64*1.0</f>
        <v/>
      </c>
      <c r="G64">
        <f>E64+F64</f>
        <v/>
      </c>
      <c r="H64">
        <f>IF(D64=0,0,G64/D64*100)</f>
        <v/>
      </c>
    </row>
    <row r="65">
      <c r="A65" t="n">
        <v>2027</v>
      </c>
      <c r="B65" t="n">
        <v>0.125</v>
      </c>
      <c r="C65">
        <f>B65*6500</f>
        <v/>
      </c>
      <c r="D65">
        <f>WEO_Data!C9*$D$31</f>
        <v/>
      </c>
      <c r="E65">
        <f>C65*$D$31</f>
        <v/>
      </c>
      <c r="F65">
        <f>E65*1.0</f>
        <v/>
      </c>
      <c r="G65">
        <f>E65+F65</f>
        <v/>
      </c>
      <c r="H65">
        <f>IF(D65=0,0,G65/D65*100)</f>
        <v/>
      </c>
    </row>
    <row r="66">
      <c r="A66" t="n">
        <v>2028</v>
      </c>
      <c r="B66" t="n">
        <v>0.1875</v>
      </c>
      <c r="C66">
        <f>B66*6500</f>
        <v/>
      </c>
      <c r="D66">
        <f>WEO_Data!C10*$D$31</f>
        <v/>
      </c>
      <c r="E66">
        <f>C66*$D$31</f>
        <v/>
      </c>
      <c r="F66">
        <f>E66*1.0</f>
        <v/>
      </c>
      <c r="G66">
        <f>E66+F66</f>
        <v/>
      </c>
      <c r="H66">
        <f>IF(D66=0,0,G66/D66*100)</f>
        <v/>
      </c>
    </row>
    <row r="67">
      <c r="A67" t="n">
        <v>2029</v>
      </c>
      <c r="B67" t="n">
        <v>0.25</v>
      </c>
      <c r="C67">
        <f>B67*6500</f>
        <v/>
      </c>
      <c r="D67">
        <f>WEO_Data!C11*$D$31</f>
        <v/>
      </c>
      <c r="E67">
        <f>C67*$D$31</f>
        <v/>
      </c>
      <c r="F67">
        <f>E67*1.0</f>
        <v/>
      </c>
      <c r="G67">
        <f>E67+F67</f>
        <v/>
      </c>
      <c r="H67">
        <f>IF(D67=0,0,G67/D67*100)</f>
        <v/>
      </c>
    </row>
    <row r="68">
      <c r="A68" t="n">
        <v>2030</v>
      </c>
      <c r="B68" t="n">
        <v>0.25</v>
      </c>
      <c r="C68">
        <f>B68*6500</f>
        <v/>
      </c>
      <c r="D68">
        <f>WEO_Data!C12*$D$31</f>
        <v/>
      </c>
      <c r="E68">
        <f>C68*$D$31</f>
        <v/>
      </c>
      <c r="F68">
        <f>E68*1.0</f>
        <v/>
      </c>
      <c r="G68">
        <f>E68+F68</f>
        <v/>
      </c>
      <c r="H68">
        <f>IF(D68=0,0,G68/D68*100)</f>
        <v/>
      </c>
    </row>
    <row r="69">
      <c r="A69" t="n">
        <v>2031</v>
      </c>
      <c r="B69" t="n">
        <v>0.1875</v>
      </c>
      <c r="C69">
        <f>B69*6500</f>
        <v/>
      </c>
      <c r="D69">
        <f>WEO_Data!C13*$D$31</f>
        <v/>
      </c>
      <c r="E69">
        <f>C69*$D$31</f>
        <v/>
      </c>
      <c r="F69">
        <f>E69*1.0</f>
        <v/>
      </c>
      <c r="G69">
        <f>E69+F69</f>
        <v/>
      </c>
      <c r="H69">
        <f>IF(D69=0,0,G69/D69*100)</f>
        <v/>
      </c>
    </row>
    <row r="70">
      <c r="A70" t="n">
        <v>2032</v>
      </c>
      <c r="B70" t="n">
        <v>0.125</v>
      </c>
      <c r="C70">
        <f>B70*6500</f>
        <v/>
      </c>
      <c r="D70">
        <f>WEO_Data!C14*$D$31</f>
        <v/>
      </c>
      <c r="E70">
        <f>C70*$D$31</f>
        <v/>
      </c>
      <c r="F70">
        <f>E70*1.0</f>
        <v/>
      </c>
      <c r="G70">
        <f>E70+F70</f>
        <v/>
      </c>
      <c r="H70">
        <f>IF(D70=0,0,G70/D70*100)</f>
        <v/>
      </c>
    </row>
    <row r="71">
      <c r="A71" t="n">
        <v>2033</v>
      </c>
      <c r="B71" t="n">
        <v>0.0625</v>
      </c>
      <c r="C71">
        <f>B71*6500</f>
        <v/>
      </c>
      <c r="D71">
        <f>WEO_Data!C15*$D$31</f>
        <v/>
      </c>
      <c r="E71">
        <f>C71*$D$31</f>
        <v/>
      </c>
      <c r="F71">
        <f>E71*1.0</f>
        <v/>
      </c>
      <c r="G71">
        <f>E71+F71</f>
        <v/>
      </c>
      <c r="H71">
        <f>IF(D71=0,0,G71/D71*100)</f>
        <v/>
      </c>
    </row>
    <row r="72">
      <c r="A72" t="n">
        <v>2034</v>
      </c>
      <c r="B72" t="n">
        <v>0</v>
      </c>
      <c r="C72" t="n">
        <v>0</v>
      </c>
      <c r="D72">
        <f>WEO_Data!C16*$D$31</f>
        <v/>
      </c>
      <c r="E72">
        <f>C72*$D$31</f>
        <v/>
      </c>
      <c r="F72">
        <f>E72*1.0</f>
        <v/>
      </c>
      <c r="G72">
        <f>E72+F72</f>
        <v/>
      </c>
      <c r="H72">
        <f>IF(D72=0,0,G72/D72*100)</f>
        <v/>
      </c>
    </row>
    <row r="73">
      <c r="A73" t="n">
        <v>2035</v>
      </c>
      <c r="B73" t="n">
        <v>0</v>
      </c>
      <c r="C73" t="n">
        <v>0</v>
      </c>
      <c r="D73">
        <f>WEO_Data!C17*$D$31</f>
        <v/>
      </c>
      <c r="E73">
        <f>C73*$D$31</f>
        <v/>
      </c>
      <c r="F73">
        <f>E73*1.0</f>
        <v/>
      </c>
      <c r="G73">
        <f>E73+F73</f>
        <v/>
      </c>
      <c r="H73">
        <f>IF(D73=0,0,G73/D73*100)</f>
        <v/>
      </c>
    </row>
    <row r="74">
      <c r="A74" t="n">
        <v>2036</v>
      </c>
      <c r="B74" t="n">
        <v>0</v>
      </c>
      <c r="C74" t="n">
        <v>0</v>
      </c>
      <c r="D74">
        <f>WEO_Data!C18*$D$31</f>
        <v/>
      </c>
      <c r="E74">
        <f>C74*$D$31</f>
        <v/>
      </c>
      <c r="F74">
        <f>E74*1.0</f>
        <v/>
      </c>
      <c r="G74">
        <f>E74+F74</f>
        <v/>
      </c>
      <c r="H74">
        <f>IF(D74=0,0,G74/D74*100)</f>
        <v/>
      </c>
    </row>
    <row r="75">
      <c r="A75" t="n">
        <v>2037</v>
      </c>
      <c r="B75" t="n">
        <v>0</v>
      </c>
      <c r="C75" t="n">
        <v>0</v>
      </c>
      <c r="D75">
        <f>WEO_Data!C19*$D$31</f>
        <v/>
      </c>
      <c r="E75">
        <f>C75*$D$31</f>
        <v/>
      </c>
      <c r="F75">
        <f>E75*1.0</f>
        <v/>
      </c>
      <c r="G75">
        <f>E75+F75</f>
        <v/>
      </c>
      <c r="H75">
        <f>IF(D75=0,0,G75/D75*100)</f>
        <v/>
      </c>
    </row>
    <row r="76">
      <c r="A76" t="n">
        <v>2038</v>
      </c>
      <c r="B76" t="n">
        <v>0</v>
      </c>
      <c r="C76" t="n">
        <v>0</v>
      </c>
      <c r="D76">
        <f>WEO_Data!C20*$D$31</f>
        <v/>
      </c>
      <c r="E76">
        <f>C76*$D$31</f>
        <v/>
      </c>
      <c r="F76">
        <f>E76*1.0</f>
        <v/>
      </c>
      <c r="G76">
        <f>E76+F76</f>
        <v/>
      </c>
      <c r="H76">
        <f>IF(D76=0,0,G76/D76*100)</f>
        <v/>
      </c>
    </row>
    <row r="77">
      <c r="A77" t="n">
        <v>2039</v>
      </c>
      <c r="B77" t="n">
        <v>0</v>
      </c>
      <c r="C77" t="n">
        <v>0</v>
      </c>
      <c r="D77">
        <f>WEO_Data!C21*$D$31</f>
        <v/>
      </c>
      <c r="E77">
        <f>C77*$D$31</f>
        <v/>
      </c>
      <c r="F77">
        <f>E77*1.0</f>
        <v/>
      </c>
      <c r="G77">
        <f>E77+F77</f>
        <v/>
      </c>
      <c r="H77">
        <f>IF(D77=0,0,G77/D77*100)</f>
        <v/>
      </c>
    </row>
    <row r="78">
      <c r="A78" t="n">
        <v>2040</v>
      </c>
      <c r="B78" t="n">
        <v>0</v>
      </c>
      <c r="C78" t="n">
        <v>0</v>
      </c>
      <c r="D78">
        <f>WEO_Data!C22*$D$31</f>
        <v/>
      </c>
      <c r="E78">
        <f>C78*$D$31</f>
        <v/>
      </c>
      <c r="F78">
        <f>E78*1.0</f>
        <v/>
      </c>
      <c r="G78">
        <f>E78+F78</f>
        <v/>
      </c>
      <c r="H78">
        <f>IF(D78=0,0,G78/D78*100)</f>
        <v/>
      </c>
    </row>
    <row r="79">
      <c r="A79" t="n">
        <v>2041</v>
      </c>
      <c r="B79" t="n">
        <v>0</v>
      </c>
      <c r="C79" t="n">
        <v>0</v>
      </c>
      <c r="D79">
        <f>WEO_Data!C23*$D$31</f>
        <v/>
      </c>
      <c r="E79">
        <f>C79*$D$31</f>
        <v/>
      </c>
      <c r="F79">
        <f>E79*1.0</f>
        <v/>
      </c>
      <c r="G79">
        <f>E79+F79</f>
        <v/>
      </c>
      <c r="H79">
        <f>IF(D79=0,0,G79/D79*100)</f>
        <v/>
      </c>
    </row>
    <row r="80">
      <c r="A80" t="n">
        <v>2042</v>
      </c>
      <c r="B80" t="n">
        <v>0</v>
      </c>
      <c r="C80" t="n">
        <v>0</v>
      </c>
      <c r="D80">
        <f>WEO_Data!C24*$D$31</f>
        <v/>
      </c>
      <c r="E80">
        <f>C80*$D$31</f>
        <v/>
      </c>
      <c r="F80">
        <f>E80*1.0</f>
        <v/>
      </c>
      <c r="G80">
        <f>E80+F80</f>
        <v/>
      </c>
      <c r="H80">
        <f>IF(D80=0,0,G80/D80*100)</f>
        <v/>
      </c>
    </row>
    <row r="81">
      <c r="A81" t="n">
        <v>2043</v>
      </c>
      <c r="B81" t="n">
        <v>0</v>
      </c>
      <c r="C81" t="n">
        <v>0</v>
      </c>
      <c r="D81">
        <f>WEO_Data!C25*$D$31</f>
        <v/>
      </c>
      <c r="E81">
        <f>C81*$D$31</f>
        <v/>
      </c>
      <c r="F81">
        <f>E81*1.0</f>
        <v/>
      </c>
      <c r="G81">
        <f>E81+F81</f>
        <v/>
      </c>
      <c r="H81">
        <f>IF(D81=0,0,G81/D81*100)</f>
        <v/>
      </c>
    </row>
    <row r="87">
      <c r="A87" s="9" t="inlineStr">
        <is>
          <t>SCENARIO 3: HIGHER IMPORT CONTENT</t>
        </is>
      </c>
    </row>
    <row r="88">
      <c r="A88" s="10" t="inlineStr">
        <is>
          <t>Year</t>
        </is>
      </c>
      <c r="B88" s="10" t="inlineStr">
        <is>
          <t>Investment Allocation (%)</t>
        </is>
      </c>
      <c r="C88" s="10" t="inlineStr">
        <is>
          <t>Investment (Million USD)</t>
        </is>
      </c>
      <c r="D88" s="10" t="inlineStr">
        <is>
          <t>Nominal GDP (Million Lari)</t>
        </is>
      </c>
      <c r="E88" s="10" t="inlineStr">
        <is>
          <t>Domestic Demand (Million Lari)</t>
        </is>
      </c>
      <c r="F88" s="10" t="inlineStr">
        <is>
          <t>Import Content</t>
        </is>
      </c>
      <c r="G88" s="10" t="inlineStr">
        <is>
          <t>Domestic Absorption</t>
        </is>
      </c>
      <c r="H88" s="10" t="inlineStr">
        <is>
          <t>Multiplier Effect</t>
        </is>
      </c>
      <c r="I88" s="10" t="inlineStr">
        <is>
          <t>Total GDP Effect (Million Lari)</t>
        </is>
      </c>
    </row>
    <row r="89">
      <c r="A89" t="n">
        <v>2026</v>
      </c>
      <c r="B89" t="n">
        <v>0.0625</v>
      </c>
      <c r="C89">
        <f>B89*6500</f>
        <v/>
      </c>
      <c r="D89">
        <f>WEO_Data!C8*$D$31</f>
        <v/>
      </c>
      <c r="E89">
        <f>C89*$D$31</f>
        <v/>
      </c>
      <c r="F89">
        <f>E89*0.5</f>
        <v/>
      </c>
      <c r="G89">
        <f>E89-F89</f>
        <v/>
      </c>
      <c r="H89">
        <f>G89*$D$32</f>
        <v/>
      </c>
      <c r="I89">
        <f>G89+H89</f>
        <v/>
      </c>
    </row>
    <row r="90">
      <c r="A90" t="n">
        <v>2027</v>
      </c>
      <c r="B90" t="n">
        <v>0.125</v>
      </c>
      <c r="C90">
        <f>B90*6500</f>
        <v/>
      </c>
      <c r="D90">
        <f>WEO_Data!C9*$D$31</f>
        <v/>
      </c>
      <c r="E90">
        <f>C90*$D$31</f>
        <v/>
      </c>
      <c r="F90">
        <f>E90*0.5</f>
        <v/>
      </c>
      <c r="G90">
        <f>E90-F90</f>
        <v/>
      </c>
      <c r="H90">
        <f>G90*$D$32</f>
        <v/>
      </c>
      <c r="I90">
        <f>G90+H90</f>
        <v/>
      </c>
    </row>
    <row r="91">
      <c r="A91" t="n">
        <v>2028</v>
      </c>
      <c r="B91" t="n">
        <v>0.1875</v>
      </c>
      <c r="C91">
        <f>B91*6500</f>
        <v/>
      </c>
      <c r="D91">
        <f>WEO_Data!C10*$D$31</f>
        <v/>
      </c>
      <c r="E91">
        <f>C91*$D$31</f>
        <v/>
      </c>
      <c r="F91">
        <f>E91*0.5</f>
        <v/>
      </c>
      <c r="G91">
        <f>E91-F91</f>
        <v/>
      </c>
      <c r="H91">
        <f>G91*$D$32</f>
        <v/>
      </c>
      <c r="I91">
        <f>G91+H91</f>
        <v/>
      </c>
    </row>
    <row r="92">
      <c r="A92" t="n">
        <v>2029</v>
      </c>
      <c r="B92" t="n">
        <v>0.25</v>
      </c>
      <c r="C92">
        <f>B92*6500</f>
        <v/>
      </c>
      <c r="D92">
        <f>WEO_Data!C11*$D$31</f>
        <v/>
      </c>
      <c r="E92">
        <f>C92*$D$31</f>
        <v/>
      </c>
      <c r="F92">
        <f>E92*0.5</f>
        <v/>
      </c>
      <c r="G92">
        <f>E92-F92</f>
        <v/>
      </c>
      <c r="H92">
        <f>G92*$D$32</f>
        <v/>
      </c>
      <c r="I92">
        <f>G92+H92</f>
        <v/>
      </c>
    </row>
    <row r="93">
      <c r="A93" t="n">
        <v>2030</v>
      </c>
      <c r="B93" t="n">
        <v>0.25</v>
      </c>
      <c r="C93">
        <f>B93*6500</f>
        <v/>
      </c>
      <c r="D93">
        <f>WEO_Data!C12*$D$31</f>
        <v/>
      </c>
      <c r="E93">
        <f>C93*$D$31</f>
        <v/>
      </c>
      <c r="F93">
        <f>E93*0.5</f>
        <v/>
      </c>
      <c r="G93">
        <f>E93-F93</f>
        <v/>
      </c>
      <c r="H93">
        <f>G93*$D$32</f>
        <v/>
      </c>
      <c r="I93">
        <f>G93+H93</f>
        <v/>
      </c>
    </row>
    <row r="94">
      <c r="A94" t="n">
        <v>2031</v>
      </c>
      <c r="B94" t="n">
        <v>0.1875</v>
      </c>
      <c r="C94">
        <f>B94*6500</f>
        <v/>
      </c>
      <c r="D94">
        <f>WEO_Data!C13*$D$31</f>
        <v/>
      </c>
      <c r="E94">
        <f>C94*$D$31</f>
        <v/>
      </c>
      <c r="F94">
        <f>E94*0.5</f>
        <v/>
      </c>
      <c r="G94">
        <f>E94-F94</f>
        <v/>
      </c>
      <c r="H94">
        <f>G94*$D$32</f>
        <v/>
      </c>
      <c r="I94">
        <f>G94+H94</f>
        <v/>
      </c>
    </row>
    <row r="95">
      <c r="A95" t="n">
        <v>2032</v>
      </c>
      <c r="B95" t="n">
        <v>0.125</v>
      </c>
      <c r="C95">
        <f>B95*6500</f>
        <v/>
      </c>
      <c r="D95">
        <f>WEO_Data!C14*$D$31</f>
        <v/>
      </c>
      <c r="E95">
        <f>C95*$D$31</f>
        <v/>
      </c>
      <c r="F95">
        <f>E95*0.5</f>
        <v/>
      </c>
      <c r="G95">
        <f>E95-F95</f>
        <v/>
      </c>
      <c r="H95">
        <f>G95*$D$32</f>
        <v/>
      </c>
      <c r="I95">
        <f>G95+H95</f>
        <v/>
      </c>
    </row>
    <row r="96">
      <c r="A96" t="n">
        <v>2033</v>
      </c>
      <c r="B96" t="n">
        <v>0.0625</v>
      </c>
      <c r="C96">
        <f>B96*6500</f>
        <v/>
      </c>
      <c r="D96">
        <f>WEO_Data!C15*$D$31</f>
        <v/>
      </c>
      <c r="E96">
        <f>C96*$D$31</f>
        <v/>
      </c>
      <c r="F96">
        <f>E96*0.5</f>
        <v/>
      </c>
      <c r="G96">
        <f>E96-F96</f>
        <v/>
      </c>
      <c r="H96">
        <f>G96*$D$32</f>
        <v/>
      </c>
      <c r="I96">
        <f>G96+H96</f>
        <v/>
      </c>
    </row>
    <row r="97">
      <c r="A97" t="n">
        <v>2034</v>
      </c>
      <c r="B97" t="n">
        <v>0</v>
      </c>
      <c r="C97" t="n">
        <v>0</v>
      </c>
      <c r="D97">
        <f>WEO_Data!C16*$D$31</f>
        <v/>
      </c>
      <c r="E97">
        <f>C97*$D$31</f>
        <v/>
      </c>
      <c r="F97">
        <f>E97*0.5</f>
        <v/>
      </c>
      <c r="G97">
        <f>E97-F97</f>
        <v/>
      </c>
      <c r="H97">
        <f>G97*$D$32</f>
        <v/>
      </c>
      <c r="I97">
        <f>G97+H97</f>
        <v/>
      </c>
    </row>
    <row r="98">
      <c r="A98" t="n">
        <v>2035</v>
      </c>
      <c r="B98" t="n">
        <v>0</v>
      </c>
      <c r="C98" t="n">
        <v>0</v>
      </c>
      <c r="D98">
        <f>WEO_Data!C17*$D$31</f>
        <v/>
      </c>
      <c r="E98">
        <f>C98*$D$31</f>
        <v/>
      </c>
      <c r="F98">
        <f>E98*0.5</f>
        <v/>
      </c>
      <c r="G98">
        <f>E98-F98</f>
        <v/>
      </c>
      <c r="H98">
        <f>G98*$D$32</f>
        <v/>
      </c>
      <c r="I98">
        <f>G98+H98</f>
        <v/>
      </c>
    </row>
    <row r="99">
      <c r="A99" t="n">
        <v>2036</v>
      </c>
      <c r="B99" t="n">
        <v>0</v>
      </c>
      <c r="C99" t="n">
        <v>0</v>
      </c>
      <c r="D99">
        <f>WEO_Data!C18*$D$31</f>
        <v/>
      </c>
      <c r="E99">
        <f>C99*$D$31</f>
        <v/>
      </c>
      <c r="F99">
        <f>E99*0.5</f>
        <v/>
      </c>
      <c r="G99">
        <f>E99-F99</f>
        <v/>
      </c>
      <c r="H99">
        <f>G99*$D$32</f>
        <v/>
      </c>
      <c r="I99">
        <f>G99+H99</f>
        <v/>
      </c>
    </row>
    <row r="100">
      <c r="A100" t="n">
        <v>2037</v>
      </c>
      <c r="B100" t="n">
        <v>0</v>
      </c>
      <c r="C100" t="n">
        <v>0</v>
      </c>
      <c r="D100">
        <f>WEO_Data!C19*$D$31</f>
        <v/>
      </c>
      <c r="E100">
        <f>C100*$D$31</f>
        <v/>
      </c>
      <c r="F100">
        <f>E100*0.5</f>
        <v/>
      </c>
      <c r="G100">
        <f>E100-F100</f>
        <v/>
      </c>
      <c r="H100">
        <f>G100*$D$32</f>
        <v/>
      </c>
      <c r="I100">
        <f>G100+H100</f>
        <v/>
      </c>
    </row>
    <row r="101">
      <c r="A101" t="n">
        <v>2038</v>
      </c>
      <c r="B101" t="n">
        <v>0</v>
      </c>
      <c r="C101" t="n">
        <v>0</v>
      </c>
      <c r="D101">
        <f>WEO_Data!C20*$D$31</f>
        <v/>
      </c>
      <c r="E101">
        <f>C101*$D$31</f>
        <v/>
      </c>
      <c r="F101">
        <f>E101*0.5</f>
        <v/>
      </c>
      <c r="G101">
        <f>E101-F101</f>
        <v/>
      </c>
      <c r="H101">
        <f>G101*$D$32</f>
        <v/>
      </c>
      <c r="I101">
        <f>G101+H101</f>
        <v/>
      </c>
    </row>
    <row r="102">
      <c r="A102" t="n">
        <v>2039</v>
      </c>
      <c r="B102" t="n">
        <v>0</v>
      </c>
      <c r="C102" t="n">
        <v>0</v>
      </c>
      <c r="D102">
        <f>WEO_Data!C21*$D$31</f>
        <v/>
      </c>
      <c r="E102">
        <f>C102*$D$31</f>
        <v/>
      </c>
      <c r="F102">
        <f>E102*0.5</f>
        <v/>
      </c>
      <c r="G102">
        <f>E102-F102</f>
        <v/>
      </c>
      <c r="H102">
        <f>G102*$D$32</f>
        <v/>
      </c>
      <c r="I102">
        <f>G102+H102</f>
        <v/>
      </c>
    </row>
    <row r="103">
      <c r="A103" t="n">
        <v>2040</v>
      </c>
      <c r="B103" t="n">
        <v>0</v>
      </c>
      <c r="C103" t="n">
        <v>0</v>
      </c>
      <c r="D103">
        <f>WEO_Data!C22*$D$31</f>
        <v/>
      </c>
      <c r="E103">
        <f>C103*$D$31</f>
        <v/>
      </c>
      <c r="F103">
        <f>E103*0.5</f>
        <v/>
      </c>
      <c r="G103">
        <f>E103-F103</f>
        <v/>
      </c>
      <c r="H103">
        <f>G103*$D$32</f>
        <v/>
      </c>
      <c r="I103">
        <f>G103+H103</f>
        <v/>
      </c>
    </row>
    <row r="104">
      <c r="A104" t="n">
        <v>2041</v>
      </c>
      <c r="B104" t="n">
        <v>0</v>
      </c>
      <c r="C104" t="n">
        <v>0</v>
      </c>
      <c r="D104">
        <f>WEO_Data!C23*$D$31</f>
        <v/>
      </c>
      <c r="E104">
        <f>C104*$D$31</f>
        <v/>
      </c>
      <c r="F104">
        <f>E104*0.5</f>
        <v/>
      </c>
      <c r="G104">
        <f>E104-F104</f>
        <v/>
      </c>
      <c r="H104">
        <f>G104*$D$32</f>
        <v/>
      </c>
      <c r="I104">
        <f>G104+H104</f>
        <v/>
      </c>
    </row>
    <row r="105">
      <c r="A105" t="n">
        <v>2042</v>
      </c>
      <c r="B105" t="n">
        <v>0</v>
      </c>
      <c r="C105" t="n">
        <v>0</v>
      </c>
      <c r="D105">
        <f>WEO_Data!C24*$D$31</f>
        <v/>
      </c>
      <c r="E105">
        <f>C105*$D$31</f>
        <v/>
      </c>
      <c r="F105">
        <f>E105*0.5</f>
        <v/>
      </c>
      <c r="G105">
        <f>E105-F105</f>
        <v/>
      </c>
      <c r="H105">
        <f>G105*$D$32</f>
        <v/>
      </c>
      <c r="I105">
        <f>G105+H105</f>
        <v/>
      </c>
    </row>
    <row r="106">
      <c r="A106" t="n">
        <v>2043</v>
      </c>
      <c r="B106" t="n">
        <v>0</v>
      </c>
      <c r="C106" t="n">
        <v>0</v>
      </c>
      <c r="D106">
        <f>WEO_Data!C25*$D$31</f>
        <v/>
      </c>
      <c r="E106">
        <f>C106*$D$31</f>
        <v/>
      </c>
      <c r="F106">
        <f>E106*0.5</f>
        <v/>
      </c>
      <c r="G106">
        <f>E106-F106</f>
        <v/>
      </c>
      <c r="H106">
        <f>G106*$D$32</f>
        <v/>
      </c>
      <c r="I106">
        <f>G106+H106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2026-01-29T03:29:03Z</dcterms:created>
  <dcterms:modified xsi:type="dcterms:W3CDTF">2026-01-29T03:30:33Z</dcterms:modified>
</cp:coreProperties>
</file>