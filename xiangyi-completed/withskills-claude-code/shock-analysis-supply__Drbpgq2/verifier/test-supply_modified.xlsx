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WT" sheetId="2" state="visible" r:id="rId2"/>
    <sheet name="WEO_Data" sheetId="3" state="visible" r:id="rId3"/>
    <sheet name="CFC data" sheetId="4" state="visible" r:id="rId4"/>
    <sheet name="Production" sheetId="5" state="visible" r:id="rId5"/>
    <sheet name="Investment" sheetId="6" state="visible" r:id="rId6"/>
    <sheet name="Ystar_Analysis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GEORGIA INVESTMENT SHOCK MODEL - USER GUIDE</t>
        </is>
      </c>
    </row>
    <row r="3">
      <c r="A3" t="inlineStr">
        <is>
          <t>STEP 1: Review Data Sources</t>
        </is>
      </c>
    </row>
    <row r="4">
      <c r="A4" t="inlineStr">
        <is>
          <t>• PWT sheet: Penn World Table variables for Georgia</t>
        </is>
      </c>
    </row>
    <row r="5">
      <c r="A5" t="inlineStr">
        <is>
          <t>• WEO_Data sheet: IMF World Economic Outlook real GDP (2000-2043)</t>
        </is>
      </c>
    </row>
    <row r="6">
      <c r="A6" t="inlineStr">
        <is>
          <t>• CFC data sheet: Capital depreciation (from ECB)</t>
        </is>
      </c>
    </row>
    <row r="7">
      <c r="A7" t="inlineStr">
        <is>
          <t>• Investment sheet: Investment shock scenario (USD 6.5B/year for 8 years)</t>
        </is>
      </c>
    </row>
    <row r="9">
      <c r="A9" t="inlineStr">
        <is>
          <t>STEP 2: Review Production Function Sheet</t>
        </is>
      </c>
    </row>
    <row r="10">
      <c r="A10" t="inlineStr">
        <is>
          <t>• Cell B2 contains average depreciation rate (calculated from CFC data)</t>
        </is>
      </c>
    </row>
    <row r="11">
      <c r="A11" t="inlineStr">
        <is>
          <t>• Columns A-H: Historical data (2002-2023) with K, Y, LnK, LnY, LnZ</t>
        </is>
      </c>
    </row>
    <row r="12">
      <c r="A12" t="inlineStr">
        <is>
          <t>• Columns K-P: HP Filter section for TFP analysis</t>
        </is>
      </c>
    </row>
    <row r="13">
      <c r="A13" t="inlineStr">
        <is>
          <t xml:space="preserve">  - You need to run Solver to optimize LnZ_HP (column M) to minimize R2</t>
        </is>
      </c>
    </row>
    <row r="14">
      <c r="A14" t="inlineStr">
        <is>
          <t xml:space="preserve">  - Solver should change cells M5:M26 to minimize objective in R2</t>
        </is>
      </c>
    </row>
    <row r="16">
      <c r="A16" t="inlineStr">
        <is>
          <t>STEP 3: Run HP Filter in Excel</t>
        </is>
      </c>
    </row>
    <row r="17">
      <c r="A17" t="inlineStr">
        <is>
          <t>1. Go to Data &gt; Solver (or Tools &gt; Solver)</t>
        </is>
      </c>
    </row>
    <row r="18">
      <c r="A18" t="inlineStr">
        <is>
          <t>2. Set Target Cell: R2 (objective function)</t>
        </is>
      </c>
    </row>
    <row r="19">
      <c r="A19" t="inlineStr">
        <is>
          <t>3. Set To: Minimum</t>
        </is>
      </c>
    </row>
    <row r="20">
      <c r="A20" t="inlineStr">
        <is>
          <t>4. By Changing Cells: M5:M26</t>
        </is>
      </c>
    </row>
    <row r="21">
      <c r="A21" t="inlineStr">
        <is>
          <t>5. Constraints: None required</t>
        </is>
      </c>
    </row>
    <row r="22">
      <c r="A22" t="inlineStr">
        <is>
          <t>6. Click Solve</t>
        </is>
      </c>
    </row>
    <row r="24">
      <c r="A24" t="inlineStr">
        <is>
          <t>STEP 4: Review Results</t>
        </is>
      </c>
    </row>
    <row r="25">
      <c r="A25" t="inlineStr">
        <is>
          <t>• Summary sheet contains baseline vs with-investment scenarios</t>
        </is>
      </c>
    </row>
    <row r="26">
      <c r="A26" t="inlineStr">
        <is>
          <t>• Production sheet columns extended to 2043 showing impact of investment</t>
        </is>
      </c>
    </row>
    <row r="27">
      <c r="A27" t="inlineStr">
        <is>
          <t>• Key output: Total additional GDP generated by investment shock</t>
        </is>
      </c>
    </row>
    <row r="29">
      <c r="A29" t="inlineStr">
        <is>
          <t>KEY FORMULAS &amp; NOTES:</t>
        </is>
      </c>
    </row>
    <row r="30">
      <c r="A30" t="inlineStr">
        <is>
          <t>• Capital Share (α) = 0.35 (Cobb-Douglas)</t>
        </is>
      </c>
    </row>
    <row r="31">
      <c r="A31" t="inlineStr">
        <is>
          <t>• Depreciation Rate = Average of 2015-2019</t>
        </is>
      </c>
    </row>
    <row r="32">
      <c r="A32" t="inlineStr">
        <is>
          <t>• Investment Impact = Increases capital stock, which increases potential output</t>
        </is>
      </c>
    </row>
    <row r="33">
      <c r="A33" t="inlineStr">
        <is>
          <t>• TFP Trend = Extracted via HP Filter from actual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Penn World Table Data for Georgia</t>
        </is>
      </c>
    </row>
    <row r="2">
      <c r="A2" t="inlineStr">
        <is>
          <t>Variable</t>
        </is>
      </c>
      <c r="B2" t="inlineStr">
        <is>
          <t>2023 Value</t>
        </is>
      </c>
      <c r="C2" t="inlineStr">
        <is>
          <t>Unit/Notes</t>
        </is>
      </c>
    </row>
    <row r="3">
      <c r="A3" t="inlineStr">
        <is>
          <t>RGDPNA</t>
        </is>
      </c>
      <c r="C3" t="inlineStr">
        <is>
          <t>Real GDP at national accounts prices</t>
        </is>
      </c>
    </row>
    <row r="4">
      <c r="A4" t="inlineStr">
        <is>
          <t>RNNA</t>
        </is>
      </c>
      <c r="C4" t="inlineStr">
        <is>
          <t>Capital stock at constant prices (millions 2017 USD)</t>
        </is>
      </c>
    </row>
    <row r="5">
      <c r="A5" t="inlineStr">
        <is>
          <t>emp</t>
        </is>
      </c>
      <c r="C5" t="inlineStr">
        <is>
          <t>Employment (persons engaged)</t>
        </is>
      </c>
    </row>
    <row r="6">
      <c r="A6" t="inlineStr">
        <is>
          <t>hc</t>
        </is>
      </c>
      <c r="C6" t="inlineStr">
        <is>
          <t>Human capital index</t>
        </is>
      </c>
    </row>
    <row r="7">
      <c r="A7" t="inlineStr">
        <is>
          <t>Alpha</t>
        </is>
      </c>
      <c r="B7" t="inlineStr">
        <is>
          <t>0.35</t>
        </is>
      </c>
      <c r="C7" t="inlineStr">
        <is>
          <t>Capital share (estimated for Cobb-Douglas)</t>
        </is>
      </c>
    </row>
    <row r="8">
      <c r="A8" t="inlineStr">
        <is>
          <t>Year</t>
        </is>
      </c>
      <c r="B8" t="inlineStr">
        <is>
          <t>RNNA (Capital Stock M 2017 USD)</t>
        </is>
      </c>
    </row>
    <row r="9">
      <c r="A9" t="n">
        <v>2015</v>
      </c>
      <c r="B9" t="n">
        <v>169610</v>
      </c>
    </row>
    <row r="10">
      <c r="A10" t="n">
        <v>2016</v>
      </c>
      <c r="B10" t="n">
        <v>210339</v>
      </c>
    </row>
    <row r="11">
      <c r="A11" t="n">
        <v>2017</v>
      </c>
      <c r="B11" t="n">
        <v>248033</v>
      </c>
    </row>
    <row r="12">
      <c r="A12" t="n">
        <v>2018</v>
      </c>
      <c r="B12" t="n">
        <v>254090</v>
      </c>
    </row>
    <row r="13">
      <c r="A13" t="n">
        <v>2019</v>
      </c>
      <c r="B13" t="n">
        <v>263192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 World Economic Outlook - Georgia</t>
        </is>
      </c>
    </row>
    <row r="2">
      <c r="A2" t="inlineStr">
        <is>
          <t>Year</t>
        </is>
      </c>
      <c r="B2" t="inlineStr">
        <is>
          <t>Real GDP (Constant USD, Millions)</t>
        </is>
      </c>
      <c r="C2" t="inlineStr">
        <is>
          <t>Real GDP Growth Rate (%)</t>
        </is>
      </c>
    </row>
    <row r="3">
      <c r="A3" t="n">
        <v>2000</v>
      </c>
      <c r="B3" t="n">
        <v>6365</v>
      </c>
      <c r="C3" t="n">
        <v>1.9</v>
      </c>
    </row>
    <row r="4">
      <c r="A4" t="n">
        <v>2001</v>
      </c>
      <c r="B4" t="n">
        <v>6551</v>
      </c>
      <c r="C4" t="n">
        <v>2.9</v>
      </c>
    </row>
    <row r="5">
      <c r="A5" t="n">
        <v>2002</v>
      </c>
      <c r="B5" t="n">
        <v>7069</v>
      </c>
      <c r="C5" t="n">
        <v>3.3</v>
      </c>
    </row>
    <row r="6">
      <c r="A6" t="n">
        <v>2003</v>
      </c>
      <c r="B6" t="n">
        <v>7688</v>
      </c>
      <c r="C6" t="n">
        <v>5.9</v>
      </c>
    </row>
    <row r="7">
      <c r="A7" t="n">
        <v>2004</v>
      </c>
      <c r="B7" t="n">
        <v>8217</v>
      </c>
      <c r="C7" t="n">
        <v>7.3</v>
      </c>
    </row>
    <row r="8">
      <c r="A8" t="n">
        <v>2005</v>
      </c>
      <c r="B8" t="n">
        <v>9060</v>
      </c>
      <c r="C8" t="n">
        <v>9.6</v>
      </c>
    </row>
    <row r="9">
      <c r="A9" t="n">
        <v>2006</v>
      </c>
      <c r="B9" t="n">
        <v>9867</v>
      </c>
      <c r="C9" t="n">
        <v>8.6</v>
      </c>
    </row>
    <row r="10">
      <c r="A10" t="n">
        <v>2007</v>
      </c>
      <c r="B10" t="n">
        <v>10729</v>
      </c>
      <c r="C10" t="n">
        <v>8.699999999999999</v>
      </c>
    </row>
    <row r="11">
      <c r="A11" t="n">
        <v>2008</v>
      </c>
      <c r="B11" t="n">
        <v>11370</v>
      </c>
      <c r="C11" t="n">
        <v>2.3</v>
      </c>
    </row>
    <row r="12">
      <c r="A12" t="n">
        <v>2009</v>
      </c>
      <c r="B12" t="n">
        <v>10700</v>
      </c>
      <c r="C12" t="n">
        <v>-6.4</v>
      </c>
    </row>
    <row r="13">
      <c r="A13" t="n">
        <v>2010</v>
      </c>
      <c r="B13" t="n">
        <v>11701</v>
      </c>
      <c r="C13" t="n">
        <v>6.9</v>
      </c>
    </row>
    <row r="14">
      <c r="A14" t="n">
        <v>2011</v>
      </c>
      <c r="B14" t="n">
        <v>12428</v>
      </c>
      <c r="C14" t="n">
        <v>7.2</v>
      </c>
    </row>
    <row r="15">
      <c r="A15" t="n">
        <v>2012</v>
      </c>
      <c r="B15" t="n">
        <v>12984</v>
      </c>
      <c r="C15" t="n">
        <v>6.4</v>
      </c>
    </row>
    <row r="16">
      <c r="A16" t="n">
        <v>2013</v>
      </c>
      <c r="B16" t="n">
        <v>13565</v>
      </c>
      <c r="C16" t="n">
        <v>3.6</v>
      </c>
    </row>
    <row r="17">
      <c r="A17" t="n">
        <v>2014</v>
      </c>
      <c r="B17" t="n">
        <v>13842</v>
      </c>
      <c r="C17" t="n">
        <v>4.6</v>
      </c>
    </row>
    <row r="18">
      <c r="A18" t="n">
        <v>2015</v>
      </c>
      <c r="B18" t="n">
        <v>15224</v>
      </c>
      <c r="C18" t="n">
        <v>3.4</v>
      </c>
    </row>
    <row r="19">
      <c r="A19" t="n">
        <v>2016</v>
      </c>
      <c r="B19" t="n">
        <v>15945</v>
      </c>
      <c r="C19" t="n">
        <v>3.4</v>
      </c>
    </row>
    <row r="20">
      <c r="A20" t="n">
        <v>2017</v>
      </c>
      <c r="B20" t="n">
        <v>16471</v>
      </c>
      <c r="C20" t="n">
        <v>5.2</v>
      </c>
    </row>
    <row r="21">
      <c r="A21" t="n">
        <v>2018</v>
      </c>
      <c r="B21" t="n">
        <v>17905</v>
      </c>
      <c r="C21" t="n">
        <v>6.1</v>
      </c>
    </row>
    <row r="22">
      <c r="A22" t="n">
        <v>2019</v>
      </c>
      <c r="B22" t="n">
        <v>18878</v>
      </c>
      <c r="C22" t="n">
        <v>5.4</v>
      </c>
    </row>
    <row r="23">
      <c r="A23" t="n">
        <v>2020</v>
      </c>
      <c r="B23" t="n">
        <v>17346</v>
      </c>
      <c r="C23" t="n">
        <v>-6.3</v>
      </c>
    </row>
    <row r="24">
      <c r="A24" t="n">
        <v>2021</v>
      </c>
      <c r="B24" t="n">
        <v>18849</v>
      </c>
      <c r="C24" t="n">
        <v>10.6</v>
      </c>
    </row>
    <row r="25">
      <c r="A25" t="n">
        <v>2022</v>
      </c>
      <c r="B25" t="n">
        <v>24985</v>
      </c>
      <c r="C25" t="n">
        <v>11</v>
      </c>
    </row>
    <row r="26">
      <c r="A26" t="n">
        <v>2023</v>
      </c>
      <c r="B26" t="n">
        <v>30778</v>
      </c>
      <c r="C26" t="n">
        <v>7.8</v>
      </c>
    </row>
    <row r="27">
      <c r="A27" t="n">
        <v>2024</v>
      </c>
      <c r="B27" t="n">
        <v>33775</v>
      </c>
      <c r="C27" t="n">
        <v>9.4</v>
      </c>
    </row>
    <row r="28">
      <c r="A28" t="n">
        <v>2025</v>
      </c>
      <c r="C28" t="n">
        <v>7.2</v>
      </c>
    </row>
    <row r="29">
      <c r="A29" t="n">
        <v>2026</v>
      </c>
      <c r="B29">
        <f>B28*(1+C29/100)</f>
        <v/>
      </c>
      <c r="C29" t="n">
        <v>5.3</v>
      </c>
    </row>
    <row r="30">
      <c r="A30" t="n">
        <v>2027</v>
      </c>
      <c r="B30">
        <f>B29*(1+C30/100)</f>
        <v/>
      </c>
      <c r="C30" t="n">
        <v>5.3</v>
      </c>
    </row>
    <row r="31">
      <c r="A31" t="n">
        <v>2028</v>
      </c>
      <c r="B31">
        <f>B30*(1+C31/100)</f>
        <v/>
      </c>
      <c r="C31" t="n">
        <v>5.3</v>
      </c>
    </row>
    <row r="32">
      <c r="A32" t="n">
        <v>2029</v>
      </c>
      <c r="B32">
        <f>B31*(1+C32/100)</f>
        <v/>
      </c>
      <c r="C32" t="n">
        <v>5.3</v>
      </c>
    </row>
    <row r="33">
      <c r="A33" t="n">
        <v>2030</v>
      </c>
      <c r="B33">
        <f>B32*(1+C33/100)</f>
        <v/>
      </c>
      <c r="C33" t="n">
        <v>5.3</v>
      </c>
    </row>
    <row r="34">
      <c r="A34" t="n">
        <v>2031</v>
      </c>
      <c r="B34">
        <f>B33*(1+C34/100)</f>
        <v/>
      </c>
      <c r="C34" t="n">
        <v>5.3</v>
      </c>
    </row>
    <row r="35">
      <c r="A35" t="n">
        <v>2032</v>
      </c>
      <c r="B35">
        <f>B34*(1+C35/100)</f>
        <v/>
      </c>
      <c r="C35" t="n">
        <v>5.3</v>
      </c>
    </row>
    <row r="36">
      <c r="A36" t="n">
        <v>2033</v>
      </c>
      <c r="B36">
        <f>B35*(1+C36/100)</f>
        <v/>
      </c>
      <c r="C36" t="n">
        <v>5.3</v>
      </c>
    </row>
    <row r="37">
      <c r="A37" t="n">
        <v>2034</v>
      </c>
      <c r="B37">
        <f>B36*(1+C37/100)</f>
        <v/>
      </c>
      <c r="C37" t="n">
        <v>5.3</v>
      </c>
    </row>
    <row r="38">
      <c r="A38" t="n">
        <v>2035</v>
      </c>
      <c r="B38">
        <f>B37*(1+C38/100)</f>
        <v/>
      </c>
      <c r="C38" t="n">
        <v>5.3</v>
      </c>
    </row>
    <row r="39">
      <c r="A39" t="n">
        <v>2036</v>
      </c>
      <c r="B39">
        <f>B38*(1+C39/100)</f>
        <v/>
      </c>
      <c r="C39" t="n">
        <v>5.3</v>
      </c>
    </row>
    <row r="40">
      <c r="A40" t="n">
        <v>2037</v>
      </c>
      <c r="B40">
        <f>B39*(1+C40/100)</f>
        <v/>
      </c>
      <c r="C40" t="n">
        <v>5.3</v>
      </c>
    </row>
    <row r="41">
      <c r="A41" t="n">
        <v>2038</v>
      </c>
      <c r="B41">
        <f>B40*(1+C41/100)</f>
        <v/>
      </c>
      <c r="C41" t="n">
        <v>5.3</v>
      </c>
    </row>
    <row r="42">
      <c r="A42" t="n">
        <v>2039</v>
      </c>
      <c r="B42">
        <f>B41*(1+C42/100)</f>
        <v/>
      </c>
      <c r="C42" t="n">
        <v>5.3</v>
      </c>
    </row>
    <row r="43">
      <c r="A43" t="n">
        <v>2040</v>
      </c>
      <c r="B43">
        <f>B42*(1+C43/100)</f>
        <v/>
      </c>
      <c r="C43" t="n">
        <v>5.3</v>
      </c>
    </row>
    <row r="44">
      <c r="A44" t="n">
        <v>2041</v>
      </c>
      <c r="B44">
        <f>B43*(1+C44/100)</f>
        <v/>
      </c>
      <c r="C44" t="n">
        <v>5.3</v>
      </c>
    </row>
    <row r="45">
      <c r="A45" t="n">
        <v>2042</v>
      </c>
      <c r="B45">
        <f>B44*(1+C45/100)</f>
        <v/>
      </c>
      <c r="C45" t="n">
        <v>5.3</v>
      </c>
    </row>
    <row r="46">
      <c r="A46" t="n">
        <v>2043</v>
      </c>
      <c r="B46">
        <f>B45*(1+C46/100)</f>
        <v/>
      </c>
      <c r="C46" t="n">
        <v>5.3</v>
      </c>
    </row>
    <row r="4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Consumption of Fixed Capital (ECB Data) - Georgia</t>
        </is>
      </c>
    </row>
    <row r="2">
      <c r="A2" t="inlineStr">
        <is>
          <t>Year</t>
        </is>
      </c>
      <c r="B2" t="inlineStr">
        <is>
          <t>CFC (Million GEL)</t>
        </is>
      </c>
      <c r="C2" t="inlineStr">
        <is>
          <t>Capital Stock (Million 2017 USD)</t>
        </is>
      </c>
      <c r="D2" t="inlineStr">
        <is>
          <t>Depreciation Rate (%)</t>
        </is>
      </c>
      <c r="E2" t="inlineStr">
        <is>
          <t>Notes</t>
        </is>
      </c>
    </row>
    <row r="3">
      <c r="A3" t="n">
        <v>2015</v>
      </c>
      <c r="B3" t="n">
        <v>3200</v>
      </c>
      <c r="C3" t="n">
        <v>169610</v>
      </c>
      <c r="D3">
        <f>B3/C3*100</f>
        <v/>
      </c>
      <c r="E3" t="inlineStr">
        <is>
          <t>Estimated</t>
        </is>
      </c>
    </row>
    <row r="4">
      <c r="A4" t="n">
        <v>2016</v>
      </c>
      <c r="B4" t="n">
        <v>3400</v>
      </c>
      <c r="C4" t="n">
        <v>210339</v>
      </c>
      <c r="D4">
        <f>B4/C4*100</f>
        <v/>
      </c>
      <c r="E4" t="inlineStr">
        <is>
          <t>Estimated</t>
        </is>
      </c>
    </row>
    <row r="5">
      <c r="A5" t="n">
        <v>2017</v>
      </c>
      <c r="B5" t="n">
        <v>3600</v>
      </c>
      <c r="C5" t="n">
        <v>248033</v>
      </c>
      <c r="D5">
        <f>B5/C5*100</f>
        <v/>
      </c>
      <c r="E5" t="inlineStr">
        <is>
          <t>Estimated</t>
        </is>
      </c>
    </row>
    <row r="6">
      <c r="A6" t="n">
        <v>2018</v>
      </c>
      <c r="B6" t="n">
        <v>3800</v>
      </c>
      <c r="C6" t="n">
        <v>254090</v>
      </c>
      <c r="D6">
        <f>B6/C6*100</f>
        <v/>
      </c>
      <c r="E6" t="inlineStr">
        <is>
          <t>Estimated</t>
        </is>
      </c>
    </row>
    <row r="7">
      <c r="A7" t="n">
        <v>2019</v>
      </c>
      <c r="B7" t="n">
        <v>4100</v>
      </c>
      <c r="C7" t="n">
        <v>263192</v>
      </c>
      <c r="D7">
        <f>B7/C7*100</f>
        <v/>
      </c>
      <c r="E7" t="inlineStr">
        <is>
          <t>Estimated</t>
        </is>
      </c>
    </row>
    <row r="8">
      <c r="A8" t="n">
        <v>2005</v>
      </c>
    </row>
    <row r="9">
      <c r="A9" t="n">
        <v>2006</v>
      </c>
    </row>
    <row r="10">
      <c r="A10" t="n">
        <v>2007</v>
      </c>
    </row>
    <row r="11">
      <c r="A11" t="n">
        <v>2008</v>
      </c>
    </row>
    <row r="12">
      <c r="A12" t="n">
        <v>2009</v>
      </c>
    </row>
    <row r="13">
      <c r="A13" t="n">
        <v>2010</v>
      </c>
    </row>
    <row r="14">
      <c r="A14" t="n">
        <v>2011</v>
      </c>
    </row>
    <row r="15">
      <c r="A15" t="n">
        <v>2012</v>
      </c>
    </row>
    <row r="16">
      <c r="A16" t="n">
        <v>2013</v>
      </c>
    </row>
    <row r="17">
      <c r="A17" t="n">
        <v>2014</v>
      </c>
    </row>
    <row r="18">
      <c r="A18" t="n">
        <v>2015</v>
      </c>
    </row>
    <row r="19">
      <c r="A19" t="n">
        <v>2016</v>
      </c>
    </row>
    <row r="20">
      <c r="A20" t="n">
        <v>2017</v>
      </c>
    </row>
    <row r="21">
      <c r="A21" t="n">
        <v>2018</v>
      </c>
    </row>
    <row r="22">
      <c r="A22" t="n">
        <v>2019</v>
      </c>
    </row>
    <row r="23">
      <c r="A23" t="n">
        <v>2020</v>
      </c>
    </row>
    <row r="24">
      <c r="A24" t="n">
        <v>2021</v>
      </c>
    </row>
    <row r="25">
      <c r="A25" t="n">
        <v>2022</v>
      </c>
    </row>
    <row r="26">
      <c r="A26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Function - Cobb-Douglas Model</t>
        </is>
      </c>
      <c r="K1" t="inlineStr">
        <is>
          <t>HP FILTER ANALYSIS</t>
        </is>
      </c>
      <c r="R1" t="inlineStr">
        <is>
          <t>SOLVER SETUP</t>
        </is>
      </c>
    </row>
    <row r="2">
      <c r="A2" t="inlineStr">
        <is>
          <t>Average Depreciation Rate (most recent 8 years)</t>
        </is>
      </c>
      <c r="B2">
        <f>AVERAGE('CFC data'!D3:D7)</f>
        <v/>
      </c>
      <c r="C2" t="inlineStr">
        <is>
          <t>Use this for capital accumulation calculations</t>
        </is>
      </c>
      <c r="K2" t="inlineStr">
        <is>
          <t>Lambda (smoothing parameter):</t>
        </is>
      </c>
      <c r="L2" t="n">
        <v>1600</v>
      </c>
      <c r="M2" t="inlineStr">
        <is>
          <t>(standard for annual data)</t>
        </is>
      </c>
      <c r="Q2" t="inlineStr">
        <is>
          <t>SOLVER OBJECTIVE:</t>
        </is>
      </c>
      <c r="R2" t="inlineStr">
        <is>
          <t>Objective Function:</t>
        </is>
      </c>
      <c r="S2">
        <f>SUMPRODUCT(N5:N26)+SUMPRODUCT(P7:P26)</f>
        <v/>
      </c>
    </row>
    <row r="3">
      <c r="K3" t="inlineStr">
        <is>
          <t>Year</t>
        </is>
      </c>
      <c r="L3" t="inlineStr">
        <is>
          <t>LnZ</t>
        </is>
      </c>
      <c r="M3" t="inlineStr">
        <is>
          <t>LnZ_HP (Trend)</t>
        </is>
      </c>
      <c r="N3" t="inlineStr">
        <is>
          <t>Cycle</t>
        </is>
      </c>
      <c r="O3" t="inlineStr">
        <is>
          <t>Lambda</t>
        </is>
      </c>
      <c r="P3" t="inlineStr">
        <is>
          <t>1600</t>
        </is>
      </c>
      <c r="R3" t="inlineStr">
        <is>
          <t>Target Cell:</t>
        </is>
      </c>
      <c r="S3" t="inlineStr">
        <is>
          <t>S2</t>
        </is>
      </c>
    </row>
    <row r="4">
      <c r="A4" t="inlineStr">
        <is>
          <t>Year</t>
        </is>
      </c>
      <c r="B4" t="inlineStr">
        <is>
          <t>K (Capital Stock)</t>
        </is>
      </c>
      <c r="C4" t="inlineStr">
        <is>
          <t>Y (Real GDP, Millions)</t>
        </is>
      </c>
      <c r="D4" t="inlineStr">
        <is>
          <t>LnK</t>
        </is>
      </c>
      <c r="E4" t="inlineStr">
        <is>
          <t>LnY</t>
        </is>
      </c>
      <c r="F4" t="inlineStr">
        <is>
          <t>LnZ (LnY-α*LnK)</t>
        </is>
      </c>
      <c r="G4" t="inlineStr">
        <is>
          <t>K/Y Ratio</t>
        </is>
      </c>
      <c r="H4" t="inlineStr">
        <is>
          <t>Notes</t>
        </is>
      </c>
      <c r="K4" t="inlineStr">
        <is>
          <t>Year</t>
        </is>
      </c>
      <c r="L4" t="inlineStr">
        <is>
          <t>LnZ (Original)</t>
        </is>
      </c>
      <c r="M4" t="inlineStr">
        <is>
          <t>LnZ_HP (To be optimized)</t>
        </is>
      </c>
      <c r="N4" t="inlineStr">
        <is>
          <t>Data Fit</t>
        </is>
      </c>
      <c r="O4" t="inlineStr">
        <is>
          <t>2nd Diff</t>
        </is>
      </c>
      <c r="P4" t="inlineStr">
        <is>
          <t>Penalty</t>
        </is>
      </c>
      <c r="R4" t="inlineStr">
        <is>
          <t>By Changing:</t>
        </is>
      </c>
      <c r="S4" t="inlineStr">
        <is>
          <t>M5:M26</t>
        </is>
      </c>
    </row>
    <row r="5">
      <c r="A5" t="n">
        <v>2002</v>
      </c>
      <c r="B5" t="n">
        <v>74224</v>
      </c>
      <c r="C5">
        <f>'WEO_Data'!B5</f>
        <v/>
      </c>
      <c r="D5">
        <f>LN(B5)</f>
        <v/>
      </c>
      <c r="E5">
        <f>LN(C5)</f>
        <v/>
      </c>
      <c r="F5">
        <f>E5-0.35*D5</f>
        <v/>
      </c>
      <c r="G5">
        <f>B5/C5</f>
        <v/>
      </c>
      <c r="H5" t="inlineStr">
        <is>
          <t>Data: Worldometer, World Bank, PWT</t>
        </is>
      </c>
      <c r="K5" t="n">
        <v>2002</v>
      </c>
      <c r="L5">
        <f>F5</f>
        <v/>
      </c>
      <c r="M5">
        <f>L5</f>
        <v/>
      </c>
      <c r="N5">
        <f>(M5-L5)^2</f>
        <v/>
      </c>
      <c r="R5" t="inlineStr">
        <is>
          <t>Set To:</t>
        </is>
      </c>
      <c r="S5" t="inlineStr">
        <is>
          <t>Minimum</t>
        </is>
      </c>
    </row>
    <row r="6">
      <c r="A6" t="n">
        <v>2003</v>
      </c>
      <c r="B6" t="n">
        <v>81103</v>
      </c>
      <c r="C6">
        <f>'WEO_Data'!B6</f>
        <v/>
      </c>
      <c r="D6">
        <f>LN(B6)</f>
        <v/>
      </c>
      <c r="E6">
        <f>LN(C6)</f>
        <v/>
      </c>
      <c r="F6">
        <f>E6-0.35*D6</f>
        <v/>
      </c>
      <c r="G6">
        <f>B6/C6</f>
        <v/>
      </c>
      <c r="K6" t="n">
        <v>2003</v>
      </c>
      <c r="L6">
        <f>F6</f>
        <v/>
      </c>
      <c r="M6">
        <f>L6</f>
        <v/>
      </c>
      <c r="N6">
        <f>(M6-L6)^2</f>
        <v/>
      </c>
    </row>
    <row r="7">
      <c r="A7" t="n">
        <v>2004</v>
      </c>
      <c r="B7" t="n">
        <v>87088</v>
      </c>
      <c r="C7">
        <f>'WEO_Data'!B7</f>
        <v/>
      </c>
      <c r="D7">
        <f>LN(B7)</f>
        <v/>
      </c>
      <c r="E7">
        <f>LN(C7)</f>
        <v/>
      </c>
      <c r="F7">
        <f>E7-0.35*D7</f>
        <v/>
      </c>
      <c r="G7">
        <f>B7/C7</f>
        <v/>
      </c>
      <c r="K7" t="n">
        <v>2004</v>
      </c>
      <c r="L7">
        <f>F7</f>
        <v/>
      </c>
      <c r="M7">
        <f>L7</f>
        <v/>
      </c>
      <c r="N7">
        <f>(M7-L7)^2</f>
        <v/>
      </c>
      <c r="O7">
        <f>M7-2*M6+M5</f>
        <v/>
      </c>
      <c r="P7">
        <f>$L$2*O7^2</f>
        <v/>
      </c>
    </row>
    <row r="8">
      <c r="A8" t="n">
        <v>2005</v>
      </c>
      <c r="B8" t="n">
        <v>96470</v>
      </c>
      <c r="C8">
        <f>'WEO_Data'!B8</f>
        <v/>
      </c>
      <c r="D8">
        <f>LN(B8)</f>
        <v/>
      </c>
      <c r="E8">
        <f>LN(C8)</f>
        <v/>
      </c>
      <c r="F8">
        <f>E8-0.35*D8</f>
        <v/>
      </c>
      <c r="G8">
        <f>B8/C8</f>
        <v/>
      </c>
      <c r="K8" t="n">
        <v>2005</v>
      </c>
      <c r="L8">
        <f>F8</f>
        <v/>
      </c>
      <c r="M8">
        <f>L8</f>
        <v/>
      </c>
      <c r="N8">
        <f>(M8-L8)^2</f>
        <v/>
      </c>
      <c r="O8">
        <f>M8-2*M7+M6</f>
        <v/>
      </c>
      <c r="P8">
        <f>$L$2*O8^2</f>
        <v/>
      </c>
    </row>
    <row r="9">
      <c r="A9" t="n">
        <v>2006</v>
      </c>
      <c r="B9" t="n">
        <v>105549</v>
      </c>
      <c r="C9">
        <f>'WEO_Data'!B9</f>
        <v/>
      </c>
      <c r="D9">
        <f>LN(B9)</f>
        <v/>
      </c>
      <c r="E9">
        <f>LN(C9)</f>
        <v/>
      </c>
      <c r="F9">
        <f>E9-0.35*D9</f>
        <v/>
      </c>
      <c r="G9">
        <f>B9/C9</f>
        <v/>
      </c>
      <c r="K9" t="n">
        <v>2006</v>
      </c>
      <c r="L9">
        <f>F9</f>
        <v/>
      </c>
      <c r="M9">
        <f>L9</f>
        <v/>
      </c>
      <c r="N9">
        <f>(M9-L9)^2</f>
        <v/>
      </c>
      <c r="O9">
        <f>M9-2*M8+M7</f>
        <v/>
      </c>
      <c r="P9">
        <f>$L$2*O9^2</f>
        <v/>
      </c>
    </row>
    <row r="10">
      <c r="A10" t="n">
        <v>2007</v>
      </c>
      <c r="B10" t="n">
        <v>115299</v>
      </c>
      <c r="C10">
        <f>'WEO_Data'!B10</f>
        <v/>
      </c>
      <c r="D10">
        <f>LN(B10)</f>
        <v/>
      </c>
      <c r="E10">
        <f>LN(C10)</f>
        <v/>
      </c>
      <c r="F10">
        <f>E10-0.35*D10</f>
        <v/>
      </c>
      <c r="G10">
        <f>B10/C10</f>
        <v/>
      </c>
      <c r="K10" t="n">
        <v>2007</v>
      </c>
      <c r="L10">
        <f>F10</f>
        <v/>
      </c>
      <c r="M10">
        <f>L10</f>
        <v/>
      </c>
      <c r="N10">
        <f>(M10-L10)^2</f>
        <v/>
      </c>
      <c r="O10">
        <f>M10-2*M9+M8</f>
        <v/>
      </c>
      <c r="P10">
        <f>$L$2*O10^2</f>
        <v/>
      </c>
    </row>
    <row r="11">
      <c r="A11" t="n">
        <v>2008</v>
      </c>
      <c r="B11" t="n">
        <v>122748</v>
      </c>
      <c r="C11">
        <f>'WEO_Data'!B11</f>
        <v/>
      </c>
      <c r="D11">
        <f>LN(B11)</f>
        <v/>
      </c>
      <c r="E11">
        <f>LN(C11)</f>
        <v/>
      </c>
      <c r="F11">
        <f>E11-0.35*D11</f>
        <v/>
      </c>
      <c r="G11">
        <f>B11/C11</f>
        <v/>
      </c>
      <c r="K11" t="n">
        <v>2008</v>
      </c>
      <c r="L11">
        <f>F11</f>
        <v/>
      </c>
      <c r="M11">
        <f>L11</f>
        <v/>
      </c>
      <c r="N11">
        <f>(M11-L11)^2</f>
        <v/>
      </c>
      <c r="O11">
        <f>M11-2*M10+M9</f>
        <v/>
      </c>
      <c r="P11">
        <f>$L$2*O11^2</f>
        <v/>
      </c>
    </row>
    <row r="12">
      <c r="A12" t="n">
        <v>2009</v>
      </c>
      <c r="B12" t="n">
        <v>116042</v>
      </c>
      <c r="C12">
        <f>'WEO_Data'!B12</f>
        <v/>
      </c>
      <c r="D12">
        <f>LN(B12)</f>
        <v/>
      </c>
      <c r="E12">
        <f>LN(C12)</f>
        <v/>
      </c>
      <c r="F12">
        <f>E12-0.35*D12</f>
        <v/>
      </c>
      <c r="G12">
        <f>B12/C12</f>
        <v/>
      </c>
      <c r="K12" t="n">
        <v>2009</v>
      </c>
      <c r="L12">
        <f>F12</f>
        <v/>
      </c>
      <c r="M12">
        <f>L12</f>
        <v/>
      </c>
      <c r="N12">
        <f>(M12-L12)^2</f>
        <v/>
      </c>
      <c r="O12">
        <f>M12-2*M11+M10</f>
        <v/>
      </c>
      <c r="P12">
        <f>$L$2*O12^2</f>
        <v/>
      </c>
    </row>
    <row r="13">
      <c r="A13" t="n">
        <v>2010</v>
      </c>
      <c r="B13" t="n">
        <v>127475</v>
      </c>
      <c r="C13">
        <f>'WEO_Data'!B13</f>
        <v/>
      </c>
      <c r="D13">
        <f>LN(B13)</f>
        <v/>
      </c>
      <c r="E13">
        <f>LN(C13)</f>
        <v/>
      </c>
      <c r="F13">
        <f>E13-0.35*D13</f>
        <v/>
      </c>
      <c r="G13">
        <f>B13/C13</f>
        <v/>
      </c>
      <c r="K13" t="n">
        <v>2010</v>
      </c>
      <c r="L13">
        <f>F13</f>
        <v/>
      </c>
      <c r="M13">
        <f>L13</f>
        <v/>
      </c>
      <c r="N13">
        <f>(M13-L13)^2</f>
        <v/>
      </c>
      <c r="O13">
        <f>M13-2*M12+M11</f>
        <v/>
      </c>
      <c r="P13">
        <f>$L$2*O13^2</f>
        <v/>
      </c>
    </row>
    <row r="14">
      <c r="A14" t="n">
        <v>2011</v>
      </c>
      <c r="B14" t="n">
        <v>136008</v>
      </c>
      <c r="C14">
        <f>'WEO_Data'!B14</f>
        <v/>
      </c>
      <c r="D14">
        <f>LN(B14)</f>
        <v/>
      </c>
      <c r="E14">
        <f>LN(C14)</f>
        <v/>
      </c>
      <c r="F14">
        <f>E14-0.35*D14</f>
        <v/>
      </c>
      <c r="G14">
        <f>B14/C14</f>
        <v/>
      </c>
      <c r="K14" t="n">
        <v>2011</v>
      </c>
      <c r="L14">
        <f>F14</f>
        <v/>
      </c>
      <c r="M14">
        <f>L14</f>
        <v/>
      </c>
      <c r="N14">
        <f>(M14-L14)^2</f>
        <v/>
      </c>
      <c r="O14">
        <f>M14-2*M13+M12</f>
        <v/>
      </c>
      <c r="P14">
        <f>$L$2*O14^2</f>
        <v/>
      </c>
    </row>
    <row r="15">
      <c r="A15" t="n">
        <v>2012</v>
      </c>
      <c r="B15" t="n">
        <v>142733</v>
      </c>
      <c r="C15">
        <f>'WEO_Data'!B15</f>
        <v/>
      </c>
      <c r="D15">
        <f>LN(B15)</f>
        <v/>
      </c>
      <c r="E15">
        <f>LN(C15)</f>
        <v/>
      </c>
      <c r="F15">
        <f>E15-0.35*D15</f>
        <v/>
      </c>
      <c r="G15">
        <f>B15/C15</f>
        <v/>
      </c>
      <c r="K15" t="n">
        <v>2012</v>
      </c>
      <c r="L15">
        <f>F15</f>
        <v/>
      </c>
      <c r="M15">
        <f>L15</f>
        <v/>
      </c>
      <c r="N15">
        <f>(M15-L15)^2</f>
        <v/>
      </c>
      <c r="O15">
        <f>M15-2*M14+M13</f>
        <v/>
      </c>
      <c r="P15">
        <f>$L$2*O15^2</f>
        <v/>
      </c>
    </row>
    <row r="16">
      <c r="A16" t="n">
        <v>2013</v>
      </c>
      <c r="B16" t="n">
        <v>149789</v>
      </c>
      <c r="C16">
        <f>'WEO_Data'!B16</f>
        <v/>
      </c>
      <c r="D16">
        <f>LN(B16)</f>
        <v/>
      </c>
      <c r="E16">
        <f>LN(C16)</f>
        <v/>
      </c>
      <c r="F16">
        <f>E16-0.35*D16</f>
        <v/>
      </c>
      <c r="G16">
        <f>B16/C16</f>
        <v/>
      </c>
      <c r="K16" t="n">
        <v>2013</v>
      </c>
      <c r="L16">
        <f>F16</f>
        <v/>
      </c>
      <c r="M16">
        <f>L16</f>
        <v/>
      </c>
      <c r="N16">
        <f>(M16-L16)^2</f>
        <v/>
      </c>
      <c r="O16">
        <f>M16-2*M15+M14</f>
        <v/>
      </c>
      <c r="P16">
        <f>$L$2*O16^2</f>
        <v/>
      </c>
    </row>
    <row r="17">
      <c r="A17" t="n">
        <v>2014</v>
      </c>
      <c r="B17" t="n">
        <v>153530</v>
      </c>
      <c r="C17">
        <f>'WEO_Data'!B17</f>
        <v/>
      </c>
      <c r="D17">
        <f>LN(B17)</f>
        <v/>
      </c>
      <c r="E17">
        <f>LN(C17)</f>
        <v/>
      </c>
      <c r="F17">
        <f>E17-0.35*D17</f>
        <v/>
      </c>
      <c r="G17">
        <f>B17/C17</f>
        <v/>
      </c>
      <c r="K17" t="n">
        <v>2014</v>
      </c>
      <c r="L17">
        <f>F17</f>
        <v/>
      </c>
      <c r="M17">
        <f>L17</f>
        <v/>
      </c>
      <c r="N17">
        <f>(M17-L17)^2</f>
        <v/>
      </c>
      <c r="O17">
        <f>M17-2*M16+M15</f>
        <v/>
      </c>
      <c r="P17">
        <f>$L$2*O17^2</f>
        <v/>
      </c>
    </row>
    <row r="18">
      <c r="A18" t="n">
        <v>2015</v>
      </c>
      <c r="B18" t="n">
        <v>169610</v>
      </c>
      <c r="C18">
        <f>'WEO_Data'!B18</f>
        <v/>
      </c>
      <c r="D18">
        <f>LN(B18)</f>
        <v/>
      </c>
      <c r="E18">
        <f>LN(C18)</f>
        <v/>
      </c>
      <c r="F18">
        <f>E18-0.35*D18</f>
        <v/>
      </c>
      <c r="G18">
        <f>B18/C18</f>
        <v/>
      </c>
      <c r="K18" t="n">
        <v>2015</v>
      </c>
      <c r="L18">
        <f>F18</f>
        <v/>
      </c>
      <c r="M18">
        <f>L18</f>
        <v/>
      </c>
      <c r="N18">
        <f>(M18-L18)^2</f>
        <v/>
      </c>
      <c r="O18">
        <f>M18-2*M17+M16</f>
        <v/>
      </c>
      <c r="P18">
        <f>$L$2*O18^2</f>
        <v/>
      </c>
    </row>
    <row r="19">
      <c r="A19" t="n">
        <v>2016</v>
      </c>
      <c r="B19" t="n">
        <v>210339</v>
      </c>
      <c r="C19">
        <f>'WEO_Data'!B19</f>
        <v/>
      </c>
      <c r="D19">
        <f>LN(B19)</f>
        <v/>
      </c>
      <c r="E19">
        <f>LN(C19)</f>
        <v/>
      </c>
      <c r="F19">
        <f>E19-0.35*D19</f>
        <v/>
      </c>
      <c r="G19">
        <f>B19/C19</f>
        <v/>
      </c>
      <c r="K19" t="n">
        <v>2016</v>
      </c>
      <c r="L19">
        <f>F19</f>
        <v/>
      </c>
      <c r="M19">
        <f>L19</f>
        <v/>
      </c>
      <c r="N19">
        <f>(M19-L19)^2</f>
        <v/>
      </c>
      <c r="O19">
        <f>M19-2*M18+M17</f>
        <v/>
      </c>
      <c r="P19">
        <f>$L$2*O19^2</f>
        <v/>
      </c>
    </row>
    <row r="20">
      <c r="A20" t="n">
        <v>2017</v>
      </c>
      <c r="B20" t="n">
        <v>248033</v>
      </c>
      <c r="C20">
        <f>'WEO_Data'!B20</f>
        <v/>
      </c>
      <c r="D20">
        <f>LN(B20)</f>
        <v/>
      </c>
      <c r="E20">
        <f>LN(C20)</f>
        <v/>
      </c>
      <c r="F20">
        <f>E20-0.35*D20</f>
        <v/>
      </c>
      <c r="G20">
        <f>B20/C20</f>
        <v/>
      </c>
      <c r="K20" t="n">
        <v>2017</v>
      </c>
      <c r="L20">
        <f>F20</f>
        <v/>
      </c>
      <c r="M20">
        <f>L20</f>
        <v/>
      </c>
      <c r="N20">
        <f>(M20-L20)^2</f>
        <v/>
      </c>
      <c r="O20">
        <f>M20-2*M19+M18</f>
        <v/>
      </c>
      <c r="P20">
        <f>$L$2*O20^2</f>
        <v/>
      </c>
    </row>
    <row r="21">
      <c r="A21" t="n">
        <v>2018</v>
      </c>
      <c r="B21" t="n">
        <v>254090</v>
      </c>
      <c r="C21">
        <f>'WEO_Data'!B21</f>
        <v/>
      </c>
      <c r="D21">
        <f>LN(B21)</f>
        <v/>
      </c>
      <c r="E21">
        <f>LN(C21)</f>
        <v/>
      </c>
      <c r="F21">
        <f>E21-0.35*D21</f>
        <v/>
      </c>
      <c r="G21">
        <f>B21/C21</f>
        <v/>
      </c>
      <c r="K21" t="n">
        <v>2018</v>
      </c>
      <c r="L21">
        <f>F21</f>
        <v/>
      </c>
      <c r="M21">
        <f>L21</f>
        <v/>
      </c>
      <c r="N21">
        <f>(M21-L21)^2</f>
        <v/>
      </c>
      <c r="O21">
        <f>M21-2*M20+M19</f>
        <v/>
      </c>
      <c r="P21">
        <f>$L$2*O21^2</f>
        <v/>
      </c>
    </row>
    <row r="22">
      <c r="A22" t="n">
        <v>2019</v>
      </c>
      <c r="B22" t="n">
        <v>263192</v>
      </c>
      <c r="C22">
        <f>'WEO_Data'!B22</f>
        <v/>
      </c>
      <c r="D22">
        <f>LN(B22)</f>
        <v/>
      </c>
      <c r="E22">
        <f>LN(C22)</f>
        <v/>
      </c>
      <c r="F22">
        <f>E22-0.35*D22</f>
        <v/>
      </c>
      <c r="G22">
        <f>B22/C22</f>
        <v/>
      </c>
      <c r="K22" t="n">
        <v>2019</v>
      </c>
      <c r="L22">
        <f>F22</f>
        <v/>
      </c>
      <c r="M22">
        <f>L22</f>
        <v/>
      </c>
      <c r="N22">
        <f>(M22-L22)^2</f>
        <v/>
      </c>
      <c r="O22">
        <f>M22-2*M21+M20</f>
        <v/>
      </c>
      <c r="P22">
        <f>$L$2*O22^2</f>
        <v/>
      </c>
    </row>
    <row r="23">
      <c r="A23" t="n">
        <v>2020</v>
      </c>
      <c r="B23" t="n">
        <v>241833</v>
      </c>
      <c r="C23">
        <f>'WEO_Data'!B23</f>
        <v/>
      </c>
      <c r="D23">
        <f>LN(B23)</f>
        <v/>
      </c>
      <c r="E23">
        <f>LN(C23)</f>
        <v/>
      </c>
      <c r="F23">
        <f>E23-0.35*D23</f>
        <v/>
      </c>
      <c r="G23">
        <f>B23/C23</f>
        <v/>
      </c>
      <c r="K23" t="n">
        <v>2020</v>
      </c>
      <c r="L23">
        <f>F23</f>
        <v/>
      </c>
      <c r="M23">
        <f>L23</f>
        <v/>
      </c>
      <c r="N23">
        <f>(M23-L23)^2</f>
        <v/>
      </c>
      <c r="O23">
        <f>M23-2*M22+M21</f>
        <v/>
      </c>
      <c r="P23">
        <f>$L$2*O23^2</f>
        <v/>
      </c>
    </row>
    <row r="24">
      <c r="A24" t="n">
        <v>2021</v>
      </c>
      <c r="B24" t="n">
        <v>262787</v>
      </c>
      <c r="C24">
        <f>'WEO_Data'!B24</f>
        <v/>
      </c>
      <c r="D24">
        <f>LN(B24)</f>
        <v/>
      </c>
      <c r="E24">
        <f>LN(C24)</f>
        <v/>
      </c>
      <c r="F24">
        <f>E24-0.35*D24</f>
        <v/>
      </c>
      <c r="G24">
        <f>B24/C24</f>
        <v/>
      </c>
      <c r="K24" t="n">
        <v>2021</v>
      </c>
      <c r="L24">
        <f>F24</f>
        <v/>
      </c>
      <c r="M24">
        <f>L24</f>
        <v/>
      </c>
      <c r="N24">
        <f>(M24-L24)^2</f>
        <v/>
      </c>
      <c r="O24">
        <f>M24-2*M23+M22</f>
        <v/>
      </c>
      <c r="P24">
        <f>$L$2*O24^2</f>
        <v/>
      </c>
    </row>
    <row r="25">
      <c r="A25" t="n">
        <v>2022</v>
      </c>
      <c r="B25" t="n">
        <v>348334</v>
      </c>
      <c r="C25">
        <f>'WEO_Data'!B25</f>
        <v/>
      </c>
      <c r="D25">
        <f>LN(B25)</f>
        <v/>
      </c>
      <c r="E25">
        <f>LN(C25)</f>
        <v/>
      </c>
      <c r="F25">
        <f>E25-0.35*D25</f>
        <v/>
      </c>
      <c r="G25">
        <f>B25/C25</f>
        <v/>
      </c>
      <c r="K25" t="n">
        <v>2022</v>
      </c>
      <c r="L25">
        <f>F25</f>
        <v/>
      </c>
      <c r="M25">
        <f>L25</f>
        <v/>
      </c>
      <c r="N25">
        <f>(M25-L25)^2</f>
        <v/>
      </c>
      <c r="O25">
        <f>M25-2*M24+M23</f>
        <v/>
      </c>
      <c r="P25">
        <f>$L$2*O25^2</f>
        <v/>
      </c>
    </row>
    <row r="26">
      <c r="A26" t="n">
        <v>2023</v>
      </c>
      <c r="B26" t="n">
        <v>429098</v>
      </c>
      <c r="C26">
        <f>'WEO_Data'!B26</f>
        <v/>
      </c>
      <c r="D26">
        <f>LN(B26)</f>
        <v/>
      </c>
      <c r="E26">
        <f>LN(C26)</f>
        <v/>
      </c>
      <c r="F26">
        <f>E26-0.35*D26</f>
        <v/>
      </c>
      <c r="G26">
        <f>B26/C26</f>
        <v/>
      </c>
      <c r="K26" t="n">
        <v>2023</v>
      </c>
      <c r="L26">
        <f>F26</f>
        <v/>
      </c>
      <c r="M26">
        <f>L26</f>
        <v/>
      </c>
      <c r="N26">
        <f>(M26-L26)^2</f>
        <v/>
      </c>
      <c r="O26">
        <f>M26-2*M25+M24</f>
        <v/>
      </c>
      <c r="P26">
        <f>$L$2*O26^2</f>
        <v/>
      </c>
    </row>
    <row r="27">
      <c r="A27" t="inlineStr">
        <is>
          <t>EXTENDED PROJECTIONS WITH INVESTMENT</t>
        </is>
      </c>
      <c r="K27" t="n">
        <v>2023</v>
      </c>
      <c r="L27">
        <f>F26</f>
        <v/>
      </c>
    </row>
    <row r="28">
      <c r="A28" t="inlineStr">
        <is>
          <t>Extended Period (2024-2043) with Investment</t>
        </is>
      </c>
      <c r="B28">
        <f>B26</f>
        <v/>
      </c>
      <c r="C28">
        <f>'WEO_Data'!B27</f>
        <v/>
      </c>
      <c r="D28">
        <f>IF(B28&gt;0,LN(B28),0)</f>
        <v/>
      </c>
      <c r="E28">
        <f>IF(C28&gt;0,LN(C28),0)</f>
        <v/>
      </c>
      <c r="F28">
        <f>E28-0.35*D28</f>
        <v/>
      </c>
      <c r="G28">
        <f>IF(C28&lt;&gt;0,B28/C28,0)</f>
        <v/>
      </c>
      <c r="J28" t="inlineStr">
        <is>
          <t>IMPACT ANALYSIS</t>
        </is>
      </c>
    </row>
    <row r="29">
      <c r="A29" t="inlineStr">
        <is>
          <t>Year</t>
        </is>
      </c>
      <c r="B29">
        <f>(B28*(1-$B$2))+IF(AND(A29&gt;=2026,A29&lt;=2033),6500,0)</f>
        <v/>
      </c>
      <c r="C29" t="inlineStr">
        <is>
          <t>Y (from WEO)</t>
        </is>
      </c>
      <c r="D29">
        <f>IF(B29&gt;0,LN(B29),0)</f>
        <v/>
      </c>
      <c r="E29">
        <f>IF(C29&gt;0,LN(C29),0)</f>
        <v/>
      </c>
      <c r="F29">
        <f>E29-0.35*D29</f>
        <v/>
      </c>
      <c r="G29">
        <f>IF(C29&lt;&gt;0,B29/C29,0)</f>
        <v/>
      </c>
      <c r="H29" t="inlineStr">
        <is>
          <t>Impact</t>
        </is>
      </c>
      <c r="J29" t="inlineStr">
        <is>
          <t>Year</t>
        </is>
      </c>
      <c r="K29" t="inlineStr">
        <is>
          <t>Y Baseline</t>
        </is>
      </c>
      <c r="L29" t="inlineStr">
        <is>
          <t>Y with Investment</t>
        </is>
      </c>
      <c r="M29" t="inlineStr">
        <is>
          <t>Difference</t>
        </is>
      </c>
      <c r="N29" t="inlineStr">
        <is>
          <t>% Change</t>
        </is>
      </c>
    </row>
    <row r="30">
      <c r="A30" t="n">
        <v>2024</v>
      </c>
      <c r="B30">
        <f>(B29*(1-$B$2))+IF(AND(A30&gt;=2026,A30&lt;=2033),6500,0)</f>
        <v/>
      </c>
      <c r="C30">
        <f>'WEO_Data'!B27</f>
        <v/>
      </c>
      <c r="D30">
        <f>IF(B30&gt;0,LN(B30),0)</f>
        <v/>
      </c>
      <c r="E30">
        <f>IF(C30&gt;0,LN(C30),0)</f>
        <v/>
      </c>
      <c r="F30">
        <f>E30-0.35*D30</f>
        <v/>
      </c>
      <c r="G30">
        <f>IF(C30&lt;&gt;0,B30/C30,0)</f>
        <v/>
      </c>
      <c r="J30" t="n">
        <v>2026</v>
      </c>
      <c r="K30">
        <f>'WEO_Data'!B29</f>
        <v/>
      </c>
      <c r="L30">
        <f>C30</f>
        <v/>
      </c>
      <c r="M30">
        <f>L30-K30</f>
        <v/>
      </c>
      <c r="N30">
        <f>IF(K30&lt;&gt;0,M30/K30,0)</f>
        <v/>
      </c>
    </row>
    <row r="31">
      <c r="A31" t="n">
        <v>2025</v>
      </c>
      <c r="B31">
        <f>(B30*(1-$B$2))+IF(AND(A31&gt;=2026,A31&lt;=2033),6500,0)</f>
        <v/>
      </c>
      <c r="C31">
        <f>'WEO_Data'!B28</f>
        <v/>
      </c>
      <c r="D31">
        <f>IF(B31&gt;0,LN(B31),0)</f>
        <v/>
      </c>
      <c r="E31">
        <f>IF(C31&gt;0,LN(C31),0)</f>
        <v/>
      </c>
      <c r="F31">
        <f>E31-0.35*D31</f>
        <v/>
      </c>
      <c r="G31">
        <f>IF(C31&lt;&gt;0,B31/C31,0)</f>
        <v/>
      </c>
      <c r="J31" t="n">
        <v>2027</v>
      </c>
      <c r="K31">
        <f>'WEO_Data'!B30</f>
        <v/>
      </c>
      <c r="L31">
        <f>C31</f>
        <v/>
      </c>
      <c r="M31">
        <f>L31-K31</f>
        <v/>
      </c>
      <c r="N31">
        <f>IF(K31&lt;&gt;0,M31/K31,0)</f>
        <v/>
      </c>
    </row>
    <row r="32">
      <c r="A32" t="n">
        <v>2026</v>
      </c>
      <c r="B32">
        <f>(B31*(1-$B$2))+IF(AND(A32&gt;=2026,A32&lt;=2033),6500,0)</f>
        <v/>
      </c>
      <c r="C32">
        <f>'WEO_Data'!B29</f>
        <v/>
      </c>
      <c r="D32">
        <f>IF(B32&gt;0,LN(B32),0)</f>
        <v/>
      </c>
      <c r="E32">
        <f>IF(C32&gt;0,LN(C32),0)</f>
        <v/>
      </c>
      <c r="F32">
        <f>E32-0.35*D32</f>
        <v/>
      </c>
      <c r="G32">
        <f>IF(C32&lt;&gt;0,B32/C32,0)</f>
        <v/>
      </c>
      <c r="J32" t="n">
        <v>2028</v>
      </c>
      <c r="K32">
        <f>'WEO_Data'!B31</f>
        <v/>
      </c>
      <c r="L32">
        <f>C32</f>
        <v/>
      </c>
      <c r="M32">
        <f>L32-K32</f>
        <v/>
      </c>
      <c r="N32">
        <f>IF(K32&lt;&gt;0,M32/K32,0)</f>
        <v/>
      </c>
    </row>
    <row r="33">
      <c r="A33" t="n">
        <v>2027</v>
      </c>
      <c r="B33">
        <f>(B32*(1-$B$2))+IF(AND(A33&gt;=2026,A33&lt;=2033),6500,0)</f>
        <v/>
      </c>
      <c r="C33">
        <f>'WEO_Data'!B30</f>
        <v/>
      </c>
      <c r="D33">
        <f>IF(B33&gt;0,LN(B33),0)</f>
        <v/>
      </c>
      <c r="E33">
        <f>IF(C33&gt;0,LN(C33),0)</f>
        <v/>
      </c>
      <c r="F33">
        <f>E33-0.35*D33</f>
        <v/>
      </c>
      <c r="G33">
        <f>IF(C33&lt;&gt;0,B33/C33,0)</f>
        <v/>
      </c>
      <c r="J33" t="n">
        <v>2029</v>
      </c>
      <c r="K33">
        <f>'WEO_Data'!B32</f>
        <v/>
      </c>
      <c r="L33">
        <f>C33</f>
        <v/>
      </c>
      <c r="M33">
        <f>L33-K33</f>
        <v/>
      </c>
      <c r="N33">
        <f>IF(K33&lt;&gt;0,M33/K33,0)</f>
        <v/>
      </c>
    </row>
    <row r="34">
      <c r="A34" t="n">
        <v>2028</v>
      </c>
      <c r="B34">
        <f>(B33*(1-$B$2))+IF(AND(A34&gt;=2026,A34&lt;=2033),6500,0)</f>
        <v/>
      </c>
      <c r="C34">
        <f>'WEO_Data'!B31</f>
        <v/>
      </c>
      <c r="D34">
        <f>IF(B34&gt;0,LN(B34),0)</f>
        <v/>
      </c>
      <c r="E34">
        <f>IF(C34&gt;0,LN(C34),0)</f>
        <v/>
      </c>
      <c r="F34">
        <f>E34-0.35*D34</f>
        <v/>
      </c>
      <c r="G34">
        <f>IF(C34&lt;&gt;0,B34/C34,0)</f>
        <v/>
      </c>
      <c r="J34" t="n">
        <v>2030</v>
      </c>
      <c r="K34">
        <f>'WEO_Data'!B33</f>
        <v/>
      </c>
      <c r="L34">
        <f>C34</f>
        <v/>
      </c>
      <c r="M34">
        <f>L34-K34</f>
        <v/>
      </c>
      <c r="N34">
        <f>IF(K34&lt;&gt;0,M34/K34,0)</f>
        <v/>
      </c>
    </row>
    <row r="35">
      <c r="A35" t="n">
        <v>2029</v>
      </c>
      <c r="B35">
        <f>(B34*(1-$B$2))+IF(AND(A35&gt;=2026,A35&lt;=2033),6500,0)</f>
        <v/>
      </c>
      <c r="C35">
        <f>'WEO_Data'!B32</f>
        <v/>
      </c>
      <c r="D35">
        <f>IF(B35&gt;0,LN(B35),0)</f>
        <v/>
      </c>
      <c r="E35">
        <f>IF(C35&gt;0,LN(C35),0)</f>
        <v/>
      </c>
      <c r="F35">
        <f>E35-0.35*D35</f>
        <v/>
      </c>
      <c r="G35">
        <f>IF(C35&lt;&gt;0,B35/C35,0)</f>
        <v/>
      </c>
      <c r="J35" t="n">
        <v>2031</v>
      </c>
      <c r="K35">
        <f>'WEO_Data'!B34</f>
        <v/>
      </c>
      <c r="L35">
        <f>C35</f>
        <v/>
      </c>
      <c r="M35">
        <f>L35-K35</f>
        <v/>
      </c>
      <c r="N35">
        <f>IF(K35&lt;&gt;0,M35/K35,0)</f>
        <v/>
      </c>
    </row>
    <row r="36">
      <c r="A36" t="n">
        <v>2030</v>
      </c>
      <c r="B36">
        <f>(B35*(1-$B$2))+IF(AND(A36&gt;=2026,A36&lt;=2033),6500,0)</f>
        <v/>
      </c>
      <c r="C36">
        <f>'WEO_Data'!B33</f>
        <v/>
      </c>
      <c r="D36">
        <f>IF(B36&gt;0,LN(B36),0)</f>
        <v/>
      </c>
      <c r="E36">
        <f>IF(C36&gt;0,LN(C36),0)</f>
        <v/>
      </c>
      <c r="F36">
        <f>E36-0.35*D36</f>
        <v/>
      </c>
      <c r="G36">
        <f>IF(C36&lt;&gt;0,B36/C36,0)</f>
        <v/>
      </c>
      <c r="J36" t="n">
        <v>2032</v>
      </c>
      <c r="K36">
        <f>'WEO_Data'!B35</f>
        <v/>
      </c>
      <c r="L36">
        <f>C36</f>
        <v/>
      </c>
      <c r="M36">
        <f>L36-K36</f>
        <v/>
      </c>
      <c r="N36">
        <f>IF(K36&lt;&gt;0,M36/K36,0)</f>
        <v/>
      </c>
    </row>
    <row r="37">
      <c r="A37" t="n">
        <v>2031</v>
      </c>
      <c r="B37">
        <f>(B36*(1-$B$2))+IF(AND(A37&gt;=2026,A37&lt;=2033),6500,0)</f>
        <v/>
      </c>
      <c r="C37">
        <f>'WEO_Data'!B34</f>
        <v/>
      </c>
      <c r="D37">
        <f>IF(B37&gt;0,LN(B37),0)</f>
        <v/>
      </c>
      <c r="E37">
        <f>IF(C37&gt;0,LN(C37),0)</f>
        <v/>
      </c>
      <c r="F37">
        <f>E37-0.35*D37</f>
        <v/>
      </c>
      <c r="G37">
        <f>IF(C37&lt;&gt;0,B37/C37,0)</f>
        <v/>
      </c>
      <c r="J37" t="n">
        <v>2033</v>
      </c>
      <c r="K37">
        <f>'WEO_Data'!B36</f>
        <v/>
      </c>
      <c r="L37">
        <f>C37</f>
        <v/>
      </c>
      <c r="M37">
        <f>L37-K37</f>
        <v/>
      </c>
      <c r="N37">
        <f>IF(K37&lt;&gt;0,M37/K37,0)</f>
        <v/>
      </c>
    </row>
    <row r="38">
      <c r="A38" t="n">
        <v>2032</v>
      </c>
      <c r="B38">
        <f>(B37*(1-$B$2))+IF(AND(A38&gt;=2026,A38&lt;=2033),6500,0)</f>
        <v/>
      </c>
      <c r="C38">
        <f>'WEO_Data'!B35</f>
        <v/>
      </c>
      <c r="D38">
        <f>IF(B38&gt;0,LN(B38),0)</f>
        <v/>
      </c>
      <c r="E38">
        <f>IF(C38&gt;0,LN(C38),0)</f>
        <v/>
      </c>
      <c r="F38">
        <f>E38-0.35*D38</f>
        <v/>
      </c>
      <c r="G38">
        <f>IF(C38&lt;&gt;0,B38/C38,0)</f>
        <v/>
      </c>
      <c r="J38" t="n">
        <v>2034</v>
      </c>
      <c r="K38">
        <f>'WEO_Data'!B37</f>
        <v/>
      </c>
      <c r="L38">
        <f>C38</f>
        <v/>
      </c>
      <c r="M38">
        <f>L38-K38</f>
        <v/>
      </c>
      <c r="N38">
        <f>IF(K38&lt;&gt;0,M38/K38,0)</f>
        <v/>
      </c>
    </row>
    <row r="39">
      <c r="A39" t="n">
        <v>2033</v>
      </c>
      <c r="B39">
        <f>(B38*(1-$B$2))+IF(AND(A39&gt;=2026,A39&lt;=2033),6500,0)</f>
        <v/>
      </c>
      <c r="C39">
        <f>'WEO_Data'!B36</f>
        <v/>
      </c>
      <c r="D39">
        <f>IF(B39&gt;0,LN(B39),0)</f>
        <v/>
      </c>
      <c r="E39">
        <f>IF(C39&gt;0,LN(C39),0)</f>
        <v/>
      </c>
      <c r="F39">
        <f>E39-0.35*D39</f>
        <v/>
      </c>
      <c r="G39">
        <f>IF(C39&lt;&gt;0,B39/C39,0)</f>
        <v/>
      </c>
      <c r="J39" t="n">
        <v>2035</v>
      </c>
      <c r="K39">
        <f>'WEO_Data'!B38</f>
        <v/>
      </c>
      <c r="L39">
        <f>C39</f>
        <v/>
      </c>
      <c r="M39">
        <f>L39-K39</f>
        <v/>
      </c>
      <c r="N39">
        <f>IF(K39&lt;&gt;0,M39/K39,0)</f>
        <v/>
      </c>
    </row>
    <row r="40">
      <c r="A40" t="n">
        <v>2034</v>
      </c>
      <c r="B40">
        <f>(B39*(1-$B$2))+IF(AND(A40&gt;=2026,A40&lt;=2033),6500,0)</f>
        <v/>
      </c>
      <c r="C40">
        <f>'WEO_Data'!B37</f>
        <v/>
      </c>
      <c r="D40">
        <f>IF(B40&gt;0,LN(B40),0)</f>
        <v/>
      </c>
      <c r="E40">
        <f>IF(C40&gt;0,LN(C40),0)</f>
        <v/>
      </c>
      <c r="F40">
        <f>E40-0.35*D40</f>
        <v/>
      </c>
      <c r="G40">
        <f>IF(C40&lt;&gt;0,B40/C40,0)</f>
        <v/>
      </c>
      <c r="J40" t="n">
        <v>2036</v>
      </c>
      <c r="K40">
        <f>'WEO_Data'!B39</f>
        <v/>
      </c>
      <c r="L40">
        <f>C40</f>
        <v/>
      </c>
      <c r="M40">
        <f>L40-K40</f>
        <v/>
      </c>
      <c r="N40">
        <f>IF(K40&lt;&gt;0,M40/K40,0)</f>
        <v/>
      </c>
    </row>
    <row r="41">
      <c r="A41" t="n">
        <v>2035</v>
      </c>
      <c r="B41">
        <f>(B40*(1-$B$2))+IF(AND(A41&gt;=2026,A41&lt;=2033),6500,0)</f>
        <v/>
      </c>
      <c r="C41">
        <f>'WEO_Data'!B38</f>
        <v/>
      </c>
      <c r="D41">
        <f>IF(B41&gt;0,LN(B41),0)</f>
        <v/>
      </c>
      <c r="E41">
        <f>IF(C41&gt;0,LN(C41),0)</f>
        <v/>
      </c>
      <c r="F41">
        <f>E41-0.35*D41</f>
        <v/>
      </c>
      <c r="G41">
        <f>IF(C41&lt;&gt;0,B41/C41,0)</f>
        <v/>
      </c>
      <c r="J41" t="n">
        <v>2037</v>
      </c>
      <c r="K41">
        <f>'WEO_Data'!B40</f>
        <v/>
      </c>
      <c r="L41">
        <f>C41</f>
        <v/>
      </c>
      <c r="M41">
        <f>L41-K41</f>
        <v/>
      </c>
      <c r="N41">
        <f>IF(K41&lt;&gt;0,M41/K41,0)</f>
        <v/>
      </c>
    </row>
    <row r="42">
      <c r="A42" t="n">
        <v>2036</v>
      </c>
      <c r="B42">
        <f>(B41*(1-$B$2))+IF(AND(A42&gt;=2026,A42&lt;=2033),6500,0)</f>
        <v/>
      </c>
      <c r="C42">
        <f>'WEO_Data'!B39</f>
        <v/>
      </c>
      <c r="D42">
        <f>IF(B42&gt;0,LN(B42),0)</f>
        <v/>
      </c>
      <c r="E42">
        <f>IF(C42&gt;0,LN(C42),0)</f>
        <v/>
      </c>
      <c r="F42">
        <f>E42-0.35*D42</f>
        <v/>
      </c>
      <c r="G42">
        <f>IF(C42&lt;&gt;0,B42/C42,0)</f>
        <v/>
      </c>
      <c r="J42" t="n">
        <v>2038</v>
      </c>
      <c r="K42">
        <f>'WEO_Data'!B41</f>
        <v/>
      </c>
      <c r="L42">
        <f>C42</f>
        <v/>
      </c>
      <c r="M42">
        <f>L42-K42</f>
        <v/>
      </c>
      <c r="N42">
        <f>IF(K42&lt;&gt;0,M42/K42,0)</f>
        <v/>
      </c>
    </row>
    <row r="43">
      <c r="A43" t="n">
        <v>2037</v>
      </c>
      <c r="B43">
        <f>(B42*(1-$B$2))+IF(AND(A43&gt;=2026,A43&lt;=2033),6500,0)</f>
        <v/>
      </c>
      <c r="C43">
        <f>'WEO_Data'!B40</f>
        <v/>
      </c>
      <c r="D43">
        <f>IF(B43&gt;0,LN(B43),0)</f>
        <v/>
      </c>
      <c r="E43">
        <f>IF(C43&gt;0,LN(C43),0)</f>
        <v/>
      </c>
      <c r="F43">
        <f>E43-0.35*D43</f>
        <v/>
      </c>
      <c r="G43">
        <f>IF(C43&lt;&gt;0,B43/C43,0)</f>
        <v/>
      </c>
      <c r="J43" t="n">
        <v>2039</v>
      </c>
      <c r="K43">
        <f>'WEO_Data'!B42</f>
        <v/>
      </c>
      <c r="L43">
        <f>C43</f>
        <v/>
      </c>
      <c r="M43">
        <f>L43-K43</f>
        <v/>
      </c>
      <c r="N43">
        <f>IF(K43&lt;&gt;0,M43/K43,0)</f>
        <v/>
      </c>
    </row>
    <row r="44">
      <c r="A44" t="n">
        <v>2038</v>
      </c>
      <c r="B44">
        <f>(B43*(1-$B$2))+IF(AND(A44&gt;=2026,A44&lt;=2033),6500,0)</f>
        <v/>
      </c>
      <c r="C44">
        <f>'WEO_Data'!B41</f>
        <v/>
      </c>
      <c r="D44">
        <f>IF(B44&gt;0,LN(B44),0)</f>
        <v/>
      </c>
      <c r="E44">
        <f>IF(C44&gt;0,LN(C44),0)</f>
        <v/>
      </c>
      <c r="F44">
        <f>E44-0.35*D44</f>
        <v/>
      </c>
      <c r="G44">
        <f>IF(C44&lt;&gt;0,B44/C44,0)</f>
        <v/>
      </c>
      <c r="J44" t="n">
        <v>2040</v>
      </c>
      <c r="K44">
        <f>'WEO_Data'!B43</f>
        <v/>
      </c>
      <c r="L44">
        <f>C44</f>
        <v/>
      </c>
      <c r="M44">
        <f>L44-K44</f>
        <v/>
      </c>
      <c r="N44">
        <f>IF(K44&lt;&gt;0,M44/K44,0)</f>
        <v/>
      </c>
    </row>
    <row r="45">
      <c r="A45" t="n">
        <v>2039</v>
      </c>
      <c r="B45">
        <f>(B44*(1-$B$2))+IF(AND(A45&gt;=2026,A45&lt;=2033),6500,0)</f>
        <v/>
      </c>
      <c r="C45">
        <f>'WEO_Data'!B42</f>
        <v/>
      </c>
      <c r="D45">
        <f>IF(B45&gt;0,LN(B45),0)</f>
        <v/>
      </c>
      <c r="E45">
        <f>IF(C45&gt;0,LN(C45),0)</f>
        <v/>
      </c>
      <c r="F45">
        <f>E45-0.35*D45</f>
        <v/>
      </c>
      <c r="G45">
        <f>IF(C45&lt;&gt;0,B45/C45,0)</f>
        <v/>
      </c>
      <c r="J45" t="n">
        <v>2041</v>
      </c>
      <c r="K45">
        <f>'WEO_Data'!B44</f>
        <v/>
      </c>
      <c r="L45">
        <f>C45</f>
        <v/>
      </c>
      <c r="M45">
        <f>L45-K45</f>
        <v/>
      </c>
      <c r="N45">
        <f>IF(K45&lt;&gt;0,M45/K45,0)</f>
        <v/>
      </c>
    </row>
    <row r="46">
      <c r="A46" t="n">
        <v>2040</v>
      </c>
      <c r="B46">
        <f>(B45*(1-$B$2))+IF(AND(A46&gt;=2026,A46&lt;=2033),6500,0)</f>
        <v/>
      </c>
      <c r="C46">
        <f>'WEO_Data'!B43</f>
        <v/>
      </c>
      <c r="D46">
        <f>IF(B46&gt;0,LN(B46),0)</f>
        <v/>
      </c>
      <c r="E46">
        <f>IF(C46&gt;0,LN(C46),0)</f>
        <v/>
      </c>
      <c r="F46">
        <f>E46-0.35*D46</f>
        <v/>
      </c>
      <c r="G46">
        <f>IF(C46&lt;&gt;0,B46/C46,0)</f>
        <v/>
      </c>
      <c r="J46" t="n">
        <v>2042</v>
      </c>
      <c r="K46">
        <f>'WEO_Data'!B45</f>
        <v/>
      </c>
      <c r="L46">
        <f>C46</f>
        <v/>
      </c>
      <c r="M46">
        <f>L46-K46</f>
        <v/>
      </c>
      <c r="N46">
        <f>IF(K46&lt;&gt;0,M46/K46,0)</f>
        <v/>
      </c>
    </row>
    <row r="47">
      <c r="A47" t="n">
        <v>2041</v>
      </c>
      <c r="B47">
        <f>(B46*(1-$B$2))+IF(AND(A47&gt;=2026,A47&lt;=2033),6500,0)</f>
        <v/>
      </c>
      <c r="C47">
        <f>'WEO_Data'!B44</f>
        <v/>
      </c>
      <c r="D47">
        <f>IF(B47&gt;0,LN(B47),0)</f>
        <v/>
      </c>
      <c r="E47">
        <f>IF(C47&gt;0,LN(C47),0)</f>
        <v/>
      </c>
      <c r="F47">
        <f>E47-0.35*D47</f>
        <v/>
      </c>
      <c r="G47">
        <f>IF(C47&lt;&gt;0,B47/C47,0)</f>
        <v/>
      </c>
      <c r="J47" t="n">
        <v>2043</v>
      </c>
      <c r="K47">
        <f>'WEO_Data'!B46</f>
        <v/>
      </c>
      <c r="L47">
        <f>C47</f>
        <v/>
      </c>
      <c r="M47">
        <f>L47-K47</f>
        <v/>
      </c>
      <c r="N47">
        <f>IF(K47&lt;&gt;0,M47/K47,0)</f>
        <v/>
      </c>
    </row>
    <row r="48">
      <c r="A48" t="n">
        <v>2042</v>
      </c>
      <c r="B48">
        <f>B47*(1-'Production'!$B$2)+IF(A48&lt;=2033,6500,0)</f>
        <v/>
      </c>
      <c r="C48">
        <f>'WEO_Data'!B45</f>
        <v/>
      </c>
      <c r="D48">
        <f>LN(B48)</f>
        <v/>
      </c>
      <c r="E48">
        <f>LN(C48)</f>
        <v/>
      </c>
      <c r="F48">
        <f>E48-0.35*D48</f>
        <v/>
      </c>
    </row>
    <row r="49">
      <c r="A49" t="n">
        <v>2043</v>
      </c>
      <c r="B49">
        <f>B48*(1-'Production'!$B$2)+IF(A49&lt;=2033,6500,0)</f>
        <v/>
      </c>
      <c r="C49">
        <f>'WEO_Data'!B46</f>
        <v/>
      </c>
      <c r="D49">
        <f>LN(B49)</f>
        <v/>
      </c>
      <c r="E49">
        <f>LN(C49)</f>
        <v/>
      </c>
      <c r="F49">
        <f>E49-0.35*D49</f>
        <v/>
      </c>
    </row>
    <row r="51">
      <c r="A51">
        <f>== POTENTIAL OUTPUT CALCULATION ===</f>
        <v/>
      </c>
    </row>
    <row r="52">
      <c r="A52" t="inlineStr">
        <is>
          <t>Year</t>
        </is>
      </c>
      <c r="B52" t="inlineStr">
        <is>
          <t>LnA Trend (from HP)</t>
        </is>
      </c>
      <c r="C52" t="inlineStr">
        <is>
          <t>Ystar Base</t>
        </is>
      </c>
      <c r="D52" t="inlineStr">
        <is>
          <t>Ystar with Investment</t>
        </is>
      </c>
    </row>
    <row r="53">
      <c r="A53" t="n">
        <v>2024</v>
      </c>
      <c r="B53">
        <f>'Ystar_Analysis'!D9</f>
        <v/>
      </c>
    </row>
    <row r="54">
      <c r="A54" t="n">
        <v>2025</v>
      </c>
      <c r="B54">
        <f>'Ystar_Analysis'!D10</f>
        <v/>
      </c>
    </row>
    <row r="55">
      <c r="A55" t="n">
        <v>2026</v>
      </c>
      <c r="B55">
        <f>'Ystar_Analysis'!D11</f>
        <v/>
      </c>
    </row>
    <row r="56">
      <c r="A56" t="n">
        <v>2027</v>
      </c>
      <c r="B56">
        <f>'Ystar_Analysis'!D12</f>
        <v/>
      </c>
    </row>
    <row r="57">
      <c r="A57" t="n">
        <v>2028</v>
      </c>
      <c r="B57">
        <f>'Ystar_Analysis'!D13</f>
        <v/>
      </c>
    </row>
    <row r="58">
      <c r="A58" t="n">
        <v>2029</v>
      </c>
      <c r="B58">
        <f>'Ystar_Analysis'!D14</f>
        <v/>
      </c>
    </row>
    <row r="59">
      <c r="A59" t="n">
        <v>2030</v>
      </c>
      <c r="B59">
        <f>'Ystar_Analysis'!D15</f>
        <v/>
      </c>
    </row>
    <row r="60">
      <c r="A60" t="n">
        <v>2031</v>
      </c>
      <c r="B60">
        <f>'Ystar_Analysis'!D16</f>
        <v/>
      </c>
    </row>
    <row r="61">
      <c r="A61" t="n">
        <v>2032</v>
      </c>
      <c r="B61">
        <f>'Ystar_Analysis'!D17</f>
        <v/>
      </c>
    </row>
    <row r="62">
      <c r="A62" t="n">
        <v>2033</v>
      </c>
      <c r="B62">
        <f>'Ystar_Analysis'!D18</f>
        <v/>
      </c>
    </row>
    <row r="63">
      <c r="A63" t="n">
        <v>2034</v>
      </c>
      <c r="B63">
        <f>'Ystar_Analysis'!D19</f>
        <v/>
      </c>
    </row>
    <row r="64">
      <c r="A64" t="n">
        <v>2035</v>
      </c>
      <c r="B64">
        <f>'Ystar_Analysis'!D20</f>
        <v/>
      </c>
    </row>
    <row r="65">
      <c r="A65" t="n">
        <v>2036</v>
      </c>
      <c r="B65">
        <f>'Ystar_Analysis'!D21</f>
        <v/>
      </c>
    </row>
    <row r="66">
      <c r="A66" t="n">
        <v>2037</v>
      </c>
      <c r="B66">
        <f>'Ystar_Analysis'!D22</f>
        <v/>
      </c>
    </row>
    <row r="67">
      <c r="A67" t="n">
        <v>2038</v>
      </c>
      <c r="B67">
        <f>'Ystar_Analysis'!D23</f>
        <v/>
      </c>
    </row>
    <row r="68">
      <c r="A68" t="n">
        <v>2039</v>
      </c>
      <c r="B68">
        <f>'Ystar_Analysis'!D24</f>
        <v/>
      </c>
    </row>
    <row r="69">
      <c r="A69" t="n">
        <v>2040</v>
      </c>
      <c r="B69">
        <f>'Ystar_Analysis'!D25</f>
        <v/>
      </c>
    </row>
    <row r="70">
      <c r="A70" t="n">
        <v>2041</v>
      </c>
      <c r="B70">
        <f>'Ystar_Analysis'!D26</f>
        <v/>
      </c>
    </row>
    <row r="71">
      <c r="A71" t="n">
        <v>2042</v>
      </c>
      <c r="B71">
        <f>'Ystar_Analysis'!D27</f>
        <v/>
      </c>
    </row>
    <row r="72">
      <c r="A72" t="n">
        <v>2043</v>
      </c>
      <c r="B72">
        <f>'Ystar_Analysis'!D28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 Shock Scenario (2026-2033)</t>
        </is>
      </c>
    </row>
    <row r="2">
      <c r="A2" t="inlineStr">
        <is>
          <t>Annual Investment Amount:</t>
        </is>
      </c>
      <c r="B2" t="n">
        <v>6500</v>
      </c>
      <c r="C2" t="inlineStr">
        <is>
          <t>USD Millions</t>
        </is>
      </c>
    </row>
    <row r="3">
      <c r="A3" t="inlineStr">
        <is>
          <t>Total Investment Period:</t>
        </is>
      </c>
      <c r="B3">
        <f>B14-A14+1</f>
        <v/>
      </c>
      <c r="C3" t="inlineStr">
        <is>
          <t>years</t>
        </is>
      </c>
    </row>
    <row r="4">
      <c r="A4" t="inlineStr">
        <is>
          <t>Total Investment Value:</t>
        </is>
      </c>
      <c r="B4">
        <f>SUMIF(B6:B15,"&gt;0")</f>
        <v/>
      </c>
      <c r="C4" t="inlineStr">
        <is>
          <t>USD Millions</t>
        </is>
      </c>
    </row>
    <row r="6">
      <c r="A6" t="inlineStr">
        <is>
          <t>Year</t>
        </is>
      </c>
      <c r="B6" t="inlineStr">
        <is>
          <t>Annual Investment</t>
        </is>
      </c>
      <c r="C6" t="inlineStr">
        <is>
          <t>Cumulative Investment</t>
        </is>
      </c>
      <c r="D6" t="inlineStr">
        <is>
          <t>Depreciation Rate</t>
        </is>
      </c>
    </row>
    <row r="7">
      <c r="A7" t="n">
        <v>2026</v>
      </c>
      <c r="B7" t="n">
        <v>6500</v>
      </c>
      <c r="C7">
        <f>B7</f>
        <v/>
      </c>
      <c r="D7">
        <f>'Production'!$B$2</f>
        <v/>
      </c>
    </row>
    <row r="8">
      <c r="A8" t="n">
        <v>2027</v>
      </c>
      <c r="B8" t="n">
        <v>6500</v>
      </c>
      <c r="C8">
        <f>C7+B8</f>
        <v/>
      </c>
      <c r="D8">
        <f>'Production'!$B$2</f>
        <v/>
      </c>
    </row>
    <row r="9">
      <c r="A9" t="n">
        <v>2028</v>
      </c>
      <c r="B9" t="n">
        <v>6500</v>
      </c>
      <c r="C9">
        <f>C8+B9</f>
        <v/>
      </c>
      <c r="D9">
        <f>'Production'!$B$2</f>
        <v/>
      </c>
    </row>
    <row r="10">
      <c r="A10" t="n">
        <v>2029</v>
      </c>
      <c r="B10" t="n">
        <v>6500</v>
      </c>
      <c r="C10">
        <f>C9+B10</f>
        <v/>
      </c>
      <c r="D10">
        <f>'Production'!$B$2</f>
        <v/>
      </c>
    </row>
    <row r="11">
      <c r="A11" t="n">
        <v>2030</v>
      </c>
      <c r="B11" t="n">
        <v>6500</v>
      </c>
      <c r="C11">
        <f>C10+B11</f>
        <v/>
      </c>
      <c r="D11">
        <f>'Production'!$B$2</f>
        <v/>
      </c>
    </row>
    <row r="12">
      <c r="A12" t="n">
        <v>2031</v>
      </c>
      <c r="B12" t="n">
        <v>6500</v>
      </c>
      <c r="C12">
        <f>C11+B12</f>
        <v/>
      </c>
      <c r="D12">
        <f>'Production'!$B$2</f>
        <v/>
      </c>
    </row>
    <row r="13">
      <c r="A13" t="n">
        <v>2032</v>
      </c>
      <c r="B13" t="n">
        <v>6500</v>
      </c>
      <c r="C13">
        <f>C12+B13</f>
        <v/>
      </c>
      <c r="D13">
        <f>'Production'!$B$2</f>
        <v/>
      </c>
    </row>
    <row r="14">
      <c r="A14" t="n">
        <v>2033</v>
      </c>
      <c r="B14" t="n">
        <v>6500</v>
      </c>
      <c r="C14">
        <f>C13+B14</f>
        <v/>
      </c>
      <c r="D14">
        <f>'Production'!$B$2</f>
        <v/>
      </c>
    </row>
    <row r="15">
      <c r="A15" t="n">
        <v>2034</v>
      </c>
      <c r="B15" t="n">
        <v>0</v>
      </c>
      <c r="C15">
        <f>C14+B15</f>
        <v/>
      </c>
      <c r="D15">
        <f>'Production'!$B$2</f>
        <v/>
      </c>
    </row>
    <row r="16">
      <c r="A16" t="n">
        <v>2035</v>
      </c>
      <c r="B16" t="n">
        <v>0</v>
      </c>
      <c r="C16">
        <f>C15+B16</f>
        <v/>
      </c>
      <c r="D16">
        <f>'Production'!$B$2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 OUTPUT (Ystar) ANALYSIS</t>
        </is>
      </c>
    </row>
    <row r="2">
      <c r="A2" t="inlineStr">
        <is>
          <t>Using HP-Filtered TFP Trend from Production Sheet</t>
        </is>
      </c>
    </row>
    <row r="4">
      <c r="A4" t="inlineStr">
        <is>
          <t>Year</t>
        </is>
      </c>
      <c r="B4" t="inlineStr">
        <is>
          <t>K</t>
        </is>
      </c>
      <c r="C4" t="inlineStr">
        <is>
          <t>K (with Investment)</t>
        </is>
      </c>
      <c r="D4" t="inlineStr">
        <is>
          <t>LnA Trend</t>
        </is>
      </c>
      <c r="E4" t="inlineStr">
        <is>
          <t>Ystar (Base)</t>
        </is>
      </c>
      <c r="F4" t="inlineStr">
        <is>
          <t>Ystar (with Investment)</t>
        </is>
      </c>
      <c r="G4" t="inlineStr">
        <is>
          <t>Impact</t>
        </is>
      </c>
      <c r="H4" t="inlineStr">
        <is>
          <t>% Impact</t>
        </is>
      </c>
    </row>
    <row r="6">
      <c r="A6" t="inlineStr">
        <is>
          <t>Note: LnA_Trend to be filled from Production sheet HP Filter results</t>
        </is>
      </c>
    </row>
    <row r="7">
      <c r="A7" t="inlineStr">
        <is>
          <t>After running Solver on Production sheet, copy filtered values to column D</t>
        </is>
      </c>
    </row>
    <row r="9">
      <c r="A9" t="n">
        <v>2024</v>
      </c>
      <c r="B9">
        <f>'Production'!B28</f>
        <v/>
      </c>
      <c r="C9">
        <f>'Production'!B28</f>
        <v/>
      </c>
      <c r="D9">
        <f>0.05</f>
        <v/>
      </c>
      <c r="E9">
        <f>EXP(D9+0.35*LN(B9))*10000</f>
        <v/>
      </c>
      <c r="F9">
        <f>EXP(D9+0.35*LN(C9))*10000</f>
        <v/>
      </c>
      <c r="G9">
        <f>F9-E9</f>
        <v/>
      </c>
      <c r="H9">
        <f>IF(E9&lt;&gt;0,G9/E9,0)</f>
        <v/>
      </c>
    </row>
    <row r="10">
      <c r="A10" t="n">
        <v>2025</v>
      </c>
      <c r="B10">
        <f>'Production'!B29</f>
        <v/>
      </c>
      <c r="C10">
        <f>'Production'!B29</f>
        <v/>
      </c>
      <c r="D10">
        <f>0.05</f>
        <v/>
      </c>
      <c r="E10">
        <f>EXP(D10+0.35*LN(B10))*10000</f>
        <v/>
      </c>
      <c r="F10">
        <f>EXP(D10+0.35*LN(C10))*10000</f>
        <v/>
      </c>
      <c r="G10">
        <f>F10-E10</f>
        <v/>
      </c>
      <c r="H10">
        <f>IF(E10&lt;&gt;0,G10/E10,0)</f>
        <v/>
      </c>
    </row>
    <row r="11">
      <c r="A11" t="n">
        <v>2026</v>
      </c>
      <c r="B11">
        <f>'Production'!B30</f>
        <v/>
      </c>
      <c r="C11">
        <f>'Production'!B30</f>
        <v/>
      </c>
      <c r="D11">
        <f>0.05</f>
        <v/>
      </c>
      <c r="E11">
        <f>EXP(D11+0.35*LN(B11))*10000</f>
        <v/>
      </c>
      <c r="F11">
        <f>EXP(D11+0.35*LN(C11))*10000</f>
        <v/>
      </c>
      <c r="G11">
        <f>F11-E11</f>
        <v/>
      </c>
      <c r="H11">
        <f>IF(E11&lt;&gt;0,G11/E11,0)</f>
        <v/>
      </c>
    </row>
    <row r="12">
      <c r="A12" t="n">
        <v>2027</v>
      </c>
      <c r="B12">
        <f>'Production'!B31</f>
        <v/>
      </c>
      <c r="C12">
        <f>'Production'!B31</f>
        <v/>
      </c>
      <c r="D12">
        <f>0.05</f>
        <v/>
      </c>
      <c r="E12">
        <f>EXP(D12+0.35*LN(B12))*10000</f>
        <v/>
      </c>
      <c r="F12">
        <f>EXP(D12+0.35*LN(C12))*10000</f>
        <v/>
      </c>
      <c r="G12">
        <f>F12-E12</f>
        <v/>
      </c>
      <c r="H12">
        <f>IF(E12&lt;&gt;0,G12/E12,0)</f>
        <v/>
      </c>
    </row>
    <row r="13">
      <c r="A13" t="n">
        <v>2028</v>
      </c>
      <c r="B13">
        <f>'Production'!B32</f>
        <v/>
      </c>
      <c r="C13">
        <f>'Production'!B32</f>
        <v/>
      </c>
      <c r="D13">
        <f>0.05</f>
        <v/>
      </c>
      <c r="E13">
        <f>EXP(D13+0.35*LN(B13))*10000</f>
        <v/>
      </c>
      <c r="F13">
        <f>EXP(D13+0.35*LN(C13))*10000</f>
        <v/>
      </c>
      <c r="G13">
        <f>F13-E13</f>
        <v/>
      </c>
      <c r="H13">
        <f>IF(E13&lt;&gt;0,G13/E13,0)</f>
        <v/>
      </c>
    </row>
    <row r="14">
      <c r="A14" t="n">
        <v>2029</v>
      </c>
      <c r="B14">
        <f>'Production'!B33</f>
        <v/>
      </c>
      <c r="C14">
        <f>'Production'!B33</f>
        <v/>
      </c>
      <c r="D14">
        <f>0.05</f>
        <v/>
      </c>
      <c r="E14">
        <f>EXP(D14+0.35*LN(B14))*10000</f>
        <v/>
      </c>
      <c r="F14">
        <f>EXP(D14+0.35*LN(C14))*10000</f>
        <v/>
      </c>
      <c r="G14">
        <f>F14-E14</f>
        <v/>
      </c>
      <c r="H14">
        <f>IF(E14&lt;&gt;0,G14/E14,0)</f>
        <v/>
      </c>
    </row>
    <row r="15">
      <c r="A15" t="n">
        <v>2030</v>
      </c>
      <c r="B15">
        <f>'Production'!B34</f>
        <v/>
      </c>
      <c r="C15">
        <f>'Production'!B34</f>
        <v/>
      </c>
      <c r="D15">
        <f>0.05</f>
        <v/>
      </c>
      <c r="E15">
        <f>EXP(D15+0.35*LN(B15))*10000</f>
        <v/>
      </c>
      <c r="F15">
        <f>EXP(D15+0.35*LN(C15))*10000</f>
        <v/>
      </c>
      <c r="G15">
        <f>F15-E15</f>
        <v/>
      </c>
      <c r="H15">
        <f>IF(E15&lt;&gt;0,G15/E15,0)</f>
        <v/>
      </c>
    </row>
    <row r="16">
      <c r="A16" t="n">
        <v>2031</v>
      </c>
      <c r="B16">
        <f>'Production'!B35</f>
        <v/>
      </c>
      <c r="C16">
        <f>'Production'!B35</f>
        <v/>
      </c>
      <c r="D16">
        <f>0.05</f>
        <v/>
      </c>
      <c r="E16">
        <f>EXP(D16+0.35*LN(B16))*10000</f>
        <v/>
      </c>
      <c r="F16">
        <f>EXP(D16+0.35*LN(C16))*10000</f>
        <v/>
      </c>
      <c r="G16">
        <f>F16-E16</f>
        <v/>
      </c>
      <c r="H16">
        <f>IF(E16&lt;&gt;0,G16/E16,0)</f>
        <v/>
      </c>
    </row>
    <row r="17">
      <c r="A17" t="n">
        <v>2032</v>
      </c>
      <c r="B17">
        <f>'Production'!B36</f>
        <v/>
      </c>
      <c r="C17">
        <f>'Production'!B36</f>
        <v/>
      </c>
      <c r="D17">
        <f>0.05</f>
        <v/>
      </c>
      <c r="E17">
        <f>EXP(D17+0.35*LN(B17))*10000</f>
        <v/>
      </c>
      <c r="F17">
        <f>EXP(D17+0.35*LN(C17))*10000</f>
        <v/>
      </c>
      <c r="G17">
        <f>F17-E17</f>
        <v/>
      </c>
      <c r="H17">
        <f>IF(E17&lt;&gt;0,G17/E17,0)</f>
        <v/>
      </c>
    </row>
    <row r="18">
      <c r="A18" t="n">
        <v>2033</v>
      </c>
      <c r="B18">
        <f>'Production'!B37</f>
        <v/>
      </c>
      <c r="C18">
        <f>'Production'!B37</f>
        <v/>
      </c>
      <c r="D18">
        <f>0.05</f>
        <v/>
      </c>
      <c r="E18">
        <f>EXP(D18+0.35*LN(B18))*10000</f>
        <v/>
      </c>
      <c r="F18">
        <f>EXP(D18+0.35*LN(C18))*10000</f>
        <v/>
      </c>
      <c r="G18">
        <f>F18-E18</f>
        <v/>
      </c>
      <c r="H18">
        <f>IF(E18&lt;&gt;0,G18/E18,0)</f>
        <v/>
      </c>
    </row>
    <row r="19">
      <c r="A19" t="n">
        <v>2034</v>
      </c>
      <c r="B19">
        <f>'Production'!B38</f>
        <v/>
      </c>
      <c r="C19">
        <f>'Production'!B38</f>
        <v/>
      </c>
      <c r="D19">
        <f>0.05</f>
        <v/>
      </c>
      <c r="E19">
        <f>EXP(D19+0.35*LN(B19))*10000</f>
        <v/>
      </c>
      <c r="F19">
        <f>EXP(D19+0.35*LN(C19))*10000</f>
        <v/>
      </c>
      <c r="G19">
        <f>F19-E19</f>
        <v/>
      </c>
      <c r="H19">
        <f>IF(E19&lt;&gt;0,G19/E19,0)</f>
        <v/>
      </c>
    </row>
    <row r="20">
      <c r="A20" t="n">
        <v>2035</v>
      </c>
      <c r="B20">
        <f>'Production'!B39</f>
        <v/>
      </c>
      <c r="C20">
        <f>'Production'!B39</f>
        <v/>
      </c>
      <c r="D20">
        <f>0.05</f>
        <v/>
      </c>
      <c r="E20">
        <f>EXP(D20+0.35*LN(B20))*10000</f>
        <v/>
      </c>
      <c r="F20">
        <f>EXP(D20+0.35*LN(C20))*10000</f>
        <v/>
      </c>
      <c r="G20">
        <f>F20-E20</f>
        <v/>
      </c>
      <c r="H20">
        <f>IF(E20&lt;&gt;0,G20/E20,0)</f>
        <v/>
      </c>
    </row>
    <row r="21">
      <c r="A21" t="n">
        <v>2036</v>
      </c>
      <c r="B21">
        <f>'Production'!B40</f>
        <v/>
      </c>
      <c r="C21">
        <f>'Production'!B40</f>
        <v/>
      </c>
      <c r="D21">
        <f>0.05</f>
        <v/>
      </c>
      <c r="E21">
        <f>EXP(D21+0.35*LN(B21))*10000</f>
        <v/>
      </c>
      <c r="F21">
        <f>EXP(D21+0.35*LN(C21))*10000</f>
        <v/>
      </c>
      <c r="G21">
        <f>F21-E21</f>
        <v/>
      </c>
      <c r="H21">
        <f>IF(E21&lt;&gt;0,G21/E21,0)</f>
        <v/>
      </c>
    </row>
    <row r="22">
      <c r="A22" t="n">
        <v>2037</v>
      </c>
      <c r="B22">
        <f>'Production'!B41</f>
        <v/>
      </c>
      <c r="C22">
        <f>'Production'!B41</f>
        <v/>
      </c>
      <c r="D22">
        <f>0.05</f>
        <v/>
      </c>
      <c r="E22">
        <f>EXP(D22+0.35*LN(B22))*10000</f>
        <v/>
      </c>
      <c r="F22">
        <f>EXP(D22+0.35*LN(C22))*10000</f>
        <v/>
      </c>
      <c r="G22">
        <f>F22-E22</f>
        <v/>
      </c>
      <c r="H22">
        <f>IF(E22&lt;&gt;0,G22/E22,0)</f>
        <v/>
      </c>
    </row>
    <row r="23">
      <c r="A23" t="n">
        <v>2038</v>
      </c>
      <c r="B23">
        <f>'Production'!B42</f>
        <v/>
      </c>
      <c r="C23">
        <f>'Production'!B42</f>
        <v/>
      </c>
      <c r="D23">
        <f>0.05</f>
        <v/>
      </c>
      <c r="E23">
        <f>EXP(D23+0.35*LN(B23))*10000</f>
        <v/>
      </c>
      <c r="F23">
        <f>EXP(D23+0.35*LN(C23))*10000</f>
        <v/>
      </c>
      <c r="G23">
        <f>F23-E23</f>
        <v/>
      </c>
      <c r="H23">
        <f>IF(E23&lt;&gt;0,G23/E23,0)</f>
        <v/>
      </c>
    </row>
    <row r="24">
      <c r="A24" t="n">
        <v>2039</v>
      </c>
      <c r="B24">
        <f>'Production'!B43</f>
        <v/>
      </c>
      <c r="C24">
        <f>'Production'!B43</f>
        <v/>
      </c>
      <c r="D24">
        <f>0.05</f>
        <v/>
      </c>
      <c r="E24">
        <f>EXP(D24+0.35*LN(B24))*10000</f>
        <v/>
      </c>
      <c r="F24">
        <f>EXP(D24+0.35*LN(C24))*10000</f>
        <v/>
      </c>
      <c r="G24">
        <f>F24-E24</f>
        <v/>
      </c>
      <c r="H24">
        <f>IF(E24&lt;&gt;0,G24/E24,0)</f>
        <v/>
      </c>
    </row>
    <row r="25">
      <c r="A25" t="n">
        <v>2040</v>
      </c>
      <c r="B25">
        <f>'Production'!B44</f>
        <v/>
      </c>
      <c r="C25">
        <f>'Production'!B44</f>
        <v/>
      </c>
      <c r="D25">
        <f>0.05</f>
        <v/>
      </c>
      <c r="E25">
        <f>EXP(D25+0.35*LN(B25))*10000</f>
        <v/>
      </c>
      <c r="F25">
        <f>EXP(D25+0.35*LN(C25))*10000</f>
        <v/>
      </c>
      <c r="G25">
        <f>F25-E25</f>
        <v/>
      </c>
      <c r="H25">
        <f>IF(E25&lt;&gt;0,G25/E25,0)</f>
        <v/>
      </c>
    </row>
    <row r="26">
      <c r="A26" t="n">
        <v>2041</v>
      </c>
      <c r="B26">
        <f>'Production'!B45</f>
        <v/>
      </c>
      <c r="C26">
        <f>'Production'!B45</f>
        <v/>
      </c>
      <c r="D26">
        <f>0.05</f>
        <v/>
      </c>
      <c r="E26">
        <f>EXP(D26+0.35*LN(B26))*10000</f>
        <v/>
      </c>
      <c r="F26">
        <f>EXP(D26+0.35*LN(C26))*10000</f>
        <v/>
      </c>
      <c r="G26">
        <f>F26-E26</f>
        <v/>
      </c>
      <c r="H26">
        <f>IF(E26&lt;&gt;0,G26/E26,0)</f>
        <v/>
      </c>
    </row>
    <row r="27">
      <c r="A27" t="n">
        <v>2042</v>
      </c>
      <c r="B27">
        <f>'Production'!B46</f>
        <v/>
      </c>
      <c r="C27">
        <f>'Production'!B46</f>
        <v/>
      </c>
      <c r="D27">
        <f>0.05</f>
        <v/>
      </c>
      <c r="E27">
        <f>EXP(D27+0.35*LN(B27))*10000</f>
        <v/>
      </c>
      <c r="F27">
        <f>EXP(D27+0.35*LN(C27))*10000</f>
        <v/>
      </c>
      <c r="G27">
        <f>F27-E27</f>
        <v/>
      </c>
      <c r="H27">
        <f>IF(E27&lt;&gt;0,G27/E27,0)</f>
        <v/>
      </c>
    </row>
    <row r="28">
      <c r="A28" t="n">
        <v>2043</v>
      </c>
      <c r="B28">
        <f>'Production'!B47</f>
        <v/>
      </c>
      <c r="C28">
        <f>'Production'!B47</f>
        <v/>
      </c>
      <c r="D28">
        <f>0.05</f>
        <v/>
      </c>
      <c r="E28">
        <f>EXP(D28+0.35*LN(B28))*10000</f>
        <v/>
      </c>
      <c r="F28">
        <f>EXP(D28+0.35*LN(C28))*10000</f>
        <v/>
      </c>
      <c r="G28">
        <f>F28-E28</f>
        <v/>
      </c>
      <c r="H28">
        <f>IF(E28&lt;&gt;0,G28/E28,0)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GEORGIA INVESTMENT SHOCK ANALYSIS - SUMMARY</t>
        </is>
      </c>
    </row>
    <row r="3">
      <c r="A3" t="inlineStr">
        <is>
          <t>Investment Scenario:</t>
        </is>
      </c>
      <c r="B3" t="inlineStr">
        <is>
          <t>USD 6.5 billion annually for 8 years (2026-2033)</t>
        </is>
      </c>
    </row>
    <row r="4">
      <c r="A4" t="inlineStr">
        <is>
          <t>Model Type:</t>
        </is>
      </c>
      <c r="B4" t="inlineStr">
        <is>
          <t>Cobb-Douglas Production Function with HP-Filtered TFP</t>
        </is>
      </c>
    </row>
    <row r="5">
      <c r="A5" t="inlineStr">
        <is>
          <t>Data Period:</t>
        </is>
      </c>
      <c r="B5" t="inlineStr">
        <is>
          <t>2002-2023 (actual), 2024-2043 (projections)</t>
        </is>
      </c>
    </row>
    <row r="7">
      <c r="A7">
        <f>== BASELINE SCENARIO (Without Investment) ===</f>
        <v/>
      </c>
    </row>
    <row r="8">
      <c r="A8" t="inlineStr">
        <is>
          <t>Year</t>
        </is>
      </c>
      <c r="B8" t="inlineStr">
        <is>
          <t>Real GDP (Millions USD)</t>
        </is>
      </c>
      <c r="C8" t="inlineStr">
        <is>
          <t>Capital Stock</t>
        </is>
      </c>
      <c r="D8" t="inlineStr">
        <is>
          <t>Growth Rate</t>
        </is>
      </c>
    </row>
    <row r="9">
      <c r="A9" t="n">
        <v>2025</v>
      </c>
      <c r="B9">
        <f>'WEO_Data'!B28</f>
        <v/>
      </c>
      <c r="D9">
        <f>'WEO_Data'!C28</f>
        <v/>
      </c>
    </row>
    <row r="10">
      <c r="A10" t="n">
        <v>2026</v>
      </c>
      <c r="B10">
        <f>'WEO_Data'!B29</f>
        <v/>
      </c>
      <c r="D10">
        <f>(B10-B9)/B9*100</f>
        <v/>
      </c>
    </row>
    <row r="11">
      <c r="A11" t="n">
        <v>2027</v>
      </c>
      <c r="B11">
        <f>'WEO_Data'!B30</f>
        <v/>
      </c>
      <c r="D11">
        <f>(B11-B10)/B10*100</f>
        <v/>
      </c>
    </row>
    <row r="12">
      <c r="A12" t="n">
        <v>2030</v>
      </c>
      <c r="B12">
        <f>'WEO_Data'!B33</f>
        <v/>
      </c>
      <c r="D12">
        <f>(B12-B11)/B11*100</f>
        <v/>
      </c>
    </row>
    <row r="13">
      <c r="A13" t="n">
        <v>2033</v>
      </c>
      <c r="B13">
        <f>'WEO_Data'!B36</f>
        <v/>
      </c>
      <c r="D13">
        <f>(B13-B12)/B12*100</f>
        <v/>
      </c>
    </row>
    <row r="14">
      <c r="A14" t="n">
        <v>2035</v>
      </c>
      <c r="B14">
        <f>'WEO_Data'!B38</f>
        <v/>
      </c>
      <c r="D14">
        <f>(B14-B13)/B13*100</f>
        <v/>
      </c>
    </row>
    <row r="15">
      <c r="A15" t="n">
        <v>2040</v>
      </c>
      <c r="B15">
        <f>'WEO_Data'!B43</f>
        <v/>
      </c>
      <c r="D15">
        <f>(B15-B14)/B14*100</f>
        <v/>
      </c>
    </row>
    <row r="16">
      <c r="A16" t="n">
        <v>2043</v>
      </c>
      <c r="B16">
        <f>'WEO_Data'!B46</f>
        <v/>
      </c>
      <c r="D16">
        <f>(B16-B15)/B15*100</f>
        <v/>
      </c>
    </row>
    <row r="18">
      <c r="A18">
        <f>== WITH INVESTMENT SHOCK (2026-2033) ===</f>
        <v/>
      </c>
    </row>
    <row r="19">
      <c r="A19" t="inlineStr">
        <is>
          <t>Year</t>
        </is>
      </c>
      <c r="B19" t="inlineStr">
        <is>
          <t>Real GDP with Shock</t>
        </is>
      </c>
      <c r="C19" t="inlineStr">
        <is>
          <t>Difference from Baseline</t>
        </is>
      </c>
      <c r="D19" t="inlineStr">
        <is>
          <t>% Difference</t>
        </is>
      </c>
    </row>
    <row r="20">
      <c r="A20" t="n">
        <v>2024</v>
      </c>
      <c r="B20">
        <f>'WEO_Data'!B27</f>
        <v/>
      </c>
      <c r="C20">
        <f>0</f>
        <v/>
      </c>
      <c r="D20">
        <f>0%</f>
        <v/>
      </c>
    </row>
    <row r="21">
      <c r="A21" t="n">
        <v>2025</v>
      </c>
      <c r="B21">
        <f>'WEO_Data'!B28</f>
        <v/>
      </c>
      <c r="C21">
        <f>0</f>
        <v/>
      </c>
      <c r="D21">
        <f>0%</f>
        <v/>
      </c>
    </row>
    <row r="22">
      <c r="A22" t="n">
        <v>2026</v>
      </c>
      <c r="B22">
        <f>'Production'!C32</f>
        <v/>
      </c>
      <c r="C22">
        <f>B22-'WEO_Data'!B29</f>
        <v/>
      </c>
      <c r="D22">
        <f>IF('WEO_Data'!B29&lt;&gt;0,C22/'WEO_Data'!B29,0)</f>
        <v/>
      </c>
    </row>
    <row r="23">
      <c r="A23" t="n">
        <v>2027</v>
      </c>
      <c r="B23">
        <f>'Production'!C33</f>
        <v/>
      </c>
      <c r="C23">
        <f>B23-'WEO_Data'!B30</f>
        <v/>
      </c>
      <c r="D23">
        <f>IF('WEO_Data'!B30&lt;&gt;0,C23/'WEO_Data'!B30,0)</f>
        <v/>
      </c>
    </row>
    <row r="24">
      <c r="A24" t="n">
        <v>2028</v>
      </c>
      <c r="B24">
        <f>'Production'!C34</f>
        <v/>
      </c>
      <c r="C24">
        <f>B24-'WEO_Data'!B31</f>
        <v/>
      </c>
      <c r="D24">
        <f>IF('WEO_Data'!B31&lt;&gt;0,C24/'WEO_Data'!B31,0)</f>
        <v/>
      </c>
    </row>
    <row r="25">
      <c r="A25" t="n">
        <v>2029</v>
      </c>
      <c r="B25">
        <f>'Production'!C35</f>
        <v/>
      </c>
      <c r="C25">
        <f>B25-'WEO_Data'!B32</f>
        <v/>
      </c>
      <c r="D25">
        <f>IF('WEO_Data'!B32&lt;&gt;0,C25/'WEO_Data'!B32,0)</f>
        <v/>
      </c>
    </row>
    <row r="26">
      <c r="A26" t="n">
        <v>2030</v>
      </c>
      <c r="B26">
        <f>'Production'!C36</f>
        <v/>
      </c>
      <c r="C26">
        <f>B26-'WEO_Data'!B33</f>
        <v/>
      </c>
      <c r="D26">
        <f>IF('WEO_Data'!B33&lt;&gt;0,C26/'WEO_Data'!B33,0)</f>
        <v/>
      </c>
    </row>
    <row r="27">
      <c r="A27" t="n">
        <v>2031</v>
      </c>
      <c r="B27">
        <f>'Production'!C37</f>
        <v/>
      </c>
      <c r="C27">
        <f>B27-'WEO_Data'!B34</f>
        <v/>
      </c>
      <c r="D27">
        <f>IF('WEO_Data'!B34&lt;&gt;0,C27/'WEO_Data'!B34,0)</f>
        <v/>
      </c>
    </row>
    <row r="28">
      <c r="A28" t="n">
        <v>2032</v>
      </c>
      <c r="B28">
        <f>'Production'!C38</f>
        <v/>
      </c>
      <c r="C28">
        <f>B28-'WEO_Data'!B35</f>
        <v/>
      </c>
      <c r="D28">
        <f>IF('WEO_Data'!B35&lt;&gt;0,C28/'WEO_Data'!B35,0)</f>
        <v/>
      </c>
    </row>
    <row r="29">
      <c r="A29" t="n">
        <v>2033</v>
      </c>
      <c r="B29">
        <f>'Production'!C39</f>
        <v/>
      </c>
      <c r="C29">
        <f>B29-'WEO_Data'!B36</f>
        <v/>
      </c>
      <c r="D29">
        <f>IF('WEO_Data'!B36&lt;&gt;0,C29/'WEO_Data'!B36,0)</f>
        <v/>
      </c>
    </row>
    <row r="30">
      <c r="A30" t="n">
        <v>2034</v>
      </c>
      <c r="B30">
        <f>'Production'!C40</f>
        <v/>
      </c>
      <c r="C30">
        <f>B30-'WEO_Data'!B37</f>
        <v/>
      </c>
      <c r="D30">
        <f>IF('WEO_Data'!B37&lt;&gt;0,C30/'WEO_Data'!B37,0)</f>
        <v/>
      </c>
    </row>
    <row r="31">
      <c r="A31" t="n">
        <v>2035</v>
      </c>
      <c r="B31">
        <f>'Production'!C41</f>
        <v/>
      </c>
      <c r="C31">
        <f>B31-'WEO_Data'!B38</f>
        <v/>
      </c>
      <c r="D31">
        <f>IF('WEO_Data'!B38&lt;&gt;0,C31/'WEO_Data'!B38,0)</f>
        <v/>
      </c>
    </row>
    <row r="32">
      <c r="A32" t="n">
        <v>2036</v>
      </c>
      <c r="B32">
        <f>'Production'!C42</f>
        <v/>
      </c>
      <c r="C32">
        <f>B32-'WEO_Data'!B39</f>
        <v/>
      </c>
      <c r="D32">
        <f>IF('WEO_Data'!B39&lt;&gt;0,C32/'WEO_Data'!B39,0)</f>
        <v/>
      </c>
    </row>
    <row r="33">
      <c r="A33" t="n">
        <v>2037</v>
      </c>
      <c r="B33">
        <f>'Production'!C43</f>
        <v/>
      </c>
      <c r="C33">
        <f>B33-'WEO_Data'!B40</f>
        <v/>
      </c>
      <c r="D33">
        <f>IF('WEO_Data'!B40&lt;&gt;0,C33/'WEO_Data'!B40,0)</f>
        <v/>
      </c>
    </row>
    <row r="34">
      <c r="A34" t="n">
        <v>2038</v>
      </c>
      <c r="B34">
        <f>'Production'!C44</f>
        <v/>
      </c>
      <c r="C34">
        <f>B34-'WEO_Data'!B41</f>
        <v/>
      </c>
      <c r="D34">
        <f>IF('WEO_Data'!B41&lt;&gt;0,C34/'WEO_Data'!B41,0)</f>
        <v/>
      </c>
    </row>
    <row r="35">
      <c r="A35" t="n">
        <v>2039</v>
      </c>
      <c r="B35">
        <f>'Production'!C45</f>
        <v/>
      </c>
      <c r="C35">
        <f>B35-'WEO_Data'!B42</f>
        <v/>
      </c>
      <c r="D35">
        <f>IF('WEO_Data'!B42&lt;&gt;0,C35/'WEO_Data'!B42,0)</f>
        <v/>
      </c>
    </row>
    <row r="36">
      <c r="A36" t="n">
        <v>2040</v>
      </c>
      <c r="B36">
        <f>'Production'!C46</f>
        <v/>
      </c>
      <c r="C36">
        <f>B36-'WEO_Data'!B43</f>
        <v/>
      </c>
      <c r="D36">
        <f>IF('WEO_Data'!B43&lt;&gt;0,C36/'WEO_Data'!B43,0)</f>
        <v/>
      </c>
    </row>
    <row r="37">
      <c r="A37" t="n">
        <v>2041</v>
      </c>
      <c r="B37">
        <f>'Production'!C47</f>
        <v/>
      </c>
      <c r="C37">
        <f>B37-'WEO_Data'!B44</f>
        <v/>
      </c>
      <c r="D37">
        <f>IF('WEO_Data'!B44&lt;&gt;0,C37/'WEO_Data'!B44,0)</f>
        <v/>
      </c>
    </row>
    <row r="38">
      <c r="A38" t="n">
        <v>2042</v>
      </c>
      <c r="B38">
        <f>'Production'!C48</f>
        <v/>
      </c>
      <c r="C38">
        <f>B38-'WEO_Data'!B45</f>
        <v/>
      </c>
      <c r="D38">
        <f>IF('WEO_Data'!B45&lt;&gt;0,C38/'WEO_Data'!B45,0)</f>
        <v/>
      </c>
    </row>
    <row r="39">
      <c r="A39" t="n">
        <v>2043</v>
      </c>
      <c r="B39">
        <f>'Production'!C49</f>
        <v/>
      </c>
      <c r="C39">
        <f>B39-'WEO_Data'!B46</f>
        <v/>
      </c>
      <c r="D39">
        <f>IF('WEO_Data'!B46&lt;&gt;0,C39/'WEO_Data'!B46,0)</f>
        <v/>
      </c>
    </row>
    <row r="45">
      <c r="A45">
        <f>== CUMULATIVE IMPACT ===</f>
        <v/>
      </c>
    </row>
    <row r="46">
      <c r="A46" t="inlineStr">
        <is>
          <t>Total Additional GDP (2026-2033)</t>
        </is>
      </c>
      <c r="B46">
        <f>SUM(C26:C33)</f>
        <v/>
      </c>
      <c r="C46" t="inlineStr">
        <is>
          <t>Million USD</t>
        </is>
      </c>
    </row>
    <row r="47">
      <c r="A47" t="inlineStr">
        <is>
          <t>Total Investment</t>
        </is>
      </c>
      <c r="B47">
        <f>52000</f>
        <v/>
      </c>
      <c r="C47" t="inlineStr">
        <is>
          <t>Million USD</t>
        </is>
      </c>
    </row>
    <row r="48">
      <c r="A48" t="inlineStr">
        <is>
          <t>Impact per Dollar Invested (Multiplier)</t>
        </is>
      </c>
      <c r="B48">
        <f>B46/B47</f>
        <v/>
      </c>
      <c r="C48" t="inlineStr">
        <is>
          <t>Times</t>
        </is>
      </c>
    </row>
    <row r="50">
      <c r="A50" t="inlineStr">
        <is>
          <t>Note: These are preliminary results. Full analysis including:</t>
        </is>
      </c>
    </row>
    <row r="51">
      <c r="A51" t="inlineStr">
        <is>
          <t>1. HP Filter optimization (requires Solver in Excel)</t>
        </is>
      </c>
    </row>
    <row r="52">
      <c r="A52" t="inlineStr">
        <is>
          <t>2. TFP adjustment based on filtered trend</t>
        </is>
      </c>
    </row>
    <row r="53">
      <c r="A53" t="inlineStr">
        <is>
          <t>3. Capital accumulation with depreciation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2026-01-29T02:56:50Z</dcterms:created>
  <dcterms:modified xsi:type="dcterms:W3CDTF">2026-01-29T02:59:52Z</dcterms:modified>
</cp:coreProperties>
</file>