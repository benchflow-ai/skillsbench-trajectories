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<sst xmlns="http://schemas.openxmlformats.org/spreadsheetml/2006/main" count="362" uniqueCount="110">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</sst>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((H12-H19)/H26)*100</f>
        <v>19.7424607525274</v>
      </c>
      <c r="I35" s="9" t="n">
        <f aca="false">((I12-I19)/I26)*100</f>
        <v>21.9176587919964</v>
      </c>
      <c r="J35" s="9" t="n">
        <f aca="false">((J12-J19)/J26)*100</f>
        <v>25.2239064393758</v>
      </c>
      <c r="K35" s="9" t="n">
        <f aca="false">((K12-K19)/K26)*100</f>
        <v>24.7753673901704</v>
      </c>
      <c r="L35" s="10" t="n">
        <f aca="false">((L12-L19)/L26)*100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((H13-H20)/H27)*100</f>
        <v>11.2709528534136</v>
      </c>
      <c r="I36" s="14" t="n">
        <f aca="false">((I13-I20)/I27)*100</f>
        <v>5.63921470420823</v>
      </c>
      <c r="J36" s="14" t="n">
        <f aca="false">((J13-J20)/J27)*100</f>
        <v>19.4895261820067</v>
      </c>
      <c r="K36" s="14" t="n">
        <f aca="false">((K13-K20)/K27)*100</f>
        <v>25.9400100191036</v>
      </c>
      <c r="L36" s="15" t="n">
        <f aca="false">((L13-L20)/L27)*100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((H14-H21)/H28)*100</f>
        <v>12.6265444778756</v>
      </c>
      <c r="I37" s="14" t="n">
        <f aca="false">((I14-I21)/I28)*100</f>
        <v>5.59470295225364</v>
      </c>
      <c r="J37" s="14" t="n">
        <f aca="false">((J14-J21)/J28)*100</f>
        <v>22.4453480677453</v>
      </c>
      <c r="K37" s="14" t="n">
        <f aca="false">((K14-K21)/K28)*100</f>
        <v>30.0953462867105</v>
      </c>
      <c r="L37" s="15" t="n">
        <f aca="false">((L14-L21)/L28)*100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((H15-H22)/H29)*100</f>
        <v>14.3313443042958</v>
      </c>
      <c r="I38" s="14" t="n">
        <f aca="false">((I15-I22)/I29)*100</f>
        <v>8.21866163696878</v>
      </c>
      <c r="J38" s="14" t="n">
        <f aca="false">((J15-J22)/J29)*100</f>
        <v>24.672857197447</v>
      </c>
      <c r="K38" s="14" t="n">
        <f aca="false">((K15-K22)/K29)*100</f>
        <v>36.8972534244982</v>
      </c>
      <c r="L38" s="15" t="n">
        <f aca="false">((L15-L22)/L29)*100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((H16-H23)/H30)*100</f>
        <v>12.4664500915381</v>
      </c>
      <c r="I39" s="14" t="n">
        <f aca="false">((I16-I23)/I30)*100</f>
        <v>2.45592038031992</v>
      </c>
      <c r="J39" s="14" t="n">
        <f aca="false">((J16-J23)/J30)*100</f>
        <v>10.6093320614956</v>
      </c>
      <c r="K39" s="14" t="n">
        <f aca="false">((K16-K23)/K30)*100</f>
        <v>20.3853950388508</v>
      </c>
      <c r="L39" s="15" t="n">
        <f aca="false">((L16-L23)/L30)*100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((H17-H24)/H31)*100</f>
        <v>7.97616178011037</v>
      </c>
      <c r="I40" s="17" t="n">
        <f aca="false">((I17-I24)/I31)*100</f>
        <v>0.0904842788332159</v>
      </c>
      <c r="J40" s="17" t="n">
        <f aca="false">((J17-J24)/J31)*100</f>
        <v>8.34931064935778</v>
      </c>
      <c r="K40" s="17" t="n">
        <f aca="false">((K17-K24)/K31)*100</f>
        <v>16.9288417892568</v>
      </c>
      <c r="L40" s="18" t="n">
        <f aca="false">((L17-L24)/L31)*100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19.7424607525274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12.5464972847069</v>
      </c>
      <c r="I44" s="14" t="n">
        <f aca="false">MEDIAN(I35:I40)</f>
        <v>5.61695882823094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13.0689857099601</v>
      </c>
      <c r="I45" s="14" t="n">
        <f aca="false">AVERAGE(I35:I40)</f>
        <v>7.31944045743003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QUARTILE(H35:H40,1)</f>
        <v>11.5698271629447</v>
      </c>
      <c r="I46" s="14" t="n">
        <f aca="false">QUARTILE(I35:I40,1)</f>
        <v>3.24061602330335</v>
      </c>
      <c r="J46" s="14" t="n">
        <f aca="false">QUARTILE(J35:J40,1)</f>
        <v>12.8293805916233</v>
      </c>
      <c r="K46" s="14" t="n">
        <f aca="false">QUARTILE(K35:K40,1)</f>
        <v>21.4828881266807</v>
      </c>
      <c r="L46" s="15" t="n">
        <f aca="false">QUARTILE(L35:L40,1)</f>
        <v>15.4102879558973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QUARTILE(H35:H40,3)</f>
        <v>13.9051443476907</v>
      </c>
      <c r="I47" s="17" t="n">
        <f aca="false">QUARTILE(I35:I40,3)</f>
        <v>7.57379990377865</v>
      </c>
      <c r="J47" s="17" t="n">
        <f aca="false">QUARTILE(J35:J40,3)</f>
        <v>24.1159799150216</v>
      </c>
      <c r="K47" s="17" t="n">
        <f aca="false">QUARTILE(K35:K40,3)</f>
        <v>29.0565122198088</v>
      </c>
      <c r="L47" s="18" t="n">
        <f aca="false">QUARTILE(L35:L40,3)</f>
        <v>22.5914291409032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12.2196268771574</v>
      </c>
      <c r="I50" s="23" t="n">
        <f aca="false">SUMPRODUCT(I35:I40,I26:I31)/SUM(I26:I31)</f>
        <v>6.84283751316843</v>
      </c>
      <c r="J50" s="23" t="n">
        <f aca="false">SUMPRODUCT(J35:J40,J26:J31)/SUM(J26:J31)</f>
        <v>15.5834645913624</v>
      </c>
      <c r="K50" s="23" t="n">
        <f aca="false">SUMPRODUCT(K35:K40,K26:K31)/SUM(K26:K31)</f>
        <v>22.3533046476382</v>
      </c>
      <c r="L50" s="24" t="n">
        <f aca="false">SUMPRODUCT(L35:L40,L26:L31)/SUM(L26:L31)</f>
        <v>14.8600400883007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2026-01-29T03:28:27Z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