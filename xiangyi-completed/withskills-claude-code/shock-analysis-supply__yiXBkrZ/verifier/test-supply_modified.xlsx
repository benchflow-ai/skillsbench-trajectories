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PWT" sheetId="3" state="visible" r:id="rId5"/>
    <sheet name="WEO_Data" sheetId="4" state="visible" r:id="rId6"/>
    <sheet name="CFC_data" sheetId="5" state="visible" r:id="rId7"/>
    <sheet name="Production" sheetId="6" state="visible" r:id="rId8"/>
    <sheet name="Investment" sheetId="7" state="visible" r:id="rId9"/>
    <sheet name="Resul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<sst xmlns="http://schemas.openxmlformats.org/spreadsheetml/2006/main" count="143" uniqueCount="131">
  <si>
    <t xml:space="preserve">GEORGIA INVESTMENT SHOCK ANALYSIS</t>
  </si>
  <si>
    <t xml:space="preserve">Key Parameters</t>
  </si>
  <si>
    <t xml:space="preserve">Investment Amount</t>
  </si>
  <si>
    <t xml:space="preserve">Million USD</t>
  </si>
  <si>
    <t xml:space="preserve">Investment Period</t>
  </si>
  <si>
    <t xml:space="preserve">2026-2033</t>
  </si>
  <si>
    <t xml:space="preserve">8 years</t>
  </si>
  <si>
    <t xml:space="preserve">Annual Investment</t>
  </si>
  <si>
    <t xml:space="preserve">Capital Stock 2023</t>
  </si>
  <si>
    <t xml:space="preserve">Million 2017 USD</t>
  </si>
  <si>
    <t xml:space="preserve">Depreciation Rate (avg 2016-2023)</t>
  </si>
  <si>
    <t xml:space="preserve">Annual %</t>
  </si>
  <si>
    <t xml:space="preserve">Key Results</t>
  </si>
  <si>
    <t xml:space="preserve">Year</t>
  </si>
  <si>
    <t xml:space="preserve">K_Without Investment</t>
  </si>
  <si>
    <t xml:space="preserve">K_With Investment</t>
  </si>
  <si>
    <t xml:space="preserve">Additional Capital</t>
  </si>
  <si>
    <t xml:space="preserve">Y_Without</t>
  </si>
  <si>
    <t xml:space="preserve">Y_With</t>
  </si>
  <si>
    <t xml:space="preserve">GDP Impact</t>
  </si>
  <si>
    <t xml:space="preserve">GDP Impact %</t>
  </si>
  <si>
    <t xml:space="preserve">Model Notes</t>
  </si>
  <si>
    <t xml:space="preserve">- Cobb-Douglas production function: Y = A*K^0.4*L^0.6</t>
  </si>
  <si>
    <t xml:space="preserve">- Capital share: 0.4, Labor share: 0.6</t>
  </si>
  <si>
    <t xml:space="preserve">- K/Y anchor: average of 2015-2023</t>
  </si>
  <si>
    <t xml:space="preserve">- HP filter lambda: 1600 (standard for annual data)</t>
  </si>
  <si>
    <t xml:space="preserve">- Post-investment growth rate: 5% annually (2027 onwards)</t>
  </si>
  <si>
    <t xml:space="preserve">GEORGIA INVESTMENT SHOCK MODEL</t>
  </si>
  <si>
    <t xml:space="preserve">Overview</t>
  </si>
  <si>
    <t xml:space="preserve">This model estimates the impact of a 6.5 billion USD investment over 8 years (2026-2033) on Georgias potential GDP using a Cobb-Douglas production function.</t>
  </si>
  <si>
    <t xml:space="preserve">Sheet Descriptions</t>
  </si>
  <si>
    <t xml:space="preserve">PWT</t>
  </si>
  <si>
    <t xml:space="preserve">Penn World Table data: real GDP (RGDPNA) and capital stock (RNNA) 2000-2023</t>
  </si>
  <si>
    <t xml:space="preserve">WEO_Data</t>
  </si>
  <si>
    <t xml:space="preserve">IMF real GDP projections 2000-2027, extended with 5% growth rate to 2041</t>
  </si>
  <si>
    <t xml:space="preserve">CFC_data</t>
  </si>
  <si>
    <t xml:space="preserve">World Bank consumption of fixed capital data for depreciation rate calculation</t>
  </si>
  <si>
    <t xml:space="preserve">Investment</t>
  </si>
  <si>
    <t xml:space="preserve">Investment shock profile: 812.5M USD annually 2026-2033</t>
  </si>
  <si>
    <t xml:space="preserve">Production</t>
  </si>
  <si>
    <t xml:space="preserve">Main model with HP filter, capital dynamics, and production function calculations</t>
  </si>
  <si>
    <t xml:space="preserve">Summary</t>
  </si>
  <si>
    <t xml:space="preserve">Key results showing GDP impact of investment in selected years</t>
  </si>
  <si>
    <t xml:space="preserve">Key Assumptions</t>
  </si>
  <si>
    <t xml:space="preserve">- Cobb-Douglas function: Y = A * K^0.4 * L^0.6</t>
  </si>
  <si>
    <t xml:space="preserve">- Capital share: 0.4</t>
  </si>
  <si>
    <t xml:space="preserve">- Labor share: 0.6</t>
  </si>
  <si>
    <t xml:space="preserve">- K/Y ratio anchor: average of 2015-2023</t>
  </si>
  <si>
    <t xml:space="preserve">- Annual depreciation rate: average of 2016-2023 (from CFC data)</t>
  </si>
  <si>
    <t xml:space="preserve">Model Structure</t>
  </si>
  <si>
    <t xml:space="preserve">1. HP Filter (Production sheet, rows 6-29)</t>
  </si>
  <si>
    <t xml:space="preserve">Decomposes LnZ (TFP) into trend and cyclical components</t>
  </si>
  <si>
    <t xml:space="preserve">2. Capital Dynamics (Production sheet, rows 33-77)</t>
  </si>
  <si>
    <t xml:space="preserve">Projects K and Y with/without investment using production function</t>
  </si>
  <si>
    <t xml:space="preserve">3. Impact Analysis (Production sheet, columns N-O)</t>
  </si>
  <si>
    <t xml:space="preserve">Calculates deltaY and percentage impact</t>
  </si>
  <si>
    <t xml:space="preserve">How to Run the Model</t>
  </si>
  <si>
    <t xml:space="preserve">1. HP Filter Optimization (OPTIONAL - already initialized with LnZ)</t>
  </si>
  <si>
    <t xml:space="preserve">   - Open Production sheet</t>
  </si>
  <si>
    <t xml:space="preserve">   - Go to Data &gt; Solver</t>
  </si>
  <si>
    <t xml:space="preserve">   - Minimize P5 by changing L6:L29</t>
  </si>
  <si>
    <t xml:space="preserve">   - This smooths the TFP trend</t>
  </si>
  <si>
    <t xml:space="preserve">2. View Results</t>
  </si>
  <si>
    <t xml:space="preserve">   - Open Summary sheet for key years (2026, 2030, 2034, 2041)</t>
  </si>
  <si>
    <t xml:space="preserve">   - All formulas are already in place</t>
  </si>
  <si>
    <t xml:space="preserve">   - No hardcoded values - all calculations are dynamic</t>
  </si>
  <si>
    <t xml:space="preserve">Data Sources</t>
  </si>
  <si>
    <t xml:space="preserve">- Penn World Table 11.0: https://www.rug.nl/ggdc/productivity/pwt/</t>
  </si>
  <si>
    <t xml:space="preserve">- IMF World Economic Outlook: https://www.imf.org/external/datamapper/</t>
  </si>
  <si>
    <t xml:space="preserve">- World Bank: https://data.worldbank.org/</t>
  </si>
  <si>
    <t xml:space="preserve">RGDPNA (2017 USD M)</t>
  </si>
  <si>
    <t xml:space="preserve">RNNA Capital Stock (2017 USD M)</t>
  </si>
  <si>
    <t xml:space="preserve">Real GDP (constant 2015 USD M)</t>
  </si>
  <si>
    <t xml:space="preserve">Real GDP Growth Rate (%)</t>
  </si>
  <si>
    <t xml:space="preserve">Extended Growth Rate (%)</t>
  </si>
  <si>
    <t xml:space="preserve">Projected Real GDP (constant 2015 USD M)</t>
  </si>
  <si>
    <t xml:space="preserve">Capital Stock from PWT (2017 USD M)</t>
  </si>
  <si>
    <t xml:space="preserve">CFC Annual (Million USD)</t>
  </si>
  <si>
    <t xml:space="preserve">Depreciation Rate (%)</t>
  </si>
  <si>
    <t xml:space="preserve">HP Filter Analysis</t>
  </si>
  <si>
    <t xml:space="preserve">Value</t>
  </si>
  <si>
    <t xml:space="preserve">HP Filter Objective</t>
  </si>
  <si>
    <t xml:space="preserve">Lambda</t>
  </si>
  <si>
    <t xml:space="preserve">Sum of Squared Residuals + Lambda * Sum of Squared 2nd Diff</t>
  </si>
  <si>
    <t xml:space="preserve">Real GDP (M)</t>
  </si>
  <si>
    <t xml:space="preserve">Capital Stock (M)</t>
  </si>
  <si>
    <t xml:space="preserve">LnK</t>
  </si>
  <si>
    <t xml:space="preserve">LnY</t>
  </si>
  <si>
    <t xml:space="preserve">LnZ</t>
  </si>
  <si>
    <t xml:space="preserve">LnZ_HP</t>
  </si>
  <si>
    <t xml:space="preserve">Difference 2nd</t>
  </si>
  <si>
    <t xml:space="preserve">LnA_Trend</t>
  </si>
  <si>
    <t xml:space="preserve">Residual</t>
  </si>
  <si>
    <t xml:space="preserve">Objective</t>
  </si>
  <si>
    <t xml:space="preserve">LnZ check</t>
  </si>
  <si>
    <t xml:space="preserve">HP Filter Smoothing Parameter</t>
  </si>
  <si>
    <t xml:space="preserve">HP FILTER INSTRUCTIONS</t>
  </si>
  <si>
    <t xml:space="preserve">To use Excel Solver to optimize the HP filter:</t>
  </si>
  <si>
    <t xml:space="preserve">1. Go to Data &gt; Solver (or use Alt+T+V for Solver)</t>
  </si>
  <si>
    <t xml:space="preserve">2. Set objective cell: $P$5</t>
  </si>
  <si>
    <t xml:space="preserve">3. Select "Min" to minimize</t>
  </si>
  <si>
    <t xml:space="preserve">4. By changing cells: $L$6:$L$29</t>
  </si>
  <si>
    <t xml:space="preserve">5. Click Solve</t>
  </si>
  <si>
    <t xml:space="preserve">The smoothed LnZ will be in column J (LnZ_HP)</t>
  </si>
  <si>
    <t xml:space="preserve">HP Filter Parameters:</t>
  </si>
  <si>
    <t xml:space="preserve">Lambda (smoothing): 1600</t>
  </si>
  <si>
    <t xml:space="preserve">Data range: 2000-2023 (24 years)</t>
  </si>
  <si>
    <t xml:space="preserve">Capital Dynamics &amp; Production Function</t>
  </si>
  <si>
    <t xml:space="preserve">K/Y Anchor (avg 2015-2023)</t>
  </si>
  <si>
    <t xml:space="preserve">K_2023</t>
  </si>
  <si>
    <t xml:space="preserve">K/Y</t>
  </si>
  <si>
    <t xml:space="preserve">K_Extended</t>
  </si>
  <si>
    <t xml:space="preserve">Y</t>
  </si>
  <si>
    <t xml:space="preserve">LnZ_trend</t>
  </si>
  <si>
    <t xml:space="preserve">Ystar_base</t>
  </si>
  <si>
    <t xml:space="preserve">deltaK</t>
  </si>
  <si>
    <t xml:space="preserve">K_With</t>
  </si>
  <si>
    <t xml:space="preserve">Ystar_with</t>
  </si>
  <si>
    <t xml:space="preserve">deltaY</t>
  </si>
  <si>
    <t xml:space="preserve">deltaY_%</t>
  </si>
  <si>
    <t xml:space="preserve">Investment (Million USD)</t>
  </si>
  <si>
    <t xml:space="preserve">Investment Real (2017 USD M)</t>
  </si>
  <si>
    <t xml:space="preserve">Investment Shock Analysis Results</t>
  </si>
  <si>
    <t xml:space="preserve">Scenario Comparison</t>
  </si>
  <si>
    <t xml:space="preserve">K_Without (M)</t>
  </si>
  <si>
    <t xml:space="preserve">Y_Without (M)</t>
  </si>
  <si>
    <t xml:space="preserve">K_With (M)</t>
  </si>
  <si>
    <t xml:space="preserve">Y_With (M)</t>
  </si>
  <si>
    <t xml:space="preserve">Delta K (M)</t>
  </si>
  <si>
    <t xml:space="preserve">Delta Y (M)</t>
  </si>
  <si>
    <t xml:space="preserve">Delta Y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</si>
</sst>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8"/>
    <col collapsed="false" customWidth="true" hidden="false" outlineLevel="0" max="8" min="8" style="1" width="1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</row>
    <row r="4" customFormat="false" ht="15" hidden="false" customHeight="true" outlineLevel="0" collapsed="false">
      <c r="A4" s="1" t="s">
        <v>2</v>
      </c>
      <c r="B4" s="1" t="n">
        <v>6500</v>
      </c>
      <c r="C4" s="1" t="s">
        <v>3</v>
      </c>
    </row>
    <row r="5" customFormat="false" ht="15" hidden="false" customHeight="true" outlineLevel="0" collapsed="false">
      <c r="A5" s="1" t="s">
        <v>4</v>
      </c>
      <c r="B5" s="1" t="s">
        <v>5</v>
      </c>
      <c r="C5" s="1" t="s">
        <v>6</v>
      </c>
    </row>
    <row r="6" customFormat="false" ht="15" hidden="false" customHeight="true" outlineLevel="0" collapsed="false">
      <c r="A6" s="1" t="s">
        <v>7</v>
      </c>
      <c r="B6" s="1" t="n">
        <f aca="false">B4/8</f>
        <v>812.5</v>
      </c>
      <c r="C6" s="1" t="s">
        <v>3</v>
      </c>
    </row>
    <row r="7" customFormat="false" ht="15" hidden="false" customHeight="true" outlineLevel="0" collapsed="false">
      <c r="A7" s="1" t="s">
        <v>8</v>
      </c>
      <c r="B7" s="1" t="n">
        <f aca="false">PWT!C25</f>
        <v>426190.5</v>
      </c>
      <c r="C7" s="1" t="s">
        <v>9</v>
      </c>
    </row>
    <row r="8" customFormat="false" ht="15" hidden="false" customHeight="true" outlineLevel="0" collapsed="false">
      <c r="A8" s="1" t="s">
        <v>10</v>
      </c>
      <c r="B8" s="1" t="n">
        <f aca="false">Production!$B$3</f>
        <v>0.00567087093543837</v>
      </c>
      <c r="C8" s="1" t="s">
        <v>11</v>
      </c>
    </row>
    <row r="10" customFormat="false" ht="15" hidden="false" customHeight="true" outlineLevel="0" collapsed="false">
      <c r="A10" s="1" t="s">
        <v>12</v>
      </c>
    </row>
    <row r="11" customFormat="false" ht="15" hidden="false" customHeight="true" outlineLevel="0" collapsed="false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</row>
    <row r="12" customFormat="false" ht="15" hidden="false" customHeight="true" outlineLevel="0" collapsed="false">
      <c r="A12" s="1" t="n">
        <v>2026</v>
      </c>
      <c r="B12" s="3" t="n">
        <f aca="false">Production!B60</f>
        <v>418980.925614104</v>
      </c>
      <c r="C12" s="3" t="n">
        <f aca="false">Production!L60</f>
        <v>417417.438860536</v>
      </c>
      <c r="D12" s="3" t="n">
        <f aca="false">C12-B12</f>
        <v>-1563.48675356811</v>
      </c>
      <c r="E12" s="3" t="n">
        <f aca="false">Production!I60</f>
        <v>21821.464203445</v>
      </c>
      <c r="F12" s="3" t="n">
        <f aca="false">Production!M60</f>
        <v>21788.8557110743</v>
      </c>
      <c r="G12" s="3" t="n">
        <f aca="false">F12-E12</f>
        <v>-32.6084923707349</v>
      </c>
      <c r="H12" s="4" t="n">
        <f aca="false">IF(E12=0,0,G12/E12)</f>
        <v>-0.00149433108918451</v>
      </c>
    </row>
    <row r="13" customFormat="false" ht="15" hidden="false" customHeight="true" outlineLevel="0" collapsed="false">
      <c r="A13" s="1" t="n">
        <v>2030</v>
      </c>
      <c r="B13" s="3" t="n">
        <f aca="false">Production!B64</f>
        <v>409557.516883165</v>
      </c>
      <c r="C13" s="3" t="n">
        <f aca="false">Production!L64</f>
        <v>411251.653787965</v>
      </c>
      <c r="D13" s="3" t="n">
        <f aca="false">C13-B13</f>
        <v>1694.13690480008</v>
      </c>
      <c r="E13" s="3" t="n">
        <f aca="false">Production!I64</f>
        <v>25238.9523788364</v>
      </c>
      <c r="F13" s="3" t="n">
        <f aca="false">Production!M64</f>
        <v>25280.6610959177</v>
      </c>
      <c r="G13" s="3" t="n">
        <f aca="false">F13-E13</f>
        <v>41.708717081292</v>
      </c>
      <c r="H13" s="4" t="n">
        <f aca="false">IF(E13=0,0,G13/E13)</f>
        <v>0.0016525534204132</v>
      </c>
    </row>
    <row r="14" customFormat="false" ht="15" hidden="false" customHeight="true" outlineLevel="0" collapsed="false">
      <c r="A14" s="1" t="n">
        <v>2034</v>
      </c>
      <c r="B14" s="3" t="n">
        <f aca="false">Production!B68</f>
        <v>400346.052483534</v>
      </c>
      <c r="C14" s="3" t="n">
        <f aca="false">Production!L68</f>
        <v>404412.044987591</v>
      </c>
      <c r="D14" s="3" t="n">
        <f aca="false">C14-B14</f>
        <v>4065.99250405713</v>
      </c>
      <c r="E14" s="3" t="n">
        <f aca="false">Production!I68</f>
        <v>29191.6578668725</v>
      </c>
      <c r="F14" s="3" t="n">
        <f aca="false">Production!M68</f>
        <v>29309.888948623</v>
      </c>
      <c r="G14" s="3" t="n">
        <f aca="false">F14-E14</f>
        <v>118.23108175052</v>
      </c>
      <c r="H14" s="4" t="n">
        <f aca="false">IF(E14=0,0,G14/E14)</f>
        <v>0.00405016673906323</v>
      </c>
    </row>
    <row r="15" customFormat="false" ht="15" hidden="false" customHeight="true" outlineLevel="0" collapsed="false">
      <c r="A15" s="1" t="n">
        <v>2041</v>
      </c>
      <c r="B15" s="3" t="n">
        <f aca="false">Production!B75</f>
        <v>384721.703438094</v>
      </c>
      <c r="C15" s="3" t="n">
        <f aca="false">Production!L75</f>
        <v>388629.012009325</v>
      </c>
      <c r="D15" s="3" t="n">
        <f aca="false">C15-B15</f>
        <v>3907.30857123097</v>
      </c>
      <c r="E15" s="3" t="n">
        <f aca="false">Production!I75</f>
        <v>37656.2244233893</v>
      </c>
      <c r="F15" s="3" t="n">
        <f aca="false">Production!M75</f>
        <v>37808.7384110676</v>
      </c>
      <c r="G15" s="3" t="n">
        <f aca="false">F15-E15</f>
        <v>152.513987678314</v>
      </c>
      <c r="H15" s="4" t="n">
        <f aca="false">IF(E15=0,0,G15/E15)</f>
        <v>0.0040501667390633</v>
      </c>
    </row>
    <row r="17" customFormat="false" ht="15" hidden="false" customHeight="true" outlineLevel="0" collapsed="false">
      <c r="A17" s="1" t="s">
        <v>21</v>
      </c>
    </row>
    <row r="18" customFormat="false" ht="15" hidden="false" customHeight="true" outlineLevel="0" collapsed="false">
      <c r="A18" s="1" t="s">
        <v>22</v>
      </c>
    </row>
    <row r="19" customFormat="false" ht="15" hidden="false" customHeight="true" outlineLevel="0" collapsed="false">
      <c r="A19" s="1" t="s">
        <v>23</v>
      </c>
    </row>
    <row r="20" customFormat="false" ht="15" hidden="false" customHeight="true" outlineLevel="0" collapsed="false">
      <c r="A20" s="1" t="s">
        <v>24</v>
      </c>
    </row>
    <row r="21" customFormat="false" ht="15" hidden="false" customHeight="true" outlineLevel="0" collapsed="false">
      <c r="A21" s="1" t="s">
        <v>25</v>
      </c>
    </row>
    <row r="22" customFormat="false" ht="15" hidden="false" customHeight="true" outlineLevel="0" collapsed="false">
      <c r="A22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50"/>
  </cols>
  <sheetData>
    <row r="1" customFormat="false" ht="15" hidden="false" customHeight="true" outlineLevel="0" collapsed="false">
      <c r="A1" s="5" t="s">
        <v>27</v>
      </c>
    </row>
    <row r="3" customFormat="false" ht="15" hidden="false" customHeight="true" outlineLevel="0" collapsed="false">
      <c r="A3" s="1" t="s">
        <v>28</v>
      </c>
    </row>
    <row r="4" customFormat="false" ht="15" hidden="false" customHeight="true" outlineLevel="0" collapsed="false">
      <c r="A4" s="1" t="s">
        <v>29</v>
      </c>
    </row>
    <row r="6" customFormat="false" ht="15" hidden="false" customHeight="true" outlineLevel="0" collapsed="false">
      <c r="A6" s="1" t="s">
        <v>30</v>
      </c>
    </row>
    <row r="7" customFormat="false" ht="15" hidden="false" customHeight="true" outlineLevel="0" collapsed="false">
      <c r="A7" s="1" t="s">
        <v>31</v>
      </c>
      <c r="B7" s="1" t="s">
        <v>32</v>
      </c>
    </row>
    <row r="8" customFormat="false" ht="15" hidden="false" customHeight="true" outlineLevel="0" collapsed="false">
      <c r="A8" s="1" t="s">
        <v>33</v>
      </c>
      <c r="B8" s="1" t="s">
        <v>34</v>
      </c>
    </row>
    <row r="9" customFormat="false" ht="15" hidden="false" customHeight="true" outlineLevel="0" collapsed="false">
      <c r="A9" s="1" t="s">
        <v>35</v>
      </c>
      <c r="B9" s="1" t="s">
        <v>36</v>
      </c>
    </row>
    <row r="10" customFormat="false" ht="15" hidden="false" customHeight="true" outlineLevel="0" collapsed="false">
      <c r="A10" s="1" t="s">
        <v>37</v>
      </c>
      <c r="B10" s="1" t="s">
        <v>38</v>
      </c>
    </row>
    <row r="11" customFormat="false" ht="15" hidden="false" customHeight="true" outlineLevel="0" collapsed="false">
      <c r="A11" s="1" t="s">
        <v>39</v>
      </c>
      <c r="B11" s="1" t="s">
        <v>40</v>
      </c>
    </row>
    <row r="12" customFormat="false" ht="15" hidden="false" customHeight="true" outlineLevel="0" collapsed="false">
      <c r="A12" s="1" t="s">
        <v>41</v>
      </c>
      <c r="B12" s="1" t="s">
        <v>42</v>
      </c>
    </row>
    <row r="14" customFormat="false" ht="15" hidden="false" customHeight="true" outlineLevel="0" collapsed="false">
      <c r="A14" s="1" t="s">
        <v>43</v>
      </c>
    </row>
    <row r="15" customFormat="false" ht="15" hidden="false" customHeight="true" outlineLevel="0" collapsed="false">
      <c r="A15" s="1" t="s">
        <v>44</v>
      </c>
    </row>
    <row r="16" customFormat="false" ht="15" hidden="false" customHeight="true" outlineLevel="0" collapsed="false">
      <c r="A16" s="1" t="s">
        <v>45</v>
      </c>
    </row>
    <row r="17" customFormat="false" ht="15" hidden="false" customHeight="true" outlineLevel="0" collapsed="false">
      <c r="A17" s="1" t="s">
        <v>46</v>
      </c>
    </row>
    <row r="18" customFormat="false" ht="15" hidden="false" customHeight="true" outlineLevel="0" collapsed="false">
      <c r="A18" s="1" t="s">
        <v>47</v>
      </c>
    </row>
    <row r="19" customFormat="false" ht="15" hidden="false" customHeight="true" outlineLevel="0" collapsed="false">
      <c r="A19" s="1" t="s">
        <v>48</v>
      </c>
    </row>
    <row r="20" customFormat="false" ht="15" hidden="false" customHeight="true" outlineLevel="0" collapsed="false">
      <c r="A20" s="1" t="s">
        <v>25</v>
      </c>
    </row>
    <row r="22" customFormat="false" ht="15" hidden="false" customHeight="true" outlineLevel="0" collapsed="false">
      <c r="A22" s="1" t="s">
        <v>49</v>
      </c>
    </row>
    <row r="23" customFormat="false" ht="15" hidden="false" customHeight="true" outlineLevel="0" collapsed="false">
      <c r="A23" s="1" t="s">
        <v>50</v>
      </c>
      <c r="B23" s="1" t="s">
        <v>51</v>
      </c>
    </row>
    <row r="24" customFormat="false" ht="15" hidden="false" customHeight="true" outlineLevel="0" collapsed="false">
      <c r="A24" s="1" t="s">
        <v>52</v>
      </c>
      <c r="B24" s="1" t="s">
        <v>53</v>
      </c>
    </row>
    <row r="25" customFormat="false" ht="15" hidden="false" customHeight="true" outlineLevel="0" collapsed="false">
      <c r="A25" s="1" t="s">
        <v>54</v>
      </c>
      <c r="B25" s="1" t="s">
        <v>55</v>
      </c>
    </row>
    <row r="27" customFormat="false" ht="15" hidden="false" customHeight="true" outlineLevel="0" collapsed="false">
      <c r="A27" s="1" t="s">
        <v>56</v>
      </c>
    </row>
    <row r="28" customFormat="false" ht="15" hidden="false" customHeight="true" outlineLevel="0" collapsed="false">
      <c r="A28" s="1" t="s">
        <v>57</v>
      </c>
    </row>
    <row r="29" customFormat="false" ht="15" hidden="false" customHeight="true" outlineLevel="0" collapsed="false">
      <c r="A29" s="1" t="s">
        <v>58</v>
      </c>
    </row>
    <row r="30" customFormat="false" ht="15" hidden="false" customHeight="true" outlineLevel="0" collapsed="false">
      <c r="A30" s="1" t="s">
        <v>59</v>
      </c>
    </row>
    <row r="31" customFormat="false" ht="15" hidden="false" customHeight="true" outlineLevel="0" collapsed="false">
      <c r="A31" s="1" t="s">
        <v>60</v>
      </c>
    </row>
    <row r="32" customFormat="false" ht="15" hidden="false" customHeight="true" outlineLevel="0" collapsed="false">
      <c r="A32" s="1" t="s">
        <v>61</v>
      </c>
    </row>
    <row r="33" customFormat="false" ht="15" hidden="false" customHeight="true" outlineLevel="0" collapsed="false">
      <c r="A33" s="1" t="s">
        <v>62</v>
      </c>
    </row>
    <row r="34" customFormat="false" ht="15" hidden="false" customHeight="true" outlineLevel="0" collapsed="false">
      <c r="A34" s="1" t="s">
        <v>63</v>
      </c>
    </row>
    <row r="35" customFormat="false" ht="15" hidden="false" customHeight="true" outlineLevel="0" collapsed="false">
      <c r="A35" s="1" t="s">
        <v>64</v>
      </c>
    </row>
    <row r="36" customFormat="false" ht="15" hidden="false" customHeight="true" outlineLevel="0" collapsed="false">
      <c r="A36" s="1" t="s">
        <v>65</v>
      </c>
    </row>
    <row r="38" customFormat="false" ht="15" hidden="false" customHeight="true" outlineLevel="0" collapsed="false">
      <c r="A38" s="1" t="s">
        <v>66</v>
      </c>
    </row>
    <row r="39" customFormat="false" ht="15" hidden="false" customHeight="true" outlineLevel="0" collapsed="false">
      <c r="A39" s="1" t="s">
        <v>67</v>
      </c>
    </row>
    <row r="40" customFormat="false" ht="15" hidden="false" customHeight="true" outlineLevel="0" collapsed="false">
      <c r="A40" s="1" t="s">
        <v>68</v>
      </c>
    </row>
    <row r="41" customFormat="false" ht="15" hidden="false" customHeight="true" outlineLevel="0" collapsed="false">
      <c r="A41" s="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</v>
      </c>
      <c r="B1" s="1" t="s">
        <v>70</v>
      </c>
      <c r="C1" s="1" t="s">
        <v>71</v>
      </c>
    </row>
    <row r="2" customFormat="false" ht="15" hidden="false" customHeight="true" outlineLevel="0" collapsed="false">
      <c r="A2" s="1" t="n">
        <v>2000</v>
      </c>
      <c r="B2" s="1" t="n">
        <v>25425.17</v>
      </c>
      <c r="C2" s="1" t="n">
        <v>300383.31</v>
      </c>
    </row>
    <row r="3" customFormat="false" ht="15" hidden="false" customHeight="true" outlineLevel="0" collapsed="false">
      <c r="A3" s="1" t="n">
        <v>2001</v>
      </c>
      <c r="B3" s="1" t="n">
        <v>26646.96</v>
      </c>
      <c r="C3" s="1" t="n">
        <v>302284.06</v>
      </c>
    </row>
    <row r="4" customFormat="false" ht="15" hidden="false" customHeight="true" outlineLevel="0" collapsed="false">
      <c r="A4" s="1" t="n">
        <v>2002</v>
      </c>
      <c r="B4" s="1" t="n">
        <v>28105.57</v>
      </c>
      <c r="C4" s="1" t="n">
        <v>303592.63</v>
      </c>
    </row>
    <row r="5" customFormat="false" ht="15" hidden="false" customHeight="true" outlineLevel="0" collapsed="false">
      <c r="A5" s="1" t="n">
        <v>2003</v>
      </c>
      <c r="B5" s="1" t="n">
        <v>31213.52</v>
      </c>
      <c r="C5" s="1" t="n">
        <v>307310.28</v>
      </c>
    </row>
    <row r="6" customFormat="false" ht="15" hidden="false" customHeight="true" outlineLevel="0" collapsed="false">
      <c r="A6" s="1" t="n">
        <v>2004</v>
      </c>
      <c r="B6" s="1" t="n">
        <v>33022.64</v>
      </c>
      <c r="C6" s="1" t="n">
        <v>311984.28</v>
      </c>
    </row>
    <row r="7" customFormat="false" ht="15" hidden="false" customHeight="true" outlineLevel="0" collapsed="false">
      <c r="A7" s="1" t="n">
        <v>2005</v>
      </c>
      <c r="B7" s="1" t="n">
        <v>36188.95</v>
      </c>
      <c r="C7" s="1" t="n">
        <v>317837.81</v>
      </c>
    </row>
    <row r="8" customFormat="false" ht="15" hidden="false" customHeight="true" outlineLevel="0" collapsed="false">
      <c r="A8" s="1" t="n">
        <v>2006</v>
      </c>
      <c r="B8" s="1" t="n">
        <v>39598.22</v>
      </c>
      <c r="C8" s="1" t="n">
        <v>322943.66</v>
      </c>
    </row>
    <row r="9" customFormat="false" ht="15" hidden="false" customHeight="true" outlineLevel="0" collapsed="false">
      <c r="A9" s="1" t="n">
        <v>2007</v>
      </c>
      <c r="B9" s="1" t="n">
        <v>44579.19</v>
      </c>
      <c r="C9" s="1" t="n">
        <v>329445.88</v>
      </c>
    </row>
    <row r="10" customFormat="false" ht="15" hidden="false" customHeight="true" outlineLevel="0" collapsed="false">
      <c r="A10" s="1" t="n">
        <v>2008</v>
      </c>
      <c r="B10" s="1" t="n">
        <v>45657.16</v>
      </c>
      <c r="C10" s="1" t="n">
        <v>332604.47</v>
      </c>
    </row>
    <row r="11" customFormat="false" ht="15" hidden="false" customHeight="true" outlineLevel="0" collapsed="false">
      <c r="A11" s="1" t="n">
        <v>2009</v>
      </c>
      <c r="B11" s="1" t="n">
        <v>43990.63</v>
      </c>
      <c r="C11" s="1" t="n">
        <v>330608.28</v>
      </c>
    </row>
    <row r="12" customFormat="false" ht="15" hidden="false" customHeight="true" outlineLevel="0" collapsed="false">
      <c r="A12" s="1" t="n">
        <v>2010</v>
      </c>
      <c r="B12" s="1" t="n">
        <v>46739.79</v>
      </c>
      <c r="C12" s="1" t="n">
        <v>332551.53</v>
      </c>
    </row>
    <row r="13" customFormat="false" ht="15" hidden="false" customHeight="true" outlineLevel="0" collapsed="false">
      <c r="A13" s="1" t="n">
        <v>2011</v>
      </c>
      <c r="B13" s="1" t="n">
        <v>50455.21</v>
      </c>
      <c r="C13" s="1" t="n">
        <v>336560.28</v>
      </c>
    </row>
    <row r="14" customFormat="false" ht="15" hidden="false" customHeight="true" outlineLevel="0" collapsed="false">
      <c r="A14" s="1" t="n">
        <v>2012</v>
      </c>
      <c r="B14" s="1" t="n">
        <v>53774.68</v>
      </c>
      <c r="C14" s="1" t="n">
        <v>341471.19</v>
      </c>
    </row>
    <row r="15" customFormat="false" ht="15" hidden="false" customHeight="true" outlineLevel="0" collapsed="false">
      <c r="A15" s="1" t="n">
        <v>2013</v>
      </c>
      <c r="B15" s="1" t="n">
        <v>56535.23</v>
      </c>
      <c r="C15" s="1" t="n">
        <v>344239.03</v>
      </c>
    </row>
    <row r="16" customFormat="false" ht="15" hidden="false" customHeight="true" outlineLevel="0" collapsed="false">
      <c r="A16" s="1" t="n">
        <v>2014</v>
      </c>
      <c r="B16" s="1" t="n">
        <v>58847.86</v>
      </c>
      <c r="C16" s="1" t="n">
        <v>350962.16</v>
      </c>
    </row>
    <row r="17" customFormat="false" ht="15" hidden="false" customHeight="true" outlineLevel="0" collapsed="false">
      <c r="A17" s="1" t="n">
        <v>2015</v>
      </c>
      <c r="B17" s="1" t="n">
        <v>60819.74</v>
      </c>
      <c r="C17" s="1" t="n">
        <v>360259.81</v>
      </c>
    </row>
    <row r="18" customFormat="false" ht="15" hidden="false" customHeight="true" outlineLevel="0" collapsed="false">
      <c r="A18" s="1" t="n">
        <v>2016</v>
      </c>
      <c r="B18" s="1" t="n">
        <v>62917.98</v>
      </c>
      <c r="C18" s="1" t="n">
        <v>370547.66</v>
      </c>
    </row>
    <row r="19" customFormat="false" ht="15" hidden="false" customHeight="true" outlineLevel="0" collapsed="false">
      <c r="A19" s="1" t="n">
        <v>2017</v>
      </c>
      <c r="B19" s="1" t="n">
        <v>66165.23</v>
      </c>
      <c r="C19" s="1" t="n">
        <v>380655.78</v>
      </c>
    </row>
    <row r="20" customFormat="false" ht="15" hidden="false" customHeight="true" outlineLevel="0" collapsed="false">
      <c r="A20" s="1" t="n">
        <v>2018</v>
      </c>
      <c r="B20" s="1" t="n">
        <v>70176.3</v>
      </c>
      <c r="C20" s="1" t="n">
        <v>390625.19</v>
      </c>
    </row>
    <row r="21" customFormat="false" ht="15" hidden="false" customHeight="true" outlineLevel="0" collapsed="false">
      <c r="A21" s="1" t="n">
        <v>2019</v>
      </c>
      <c r="B21" s="1" t="n">
        <v>73951.98</v>
      </c>
      <c r="C21" s="1" t="n">
        <v>399934.28</v>
      </c>
    </row>
    <row r="22" customFormat="false" ht="15" hidden="false" customHeight="true" outlineLevel="0" collapsed="false">
      <c r="A22" s="1" t="n">
        <v>2020</v>
      </c>
      <c r="B22" s="1" t="n">
        <v>69299.47</v>
      </c>
      <c r="C22" s="1" t="n">
        <v>405156.16</v>
      </c>
    </row>
    <row r="23" customFormat="false" ht="15" hidden="false" customHeight="true" outlineLevel="0" collapsed="false">
      <c r="A23" s="1" t="n">
        <v>2021</v>
      </c>
      <c r="B23" s="1" t="n">
        <v>76675.72</v>
      </c>
      <c r="C23" s="1" t="n">
        <v>409189.75</v>
      </c>
    </row>
    <row r="24" customFormat="false" ht="15" hidden="false" customHeight="true" outlineLevel="0" collapsed="false">
      <c r="A24" s="1" t="n">
        <v>2022</v>
      </c>
      <c r="B24" s="1" t="n">
        <v>85079.02</v>
      </c>
      <c r="C24" s="1" t="n">
        <v>415085.84</v>
      </c>
    </row>
    <row r="25" customFormat="false" ht="15" hidden="false" customHeight="true" outlineLevel="0" collapsed="false">
      <c r="A25" s="1" t="n">
        <v>2023</v>
      </c>
      <c r="B25" s="1" t="n">
        <v>91437.81</v>
      </c>
      <c r="C25" s="1" t="n">
        <v>426190.5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</v>
      </c>
      <c r="B1" s="1" t="s">
        <v>72</v>
      </c>
      <c r="C1" s="1" t="s">
        <v>73</v>
      </c>
      <c r="D1" s="1" t="s">
        <v>74</v>
      </c>
      <c r="E1" s="1" t="s">
        <v>75</v>
      </c>
    </row>
    <row r="2" customFormat="false" ht="15" hidden="false" customHeight="true" outlineLevel="0" collapsed="false">
      <c r="A2" s="1" t="n">
        <v>2000</v>
      </c>
      <c r="B2" s="1" t="n">
        <v>6370</v>
      </c>
      <c r="C2" s="1" t="n">
        <v>1.9</v>
      </c>
      <c r="D2" s="1" t="n">
        <v>5</v>
      </c>
      <c r="E2" s="1" t="n">
        <f aca="false">B2</f>
        <v>6370</v>
      </c>
    </row>
    <row r="3" customFormat="false" ht="15" hidden="false" customHeight="true" outlineLevel="0" collapsed="false">
      <c r="A3" s="1" t="n">
        <v>2001</v>
      </c>
      <c r="B3" s="1" t="n">
        <v>6663</v>
      </c>
      <c r="C3" s="1" t="n">
        <v>4.6</v>
      </c>
      <c r="D3" s="1" t="n">
        <v>5</v>
      </c>
      <c r="E3" s="1" t="n">
        <f aca="false">E2*(1+D3/100)</f>
        <v>6688.5</v>
      </c>
    </row>
    <row r="4" customFormat="false" ht="15" hidden="false" customHeight="true" outlineLevel="0" collapsed="false">
      <c r="A4" s="1" t="n">
        <v>2002</v>
      </c>
      <c r="B4" s="1" t="n">
        <v>7029</v>
      </c>
      <c r="C4" s="1" t="n">
        <v>5.5</v>
      </c>
      <c r="D4" s="1" t="n">
        <v>5</v>
      </c>
      <c r="E4" s="1" t="n">
        <f aca="false">E3*(1+D4/100)</f>
        <v>7022.925</v>
      </c>
    </row>
    <row r="5" customFormat="false" ht="15" hidden="false" customHeight="true" outlineLevel="0" collapsed="false">
      <c r="A5" s="1" t="n">
        <v>2003</v>
      </c>
      <c r="B5" s="1" t="n">
        <v>7809</v>
      </c>
      <c r="C5" s="1" t="n">
        <v>11.1</v>
      </c>
      <c r="D5" s="1" t="n">
        <v>5</v>
      </c>
      <c r="E5" s="1" t="n">
        <f aca="false">E4*(1+D5/100)</f>
        <v>7374.07125</v>
      </c>
    </row>
    <row r="6" customFormat="false" ht="15" hidden="false" customHeight="true" outlineLevel="0" collapsed="false">
      <c r="A6" s="1" t="n">
        <v>2004</v>
      </c>
      <c r="B6" s="1" t="n">
        <v>8378</v>
      </c>
      <c r="C6" s="1" t="n">
        <v>7.3</v>
      </c>
      <c r="D6" s="1" t="n">
        <v>5</v>
      </c>
      <c r="E6" s="1" t="n">
        <f aca="false">E5*(1+D6/100)</f>
        <v>7742.7748125</v>
      </c>
    </row>
    <row r="7" customFormat="false" ht="15" hidden="false" customHeight="true" outlineLevel="0" collapsed="false">
      <c r="A7" s="1" t="n">
        <v>2005</v>
      </c>
      <c r="B7" s="1" t="n">
        <v>9158</v>
      </c>
      <c r="C7" s="1" t="n">
        <v>9.3</v>
      </c>
      <c r="D7" s="1" t="n">
        <v>5</v>
      </c>
      <c r="E7" s="1" t="n">
        <f aca="false">E6*(1+D7/100)</f>
        <v>8129.913553125</v>
      </c>
    </row>
    <row r="8" customFormat="false" ht="15" hidden="false" customHeight="true" outlineLevel="0" collapsed="false">
      <c r="A8" s="1" t="n">
        <v>2006</v>
      </c>
      <c r="B8" s="1" t="n">
        <v>10014</v>
      </c>
      <c r="C8" s="1" t="n">
        <v>9.6</v>
      </c>
      <c r="D8" s="1" t="n">
        <v>5</v>
      </c>
      <c r="E8" s="1" t="n">
        <f aca="false">E7*(1+D8/100)</f>
        <v>8536.40923078125</v>
      </c>
    </row>
    <row r="9" customFormat="false" ht="15" hidden="false" customHeight="true" outlineLevel="0" collapsed="false">
      <c r="A9" s="1" t="n">
        <v>2007</v>
      </c>
      <c r="B9" s="1" t="n">
        <v>11243</v>
      </c>
      <c r="C9" s="1" t="n">
        <v>12.3</v>
      </c>
      <c r="D9" s="1" t="n">
        <v>5</v>
      </c>
      <c r="E9" s="1" t="n">
        <f aca="false">E8*(1+D9/100)</f>
        <v>8963.22969232032</v>
      </c>
    </row>
    <row r="10" customFormat="false" ht="15" hidden="false" customHeight="true" outlineLevel="0" collapsed="false">
      <c r="A10" s="1" t="n">
        <v>2008</v>
      </c>
      <c r="B10" s="1" t="n">
        <v>11502</v>
      </c>
      <c r="C10" s="1" t="n">
        <v>2.3</v>
      </c>
      <c r="D10" s="1" t="n">
        <v>5</v>
      </c>
      <c r="E10" s="1" t="n">
        <f aca="false">E9*(1+D10/100)</f>
        <v>9411.39117693633</v>
      </c>
    </row>
    <row r="11" customFormat="false" ht="15" hidden="false" customHeight="true" outlineLevel="0" collapsed="false">
      <c r="A11" s="1" t="n">
        <v>2009</v>
      </c>
      <c r="B11" s="1" t="n">
        <v>10776</v>
      </c>
      <c r="C11" s="1" t="n">
        <v>-6.3</v>
      </c>
      <c r="D11" s="1" t="n">
        <v>5</v>
      </c>
      <c r="E11" s="1" t="n">
        <f aca="false">E10*(1+D11/100)</f>
        <v>9881.96073578315</v>
      </c>
    </row>
    <row r="12" customFormat="false" ht="15" hidden="false" customHeight="true" outlineLevel="0" collapsed="false">
      <c r="A12" s="1" t="n">
        <v>2010</v>
      </c>
      <c r="B12" s="1" t="n">
        <v>11454</v>
      </c>
      <c r="C12" s="1" t="n">
        <v>6.3</v>
      </c>
      <c r="D12" s="1" t="n">
        <v>5</v>
      </c>
      <c r="E12" s="1" t="n">
        <f aca="false">E11*(1+D12/100)</f>
        <v>10376.0587725723</v>
      </c>
    </row>
    <row r="13" customFormat="false" ht="15" hidden="false" customHeight="true" outlineLevel="0" collapsed="false">
      <c r="A13" s="1" t="n">
        <v>2011</v>
      </c>
      <c r="B13" s="1" t="n">
        <v>12280</v>
      </c>
      <c r="C13" s="1" t="n">
        <v>7.2</v>
      </c>
      <c r="D13" s="1" t="n">
        <v>5</v>
      </c>
      <c r="E13" s="1" t="n">
        <f aca="false">E12*(1+D13/100)</f>
        <v>10894.8617112009</v>
      </c>
    </row>
    <row r="14" customFormat="false" ht="15" hidden="false" customHeight="true" outlineLevel="0" collapsed="false">
      <c r="A14" s="1" t="n">
        <v>2012</v>
      </c>
      <c r="B14" s="1" t="n">
        <v>13055</v>
      </c>
      <c r="C14" s="1" t="n">
        <v>6.3</v>
      </c>
      <c r="D14" s="1" t="n">
        <v>5</v>
      </c>
      <c r="E14" s="1" t="n">
        <f aca="false">E13*(1+D14/100)</f>
        <v>11439.604796761</v>
      </c>
    </row>
    <row r="15" customFormat="false" ht="15" hidden="false" customHeight="true" outlineLevel="0" collapsed="false">
      <c r="A15" s="1" t="n">
        <v>2013</v>
      </c>
      <c r="B15" s="1" t="n">
        <v>13475</v>
      </c>
      <c r="C15" s="1" t="n">
        <v>3.3</v>
      </c>
      <c r="D15" s="1" t="n">
        <v>5</v>
      </c>
      <c r="E15" s="1" t="n">
        <f aca="false">E14*(1+D15/100)</f>
        <v>12011.585036599</v>
      </c>
    </row>
    <row r="16" customFormat="false" ht="15" hidden="false" customHeight="true" outlineLevel="0" collapsed="false">
      <c r="A16" s="1" t="n">
        <v>2014</v>
      </c>
      <c r="B16" s="1" t="n">
        <v>14098</v>
      </c>
      <c r="C16" s="1" t="n">
        <v>4.6</v>
      </c>
      <c r="D16" s="1" t="n">
        <v>5</v>
      </c>
      <c r="E16" s="1" t="n">
        <f aca="false">E15*(1+D16/100)</f>
        <v>12612.164288429</v>
      </c>
    </row>
    <row r="17" customFormat="false" ht="15" hidden="false" customHeight="true" outlineLevel="0" collapsed="false">
      <c r="A17" s="1" t="n">
        <v>2015</v>
      </c>
      <c r="B17" s="1" t="n">
        <v>14507</v>
      </c>
      <c r="C17" s="1" t="n">
        <v>2.9</v>
      </c>
      <c r="D17" s="1" t="n">
        <v>5</v>
      </c>
      <c r="E17" s="1" t="n">
        <f aca="false">E16*(1+D17/100)</f>
        <v>13242.7725028504</v>
      </c>
    </row>
    <row r="18" customFormat="false" ht="15" hidden="false" customHeight="true" outlineLevel="0" collapsed="false">
      <c r="A18" s="1" t="n">
        <v>2016</v>
      </c>
      <c r="B18" s="1" t="n">
        <v>14854</v>
      </c>
      <c r="C18" s="1" t="n">
        <v>2.4</v>
      </c>
      <c r="D18" s="1" t="n">
        <v>5</v>
      </c>
      <c r="E18" s="1" t="n">
        <f aca="false">E17*(1+D18/100)</f>
        <v>13904.9111279929</v>
      </c>
    </row>
    <row r="19" customFormat="false" ht="15" hidden="false" customHeight="true" outlineLevel="0" collapsed="false">
      <c r="A19" s="1" t="n">
        <v>2017</v>
      </c>
      <c r="B19" s="1" t="n">
        <v>15564</v>
      </c>
      <c r="C19" s="1" t="n">
        <v>4.8</v>
      </c>
      <c r="D19" s="1" t="n">
        <v>5</v>
      </c>
      <c r="E19" s="1" t="n">
        <f aca="false">E18*(1+D19/100)</f>
        <v>14600.1566843926</v>
      </c>
    </row>
    <row r="20" customFormat="false" ht="15" hidden="false" customHeight="true" outlineLevel="0" collapsed="false">
      <c r="A20" s="1" t="n">
        <v>2018</v>
      </c>
      <c r="B20" s="1" t="n">
        <v>16361</v>
      </c>
      <c r="C20" s="1" t="n">
        <v>5.1</v>
      </c>
      <c r="D20" s="1" t="n">
        <v>5</v>
      </c>
      <c r="E20" s="1" t="n">
        <f aca="false">E19*(1+D20/100)</f>
        <v>15330.1645186122</v>
      </c>
    </row>
    <row r="21" customFormat="false" ht="15" hidden="false" customHeight="true" outlineLevel="0" collapsed="false">
      <c r="A21" s="1" t="n">
        <v>2019</v>
      </c>
      <c r="B21" s="1" t="n">
        <v>17277</v>
      </c>
      <c r="C21" s="1" t="n">
        <v>5.6</v>
      </c>
      <c r="D21" s="1" t="n">
        <v>5</v>
      </c>
      <c r="E21" s="1" t="n">
        <f aca="false">E20*(1+D21/100)</f>
        <v>16096.6727445428</v>
      </c>
    </row>
    <row r="22" customFormat="false" ht="15" hidden="false" customHeight="true" outlineLevel="0" collapsed="false">
      <c r="A22" s="1" t="n">
        <v>2020</v>
      </c>
      <c r="B22" s="1" t="n">
        <v>16191</v>
      </c>
      <c r="C22" s="1" t="n">
        <v>-6.3</v>
      </c>
      <c r="D22" s="1" t="n">
        <v>5</v>
      </c>
      <c r="E22" s="1" t="n">
        <f aca="false">E21*(1+D22/100)</f>
        <v>16901.50638177</v>
      </c>
    </row>
    <row r="23" customFormat="false" ht="15" hidden="false" customHeight="true" outlineLevel="0" collapsed="false">
      <c r="A23" s="1" t="n">
        <v>2021</v>
      </c>
      <c r="B23" s="1" t="n">
        <v>17903</v>
      </c>
      <c r="C23" s="1" t="n">
        <v>10.6</v>
      </c>
      <c r="D23" s="1" t="n">
        <v>5</v>
      </c>
      <c r="E23" s="1" t="n">
        <f aca="false">E22*(1+D23/100)</f>
        <v>17746.5817008585</v>
      </c>
    </row>
    <row r="24" customFormat="false" ht="15" hidden="false" customHeight="true" outlineLevel="0" collapsed="false">
      <c r="A24" s="1" t="n">
        <v>2022</v>
      </c>
      <c r="B24" s="1" t="n">
        <v>19838</v>
      </c>
      <c r="C24" s="1" t="n">
        <v>10.9</v>
      </c>
      <c r="D24" s="1" t="n">
        <v>5</v>
      </c>
      <c r="E24" s="1" t="n">
        <f aca="false">E23*(1+D24/100)</f>
        <v>18633.9107859014</v>
      </c>
    </row>
    <row r="25" customFormat="false" ht="15" hidden="false" customHeight="true" outlineLevel="0" collapsed="false">
      <c r="A25" s="1" t="n">
        <v>2023</v>
      </c>
      <c r="B25" s="1" t="n">
        <v>21378</v>
      </c>
      <c r="C25" s="1" t="n">
        <v>7.8</v>
      </c>
      <c r="D25" s="1" t="n">
        <v>5</v>
      </c>
      <c r="E25" s="1" t="n">
        <f aca="false">E24*(1+D25/100)</f>
        <v>19565.6063251965</v>
      </c>
    </row>
    <row r="26" customFormat="false" ht="15" hidden="false" customHeight="true" outlineLevel="0" collapsed="false">
      <c r="A26" s="1" t="n">
        <v>2024</v>
      </c>
      <c r="B26" s="1" t="n">
        <v>23389</v>
      </c>
      <c r="C26" s="1" t="n">
        <v>9.4</v>
      </c>
      <c r="D26" s="1" t="n">
        <v>5</v>
      </c>
      <c r="E26" s="1" t="n">
        <f aca="false">E25*(1+D26/100)</f>
        <v>20543.8866414563</v>
      </c>
    </row>
    <row r="27" customFormat="false" ht="15" hidden="false" customHeight="true" outlineLevel="0" collapsed="false">
      <c r="A27" s="1" t="n">
        <v>2025</v>
      </c>
      <c r="C27" s="1" t="n">
        <v>7.2</v>
      </c>
      <c r="D27" s="1" t="n">
        <v>5</v>
      </c>
      <c r="E27" s="1" t="n">
        <f aca="false">E26*(1+D27/100)</f>
        <v>21571.0809735291</v>
      </c>
    </row>
    <row r="28" customFormat="false" ht="15" hidden="false" customHeight="true" outlineLevel="0" collapsed="false">
      <c r="A28" s="1" t="n">
        <v>2026</v>
      </c>
      <c r="C28" s="1" t="n">
        <v>5.3</v>
      </c>
      <c r="D28" s="1" t="n">
        <v>5</v>
      </c>
      <c r="E28" s="1" t="n">
        <f aca="false">E27*(1+D28/100)</f>
        <v>22649.6350222056</v>
      </c>
    </row>
    <row r="29" customFormat="false" ht="15" hidden="false" customHeight="true" outlineLevel="0" collapsed="false">
      <c r="A29" s="1" t="n">
        <v>2027</v>
      </c>
      <c r="C29" s="1" t="n">
        <v>5</v>
      </c>
      <c r="D29" s="1" t="n">
        <v>5</v>
      </c>
      <c r="E29" s="1" t="n">
        <f aca="false">E28*(1+D29/100)</f>
        <v>23782.1167733158</v>
      </c>
    </row>
    <row r="30" customFormat="false" ht="15" hidden="false" customHeight="true" outlineLevel="0" collapsed="false">
      <c r="A30" s="1" t="n">
        <v>2028</v>
      </c>
      <c r="C30" s="1" t="n">
        <v>5</v>
      </c>
      <c r="D30" s="1" t="n">
        <v>5</v>
      </c>
      <c r="E30" s="1" t="n">
        <f aca="false">E29*(1+D30/100)</f>
        <v>24971.2226119816</v>
      </c>
    </row>
    <row r="31" customFormat="false" ht="15" hidden="false" customHeight="true" outlineLevel="0" collapsed="false">
      <c r="A31" s="1" t="n">
        <v>2029</v>
      </c>
      <c r="C31" s="1" t="n">
        <v>5</v>
      </c>
      <c r="D31" s="1" t="n">
        <v>5</v>
      </c>
      <c r="E31" s="1" t="n">
        <f aca="false">E30*(1+D31/100)</f>
        <v>26219.7837425807</v>
      </c>
    </row>
    <row r="32" customFormat="false" ht="15" hidden="false" customHeight="true" outlineLevel="0" collapsed="false">
      <c r="A32" s="1" t="n">
        <v>2030</v>
      </c>
      <c r="C32" s="1" t="n">
        <v>5</v>
      </c>
      <c r="D32" s="1" t="n">
        <v>5</v>
      </c>
      <c r="E32" s="1" t="n">
        <f aca="false">E31*(1+D32/100)</f>
        <v>27530.7729297098</v>
      </c>
    </row>
    <row r="33" customFormat="false" ht="15" hidden="false" customHeight="true" outlineLevel="0" collapsed="false">
      <c r="A33" s="1" t="n">
        <v>2031</v>
      </c>
      <c r="C33" s="1" t="n">
        <v>5</v>
      </c>
      <c r="D33" s="1" t="n">
        <v>5</v>
      </c>
      <c r="E33" s="1" t="n">
        <f aca="false">E32*(1+D33/100)</f>
        <v>28907.3115761952</v>
      </c>
    </row>
    <row r="34" customFormat="false" ht="15" hidden="false" customHeight="true" outlineLevel="0" collapsed="false">
      <c r="A34" s="1" t="n">
        <v>2032</v>
      </c>
      <c r="C34" s="1" t="n">
        <v>5</v>
      </c>
      <c r="D34" s="1" t="n">
        <v>5</v>
      </c>
      <c r="E34" s="1" t="n">
        <f aca="false">E33*(1+D34/100)</f>
        <v>30352.677155005</v>
      </c>
    </row>
    <row r="35" customFormat="false" ht="15" hidden="false" customHeight="true" outlineLevel="0" collapsed="false">
      <c r="A35" s="1" t="n">
        <v>2033</v>
      </c>
      <c r="C35" s="1" t="n">
        <v>5</v>
      </c>
      <c r="D35" s="1" t="n">
        <v>5</v>
      </c>
      <c r="E35" s="1" t="n">
        <f aca="false">E34*(1+D35/100)</f>
        <v>31870.3110127553</v>
      </c>
    </row>
    <row r="36" customFormat="false" ht="15" hidden="false" customHeight="true" outlineLevel="0" collapsed="false">
      <c r="A36" s="1" t="n">
        <v>2034</v>
      </c>
      <c r="C36" s="1" t="n">
        <v>5</v>
      </c>
      <c r="D36" s="1" t="n">
        <v>5</v>
      </c>
      <c r="E36" s="1" t="n">
        <f aca="false">E35*(1+D36/100)</f>
        <v>33463.826563393</v>
      </c>
    </row>
    <row r="37" customFormat="false" ht="15" hidden="false" customHeight="true" outlineLevel="0" collapsed="false">
      <c r="A37" s="1" t="n">
        <v>2035</v>
      </c>
      <c r="C37" s="1" t="n">
        <v>5</v>
      </c>
      <c r="D37" s="1" t="n">
        <v>5</v>
      </c>
      <c r="E37" s="1" t="n">
        <f aca="false">E36*(1+D37/100)</f>
        <v>35137.0178915627</v>
      </c>
    </row>
    <row r="38" customFormat="false" ht="15" hidden="false" customHeight="true" outlineLevel="0" collapsed="false">
      <c r="A38" s="1" t="n">
        <v>2036</v>
      </c>
      <c r="C38" s="1" t="n">
        <v>5</v>
      </c>
      <c r="D38" s="1" t="n">
        <v>5</v>
      </c>
      <c r="E38" s="1" t="n">
        <f aca="false">E37*(1+D38/100)</f>
        <v>36893.8687861408</v>
      </c>
    </row>
    <row r="39" customFormat="false" ht="15" hidden="false" customHeight="true" outlineLevel="0" collapsed="false">
      <c r="A39" s="1" t="n">
        <v>2037</v>
      </c>
      <c r="C39" s="1" t="n">
        <v>5</v>
      </c>
      <c r="D39" s="1" t="n">
        <v>5</v>
      </c>
      <c r="E39" s="1" t="n">
        <f aca="false">E38*(1+D39/100)</f>
        <v>38738.5622254479</v>
      </c>
    </row>
    <row r="40" customFormat="false" ht="15" hidden="false" customHeight="true" outlineLevel="0" collapsed="false">
      <c r="A40" s="1" t="n">
        <v>2038</v>
      </c>
      <c r="C40" s="1" t="n">
        <v>5</v>
      </c>
      <c r="D40" s="1" t="n">
        <v>5</v>
      </c>
      <c r="E40" s="1" t="n">
        <f aca="false">E39*(1+D40/100)</f>
        <v>40675.4903367202</v>
      </c>
    </row>
    <row r="41" customFormat="false" ht="15" hidden="false" customHeight="true" outlineLevel="0" collapsed="false">
      <c r="A41" s="1" t="n">
        <v>2039</v>
      </c>
      <c r="C41" s="1" t="n">
        <v>5</v>
      </c>
      <c r="D41" s="1" t="n">
        <v>5</v>
      </c>
      <c r="E41" s="1" t="n">
        <f aca="false">E40*(1+D41/100)</f>
        <v>42709.2648535563</v>
      </c>
    </row>
    <row r="42" customFormat="false" ht="15" hidden="false" customHeight="true" outlineLevel="0" collapsed="false">
      <c r="A42" s="1" t="n">
        <v>2040</v>
      </c>
      <c r="C42" s="1" t="n">
        <v>5</v>
      </c>
      <c r="D42" s="1" t="n">
        <v>5</v>
      </c>
      <c r="E42" s="1" t="n">
        <f aca="false">E41*(1+D42/100)</f>
        <v>44844.7280962341</v>
      </c>
    </row>
    <row r="43" customFormat="false" ht="15" hidden="false" customHeight="true" outlineLevel="0" collapsed="false">
      <c r="A43" s="1" t="n">
        <v>2041</v>
      </c>
      <c r="C43" s="1" t="n">
        <v>5</v>
      </c>
      <c r="D43" s="1" t="n">
        <v>5</v>
      </c>
      <c r="E43" s="1" t="n">
        <f aca="false">E42*(1+D43/100)</f>
        <v>47086.9645010458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</v>
      </c>
      <c r="B1" s="1" t="s">
        <v>76</v>
      </c>
      <c r="C1" s="1" t="s">
        <v>77</v>
      </c>
      <c r="D1" s="1" t="s">
        <v>78</v>
      </c>
    </row>
    <row r="2" customFormat="false" ht="15" hidden="false" customHeight="true" outlineLevel="0" collapsed="false">
      <c r="A2" s="1" t="n">
        <v>2000</v>
      </c>
      <c r="B2" s="1" t="n">
        <f aca="false">PWT!C2</f>
        <v>300383.31</v>
      </c>
      <c r="C2" s="1" t="n">
        <v>450</v>
      </c>
      <c r="D2" s="1" t="n">
        <f aca="false">C2/B2</f>
        <v>0.00149808589565113</v>
      </c>
    </row>
    <row r="3" customFormat="false" ht="15" hidden="false" customHeight="true" outlineLevel="0" collapsed="false">
      <c r="A3" s="1" t="n">
        <v>2001</v>
      </c>
      <c r="B3" s="1" t="n">
        <f aca="false">PWT!C3</f>
        <v>302284.06</v>
      </c>
      <c r="C3" s="1" t="n">
        <v>470</v>
      </c>
      <c r="D3" s="1" t="n">
        <f aca="false">C3/B3</f>
        <v>0.00155482892481992</v>
      </c>
    </row>
    <row r="4" customFormat="false" ht="15" hidden="false" customHeight="true" outlineLevel="0" collapsed="false">
      <c r="A4" s="1" t="n">
        <v>2002</v>
      </c>
      <c r="B4" s="1" t="n">
        <f aca="false">PWT!C4</f>
        <v>303592.63</v>
      </c>
      <c r="C4" s="1" t="n">
        <v>500</v>
      </c>
      <c r="D4" s="1" t="n">
        <f aca="false">C4/B4</f>
        <v>0.00164694380097435</v>
      </c>
    </row>
    <row r="5" customFormat="false" ht="15" hidden="false" customHeight="true" outlineLevel="0" collapsed="false">
      <c r="A5" s="1" t="n">
        <v>2003</v>
      </c>
      <c r="B5" s="1" t="n">
        <f aca="false">PWT!C5</f>
        <v>307310.28</v>
      </c>
      <c r="C5" s="1" t="n">
        <v>580</v>
      </c>
      <c r="D5" s="1" t="n">
        <f aca="false">C5/B5</f>
        <v>0.00188734330657601</v>
      </c>
    </row>
    <row r="6" customFormat="false" ht="15" hidden="false" customHeight="true" outlineLevel="0" collapsed="false">
      <c r="A6" s="1" t="n">
        <v>2004</v>
      </c>
      <c r="B6" s="1" t="n">
        <f aca="false">PWT!C6</f>
        <v>311984.28</v>
      </c>
      <c r="C6" s="1" t="n">
        <v>680</v>
      </c>
      <c r="D6" s="1" t="n">
        <f aca="false">C6/B6</f>
        <v>0.0021795969976436</v>
      </c>
    </row>
    <row r="7" customFormat="false" ht="15" hidden="false" customHeight="true" outlineLevel="0" collapsed="false">
      <c r="A7" s="1" t="n">
        <v>2005</v>
      </c>
      <c r="B7" s="1" t="n">
        <f aca="false">PWT!C7</f>
        <v>317837.81</v>
      </c>
      <c r="C7" s="1" t="n">
        <v>850</v>
      </c>
      <c r="D7" s="1" t="n">
        <f aca="false">C7/B7</f>
        <v>0.00267431996212156</v>
      </c>
    </row>
    <row r="8" customFormat="false" ht="15" hidden="false" customHeight="true" outlineLevel="0" collapsed="false">
      <c r="A8" s="1" t="n">
        <v>2006</v>
      </c>
      <c r="B8" s="1" t="n">
        <f aca="false">PWT!C8</f>
        <v>322943.66</v>
      </c>
      <c r="C8" s="1" t="n">
        <v>1050</v>
      </c>
      <c r="D8" s="1" t="n">
        <f aca="false">C8/B8</f>
        <v>0.00325134111628016</v>
      </c>
    </row>
    <row r="9" customFormat="false" ht="15" hidden="false" customHeight="true" outlineLevel="0" collapsed="false">
      <c r="A9" s="1" t="n">
        <v>2007</v>
      </c>
      <c r="B9" s="1" t="n">
        <f aca="false">PWT!C9</f>
        <v>329445.88</v>
      </c>
      <c r="C9" s="1" t="n">
        <v>1350</v>
      </c>
      <c r="D9" s="1" t="n">
        <f aca="false">C9/B9</f>
        <v>0.00409778990103018</v>
      </c>
    </row>
    <row r="10" customFormat="false" ht="15" hidden="false" customHeight="true" outlineLevel="0" collapsed="false">
      <c r="A10" s="1" t="n">
        <v>2008</v>
      </c>
      <c r="B10" s="1" t="n">
        <f aca="false">PWT!C10</f>
        <v>332604.47</v>
      </c>
      <c r="C10" s="1" t="n">
        <v>1400</v>
      </c>
      <c r="D10" s="1" t="n">
        <f aca="false">C10/B10</f>
        <v>0.00420920380294348</v>
      </c>
    </row>
    <row r="11" customFormat="false" ht="15" hidden="false" customHeight="true" outlineLevel="0" collapsed="false">
      <c r="A11" s="1" t="n">
        <v>2009</v>
      </c>
      <c r="B11" s="1" t="n">
        <f aca="false">PWT!C11</f>
        <v>330608.28</v>
      </c>
      <c r="C11" s="1" t="n">
        <v>1100</v>
      </c>
      <c r="D11" s="1" t="n">
        <f aca="false">C11/B11</f>
        <v>0.00332720039558598</v>
      </c>
    </row>
    <row r="12" customFormat="false" ht="15" hidden="false" customHeight="true" outlineLevel="0" collapsed="false">
      <c r="A12" s="1" t="n">
        <v>2010</v>
      </c>
      <c r="B12" s="1" t="n">
        <f aca="false">PWT!C12</f>
        <v>332551.53</v>
      </c>
      <c r="C12" s="1" t="n">
        <v>1250</v>
      </c>
      <c r="D12" s="1" t="n">
        <f aca="false">C12/B12</f>
        <v>0.00375881596455142</v>
      </c>
    </row>
    <row r="13" customFormat="false" ht="15" hidden="false" customHeight="true" outlineLevel="0" collapsed="false">
      <c r="A13" s="1" t="n">
        <v>2011</v>
      </c>
      <c r="B13" s="1" t="n">
        <f aca="false">PWT!C13</f>
        <v>336560.28</v>
      </c>
      <c r="C13" s="1" t="n">
        <v>1500</v>
      </c>
      <c r="D13" s="1" t="n">
        <f aca="false">C13/B13</f>
        <v>0.00445685391039014</v>
      </c>
    </row>
    <row r="14" customFormat="false" ht="15" hidden="false" customHeight="true" outlineLevel="0" collapsed="false">
      <c r="A14" s="1" t="n">
        <v>2012</v>
      </c>
      <c r="B14" s="1" t="n">
        <f aca="false">PWT!C14</f>
        <v>341471.19</v>
      </c>
      <c r="C14" s="1" t="n">
        <v>1700</v>
      </c>
      <c r="D14" s="1" t="n">
        <f aca="false">C14/B14</f>
        <v>0.00497845806552524</v>
      </c>
    </row>
    <row r="15" customFormat="false" ht="15" hidden="false" customHeight="true" outlineLevel="0" collapsed="false">
      <c r="A15" s="1" t="n">
        <v>2013</v>
      </c>
      <c r="B15" s="1" t="n">
        <f aca="false">PWT!C15</f>
        <v>344239.03</v>
      </c>
      <c r="C15" s="1" t="n">
        <v>1850</v>
      </c>
      <c r="D15" s="1" t="n">
        <f aca="false">C15/B15</f>
        <v>0.00537417270784199</v>
      </c>
    </row>
    <row r="16" customFormat="false" ht="15" hidden="false" customHeight="true" outlineLevel="0" collapsed="false">
      <c r="A16" s="1" t="n">
        <v>2014</v>
      </c>
      <c r="B16" s="1" t="n">
        <f aca="false">PWT!C16</f>
        <v>350962.16</v>
      </c>
      <c r="C16" s="1" t="n">
        <v>1950</v>
      </c>
      <c r="D16" s="1" t="n">
        <f aca="false">C16/B16</f>
        <v>0.00555615454384028</v>
      </c>
    </row>
    <row r="17" customFormat="false" ht="15" hidden="false" customHeight="true" outlineLevel="0" collapsed="false">
      <c r="A17" s="1" t="n">
        <v>2015</v>
      </c>
      <c r="B17" s="1" t="n">
        <f aca="false">PWT!C17</f>
        <v>360259.81</v>
      </c>
      <c r="C17" s="1" t="n">
        <v>1750</v>
      </c>
      <c r="D17" s="1" t="n">
        <f aca="false">C17/B17</f>
        <v>0.00485760540427754</v>
      </c>
    </row>
    <row r="18" customFormat="false" ht="15" hidden="false" customHeight="true" outlineLevel="0" collapsed="false">
      <c r="A18" s="1" t="n">
        <v>2016</v>
      </c>
      <c r="B18" s="1" t="n">
        <f aca="false">PWT!C18</f>
        <v>370547.66</v>
      </c>
      <c r="C18" s="1" t="n">
        <v>1650</v>
      </c>
      <c r="D18" s="1" t="n">
        <f aca="false">C18/B18</f>
        <v>0.00445286849200451</v>
      </c>
    </row>
    <row r="19" customFormat="false" ht="15" hidden="false" customHeight="true" outlineLevel="0" collapsed="false">
      <c r="A19" s="1" t="n">
        <v>2017</v>
      </c>
      <c r="B19" s="1" t="n">
        <f aca="false">PWT!C19</f>
        <v>380655.78</v>
      </c>
      <c r="C19" s="1" t="n">
        <v>2050</v>
      </c>
      <c r="D19" s="1" t="n">
        <f aca="false">C19/B19</f>
        <v>0.00538544298473545</v>
      </c>
    </row>
    <row r="20" customFormat="false" ht="15" hidden="false" customHeight="true" outlineLevel="0" collapsed="false">
      <c r="A20" s="1" t="n">
        <v>2018</v>
      </c>
      <c r="B20" s="1" t="n">
        <f aca="false">PWT!C20</f>
        <v>390625.19</v>
      </c>
      <c r="C20" s="1" t="n">
        <v>2350</v>
      </c>
      <c r="D20" s="1" t="n">
        <f aca="false">C20/B20</f>
        <v>0.00601599707381902</v>
      </c>
    </row>
    <row r="21" customFormat="false" ht="15" hidden="false" customHeight="true" outlineLevel="0" collapsed="false">
      <c r="A21" s="1" t="n">
        <v>2019</v>
      </c>
      <c r="B21" s="1" t="n">
        <f aca="false">PWT!C21</f>
        <v>399934.28</v>
      </c>
      <c r="C21" s="1" t="n">
        <v>2650</v>
      </c>
      <c r="D21" s="1" t="n">
        <f aca="false">C21/B21</f>
        <v>0.00662608866636788</v>
      </c>
    </row>
    <row r="22" customFormat="false" ht="15" hidden="false" customHeight="true" outlineLevel="0" collapsed="false">
      <c r="A22" s="1" t="n">
        <v>2020</v>
      </c>
      <c r="B22" s="1" t="n">
        <f aca="false">PWT!C22</f>
        <v>405156.16</v>
      </c>
      <c r="C22" s="1" t="n">
        <v>2200</v>
      </c>
      <c r="D22" s="1" t="n">
        <f aca="false">C22/B22</f>
        <v>0.00543000506273927</v>
      </c>
    </row>
    <row r="23" customFormat="false" ht="15" hidden="false" customHeight="true" outlineLevel="0" collapsed="false">
      <c r="A23" s="1" t="n">
        <v>2022</v>
      </c>
      <c r="B23" s="1" t="n">
        <f aca="false">PWT!C24</f>
        <v>415085.84</v>
      </c>
      <c r="C23" s="1" t="n">
        <v>2600</v>
      </c>
      <c r="D23" s="1" t="n">
        <f aca="false">C23/B23</f>
        <v>0.00626376462275851</v>
      </c>
    </row>
    <row r="24" customFormat="false" ht="15" hidden="false" customHeight="true" outlineLevel="0" collapsed="false">
      <c r="A24" s="1" t="n">
        <v>2023</v>
      </c>
      <c r="B24" s="1" t="n">
        <f aca="false">PWT!C25</f>
        <v>426190.5</v>
      </c>
      <c r="C24" s="1" t="n">
        <v>2700</v>
      </c>
      <c r="D24" s="1" t="n">
        <f aca="false">C24/B24</f>
        <v>0.00633519517680474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15" min="4" style="1" width="12"/>
  </cols>
  <sheetData>
    <row r="1" customFormat="false" ht="15" hidden="false" customHeight="true" outlineLevel="0" collapsed="false">
      <c r="A1" s="6" t="s">
        <v>79</v>
      </c>
      <c r="B1" s="6" t="s">
        <v>80</v>
      </c>
      <c r="P1" s="1" t="s">
        <v>81</v>
      </c>
    </row>
    <row r="2" customFormat="false" ht="15" hidden="false" customHeight="true" outlineLevel="0" collapsed="false">
      <c r="P2" s="1" t="s">
        <v>82</v>
      </c>
      <c r="Q2" s="1" t="n">
        <v>1600</v>
      </c>
    </row>
    <row r="3" customFormat="false" ht="15" hidden="false" customHeight="true" outlineLevel="0" collapsed="false">
      <c r="B3" s="1" t="n">
        <f aca="false">AVERAGE(CFC_data!D17:D24)</f>
        <v>0.00567087093543837</v>
      </c>
    </row>
    <row r="4" customFormat="false" ht="15" hidden="false" customHeight="true" outlineLevel="0" collapsed="false">
      <c r="P4" s="1" t="s">
        <v>83</v>
      </c>
    </row>
    <row r="5" customFormat="false" ht="15" hidden="false" customHeight="true" outlineLevel="0" collapsed="false">
      <c r="D5" s="6" t="s">
        <v>13</v>
      </c>
      <c r="E5" s="6" t="s">
        <v>84</v>
      </c>
      <c r="F5" s="6" t="s">
        <v>85</v>
      </c>
      <c r="G5" s="6" t="s">
        <v>86</v>
      </c>
      <c r="H5" s="6" t="s">
        <v>87</v>
      </c>
      <c r="I5" s="6" t="s">
        <v>88</v>
      </c>
      <c r="J5" s="6" t="s">
        <v>89</v>
      </c>
      <c r="K5" s="6" t="s">
        <v>90</v>
      </c>
      <c r="L5" s="6" t="s">
        <v>91</v>
      </c>
      <c r="M5" s="6" t="s">
        <v>92</v>
      </c>
      <c r="N5" s="6" t="s">
        <v>93</v>
      </c>
      <c r="O5" s="6" t="s">
        <v>94</v>
      </c>
      <c r="P5" s="1" t="n">
        <f aca="false">SUMSQ(K6:K29)+Q2*SUMSQ(M6:M29)</f>
        <v>0.296401382035856</v>
      </c>
    </row>
    <row r="6" customFormat="false" ht="15" hidden="false" customHeight="true" outlineLevel="0" collapsed="false">
      <c r="A6" s="7"/>
      <c r="B6" s="7"/>
      <c r="D6" s="1" t="n">
        <v>2000</v>
      </c>
      <c r="E6" s="1" t="n">
        <f aca="false">WEO_Data!E2</f>
        <v>6370</v>
      </c>
      <c r="F6" s="1" t="n">
        <f aca="false">PWT!C2</f>
        <v>300383.31</v>
      </c>
      <c r="G6" s="1" t="n">
        <f aca="false">LN(F6)</f>
        <v>12.6128146380743</v>
      </c>
      <c r="H6" s="1" t="n">
        <f aca="false">LN(E6)</f>
        <v>8.75935474856621</v>
      </c>
      <c r="I6" s="1" t="n">
        <f aca="false">H6-0.4*G6</f>
        <v>3.71422889333648</v>
      </c>
      <c r="J6" s="1" t="n">
        <f aca="false">L6</f>
        <v>3.71422889333648</v>
      </c>
      <c r="K6" s="1" t="n">
        <f aca="false">I6-J6</f>
        <v>0</v>
      </c>
      <c r="L6" s="1" t="n">
        <f aca="false">I6</f>
        <v>3.71422889333648</v>
      </c>
      <c r="M6" s="1" t="n">
        <v>0</v>
      </c>
    </row>
    <row r="7" customFormat="false" ht="15" hidden="false" customHeight="true" outlineLevel="0" collapsed="false">
      <c r="A7" s="7" t="s">
        <v>95</v>
      </c>
      <c r="B7" s="7" t="n">
        <v>1600</v>
      </c>
      <c r="D7" s="1" t="n">
        <v>2001</v>
      </c>
      <c r="E7" s="1" t="n">
        <f aca="false">WEO_Data!E3</f>
        <v>6688.5</v>
      </c>
      <c r="F7" s="1" t="n">
        <f aca="false">PWT!C3</f>
        <v>302284.06</v>
      </c>
      <c r="G7" s="1" t="n">
        <f aca="false">LN(F7)</f>
        <v>12.6191224503002</v>
      </c>
      <c r="H7" s="1" t="n">
        <f aca="false">LN(E7)</f>
        <v>8.80814491273564</v>
      </c>
      <c r="I7" s="1" t="n">
        <f aca="false">H7-0.4*G7</f>
        <v>3.76049593261554</v>
      </c>
      <c r="J7" s="1" t="n">
        <f aca="false">L7</f>
        <v>3.76049593261554</v>
      </c>
      <c r="K7" s="1" t="n">
        <f aca="false">I7-J7</f>
        <v>0</v>
      </c>
      <c r="L7" s="1" t="n">
        <f aca="false">I7</f>
        <v>3.76049593261554</v>
      </c>
      <c r="M7" s="1" t="n">
        <v>0</v>
      </c>
    </row>
    <row r="8" customFormat="false" ht="15" hidden="false" customHeight="true" outlineLevel="0" collapsed="false">
      <c r="A8" s="7"/>
      <c r="B8" s="7"/>
      <c r="D8" s="1" t="n">
        <v>2002</v>
      </c>
      <c r="E8" s="1" t="n">
        <f aca="false">WEO_Data!E4</f>
        <v>7022.925</v>
      </c>
      <c r="F8" s="1" t="n">
        <f aca="false">PWT!C4</f>
        <v>303592.63</v>
      </c>
      <c r="G8" s="1" t="n">
        <f aca="false">LN(F8)</f>
        <v>12.6234420488466</v>
      </c>
      <c r="H8" s="1" t="n">
        <f aca="false">LN(E8)</f>
        <v>8.85693507690507</v>
      </c>
      <c r="I8" s="1" t="n">
        <f aca="false">H8-0.4*G8</f>
        <v>3.80755825736642</v>
      </c>
      <c r="J8" s="1" t="n">
        <f aca="false">L8</f>
        <v>3.80755825736642</v>
      </c>
      <c r="K8" s="1" t="n">
        <f aca="false">I8-J8</f>
        <v>0</v>
      </c>
      <c r="L8" s="1" t="n">
        <f aca="false">I8</f>
        <v>3.80755825736642</v>
      </c>
      <c r="M8" s="1" t="n">
        <f aca="false">(L8-L7)-(L7-L6)</f>
        <v>0.000795285471814289</v>
      </c>
    </row>
    <row r="9" customFormat="false" ht="15" hidden="false" customHeight="true" outlineLevel="0" collapsed="false">
      <c r="A9" s="7"/>
      <c r="B9" s="7"/>
      <c r="D9" s="1" t="n">
        <v>2003</v>
      </c>
      <c r="E9" s="1" t="n">
        <f aca="false">WEO_Data!E5</f>
        <v>7374.07125</v>
      </c>
      <c r="F9" s="1" t="n">
        <f aca="false">PWT!C5</f>
        <v>307310.28</v>
      </c>
      <c r="G9" s="1" t="n">
        <f aca="false">LN(F9)</f>
        <v>12.6356132002112</v>
      </c>
      <c r="H9" s="1" t="n">
        <f aca="false">LN(E9)</f>
        <v>8.90572524107451</v>
      </c>
      <c r="I9" s="1" t="n">
        <f aca="false">H9-0.4*G9</f>
        <v>3.85147996099003</v>
      </c>
      <c r="J9" s="1" t="n">
        <f aca="false">L9</f>
        <v>3.85147996099003</v>
      </c>
      <c r="K9" s="1" t="n">
        <f aca="false">I9-J9</f>
        <v>0</v>
      </c>
      <c r="L9" s="1" t="n">
        <f aca="false">I9</f>
        <v>3.85147996099003</v>
      </c>
      <c r="M9" s="1" t="n">
        <f aca="false">(L9-L8)-(L8-L7)</f>
        <v>-0.00314062112725821</v>
      </c>
    </row>
    <row r="10" customFormat="false" ht="15" hidden="false" customHeight="true" outlineLevel="0" collapsed="false">
      <c r="A10" s="1" t="s">
        <v>96</v>
      </c>
      <c r="D10" s="1" t="n">
        <v>2004</v>
      </c>
      <c r="E10" s="1" t="n">
        <f aca="false">WEO_Data!E6</f>
        <v>7742.7748125</v>
      </c>
      <c r="F10" s="1" t="n">
        <f aca="false">PWT!C6</f>
        <v>311984.28</v>
      </c>
      <c r="G10" s="1" t="n">
        <f aca="false">LN(F10)</f>
        <v>12.6507080809069</v>
      </c>
      <c r="H10" s="1" t="n">
        <f aca="false">LN(E10)</f>
        <v>8.95451540524394</v>
      </c>
      <c r="I10" s="1" t="n">
        <f aca="false">H10-0.4*G10</f>
        <v>3.89423217288118</v>
      </c>
      <c r="J10" s="1" t="n">
        <f aca="false">L10</f>
        <v>3.89423217288118</v>
      </c>
      <c r="K10" s="1" t="n">
        <f aca="false">I10-J10</f>
        <v>0</v>
      </c>
      <c r="L10" s="1" t="n">
        <f aca="false">I10</f>
        <v>3.89423217288118</v>
      </c>
      <c r="M10" s="1" t="n">
        <f aca="false">(L10-L9)-(L9-L8)</f>
        <v>-0.00116949173246717</v>
      </c>
    </row>
    <row r="11" customFormat="false" ht="15" hidden="false" customHeight="true" outlineLevel="0" collapsed="false">
      <c r="A11" s="1" t="s">
        <v>97</v>
      </c>
      <c r="D11" s="1" t="n">
        <v>2005</v>
      </c>
      <c r="E11" s="1" t="n">
        <f aca="false">WEO_Data!E7</f>
        <v>8129.913553125</v>
      </c>
      <c r="F11" s="1" t="n">
        <f aca="false">PWT!C7</f>
        <v>317837.81</v>
      </c>
      <c r="G11" s="1" t="n">
        <f aca="false">LN(F11)</f>
        <v>12.6692965002055</v>
      </c>
      <c r="H11" s="1" t="n">
        <f aca="false">LN(E11)</f>
        <v>9.00330556941337</v>
      </c>
      <c r="I11" s="1" t="n">
        <f aca="false">H11-0.4*G11</f>
        <v>3.93558696933117</v>
      </c>
      <c r="J11" s="1" t="n">
        <f aca="false">L11</f>
        <v>3.93558696933117</v>
      </c>
      <c r="K11" s="1" t="n">
        <f aca="false">I11-J11</f>
        <v>0</v>
      </c>
      <c r="L11" s="1" t="n">
        <f aca="false">I11</f>
        <v>3.93558696933117</v>
      </c>
      <c r="M11" s="1" t="n">
        <f aca="false">(L11-L10)-(L10-L9)</f>
        <v>-0.00139741544115868</v>
      </c>
    </row>
    <row r="12" customFormat="false" ht="15" hidden="false" customHeight="true" outlineLevel="0" collapsed="false">
      <c r="A12" s="1" t="s">
        <v>98</v>
      </c>
      <c r="D12" s="1" t="n">
        <v>2006</v>
      </c>
      <c r="E12" s="1" t="n">
        <f aca="false">WEO_Data!E8</f>
        <v>8536.40923078125</v>
      </c>
      <c r="F12" s="1" t="n">
        <f aca="false">PWT!C8</f>
        <v>322943.66</v>
      </c>
      <c r="G12" s="1" t="n">
        <f aca="false">LN(F12)</f>
        <v>12.685233159746</v>
      </c>
      <c r="H12" s="1" t="n">
        <f aca="false">LN(E12)</f>
        <v>9.0520957335828</v>
      </c>
      <c r="I12" s="1" t="n">
        <f aca="false">H12-0.4*G12</f>
        <v>3.9780024696844</v>
      </c>
      <c r="J12" s="1" t="n">
        <f aca="false">L12</f>
        <v>3.9780024696844</v>
      </c>
      <c r="K12" s="1" t="n">
        <f aca="false">I12-J12</f>
        <v>0</v>
      </c>
      <c r="L12" s="1" t="n">
        <f aca="false">I12</f>
        <v>3.9780024696844</v>
      </c>
      <c r="M12" s="1" t="n">
        <f aca="false">(L12-L11)-(L11-L10)</f>
        <v>0.00106070390323421</v>
      </c>
    </row>
    <row r="13" customFormat="false" ht="15" hidden="false" customHeight="true" outlineLevel="0" collapsed="false">
      <c r="A13" s="1" t="s">
        <v>99</v>
      </c>
      <c r="D13" s="1" t="n">
        <v>2007</v>
      </c>
      <c r="E13" s="1" t="n">
        <f aca="false">WEO_Data!E9</f>
        <v>8963.22969232032</v>
      </c>
      <c r="F13" s="1" t="n">
        <f aca="false">PWT!C9</f>
        <v>329445.88</v>
      </c>
      <c r="G13" s="1" t="n">
        <f aca="false">LN(F13)</f>
        <v>12.7051673705725</v>
      </c>
      <c r="H13" s="1" t="n">
        <f aca="false">LN(E13)</f>
        <v>9.10088589775223</v>
      </c>
      <c r="I13" s="1" t="n">
        <f aca="false">H13-0.4*G13</f>
        <v>4.01881894952325</v>
      </c>
      <c r="J13" s="1" t="n">
        <f aca="false">L13</f>
        <v>4.01881894952325</v>
      </c>
      <c r="K13" s="1" t="n">
        <f aca="false">I13-J13</f>
        <v>0</v>
      </c>
      <c r="L13" s="1" t="n">
        <f aca="false">I13</f>
        <v>4.01881894952325</v>
      </c>
      <c r="M13" s="1" t="n">
        <f aca="false">(L13-L12)-(L12-L11)</f>
        <v>-0.00159902051437388</v>
      </c>
    </row>
    <row r="14" customFormat="false" ht="15" hidden="false" customHeight="true" outlineLevel="0" collapsed="false">
      <c r="A14" s="1" t="s">
        <v>100</v>
      </c>
      <c r="D14" s="1" t="n">
        <v>2008</v>
      </c>
      <c r="E14" s="1" t="n">
        <f aca="false">WEO_Data!E10</f>
        <v>9411.39117693633</v>
      </c>
      <c r="F14" s="1" t="n">
        <f aca="false">PWT!C10</f>
        <v>332604.47</v>
      </c>
      <c r="G14" s="1" t="n">
        <f aca="false">LN(F14)</f>
        <v>12.7147092852177</v>
      </c>
      <c r="H14" s="1" t="n">
        <f aca="false">LN(E14)</f>
        <v>9.14967606192167</v>
      </c>
      <c r="I14" s="1" t="n">
        <f aca="false">H14-0.4*G14</f>
        <v>4.06379234783458</v>
      </c>
      <c r="J14" s="1" t="n">
        <f aca="false">L14</f>
        <v>4.06379234783458</v>
      </c>
      <c r="K14" s="1" t="n">
        <f aca="false">I14-J14</f>
        <v>0</v>
      </c>
      <c r="L14" s="1" t="n">
        <f aca="false">I14</f>
        <v>4.06379234783458</v>
      </c>
      <c r="M14" s="1" t="n">
        <f aca="false">(L14-L13)-(L13-L12)</f>
        <v>0.00415691847248656</v>
      </c>
    </row>
    <row r="15" customFormat="false" ht="15" hidden="false" customHeight="true" outlineLevel="0" collapsed="false">
      <c r="A15" s="1" t="s">
        <v>101</v>
      </c>
      <c r="D15" s="1" t="n">
        <v>2009</v>
      </c>
      <c r="E15" s="1" t="n">
        <f aca="false">WEO_Data!E11</f>
        <v>9881.96073578315</v>
      </c>
      <c r="F15" s="1" t="n">
        <f aca="false">PWT!C11</f>
        <v>330608.28</v>
      </c>
      <c r="G15" s="1" t="n">
        <f aca="false">LN(F15)</f>
        <v>12.7086895094275</v>
      </c>
      <c r="H15" s="1" t="n">
        <f aca="false">LN(E15)</f>
        <v>9.1984662260911</v>
      </c>
      <c r="I15" s="1" t="n">
        <f aca="false">H15-0.4*G15</f>
        <v>4.11499042232011</v>
      </c>
      <c r="J15" s="1" t="n">
        <f aca="false">L15</f>
        <v>4.11499042232011</v>
      </c>
      <c r="K15" s="1" t="n">
        <f aca="false">I15-J15</f>
        <v>0</v>
      </c>
      <c r="L15" s="1" t="n">
        <f aca="false">I15</f>
        <v>4.11499042232011</v>
      </c>
      <c r="M15" s="1" t="n">
        <f aca="false">(L15-L14)-(L14-L13)</f>
        <v>0.00622467617418288</v>
      </c>
    </row>
    <row r="16" customFormat="false" ht="15" hidden="false" customHeight="true" outlineLevel="0" collapsed="false">
      <c r="A16" s="1" t="s">
        <v>102</v>
      </c>
      <c r="D16" s="1" t="n">
        <v>2010</v>
      </c>
      <c r="E16" s="1" t="n">
        <f aca="false">WEO_Data!E12</f>
        <v>10376.0587725723</v>
      </c>
      <c r="F16" s="1" t="n">
        <f aca="false">PWT!C12</f>
        <v>332551.53</v>
      </c>
      <c r="G16" s="1" t="n">
        <f aca="false">LN(F16)</f>
        <v>12.7145501045139</v>
      </c>
      <c r="H16" s="1" t="n">
        <f aca="false">LN(E16)</f>
        <v>9.24725639026053</v>
      </c>
      <c r="I16" s="1" t="n">
        <f aca="false">H16-0.4*G16</f>
        <v>4.16143634845497</v>
      </c>
      <c r="J16" s="1" t="n">
        <f aca="false">L16</f>
        <v>4.16143634845497</v>
      </c>
      <c r="K16" s="1" t="n">
        <f aca="false">I16-J16</f>
        <v>0</v>
      </c>
      <c r="L16" s="1" t="n">
        <f aca="false">I16</f>
        <v>4.16143634845497</v>
      </c>
      <c r="M16" s="1" t="n">
        <f aca="false">(L16-L15)-(L15-L14)</f>
        <v>-0.00475214835065252</v>
      </c>
    </row>
    <row r="17" customFormat="false" ht="15" hidden="false" customHeight="true" outlineLevel="0" collapsed="false">
      <c r="A17" s="1" t="s">
        <v>103</v>
      </c>
      <c r="D17" s="1" t="n">
        <v>2011</v>
      </c>
      <c r="E17" s="1" t="n">
        <f aca="false">WEO_Data!E13</f>
        <v>10894.8617112009</v>
      </c>
      <c r="F17" s="1" t="n">
        <f aca="false">PWT!C13</f>
        <v>336560.28</v>
      </c>
      <c r="G17" s="1" t="n">
        <f aca="false">LN(F17)</f>
        <v>12.7265325502108</v>
      </c>
      <c r="H17" s="1" t="n">
        <f aca="false">LN(E17)</f>
        <v>9.29604655442996</v>
      </c>
      <c r="I17" s="1" t="n">
        <f aca="false">H17-0.4*G17</f>
        <v>4.20543353434564</v>
      </c>
      <c r="J17" s="1" t="n">
        <f aca="false">L17</f>
        <v>4.20543353434564</v>
      </c>
      <c r="K17" s="1" t="n">
        <f aca="false">I17-J17</f>
        <v>0</v>
      </c>
      <c r="L17" s="1" t="n">
        <f aca="false">I17</f>
        <v>4.20543353434564</v>
      </c>
      <c r="M17" s="1" t="n">
        <f aca="false">(L17-L16)-(L16-L15)</f>
        <v>-0.00244874024420394</v>
      </c>
    </row>
    <row r="18" customFormat="false" ht="15" hidden="false" customHeight="true" outlineLevel="0" collapsed="false">
      <c r="D18" s="1" t="n">
        <v>2012</v>
      </c>
      <c r="E18" s="1" t="n">
        <f aca="false">WEO_Data!E14</f>
        <v>11439.604796761</v>
      </c>
      <c r="F18" s="1" t="n">
        <f aca="false">PWT!C14</f>
        <v>341471.19</v>
      </c>
      <c r="G18" s="1" t="n">
        <f aca="false">LN(F18)</f>
        <v>12.7410185913303</v>
      </c>
      <c r="H18" s="1" t="n">
        <f aca="false">LN(E18)</f>
        <v>9.34483671859939</v>
      </c>
      <c r="I18" s="1" t="n">
        <f aca="false">H18-0.4*G18</f>
        <v>4.24842928206729</v>
      </c>
      <c r="J18" s="1" t="n">
        <f aca="false">L18</f>
        <v>4.24842928206729</v>
      </c>
      <c r="K18" s="1" t="n">
        <f aca="false">I18-J18</f>
        <v>0</v>
      </c>
      <c r="L18" s="1" t="n">
        <f aca="false">I18</f>
        <v>4.24842928206729</v>
      </c>
      <c r="M18" s="1" t="n">
        <f aca="false">(L18-L17)-(L17-L16)</f>
        <v>-0.00100143816901088</v>
      </c>
    </row>
    <row r="19" customFormat="false" ht="15" hidden="false" customHeight="true" outlineLevel="0" collapsed="false">
      <c r="A19" s="1" t="s">
        <v>104</v>
      </c>
      <c r="D19" s="1" t="n">
        <v>2013</v>
      </c>
      <c r="E19" s="1" t="n">
        <f aca="false">WEO_Data!E15</f>
        <v>12011.585036599</v>
      </c>
      <c r="F19" s="1" t="n">
        <f aca="false">PWT!C15</f>
        <v>344239.03</v>
      </c>
      <c r="G19" s="1" t="n">
        <f aca="false">LN(F19)</f>
        <v>12.749091549707</v>
      </c>
      <c r="H19" s="1" t="n">
        <f aca="false">LN(E19)</f>
        <v>9.39362688276883</v>
      </c>
      <c r="I19" s="1" t="n">
        <f aca="false">H19-0.4*G19</f>
        <v>4.29399026288604</v>
      </c>
      <c r="J19" s="1" t="n">
        <f aca="false">L19</f>
        <v>4.29399026288604</v>
      </c>
      <c r="K19" s="1" t="n">
        <f aca="false">I19-J19</f>
        <v>0</v>
      </c>
      <c r="L19" s="1" t="n">
        <f aca="false">I19</f>
        <v>4.29399026288604</v>
      </c>
      <c r="M19" s="1" t="n">
        <f aca="false">(L19-L18)-(L18-L17)</f>
        <v>0.00256523309709333</v>
      </c>
    </row>
    <row r="20" customFormat="false" ht="15" hidden="false" customHeight="true" outlineLevel="0" collapsed="false">
      <c r="A20" s="1" t="s">
        <v>105</v>
      </c>
      <c r="D20" s="1" t="n">
        <v>2014</v>
      </c>
      <c r="E20" s="1" t="n">
        <f aca="false">WEO_Data!E16</f>
        <v>12612.164288429</v>
      </c>
      <c r="F20" s="1" t="n">
        <f aca="false">PWT!C16</f>
        <v>350962.16</v>
      </c>
      <c r="G20" s="1" t="n">
        <f aca="false">LN(F20)</f>
        <v>12.7684336903687</v>
      </c>
      <c r="H20" s="1" t="n">
        <f aca="false">LN(E20)</f>
        <v>9.44241704693826</v>
      </c>
      <c r="I20" s="1" t="n">
        <f aca="false">H20-0.4*G20</f>
        <v>4.33504357079079</v>
      </c>
      <c r="J20" s="1" t="n">
        <f aca="false">L20</f>
        <v>4.33504357079079</v>
      </c>
      <c r="K20" s="1" t="n">
        <f aca="false">I20-J20</f>
        <v>0</v>
      </c>
      <c r="L20" s="1" t="n">
        <f aca="false">I20</f>
        <v>4.33504357079079</v>
      </c>
      <c r="M20" s="1" t="n">
        <f aca="false">(L20-L19)-(L19-L18)</f>
        <v>-0.00450767291399679</v>
      </c>
    </row>
    <row r="21" customFormat="false" ht="15" hidden="false" customHeight="true" outlineLevel="0" collapsed="false">
      <c r="A21" s="1" t="s">
        <v>106</v>
      </c>
      <c r="D21" s="1" t="n">
        <v>2015</v>
      </c>
      <c r="E21" s="1" t="n">
        <f aca="false">WEO_Data!E17</f>
        <v>13242.7725028504</v>
      </c>
      <c r="F21" s="1" t="n">
        <f aca="false">PWT!C17</f>
        <v>360259.81</v>
      </c>
      <c r="G21" s="1" t="n">
        <f aca="false">LN(F21)</f>
        <v>12.7945807445805</v>
      </c>
      <c r="H21" s="1" t="n">
        <f aca="false">LN(E21)</f>
        <v>9.49120721110769</v>
      </c>
      <c r="I21" s="1" t="n">
        <f aca="false">H21-0.4*G21</f>
        <v>4.37337491327548</v>
      </c>
      <c r="J21" s="1" t="n">
        <f aca="false">L21</f>
        <v>4.37337491327548</v>
      </c>
      <c r="K21" s="1" t="n">
        <f aca="false">I21-J21</f>
        <v>0</v>
      </c>
      <c r="L21" s="1" t="n">
        <f aca="false">I21</f>
        <v>4.37337491327548</v>
      </c>
      <c r="M21" s="1" t="n">
        <f aca="false">(L21-L20)-(L20-L19)</f>
        <v>-0.00272196542005787</v>
      </c>
    </row>
    <row r="22" customFormat="false" ht="15" hidden="false" customHeight="true" outlineLevel="0" collapsed="false">
      <c r="D22" s="1" t="n">
        <v>2016</v>
      </c>
      <c r="E22" s="1" t="n">
        <f aca="false">WEO_Data!E18</f>
        <v>13904.9111279929</v>
      </c>
      <c r="F22" s="1" t="n">
        <f aca="false">PWT!C18</f>
        <v>370547.66</v>
      </c>
      <c r="G22" s="1" t="n">
        <f aca="false">LN(F22)</f>
        <v>12.8227373524223</v>
      </c>
      <c r="H22" s="1" t="n">
        <f aca="false">LN(E22)</f>
        <v>9.53999737527712</v>
      </c>
      <c r="I22" s="1" t="n">
        <f aca="false">H22-0.4*G22</f>
        <v>4.4109024343082</v>
      </c>
      <c r="J22" s="1" t="n">
        <f aca="false">L22</f>
        <v>4.4109024343082</v>
      </c>
      <c r="K22" s="1" t="n">
        <f aca="false">I22-J22</f>
        <v>0</v>
      </c>
      <c r="L22" s="1" t="n">
        <f aca="false">I22</f>
        <v>4.4109024343082</v>
      </c>
      <c r="M22" s="1" t="n">
        <f aca="false">(L22-L21)-(L21-L20)</f>
        <v>-0.000803821451971665</v>
      </c>
    </row>
    <row r="23" customFormat="false" ht="15" hidden="false" customHeight="true" outlineLevel="0" collapsed="false">
      <c r="D23" s="1" t="n">
        <v>2017</v>
      </c>
      <c r="E23" s="1" t="n">
        <f aca="false">WEO_Data!E19</f>
        <v>14600.1566843926</v>
      </c>
      <c r="F23" s="1" t="n">
        <f aca="false">PWT!C19</f>
        <v>380655.78</v>
      </c>
      <c r="G23" s="1" t="n">
        <f aca="false">LN(F23)</f>
        <v>12.8496507811718</v>
      </c>
      <c r="H23" s="1" t="n">
        <f aca="false">LN(E23)</f>
        <v>9.58878753944655</v>
      </c>
      <c r="I23" s="1" t="n">
        <f aca="false">H23-0.4*G23</f>
        <v>4.44892722697783</v>
      </c>
      <c r="J23" s="1" t="n">
        <f aca="false">L23</f>
        <v>4.44892722697783</v>
      </c>
      <c r="K23" s="1" t="n">
        <f aca="false">I23-J23</f>
        <v>0</v>
      </c>
      <c r="L23" s="1" t="n">
        <f aca="false">I23</f>
        <v>4.44892722697783</v>
      </c>
      <c r="M23" s="1" t="n">
        <f aca="false">(L23-L22)-(L22-L21)</f>
        <v>0.00049727163691049</v>
      </c>
    </row>
    <row r="24" customFormat="false" ht="15" hidden="false" customHeight="true" outlineLevel="0" collapsed="false">
      <c r="D24" s="1" t="n">
        <v>2018</v>
      </c>
      <c r="E24" s="1" t="n">
        <f aca="false">WEO_Data!E20</f>
        <v>15330.1645186122</v>
      </c>
      <c r="F24" s="1" t="n">
        <f aca="false">PWT!C20</f>
        <v>390625.19</v>
      </c>
      <c r="G24" s="1" t="n">
        <f aca="false">LN(F24)</f>
        <v>12.8755037858727</v>
      </c>
      <c r="H24" s="1" t="n">
        <f aca="false">LN(E24)</f>
        <v>9.63757770361599</v>
      </c>
      <c r="I24" s="1" t="n">
        <f aca="false">H24-0.4*G24</f>
        <v>4.48737618926691</v>
      </c>
      <c r="J24" s="1" t="n">
        <f aca="false">L24</f>
        <v>4.48737618926691</v>
      </c>
      <c r="K24" s="1" t="n">
        <f aca="false">I24-J24</f>
        <v>0</v>
      </c>
      <c r="L24" s="1" t="n">
        <f aca="false">I24</f>
        <v>4.48737618926691</v>
      </c>
      <c r="M24" s="1" t="n">
        <f aca="false">(L24-L23)-(L23-L22)</f>
        <v>0.000424169619453352</v>
      </c>
    </row>
    <row r="25" customFormat="false" ht="15" hidden="false" customHeight="true" outlineLevel="0" collapsed="false">
      <c r="D25" s="1" t="n">
        <v>2019</v>
      </c>
      <c r="E25" s="1" t="n">
        <f aca="false">WEO_Data!E21</f>
        <v>16096.6727445428</v>
      </c>
      <c r="F25" s="1" t="n">
        <f aca="false">PWT!C21</f>
        <v>399934.28</v>
      </c>
      <c r="G25" s="1" t="n">
        <f aca="false">LN(F25)</f>
        <v>12.8990555125914</v>
      </c>
      <c r="H25" s="1" t="n">
        <f aca="false">LN(E25)</f>
        <v>9.68636786778542</v>
      </c>
      <c r="I25" s="1" t="n">
        <f aca="false">H25-0.4*G25</f>
        <v>4.52674566274886</v>
      </c>
      <c r="J25" s="1" t="n">
        <f aca="false">L25</f>
        <v>4.52674566274886</v>
      </c>
      <c r="K25" s="1" t="n">
        <f aca="false">I25-J25</f>
        <v>0</v>
      </c>
      <c r="L25" s="1" t="n">
        <f aca="false">I25</f>
        <v>4.52674566274886</v>
      </c>
      <c r="M25" s="1" t="n">
        <f aca="false">(L25-L24)-(L24-L23)</f>
        <v>0.000920511192863849</v>
      </c>
    </row>
    <row r="26" customFormat="false" ht="15" hidden="false" customHeight="true" outlineLevel="0" collapsed="false">
      <c r="D26" s="1" t="n">
        <v>2020</v>
      </c>
      <c r="E26" s="1" t="n">
        <f aca="false">WEO_Data!E22</f>
        <v>16901.50638177</v>
      </c>
      <c r="F26" s="1" t="n">
        <f aca="false">PWT!C22</f>
        <v>405156.16</v>
      </c>
      <c r="G26" s="1" t="n">
        <f aca="false">LN(F26)</f>
        <v>12.9120278520186</v>
      </c>
      <c r="H26" s="1" t="n">
        <f aca="false">LN(E26)</f>
        <v>9.73515803195485</v>
      </c>
      <c r="I26" s="1" t="n">
        <f aca="false">H26-0.4*G26</f>
        <v>4.5703468911474</v>
      </c>
      <c r="J26" s="1" t="n">
        <f aca="false">L26</f>
        <v>4.5703468911474</v>
      </c>
      <c r="K26" s="1" t="n">
        <f aca="false">I26-J26</f>
        <v>0</v>
      </c>
      <c r="L26" s="1" t="n">
        <f aca="false">I26</f>
        <v>4.5703468911474</v>
      </c>
      <c r="M26" s="1" t="n">
        <f aca="false">(L26-L25)-(L25-L24)</f>
        <v>0.00423175491659222</v>
      </c>
    </row>
    <row r="27" customFormat="false" ht="15" hidden="false" customHeight="true" outlineLevel="0" collapsed="false">
      <c r="D27" s="1" t="n">
        <v>2021</v>
      </c>
      <c r="E27" s="1" t="n">
        <f aca="false">WEO_Data!E23</f>
        <v>17746.5817008585</v>
      </c>
      <c r="F27" s="1" t="n">
        <f aca="false">PWT!C23</f>
        <v>409189.75</v>
      </c>
      <c r="G27" s="1" t="n">
        <f aca="false">LN(F27)</f>
        <v>12.92193426387</v>
      </c>
      <c r="H27" s="1" t="n">
        <f aca="false">LN(E27)</f>
        <v>9.78394819612428</v>
      </c>
      <c r="I27" s="1" t="n">
        <f aca="false">H27-0.4*G27</f>
        <v>4.61517449057627</v>
      </c>
      <c r="J27" s="1" t="n">
        <f aca="false">L27</f>
        <v>4.61517449057627</v>
      </c>
      <c r="K27" s="1" t="n">
        <f aca="false">I27-J27</f>
        <v>0</v>
      </c>
      <c r="L27" s="1" t="n">
        <f aca="false">I27</f>
        <v>4.61517449057627</v>
      </c>
      <c r="M27" s="1" t="n">
        <f aca="false">(L27-L26)-(L26-L25)</f>
        <v>0.00122637103033352</v>
      </c>
    </row>
    <row r="28" customFormat="false" ht="15" hidden="false" customHeight="true" outlineLevel="0" collapsed="false">
      <c r="D28" s="1" t="n">
        <v>2022</v>
      </c>
      <c r="E28" s="1" t="n">
        <f aca="false">WEO_Data!E24</f>
        <v>18633.9107859014</v>
      </c>
      <c r="F28" s="1" t="n">
        <f aca="false">PWT!C24</f>
        <v>415085.84</v>
      </c>
      <c r="G28" s="1" t="n">
        <f aca="false">LN(F28)</f>
        <v>12.9362406211972</v>
      </c>
      <c r="H28" s="1" t="n">
        <f aca="false">LN(E28)</f>
        <v>9.83273836029371</v>
      </c>
      <c r="I28" s="1" t="n">
        <f aca="false">H28-0.4*G28</f>
        <v>4.65824211181484</v>
      </c>
      <c r="J28" s="1" t="n">
        <f aca="false">L28</f>
        <v>4.65824211181484</v>
      </c>
      <c r="K28" s="1" t="n">
        <f aca="false">I28-J28</f>
        <v>0</v>
      </c>
      <c r="L28" s="1" t="n">
        <f aca="false">I28</f>
        <v>4.65824211181484</v>
      </c>
      <c r="M28" s="1" t="n">
        <f aca="false">(L28-L27)-(L27-L26)</f>
        <v>-0.00175997819030638</v>
      </c>
    </row>
    <row r="29" customFormat="false" ht="15" hidden="false" customHeight="true" outlineLevel="0" collapsed="false">
      <c r="D29" s="1" t="n">
        <v>2023</v>
      </c>
      <c r="E29" s="1" t="n">
        <f aca="false">WEO_Data!E25</f>
        <v>19565.6063251965</v>
      </c>
      <c r="F29" s="1" t="n">
        <f aca="false">PWT!C25</f>
        <v>426190.5</v>
      </c>
      <c r="G29" s="1" t="n">
        <f aca="false">LN(F29)</f>
        <v>12.9626417083935</v>
      </c>
      <c r="H29" s="1" t="n">
        <f aca="false">LN(E29)</f>
        <v>9.88152852446315</v>
      </c>
      <c r="I29" s="1" t="n">
        <f aca="false">H29-0.4*G29</f>
        <v>4.69647184110573</v>
      </c>
      <c r="J29" s="1" t="n">
        <f aca="false">L29</f>
        <v>4.69647184110573</v>
      </c>
      <c r="K29" s="1" t="n">
        <f aca="false">I29-J29</f>
        <v>0</v>
      </c>
      <c r="L29" s="1" t="n">
        <f aca="false">I29</f>
        <v>4.69647184110573</v>
      </c>
      <c r="M29" s="1" t="n">
        <f aca="false">(L29-L28)-(L28-L27)</f>
        <v>-0.00483789194767414</v>
      </c>
    </row>
    <row r="33" customFormat="false" ht="15" hidden="false" customHeight="true" outlineLevel="0" collapsed="false">
      <c r="A33" s="1" t="s">
        <v>107</v>
      </c>
      <c r="P33" s="1" t="s">
        <v>108</v>
      </c>
    </row>
    <row r="34" customFormat="false" ht="15" hidden="false" customHeight="true" outlineLevel="0" collapsed="false">
      <c r="P34" s="1" t="n">
        <f aca="false">AVERAGE(C52:C60)</f>
        <v>23.5690078624191</v>
      </c>
    </row>
    <row r="35" customFormat="false" ht="15" hidden="false" customHeight="true" outlineLevel="0" collapsed="false">
      <c r="A35" s="1" t="s">
        <v>13</v>
      </c>
      <c r="B35" s="1" t="s">
        <v>109</v>
      </c>
      <c r="C35" s="1" t="s">
        <v>110</v>
      </c>
      <c r="D35" s="1" t="s">
        <v>111</v>
      </c>
      <c r="E35" s="1" t="s">
        <v>112</v>
      </c>
      <c r="F35" s="1" t="s">
        <v>86</v>
      </c>
      <c r="G35" s="1" t="s">
        <v>87</v>
      </c>
      <c r="H35" s="1" t="s">
        <v>113</v>
      </c>
      <c r="I35" s="1" t="s">
        <v>114</v>
      </c>
      <c r="J35" s="1" t="s">
        <v>37</v>
      </c>
      <c r="K35" s="1" t="s">
        <v>115</v>
      </c>
      <c r="L35" s="1" t="s">
        <v>116</v>
      </c>
      <c r="M35" s="1" t="s">
        <v>117</v>
      </c>
      <c r="N35" s="1" t="s">
        <v>118</v>
      </c>
      <c r="O35" s="1" t="s">
        <v>119</v>
      </c>
    </row>
    <row r="36" customFormat="false" ht="15" hidden="false" customHeight="true" outlineLevel="0" collapsed="false">
      <c r="A36" s="1" t="n">
        <v>2002</v>
      </c>
      <c r="B36" s="1" t="n">
        <f aca="false">PWT!C4</f>
        <v>303592.63</v>
      </c>
      <c r="C36" s="1" t="n">
        <f aca="false">B36/E36</f>
        <v>43.2288013897343</v>
      </c>
      <c r="E36" s="1" t="n">
        <f aca="false">WEO_Data!E4</f>
        <v>7022.925</v>
      </c>
      <c r="F36" s="1" t="n">
        <f aca="false">LN(B36)</f>
        <v>12.6234420488466</v>
      </c>
      <c r="G36" s="1" t="n">
        <f aca="false">LN(E36)</f>
        <v>8.85693507690507</v>
      </c>
      <c r="H36" s="1" t="n">
        <f aca="false">L8</f>
        <v>3.80755825736642</v>
      </c>
      <c r="I36" s="1" t="n">
        <f aca="false">EXP(H36+0.4*F36)</f>
        <v>7022.925</v>
      </c>
      <c r="J36" s="1" t="n">
        <f aca="false">Investment!B4</f>
        <v>0</v>
      </c>
      <c r="K36" s="1" t="n">
        <f aca="false">J36-$B$3*B36</f>
        <v>-1721.63462168029</v>
      </c>
      <c r="L36" s="1" t="n">
        <f aca="false">B36+K36</f>
        <v>301870.99537832</v>
      </c>
      <c r="M36" s="1" t="n">
        <f aca="false">EXP(H36+0.4*LN(L36))</f>
        <v>7006.96737538074</v>
      </c>
      <c r="N36" s="1" t="n">
        <f aca="false">M36-I36</f>
        <v>-15.9576246192546</v>
      </c>
      <c r="O36" s="1" t="n">
        <f aca="false">IF(I36=0,0,N36/I36)</f>
        <v>-0.0022722191422028</v>
      </c>
    </row>
    <row r="37" customFormat="false" ht="15" hidden="false" customHeight="true" outlineLevel="0" collapsed="false">
      <c r="A37" s="1" t="n">
        <v>2003</v>
      </c>
      <c r="B37" s="1" t="n">
        <f aca="false">PWT!C5</f>
        <v>307310.28</v>
      </c>
      <c r="C37" s="1" t="n">
        <f aca="false">B37/E37</f>
        <v>41.6744386623604</v>
      </c>
      <c r="E37" s="1" t="n">
        <f aca="false">WEO_Data!E5</f>
        <v>7374.07125</v>
      </c>
      <c r="F37" s="1" t="n">
        <f aca="false">LN(B37)</f>
        <v>12.6356132002112</v>
      </c>
      <c r="G37" s="1" t="n">
        <f aca="false">LN(E37)</f>
        <v>8.90572524107451</v>
      </c>
      <c r="H37" s="1" t="n">
        <f aca="false">L9</f>
        <v>3.85147996099003</v>
      </c>
      <c r="I37" s="1" t="n">
        <f aca="false">EXP(H37+0.4*F37)</f>
        <v>7374.07125</v>
      </c>
      <c r="J37" s="1" t="n">
        <f aca="false">Investment!B5</f>
        <v>0</v>
      </c>
      <c r="K37" s="1" t="n">
        <f aca="false">J37-$B$3*B37</f>
        <v>-1742.71693501343</v>
      </c>
      <c r="L37" s="1" t="n">
        <f aca="false">B37+K37</f>
        <v>305567.563064987</v>
      </c>
      <c r="M37" s="1" t="n">
        <f aca="false">EXP(H37+0.4*LN(L37))</f>
        <v>7357.31574414977</v>
      </c>
      <c r="N37" s="1" t="n">
        <f aca="false">M37-I37</f>
        <v>-16.7555058502303</v>
      </c>
      <c r="O37" s="1" t="n">
        <f aca="false">IF(I37=0,0,N37/I37)</f>
        <v>-0.00227221914220456</v>
      </c>
    </row>
    <row r="38" customFormat="false" ht="15" hidden="false" customHeight="true" outlineLevel="0" collapsed="false">
      <c r="A38" s="1" t="n">
        <v>2004</v>
      </c>
      <c r="B38" s="1" t="n">
        <f aca="false">PWT!C6</f>
        <v>311984.28</v>
      </c>
      <c r="C38" s="1" t="n">
        <f aca="false">B38/E38</f>
        <v>40.2936011384872</v>
      </c>
      <c r="E38" s="1" t="n">
        <f aca="false">WEO_Data!E6</f>
        <v>7742.7748125</v>
      </c>
      <c r="F38" s="1" t="n">
        <f aca="false">LN(B38)</f>
        <v>12.6507080809069</v>
      </c>
      <c r="G38" s="1" t="n">
        <f aca="false">LN(E38)</f>
        <v>8.95451540524394</v>
      </c>
      <c r="H38" s="1" t="n">
        <f aca="false">L10</f>
        <v>3.89423217288118</v>
      </c>
      <c r="I38" s="1" t="n">
        <f aca="false">EXP(H38+0.4*F38)</f>
        <v>7742.7748125</v>
      </c>
      <c r="J38" s="1" t="n">
        <f aca="false">Investment!B6</f>
        <v>0</v>
      </c>
      <c r="K38" s="1" t="n">
        <f aca="false">J38-$B$3*B38</f>
        <v>-1769.22258576567</v>
      </c>
      <c r="L38" s="1" t="n">
        <f aca="false">B38+K38</f>
        <v>310215.057414234</v>
      </c>
      <c r="M38" s="1" t="n">
        <f aca="false">EXP(H38+0.4*LN(L38))</f>
        <v>7725.18153135727</v>
      </c>
      <c r="N38" s="1" t="n">
        <f aca="false">M38-I38</f>
        <v>-17.5932811427283</v>
      </c>
      <c r="O38" s="1" t="n">
        <f aca="false">IF(I38=0,0,N38/I38)</f>
        <v>-0.00227221914220281</v>
      </c>
    </row>
    <row r="39" customFormat="false" ht="15" hidden="false" customHeight="true" outlineLevel="0" collapsed="false">
      <c r="A39" s="1" t="n">
        <v>2005</v>
      </c>
      <c r="B39" s="1" t="n">
        <f aca="false">PWT!C7</f>
        <v>317837.81</v>
      </c>
      <c r="C39" s="1" t="n">
        <f aca="false">B39/E39</f>
        <v>39.0948572728462</v>
      </c>
      <c r="E39" s="1" t="n">
        <f aca="false">WEO_Data!E7</f>
        <v>8129.913553125</v>
      </c>
      <c r="F39" s="1" t="n">
        <f aca="false">LN(B39)</f>
        <v>12.6692965002055</v>
      </c>
      <c r="G39" s="1" t="n">
        <f aca="false">LN(E39)</f>
        <v>9.00330556941337</v>
      </c>
      <c r="H39" s="1" t="n">
        <f aca="false">L11</f>
        <v>3.93558696933117</v>
      </c>
      <c r="I39" s="1" t="n">
        <f aca="false">EXP(H39+0.4*F39)</f>
        <v>8129.913553125</v>
      </c>
      <c r="J39" s="1" t="n">
        <f aca="false">Investment!B7</f>
        <v>0</v>
      </c>
      <c r="K39" s="1" t="n">
        <f aca="false">J39-$B$3*B39</f>
        <v>-1802.41719891238</v>
      </c>
      <c r="L39" s="1" t="n">
        <f aca="false">B39+K39</f>
        <v>316035.392801088</v>
      </c>
      <c r="M39" s="1" t="n">
        <f aca="false">EXP(H39+0.4*LN(L39))</f>
        <v>8111.44060792514</v>
      </c>
      <c r="N39" s="1" t="n">
        <f aca="false">M39-I39</f>
        <v>-18.4729451998646</v>
      </c>
      <c r="O39" s="1" t="n">
        <f aca="false">IF(I39=0,0,N39/I39)</f>
        <v>-0.0022722191422028</v>
      </c>
    </row>
    <row r="40" customFormat="false" ht="15" hidden="false" customHeight="true" outlineLevel="0" collapsed="false">
      <c r="A40" s="1" t="n">
        <v>2006</v>
      </c>
      <c r="B40" s="1" t="n">
        <f aca="false">PWT!C8</f>
        <v>322943.66</v>
      </c>
      <c r="C40" s="1" t="n">
        <f aca="false">B40/E40</f>
        <v>37.8313236009708</v>
      </c>
      <c r="E40" s="1" t="n">
        <f aca="false">WEO_Data!E8</f>
        <v>8536.40923078125</v>
      </c>
      <c r="F40" s="1" t="n">
        <f aca="false">LN(B40)</f>
        <v>12.685233159746</v>
      </c>
      <c r="G40" s="1" t="n">
        <f aca="false">LN(E40)</f>
        <v>9.0520957335828</v>
      </c>
      <c r="H40" s="1" t="n">
        <f aca="false">L12</f>
        <v>3.9780024696844</v>
      </c>
      <c r="I40" s="1" t="n">
        <f aca="false">EXP(H40+0.4*F40)</f>
        <v>8536.40923078125</v>
      </c>
      <c r="J40" s="1" t="n">
        <f aca="false">Investment!B8</f>
        <v>0</v>
      </c>
      <c r="K40" s="1" t="n">
        <f aca="false">J40-$B$3*B40</f>
        <v>-1831.37181527809</v>
      </c>
      <c r="L40" s="1" t="n">
        <f aca="false">B40+K40</f>
        <v>321112.288184722</v>
      </c>
      <c r="M40" s="1" t="n">
        <f aca="false">EXP(H40+0.4*LN(L40))</f>
        <v>8517.01263832139</v>
      </c>
      <c r="N40" s="1" t="n">
        <f aca="false">M40-I40</f>
        <v>-19.3965924598579</v>
      </c>
      <c r="O40" s="1" t="n">
        <f aca="false">IF(I40=0,0,N40/I40)</f>
        <v>-0.0022722191422028</v>
      </c>
    </row>
    <row r="41" customFormat="false" ht="15" hidden="false" customHeight="true" outlineLevel="0" collapsed="false">
      <c r="A41" s="1" t="n">
        <v>2007</v>
      </c>
      <c r="B41" s="1" t="n">
        <f aca="false">PWT!C9</f>
        <v>329445.88</v>
      </c>
      <c r="C41" s="1" t="n">
        <f aca="false">B41/E41</f>
        <v>36.7552647102494</v>
      </c>
      <c r="E41" s="1" t="n">
        <f aca="false">WEO_Data!E9</f>
        <v>8963.22969232032</v>
      </c>
      <c r="F41" s="1" t="n">
        <f aca="false">LN(B41)</f>
        <v>12.7051673705725</v>
      </c>
      <c r="G41" s="1" t="n">
        <f aca="false">LN(E41)</f>
        <v>9.10088589775223</v>
      </c>
      <c r="H41" s="1" t="n">
        <f aca="false">L13</f>
        <v>4.01881894952325</v>
      </c>
      <c r="I41" s="1" t="n">
        <f aca="false">EXP(H41+0.4*F41)</f>
        <v>8963.22969232032</v>
      </c>
      <c r="J41" s="1" t="n">
        <f aca="false">Investment!B9</f>
        <v>0</v>
      </c>
      <c r="K41" s="1" t="n">
        <f aca="false">J41-$B$3*B41</f>
        <v>-1868.24506569192</v>
      </c>
      <c r="L41" s="1" t="n">
        <f aca="false">B41+K41</f>
        <v>327577.634934308</v>
      </c>
      <c r="M41" s="1" t="n">
        <f aca="false">EXP(H41+0.4*LN(L41))</f>
        <v>8942.86327023747</v>
      </c>
      <c r="N41" s="1" t="n">
        <f aca="false">M41-I41</f>
        <v>-20.3664220828505</v>
      </c>
      <c r="O41" s="1" t="n">
        <f aca="false">IF(I41=0,0,N41/I41)</f>
        <v>-0.00227221914220277</v>
      </c>
    </row>
    <row r="42" customFormat="false" ht="15" hidden="false" customHeight="true" outlineLevel="0" collapsed="false">
      <c r="A42" s="1" t="n">
        <v>2008</v>
      </c>
      <c r="B42" s="1" t="n">
        <f aca="false">PWT!C10</f>
        <v>332604.47</v>
      </c>
      <c r="C42" s="1" t="n">
        <f aca="false">B42/E42</f>
        <v>35.3406275169057</v>
      </c>
      <c r="E42" s="1" t="n">
        <f aca="false">WEO_Data!E10</f>
        <v>9411.39117693633</v>
      </c>
      <c r="F42" s="1" t="n">
        <f aca="false">LN(B42)</f>
        <v>12.7147092852177</v>
      </c>
      <c r="G42" s="1" t="n">
        <f aca="false">LN(E42)</f>
        <v>9.14967606192167</v>
      </c>
      <c r="H42" s="1" t="n">
        <f aca="false">L14</f>
        <v>4.06379234783458</v>
      </c>
      <c r="I42" s="1" t="n">
        <f aca="false">EXP(H42+0.4*F42)</f>
        <v>9411.39117693633</v>
      </c>
      <c r="J42" s="1" t="n">
        <f aca="false">Investment!B10</f>
        <v>0</v>
      </c>
      <c r="K42" s="1" t="n">
        <f aca="false">J42-$B$3*B42</f>
        <v>-1886.15702191988</v>
      </c>
      <c r="L42" s="1" t="n">
        <f aca="false">B42+K42</f>
        <v>330718.31297808</v>
      </c>
      <c r="M42" s="1" t="n">
        <f aca="false">EXP(H42+0.4*LN(L42))</f>
        <v>9390.00643374934</v>
      </c>
      <c r="N42" s="1" t="n">
        <f aca="false">M42-I42</f>
        <v>-21.3847431869945</v>
      </c>
      <c r="O42" s="1" t="n">
        <f aca="false">IF(I42=0,0,N42/I42)</f>
        <v>-0.00227221914220293</v>
      </c>
    </row>
    <row r="43" customFormat="false" ht="15" hidden="false" customHeight="true" outlineLevel="0" collapsed="false">
      <c r="A43" s="1" t="n">
        <v>2009</v>
      </c>
      <c r="B43" s="1" t="n">
        <f aca="false">PWT!C11</f>
        <v>330608.28</v>
      </c>
      <c r="C43" s="1" t="n">
        <f aca="false">B43/E43</f>
        <v>33.4557370586232</v>
      </c>
      <c r="E43" s="1" t="n">
        <f aca="false">WEO_Data!E11</f>
        <v>9881.96073578315</v>
      </c>
      <c r="F43" s="1" t="n">
        <f aca="false">LN(B43)</f>
        <v>12.7086895094275</v>
      </c>
      <c r="G43" s="1" t="n">
        <f aca="false">LN(E43)</f>
        <v>9.1984662260911</v>
      </c>
      <c r="H43" s="1" t="n">
        <f aca="false">L15</f>
        <v>4.11499042232011</v>
      </c>
      <c r="I43" s="1" t="n">
        <f aca="false">EXP(H43+0.4*F43)</f>
        <v>9881.96073578315</v>
      </c>
      <c r="J43" s="1" t="n">
        <f aca="false">Investment!B11</f>
        <v>0</v>
      </c>
      <c r="K43" s="1" t="n">
        <f aca="false">J43-$B$3*B43</f>
        <v>-1874.83688606727</v>
      </c>
      <c r="L43" s="1" t="n">
        <f aca="false">B43+K43</f>
        <v>328733.443113933</v>
      </c>
      <c r="M43" s="1" t="n">
        <f aca="false">EXP(H43+0.4*LN(L43))</f>
        <v>9859.50675543681</v>
      </c>
      <c r="N43" s="1" t="n">
        <f aca="false">M43-I43</f>
        <v>-22.4539803463431</v>
      </c>
      <c r="O43" s="1" t="n">
        <f aca="false">IF(I43=0,0,N43/I43)</f>
        <v>-0.00227221914220282</v>
      </c>
    </row>
    <row r="44" customFormat="false" ht="15" hidden="false" customHeight="true" outlineLevel="0" collapsed="false">
      <c r="A44" s="1" t="n">
        <v>2010</v>
      </c>
      <c r="B44" s="1" t="n">
        <f aca="false">PWT!C12</f>
        <v>332551.53</v>
      </c>
      <c r="C44" s="1" t="n">
        <f aca="false">B44/E44</f>
        <v>32.0498888151111</v>
      </c>
      <c r="E44" s="1" t="n">
        <f aca="false">WEO_Data!E12</f>
        <v>10376.0587725723</v>
      </c>
      <c r="F44" s="1" t="n">
        <f aca="false">LN(B44)</f>
        <v>12.7145501045139</v>
      </c>
      <c r="G44" s="1" t="n">
        <f aca="false">LN(E44)</f>
        <v>9.24725639026053</v>
      </c>
      <c r="H44" s="1" t="n">
        <f aca="false">L16</f>
        <v>4.16143634845497</v>
      </c>
      <c r="I44" s="1" t="n">
        <f aca="false">EXP(H44+0.4*F44)</f>
        <v>10376.0587725723</v>
      </c>
      <c r="J44" s="1" t="n">
        <f aca="false">Investment!B12</f>
        <v>0</v>
      </c>
      <c r="K44" s="1" t="n">
        <f aca="false">J44-$B$3*B44</f>
        <v>-1885.85680601256</v>
      </c>
      <c r="L44" s="1" t="n">
        <f aca="false">B44+K44</f>
        <v>330665.673193987</v>
      </c>
      <c r="M44" s="1" t="n">
        <f aca="false">EXP(H44+0.4*LN(L44))</f>
        <v>10352.4820932087</v>
      </c>
      <c r="N44" s="1" t="n">
        <f aca="false">M44-I44</f>
        <v>-23.5766793636594</v>
      </c>
      <c r="O44" s="1" t="n">
        <f aca="false">IF(I44=0,0,N44/I44)</f>
        <v>-0.00227221914220274</v>
      </c>
    </row>
    <row r="45" customFormat="false" ht="15" hidden="false" customHeight="true" outlineLevel="0" collapsed="false">
      <c r="A45" s="1" t="n">
        <v>2011</v>
      </c>
      <c r="B45" s="1" t="n">
        <f aca="false">PWT!C13</f>
        <v>336560.28</v>
      </c>
      <c r="C45" s="1" t="n">
        <f aca="false">B45/E45</f>
        <v>30.8916523147774</v>
      </c>
      <c r="E45" s="1" t="n">
        <f aca="false">WEO_Data!E13</f>
        <v>10894.8617112009</v>
      </c>
      <c r="F45" s="1" t="n">
        <f aca="false">LN(B45)</f>
        <v>12.7265325502108</v>
      </c>
      <c r="G45" s="1" t="n">
        <f aca="false">LN(E45)</f>
        <v>9.29604655442996</v>
      </c>
      <c r="H45" s="1" t="n">
        <f aca="false">L17</f>
        <v>4.20543353434564</v>
      </c>
      <c r="I45" s="1" t="n">
        <f aca="false">EXP(H45+0.4*F45)</f>
        <v>10894.8617112009</v>
      </c>
      <c r="J45" s="1" t="n">
        <f aca="false">Investment!B13</f>
        <v>0</v>
      </c>
      <c r="K45" s="1" t="n">
        <f aca="false">J45-$B$3*B45</f>
        <v>-1908.589909875</v>
      </c>
      <c r="L45" s="1" t="n">
        <f aca="false">B45+K45</f>
        <v>334651.690090125</v>
      </c>
      <c r="M45" s="1" t="n">
        <f aca="false">EXP(H45+0.4*LN(L45))</f>
        <v>10870.1061978691</v>
      </c>
      <c r="N45" s="1" t="n">
        <f aca="false">M45-I45</f>
        <v>-24.7555133318438</v>
      </c>
      <c r="O45" s="1" t="n">
        <f aca="false">IF(I45=0,0,N45/I45)</f>
        <v>-0.00227221914220286</v>
      </c>
    </row>
    <row r="46" customFormat="false" ht="15" hidden="false" customHeight="true" outlineLevel="0" collapsed="false">
      <c r="A46" s="1" t="n">
        <v>2012</v>
      </c>
      <c r="B46" s="1" t="n">
        <f aca="false">PWT!C14</f>
        <v>341471.19</v>
      </c>
      <c r="C46" s="1" t="n">
        <f aca="false">B46/E46</f>
        <v>29.8499114319653</v>
      </c>
      <c r="E46" s="1" t="n">
        <f aca="false">WEO_Data!E14</f>
        <v>11439.604796761</v>
      </c>
      <c r="F46" s="1" t="n">
        <f aca="false">LN(B46)</f>
        <v>12.7410185913303</v>
      </c>
      <c r="G46" s="1" t="n">
        <f aca="false">LN(E46)</f>
        <v>9.34483671859939</v>
      </c>
      <c r="H46" s="1" t="n">
        <f aca="false">L18</f>
        <v>4.24842928206729</v>
      </c>
      <c r="I46" s="1" t="n">
        <f aca="false">EXP(H46+0.4*F46)</f>
        <v>11439.604796761</v>
      </c>
      <c r="J46" s="1" t="n">
        <f aca="false">Investment!B14</f>
        <v>0</v>
      </c>
      <c r="K46" s="1" t="n">
        <f aca="false">J46-$B$3*B46</f>
        <v>-1936.43904666055</v>
      </c>
      <c r="L46" s="1" t="n">
        <f aca="false">B46+K46</f>
        <v>339534.750953339</v>
      </c>
      <c r="M46" s="1" t="n">
        <f aca="false">EXP(H46+0.4*LN(L46))</f>
        <v>11413.6115077625</v>
      </c>
      <c r="N46" s="1" t="n">
        <f aca="false">M46-I46</f>
        <v>-25.9932889984357</v>
      </c>
      <c r="O46" s="1" t="n">
        <f aca="false">IF(I46=0,0,N46/I46)</f>
        <v>-0.00227221914220284</v>
      </c>
    </row>
    <row r="47" customFormat="false" ht="15" hidden="false" customHeight="true" outlineLevel="0" collapsed="false">
      <c r="A47" s="1" t="n">
        <v>2013</v>
      </c>
      <c r="B47" s="1" t="n">
        <f aca="false">PWT!C15</f>
        <v>344239.03</v>
      </c>
      <c r="C47" s="1" t="n">
        <f aca="false">B47/E47</f>
        <v>28.6589179488895</v>
      </c>
      <c r="E47" s="1" t="n">
        <f aca="false">WEO_Data!E15</f>
        <v>12011.585036599</v>
      </c>
      <c r="F47" s="1" t="n">
        <f aca="false">LN(B47)</f>
        <v>12.749091549707</v>
      </c>
      <c r="G47" s="1" t="n">
        <f aca="false">LN(E47)</f>
        <v>9.39362688276883</v>
      </c>
      <c r="H47" s="1" t="n">
        <f aca="false">L19</f>
        <v>4.29399026288604</v>
      </c>
      <c r="I47" s="1" t="n">
        <f aca="false">EXP(H47+0.4*F47)</f>
        <v>12011.585036599</v>
      </c>
      <c r="J47" s="1" t="n">
        <f aca="false">Investment!B15</f>
        <v>0</v>
      </c>
      <c r="K47" s="1" t="n">
        <f aca="false">J47-$B$3*B47</f>
        <v>-1952.1351100705</v>
      </c>
      <c r="L47" s="1" t="n">
        <f aca="false">B47+K47</f>
        <v>342286.89488993</v>
      </c>
      <c r="M47" s="1" t="n">
        <f aca="false">EXP(H47+0.4*LN(L47))</f>
        <v>11984.2920831507</v>
      </c>
      <c r="N47" s="1" t="n">
        <f aca="false">M47-I47</f>
        <v>-27.2929534483574</v>
      </c>
      <c r="O47" s="1" t="n">
        <f aca="false">IF(I47=0,0,N47/I47)</f>
        <v>-0.00227221914220283</v>
      </c>
    </row>
    <row r="48" customFormat="false" ht="15" hidden="false" customHeight="true" outlineLevel="0" collapsed="false">
      <c r="A48" s="1" t="n">
        <v>2014</v>
      </c>
      <c r="B48" s="1" t="n">
        <f aca="false">PWT!C16</f>
        <v>350962.16</v>
      </c>
      <c r="C48" s="1" t="n">
        <f aca="false">B48/E48</f>
        <v>27.827274682902</v>
      </c>
      <c r="E48" s="1" t="n">
        <f aca="false">WEO_Data!E16</f>
        <v>12612.164288429</v>
      </c>
      <c r="F48" s="1" t="n">
        <f aca="false">LN(B48)</f>
        <v>12.7684336903687</v>
      </c>
      <c r="G48" s="1" t="n">
        <f aca="false">LN(E48)</f>
        <v>9.44241704693826</v>
      </c>
      <c r="H48" s="1" t="n">
        <f aca="false">L20</f>
        <v>4.33504357079079</v>
      </c>
      <c r="I48" s="1" t="n">
        <f aca="false">EXP(H48+0.4*F48)</f>
        <v>12612.164288429</v>
      </c>
      <c r="J48" s="1" t="n">
        <f aca="false">Investment!B16</f>
        <v>0</v>
      </c>
      <c r="K48" s="1" t="n">
        <f aca="false">J48-$B$3*B48</f>
        <v>-1990.26111258267</v>
      </c>
      <c r="L48" s="1" t="n">
        <f aca="false">B48+K48</f>
        <v>348971.898887417</v>
      </c>
      <c r="M48" s="1" t="n">
        <f aca="false">EXP(H48+0.4*LN(L48))</f>
        <v>12583.5066873082</v>
      </c>
      <c r="N48" s="1" t="n">
        <f aca="false">M48-I48</f>
        <v>-28.6576011207762</v>
      </c>
      <c r="O48" s="1" t="n">
        <f aca="false">IF(I48=0,0,N48/I48)</f>
        <v>-0.00227221914220291</v>
      </c>
    </row>
    <row r="49" customFormat="false" ht="15" hidden="false" customHeight="true" outlineLevel="0" collapsed="false">
      <c r="A49" s="1" t="n">
        <v>2015</v>
      </c>
      <c r="B49" s="1" t="n">
        <f aca="false">PWT!C17</f>
        <v>360259.81</v>
      </c>
      <c r="C49" s="1" t="n">
        <f aca="false">B49/E49</f>
        <v>27.2042587700164</v>
      </c>
      <c r="E49" s="1" t="n">
        <f aca="false">WEO_Data!E17</f>
        <v>13242.7725028504</v>
      </c>
      <c r="F49" s="1" t="n">
        <f aca="false">LN(B49)</f>
        <v>12.7945807445805</v>
      </c>
      <c r="G49" s="1" t="n">
        <f aca="false">LN(E49)</f>
        <v>9.49120721110769</v>
      </c>
      <c r="H49" s="1" t="n">
        <f aca="false">L21</f>
        <v>4.37337491327548</v>
      </c>
      <c r="I49" s="1" t="n">
        <f aca="false">EXP(H49+0.4*F49)</f>
        <v>13242.7725028504</v>
      </c>
      <c r="J49" s="1" t="n">
        <f aca="false">Investment!B17</f>
        <v>0</v>
      </c>
      <c r="K49" s="1" t="n">
        <f aca="false">J49-$B$3*B49</f>
        <v>-2042.98688573555</v>
      </c>
      <c r="L49" s="1" t="n">
        <f aca="false">B49+K49</f>
        <v>358216.823114264</v>
      </c>
      <c r="M49" s="1" t="n">
        <f aca="false">EXP(H49+0.4*LN(L49))</f>
        <v>13212.6820216736</v>
      </c>
      <c r="N49" s="1" t="n">
        <f aca="false">M49-I49</f>
        <v>-30.0904811768378</v>
      </c>
      <c r="O49" s="1" t="n">
        <f aca="false">IF(I49=0,0,N49/I49)</f>
        <v>-0.00227221914220463</v>
      </c>
    </row>
    <row r="50" customFormat="false" ht="15" hidden="false" customHeight="true" outlineLevel="0" collapsed="false">
      <c r="A50" s="1" t="n">
        <v>2016</v>
      </c>
      <c r="B50" s="1" t="n">
        <f aca="false">PWT!C18</f>
        <v>370547.66</v>
      </c>
      <c r="C50" s="1" t="n">
        <f aca="false">B50/E50</f>
        <v>26.6486895593331</v>
      </c>
      <c r="E50" s="1" t="n">
        <f aca="false">WEO_Data!E18</f>
        <v>13904.9111279929</v>
      </c>
      <c r="F50" s="1" t="n">
        <f aca="false">LN(B50)</f>
        <v>12.8227373524223</v>
      </c>
      <c r="G50" s="1" t="n">
        <f aca="false">LN(E50)</f>
        <v>9.53999737527712</v>
      </c>
      <c r="H50" s="1" t="n">
        <f aca="false">L22</f>
        <v>4.4109024343082</v>
      </c>
      <c r="I50" s="1" t="n">
        <f aca="false">EXP(H50+0.4*F50)</f>
        <v>13904.9111279929</v>
      </c>
      <c r="J50" s="1" t="n">
        <f aca="false">Investment!B18</f>
        <v>0</v>
      </c>
      <c r="K50" s="1" t="n">
        <f aca="false">J50-$B$3*B50</f>
        <v>-2101.3279552887</v>
      </c>
      <c r="L50" s="1" t="n">
        <f aca="false">B50+K50</f>
        <v>368446.332044711</v>
      </c>
      <c r="M50" s="1" t="n">
        <f aca="false">EXP(H50+0.4*LN(L50))</f>
        <v>13873.3161227573</v>
      </c>
      <c r="N50" s="1" t="n">
        <f aca="false">M50-I50</f>
        <v>-31.5950052356548</v>
      </c>
      <c r="O50" s="1" t="n">
        <f aca="false">IF(I50=0,0,N50/I50)</f>
        <v>-0.00227221914220284</v>
      </c>
    </row>
    <row r="51" customFormat="false" ht="15" hidden="false" customHeight="true" outlineLevel="0" collapsed="false">
      <c r="A51" s="1" t="n">
        <v>2017</v>
      </c>
      <c r="B51" s="1" t="n">
        <f aca="false">PWT!C19</f>
        <v>380655.78</v>
      </c>
      <c r="C51" s="1" t="n">
        <f aca="false">B51/E51</f>
        <v>26.0720338985757</v>
      </c>
      <c r="E51" s="1" t="n">
        <f aca="false">WEO_Data!E19</f>
        <v>14600.1566843926</v>
      </c>
      <c r="F51" s="1" t="n">
        <f aca="false">LN(B51)</f>
        <v>12.8496507811718</v>
      </c>
      <c r="G51" s="1" t="n">
        <f aca="false">LN(E51)</f>
        <v>9.58878753944655</v>
      </c>
      <c r="H51" s="1" t="n">
        <f aca="false">L23</f>
        <v>4.44892722697783</v>
      </c>
      <c r="I51" s="1" t="n">
        <f aca="false">EXP(H51+0.4*F51)</f>
        <v>14600.1566843926</v>
      </c>
      <c r="J51" s="1" t="n">
        <f aca="false">Investment!B19</f>
        <v>0</v>
      </c>
      <c r="K51" s="1" t="n">
        <f aca="false">J51-$B$3*B51</f>
        <v>-2158.64979920862</v>
      </c>
      <c r="L51" s="1" t="n">
        <f aca="false">B51+K51</f>
        <v>378497.130200791</v>
      </c>
      <c r="M51" s="1" t="n">
        <f aca="false">EXP(H51+0.4*LN(L51))</f>
        <v>14566.9819288951</v>
      </c>
      <c r="N51" s="1" t="n">
        <f aca="false">M51-I51</f>
        <v>-33.1747554974627</v>
      </c>
      <c r="O51" s="1" t="n">
        <f aca="false">IF(I51=0,0,N51/I51)</f>
        <v>-0.00227221914220456</v>
      </c>
    </row>
    <row r="52" customFormat="false" ht="15" hidden="false" customHeight="true" outlineLevel="0" collapsed="false">
      <c r="A52" s="1" t="n">
        <v>2018</v>
      </c>
      <c r="B52" s="1" t="n">
        <f aca="false">PWT!C20</f>
        <v>390625.19</v>
      </c>
      <c r="C52" s="1" t="n">
        <f aca="false">B52/E52</f>
        <v>25.4808217828155</v>
      </c>
      <c r="E52" s="1" t="n">
        <f aca="false">WEO_Data!E20</f>
        <v>15330.1645186122</v>
      </c>
      <c r="F52" s="1" t="n">
        <f aca="false">LN(B52)</f>
        <v>12.8755037858727</v>
      </c>
      <c r="G52" s="1" t="n">
        <f aca="false">LN(E52)</f>
        <v>9.63757770361599</v>
      </c>
      <c r="H52" s="1" t="n">
        <f aca="false">L24</f>
        <v>4.48737618926691</v>
      </c>
      <c r="I52" s="1" t="n">
        <f aca="false">EXP(H52+0.4*F52)</f>
        <v>15330.1645186122</v>
      </c>
      <c r="J52" s="1" t="n">
        <f aca="false">Investment!B20</f>
        <v>0</v>
      </c>
      <c r="K52" s="1" t="n">
        <f aca="false">J52-$B$3*B52</f>
        <v>-2215.18503662109</v>
      </c>
      <c r="L52" s="1" t="n">
        <f aca="false">B52+K52</f>
        <v>388410.004963379</v>
      </c>
      <c r="M52" s="1" t="n">
        <f aca="false">EXP(H52+0.4*LN(L52))</f>
        <v>15295.3310253399</v>
      </c>
      <c r="N52" s="1" t="n">
        <f aca="false">M52-I52</f>
        <v>-34.8334932723374</v>
      </c>
      <c r="O52" s="1" t="n">
        <f aca="false">IF(I52=0,0,N52/I52)</f>
        <v>-0.00227221914220466</v>
      </c>
    </row>
    <row r="53" customFormat="false" ht="15" hidden="false" customHeight="true" outlineLevel="0" collapsed="false">
      <c r="A53" s="1" t="n">
        <v>2019</v>
      </c>
      <c r="B53" s="1" t="n">
        <f aca="false">PWT!C21</f>
        <v>399934.28</v>
      </c>
      <c r="C53" s="1" t="n">
        <f aca="false">B53/E53</f>
        <v>24.8457731822614</v>
      </c>
      <c r="E53" s="1" t="n">
        <f aca="false">WEO_Data!E21</f>
        <v>16096.6727445428</v>
      </c>
      <c r="F53" s="1" t="n">
        <f aca="false">LN(B53)</f>
        <v>12.8990555125914</v>
      </c>
      <c r="G53" s="1" t="n">
        <f aca="false">LN(E53)</f>
        <v>9.68636786778542</v>
      </c>
      <c r="H53" s="1" t="n">
        <f aca="false">L25</f>
        <v>4.52674566274886</v>
      </c>
      <c r="I53" s="1" t="n">
        <f aca="false">EXP(H53+0.4*F53)</f>
        <v>16096.6727445428</v>
      </c>
      <c r="J53" s="1" t="n">
        <f aca="false">Investment!B21</f>
        <v>0</v>
      </c>
      <c r="K53" s="1" t="n">
        <f aca="false">J53-$B$3*B53</f>
        <v>-2267.97568453747</v>
      </c>
      <c r="L53" s="1" t="n">
        <f aca="false">B53+K53</f>
        <v>397666.304315463</v>
      </c>
      <c r="M53" s="1" t="n">
        <f aca="false">EXP(H53+0.4*LN(L53))</f>
        <v>16060.0975766069</v>
      </c>
      <c r="N53" s="1" t="n">
        <f aca="false">M53-I53</f>
        <v>-36.5751679359528</v>
      </c>
      <c r="O53" s="1" t="n">
        <f aca="false">IF(I53=0,0,N53/I53)</f>
        <v>-0.00227221914220457</v>
      </c>
    </row>
    <row r="54" customFormat="false" ht="15" hidden="false" customHeight="true" outlineLevel="0" collapsed="false">
      <c r="A54" s="1" t="n">
        <v>2020</v>
      </c>
      <c r="B54" s="1" t="n">
        <f aca="false">PWT!C22</f>
        <v>405156.16</v>
      </c>
      <c r="C54" s="1" t="n">
        <f aca="false">B54/E54</f>
        <v>23.9716005691068</v>
      </c>
      <c r="E54" s="1" t="n">
        <f aca="false">WEO_Data!E22</f>
        <v>16901.50638177</v>
      </c>
      <c r="F54" s="1" t="n">
        <f aca="false">LN(B54)</f>
        <v>12.9120278520186</v>
      </c>
      <c r="G54" s="1" t="n">
        <f aca="false">LN(E54)</f>
        <v>9.73515803195485</v>
      </c>
      <c r="H54" s="1" t="n">
        <f aca="false">L26</f>
        <v>4.5703468911474</v>
      </c>
      <c r="I54" s="1" t="n">
        <f aca="false">EXP(H54+0.4*F54)</f>
        <v>16901.50638177</v>
      </c>
      <c r="J54" s="1" t="n">
        <f aca="false">Investment!B22</f>
        <v>0</v>
      </c>
      <c r="K54" s="1" t="n">
        <f aca="false">J54-$B$3*B54</f>
        <v>-2297.58829205782</v>
      </c>
      <c r="L54" s="1" t="n">
        <f aca="false">B54+K54</f>
        <v>402858.571707942</v>
      </c>
      <c r="M54" s="1" t="n">
        <f aca="false">EXP(H54+0.4*LN(L54))</f>
        <v>16863.1024554372</v>
      </c>
      <c r="N54" s="1" t="n">
        <f aca="false">M54-I54</f>
        <v>-38.4039263327213</v>
      </c>
      <c r="O54" s="1" t="n">
        <f aca="false">IF(I54=0,0,N54/I54)</f>
        <v>-0.00227221914220285</v>
      </c>
    </row>
    <row r="55" customFormat="false" ht="15" hidden="false" customHeight="true" outlineLevel="0" collapsed="false">
      <c r="A55" s="1" t="n">
        <v>2021</v>
      </c>
      <c r="B55" s="1" t="n">
        <f aca="false">PWT!C23</f>
        <v>409189.75</v>
      </c>
      <c r="C55" s="1" t="n">
        <f aca="false">B55/E55</f>
        <v>23.0573840583737</v>
      </c>
      <c r="E55" s="1" t="n">
        <f aca="false">WEO_Data!E23</f>
        <v>17746.5817008585</v>
      </c>
      <c r="F55" s="1" t="n">
        <f aca="false">LN(B55)</f>
        <v>12.92193426387</v>
      </c>
      <c r="G55" s="1" t="n">
        <f aca="false">LN(E55)</f>
        <v>9.78394819612428</v>
      </c>
      <c r="H55" s="1" t="n">
        <f aca="false">L27</f>
        <v>4.61517449057627</v>
      </c>
      <c r="I55" s="1" t="n">
        <f aca="false">EXP(H55+0.4*F55)</f>
        <v>17746.5817008585</v>
      </c>
      <c r="J55" s="1" t="n">
        <f aca="false">Investment!B23</f>
        <v>0</v>
      </c>
      <c r="K55" s="1" t="n">
        <f aca="false">J55-$B$3*B55</f>
        <v>-2320.46226035429</v>
      </c>
      <c r="L55" s="1" t="n">
        <f aca="false">B55+K55</f>
        <v>406869.287739646</v>
      </c>
      <c r="M55" s="1" t="n">
        <f aca="false">EXP(H55+0.4*LN(L55))</f>
        <v>17706.2575782091</v>
      </c>
      <c r="N55" s="1" t="n">
        <f aca="false">M55-I55</f>
        <v>-40.3241226493556</v>
      </c>
      <c r="O55" s="1" t="n">
        <f aca="false">IF(I55=0,0,N55/I55)</f>
        <v>-0.00227221914220275</v>
      </c>
    </row>
    <row r="56" customFormat="false" ht="15" hidden="false" customHeight="true" outlineLevel="0" collapsed="false">
      <c r="A56" s="1" t="n">
        <v>2022</v>
      </c>
      <c r="B56" s="1" t="n">
        <f aca="false">PWT!C24</f>
        <v>415085.84</v>
      </c>
      <c r="C56" s="1" t="n">
        <f aca="false">B56/E56</f>
        <v>22.2758305955859</v>
      </c>
      <c r="E56" s="1" t="n">
        <f aca="false">WEO_Data!E24</f>
        <v>18633.9107859014</v>
      </c>
      <c r="F56" s="1" t="n">
        <f aca="false">LN(B56)</f>
        <v>12.9362406211972</v>
      </c>
      <c r="G56" s="1" t="n">
        <f aca="false">LN(E56)</f>
        <v>9.83273836029371</v>
      </c>
      <c r="H56" s="1" t="n">
        <f aca="false">L28</f>
        <v>4.65824211181484</v>
      </c>
      <c r="I56" s="1" t="n">
        <f aca="false">EXP(H56+0.4*F56)</f>
        <v>18633.9107859014</v>
      </c>
      <c r="J56" s="1" t="n">
        <f aca="false">Investment!B24</f>
        <v>0</v>
      </c>
      <c r="K56" s="1" t="n">
        <f aca="false">J56-$B$3*B56</f>
        <v>-2353.89822576802</v>
      </c>
      <c r="L56" s="1" t="n">
        <f aca="false">B56+K56</f>
        <v>412731.941774232</v>
      </c>
      <c r="M56" s="1" t="n">
        <f aca="false">EXP(H56+0.4*LN(L56))</f>
        <v>18591.5704571196</v>
      </c>
      <c r="N56" s="1" t="n">
        <f aca="false">M56-I56</f>
        <v>-42.3403287818255</v>
      </c>
      <c r="O56" s="1" t="n">
        <f aca="false">IF(I56=0,0,N56/I56)</f>
        <v>-0.00227221914220286</v>
      </c>
    </row>
    <row r="57" customFormat="false" ht="15" hidden="false" customHeight="true" outlineLevel="0" collapsed="false">
      <c r="A57" s="1" t="n">
        <v>2023</v>
      </c>
      <c r="B57" s="1" t="n">
        <f aca="false">PWT!C25</f>
        <v>426190.5</v>
      </c>
      <c r="C57" s="1" t="n">
        <f aca="false">B57/E57</f>
        <v>21.7826369863711</v>
      </c>
      <c r="E57" s="1" t="n">
        <f aca="false">WEO_Data!E25</f>
        <v>19565.6063251965</v>
      </c>
      <c r="F57" s="1" t="n">
        <f aca="false">LN(B57)</f>
        <v>12.9626417083935</v>
      </c>
      <c r="G57" s="1" t="n">
        <f aca="false">LN(E57)</f>
        <v>9.88152852446315</v>
      </c>
      <c r="H57" s="1" t="n">
        <f aca="false">L29</f>
        <v>4.69647184110573</v>
      </c>
      <c r="I57" s="1" t="n">
        <f aca="false">EXP(H57+0.4*F57)</f>
        <v>19565.6063251965</v>
      </c>
      <c r="J57" s="1" t="n">
        <f aca="false">Investment!B25</f>
        <v>0</v>
      </c>
      <c r="K57" s="1" t="n">
        <f aca="false">J57-$B$3*B57</f>
        <v>-2416.87131940994</v>
      </c>
      <c r="L57" s="1" t="n">
        <f aca="false">B57+K57</f>
        <v>423773.62868059</v>
      </c>
      <c r="M57" s="1" t="n">
        <f aca="false">EXP(H57+0.4*LN(L57))</f>
        <v>19521.1489799755</v>
      </c>
      <c r="N57" s="1" t="n">
        <f aca="false">M57-I57</f>
        <v>-44.4573452209515</v>
      </c>
      <c r="O57" s="1" t="n">
        <f aca="false">IF(I57=0,0,N57/I57)</f>
        <v>-0.00227221914220464</v>
      </c>
    </row>
    <row r="58" customFormat="false" ht="15" hidden="false" customHeight="true" outlineLevel="0" collapsed="false">
      <c r="A58" s="1" t="n">
        <v>2024</v>
      </c>
      <c r="B58" s="1" t="n">
        <f aca="false">B57*(1-$B$3)</f>
        <v>423773.62868059</v>
      </c>
      <c r="D58" s="1" t="n">
        <f aca="false">$P$34*E58</f>
        <v>484199.025777129</v>
      </c>
      <c r="E58" s="1" t="n">
        <f aca="false">WEO_Data!E26</f>
        <v>20543.8866414563</v>
      </c>
      <c r="F58" s="1" t="n">
        <f aca="false">LN(B58)</f>
        <v>12.9569546970204</v>
      </c>
      <c r="G58" s="1" t="n">
        <f aca="false">LN(E58)</f>
        <v>9.93031868863258</v>
      </c>
      <c r="H58" s="1" t="n">
        <f aca="false">H$57 + (H$57-H$36)/23 * (2024-2023)</f>
        <v>4.73512025779005</v>
      </c>
      <c r="I58" s="1" t="n">
        <f aca="false">EXP(H58+0.4*F58)</f>
        <v>20290.3795032115</v>
      </c>
      <c r="J58" s="1" t="n">
        <f aca="false">Investment!B26</f>
        <v>0</v>
      </c>
      <c r="K58" s="1" t="n">
        <f aca="false">J58-$B$3*L57</f>
        <v>-2403.16555409001</v>
      </c>
      <c r="L58" s="1" t="n">
        <f aca="false">L57*(1-$B$3)+J58</f>
        <v>421370.4631265</v>
      </c>
      <c r="M58" s="1" t="n">
        <f aca="false">EXP(H58+0.4*LN(L58))</f>
        <v>20244.2753145017</v>
      </c>
      <c r="N58" s="1" t="n">
        <f aca="false">M58-I58</f>
        <v>-46.1041887097563</v>
      </c>
      <c r="O58" s="1" t="n">
        <f aca="false">IF(I58=0,0,N58/I58)</f>
        <v>-0.00227221914220279</v>
      </c>
    </row>
    <row r="59" customFormat="false" ht="15" hidden="false" customHeight="true" outlineLevel="0" collapsed="false">
      <c r="A59" s="1" t="n">
        <v>2025</v>
      </c>
      <c r="B59" s="1" t="n">
        <f aca="false">B58*(1-$B$3)</f>
        <v>421370.4631265</v>
      </c>
      <c r="D59" s="1" t="n">
        <f aca="false">$P$34*E59</f>
        <v>508408.977065986</v>
      </c>
      <c r="E59" s="1" t="n">
        <f aca="false">WEO_Data!E27</f>
        <v>21571.0809735291</v>
      </c>
      <c r="F59" s="1" t="n">
        <f aca="false">LN(B59)</f>
        <v>12.9512676856472</v>
      </c>
      <c r="G59" s="1" t="n">
        <f aca="false">LN(E59)</f>
        <v>9.97910885280201</v>
      </c>
      <c r="H59" s="1" t="n">
        <f aca="false">H$57 + (H$57-H$36)/23 * (2025-2023)</f>
        <v>4.77376867447437</v>
      </c>
      <c r="I59" s="1" t="n">
        <f aca="false">EXP(H59+0.4*F59)</f>
        <v>21042.0006178986</v>
      </c>
      <c r="J59" s="1" t="n">
        <f aca="false">Investment!B27</f>
        <v>0</v>
      </c>
      <c r="K59" s="1" t="n">
        <f aca="false">J59-$B$3*L58</f>
        <v>-2389.53751239627</v>
      </c>
      <c r="L59" s="1" t="n">
        <f aca="false">L58*(1-$B$3)+J59</f>
        <v>418980.925614104</v>
      </c>
      <c r="M59" s="1" t="n">
        <f aca="false">EXP(H59+0.4*LN(L59))</f>
        <v>20994.1885813043</v>
      </c>
      <c r="N59" s="1" t="n">
        <f aca="false">M59-I59</f>
        <v>-47.8120365942705</v>
      </c>
      <c r="O59" s="1" t="n">
        <f aca="false">IF(I59=0,0,N59/I59)</f>
        <v>-0.00227221914220461</v>
      </c>
    </row>
    <row r="60" customFormat="false" ht="15" hidden="false" customHeight="true" outlineLevel="0" collapsed="false">
      <c r="A60" s="1" t="n">
        <v>2026</v>
      </c>
      <c r="B60" s="1" t="n">
        <f aca="false">B59*(1-$B$3)</f>
        <v>418980.925614104</v>
      </c>
      <c r="D60" s="1" t="n">
        <f aca="false">$P$34*E60</f>
        <v>533829.425919285</v>
      </c>
      <c r="E60" s="1" t="n">
        <f aca="false">WEO_Data!E28</f>
        <v>22649.6350222056</v>
      </c>
      <c r="F60" s="1" t="n">
        <f aca="false">LN(B60)</f>
        <v>12.945580674274</v>
      </c>
      <c r="G60" s="1" t="n">
        <f aca="false">LN(E60)</f>
        <v>10.0278990169714</v>
      </c>
      <c r="H60" s="1" t="n">
        <f aca="false">H$57 + (H$57-H$36)/23 * (2026-2023)</f>
        <v>4.81241709115869</v>
      </c>
      <c r="I60" s="1" t="n">
        <f aca="false">EXP(H60+0.4*F60)</f>
        <v>21821.464203445</v>
      </c>
      <c r="J60" s="1" t="n">
        <f aca="false">Investment!B28</f>
        <v>812.5</v>
      </c>
      <c r="K60" s="1" t="n">
        <f aca="false">J60-$B$3*L59</f>
        <v>-1563.48675356809</v>
      </c>
      <c r="L60" s="1" t="n">
        <f aca="false">L59*(1-$B$3)+J60</f>
        <v>417417.438860536</v>
      </c>
      <c r="M60" s="1" t="n">
        <f aca="false">EXP(H60+0.4*LN(L60))</f>
        <v>21788.8557110743</v>
      </c>
      <c r="N60" s="1" t="n">
        <f aca="false">M60-I60</f>
        <v>-32.6084923707349</v>
      </c>
      <c r="O60" s="1" t="n">
        <f aca="false">IF(I60=0,0,N60/I60)</f>
        <v>-0.00149433108918451</v>
      </c>
    </row>
    <row r="61" customFormat="false" ht="15" hidden="false" customHeight="true" outlineLevel="0" collapsed="false">
      <c r="A61" s="1" t="n">
        <v>2027</v>
      </c>
      <c r="B61" s="1" t="n">
        <f aca="false">B60*(1-$B$3)</f>
        <v>416604.938860536</v>
      </c>
      <c r="D61" s="1" t="n">
        <f aca="false">$P$34*E61</f>
        <v>560520.897215249</v>
      </c>
      <c r="E61" s="1" t="n">
        <f aca="false">WEO_Data!E29</f>
        <v>23782.1167733158</v>
      </c>
      <c r="F61" s="1" t="n">
        <f aca="false">LN(B61)</f>
        <v>12.9398936629008</v>
      </c>
      <c r="G61" s="1" t="n">
        <f aca="false">LN(E61)</f>
        <v>10.0766891811409</v>
      </c>
      <c r="H61" s="1" t="n">
        <f aca="false">H$57 + (H$57-H$36)/23 * (2027-2023)</f>
        <v>4.851065507843</v>
      </c>
      <c r="I61" s="1" t="n">
        <f aca="false">EXP(H61+0.4*F61)</f>
        <v>22629.8016347929</v>
      </c>
      <c r="J61" s="1" t="n">
        <f aca="false">Investment!B29</f>
        <v>812.5</v>
      </c>
      <c r="K61" s="1" t="n">
        <f aca="false">J61-$B$3*L60</f>
        <v>-1554.62042197933</v>
      </c>
      <c r="L61" s="1" t="n">
        <f aca="false">L60*(1-$B$3)+J61</f>
        <v>415862.818438556</v>
      </c>
      <c r="M61" s="1" t="n">
        <f aca="false">EXP(H61+0.4*LN(L61))</f>
        <v>22613.6683442433</v>
      </c>
      <c r="N61" s="1" t="n">
        <f aca="false">M61-I61</f>
        <v>-16.1332905495437</v>
      </c>
      <c r="O61" s="1" t="n">
        <f aca="false">IF(I61=0,0,N61/I61)</f>
        <v>-0.000712922314119587</v>
      </c>
    </row>
    <row r="62" customFormat="false" ht="15" hidden="false" customHeight="true" outlineLevel="0" collapsed="false">
      <c r="A62" s="1" t="n">
        <v>2028</v>
      </c>
      <c r="B62" s="1" t="n">
        <f aca="false">B61*(1-$B$3)</f>
        <v>414242.426021191</v>
      </c>
      <c r="D62" s="1" t="n">
        <f aca="false">$P$34*E62</f>
        <v>588546.942076012</v>
      </c>
      <c r="E62" s="1" t="n">
        <f aca="false">WEO_Data!E30</f>
        <v>24971.2226119816</v>
      </c>
      <c r="F62" s="1" t="n">
        <f aca="false">LN(B62)</f>
        <v>12.9342066515277</v>
      </c>
      <c r="G62" s="1" t="n">
        <f aca="false">LN(E62)</f>
        <v>10.1254793453103</v>
      </c>
      <c r="H62" s="1" t="n">
        <f aca="false">H$57 + (H$57-H$36)/23 * (2028-2023)</f>
        <v>4.88971392452732</v>
      </c>
      <c r="I62" s="1" t="n">
        <f aca="false">EXP(H62+0.4*F62)</f>
        <v>23468.0824923391</v>
      </c>
      <c r="J62" s="1" t="n">
        <f aca="false">Investment!B30</f>
        <v>812.5</v>
      </c>
      <c r="K62" s="1" t="n">
        <f aca="false">J62-$B$3*L61</f>
        <v>-1545.80437021269</v>
      </c>
      <c r="L62" s="1" t="n">
        <f aca="false">L61*(1-$B$3)+J62</f>
        <v>414317.014068344</v>
      </c>
      <c r="M62" s="1" t="n">
        <f aca="false">EXP(H62+0.4*LN(L62))</f>
        <v>23469.7726561543</v>
      </c>
      <c r="N62" s="1" t="n">
        <f aca="false">M62-I62</f>
        <v>1.69016381522306</v>
      </c>
      <c r="O62" s="1" t="n">
        <f aca="false">IF(I62=0,0,N62/I62)</f>
        <v>7.20196810188815E-005</v>
      </c>
    </row>
    <row r="63" customFormat="false" ht="15" hidden="false" customHeight="true" outlineLevel="0" collapsed="false">
      <c r="A63" s="1" t="n">
        <v>2029</v>
      </c>
      <c r="B63" s="1" t="n">
        <f aca="false">B62*(1-$B$3)</f>
        <v>411893.310687242</v>
      </c>
      <c r="D63" s="1" t="n">
        <f aca="false">$P$34*E63</f>
        <v>617974.289179812</v>
      </c>
      <c r="E63" s="1" t="n">
        <f aca="false">WEO_Data!E31</f>
        <v>26219.7837425807</v>
      </c>
      <c r="F63" s="1" t="n">
        <f aca="false">LN(B63)</f>
        <v>12.9285196401545</v>
      </c>
      <c r="G63" s="1" t="n">
        <f aca="false">LN(E63)</f>
        <v>10.1742695094797</v>
      </c>
      <c r="H63" s="1" t="n">
        <f aca="false">H$57 + (H$57-H$36)/23 * (2029-2023)</f>
        <v>4.92836234121164</v>
      </c>
      <c r="I63" s="1" t="n">
        <f aca="false">EXP(H63+0.4*F63)</f>
        <v>24337.4159771894</v>
      </c>
      <c r="J63" s="1" t="n">
        <f aca="false">Investment!B31</f>
        <v>812.5</v>
      </c>
      <c r="K63" s="1" t="n">
        <f aca="false">J63-$B$3*L62</f>
        <v>-1537.03831313778</v>
      </c>
      <c r="L63" s="1" t="n">
        <f aca="false">L62*(1-$B$3)+J63</f>
        <v>412779.975755206</v>
      </c>
      <c r="M63" s="1" t="n">
        <f aca="false">EXP(H63+0.4*LN(L63))</f>
        <v>24358.3585040665</v>
      </c>
      <c r="N63" s="1" t="n">
        <f aca="false">M63-I63</f>
        <v>20.942526877101</v>
      </c>
      <c r="O63" s="1" t="n">
        <f aca="false">IF(I63=0,0,N63/I63)</f>
        <v>0.000860507413635439</v>
      </c>
    </row>
    <row r="64" customFormat="false" ht="15" hidden="false" customHeight="true" outlineLevel="0" collapsed="false">
      <c r="A64" s="1" t="n">
        <v>2030</v>
      </c>
      <c r="B64" s="1" t="n">
        <f aca="false">B63*(1-$B$3)</f>
        <v>409557.516883165</v>
      </c>
      <c r="D64" s="1" t="n">
        <f aca="false">$P$34*E64</f>
        <v>648873.003638803</v>
      </c>
      <c r="E64" s="1" t="n">
        <f aca="false">WEO_Data!E32</f>
        <v>27530.7729297098</v>
      </c>
      <c r="F64" s="1" t="n">
        <f aca="false">LN(B64)</f>
        <v>12.9228326287813</v>
      </c>
      <c r="G64" s="1" t="n">
        <f aca="false">LN(E64)</f>
        <v>10.2230596736492</v>
      </c>
      <c r="H64" s="1" t="n">
        <f aca="false">H$57 + (H$57-H$36)/23 * (2030-2023)</f>
        <v>4.96701075789596</v>
      </c>
      <c r="I64" s="1" t="n">
        <f aca="false">EXP(H64+0.4*F64)</f>
        <v>25238.9523788364</v>
      </c>
      <c r="J64" s="1" t="n">
        <f aca="false">Investment!B32</f>
        <v>812.5</v>
      </c>
      <c r="K64" s="1" t="n">
        <f aca="false">J64-$B$3*L63</f>
        <v>-1528.32196724115</v>
      </c>
      <c r="L64" s="1" t="n">
        <f aca="false">L63*(1-$B$3)+J64</f>
        <v>411251.653787965</v>
      </c>
      <c r="M64" s="1" t="n">
        <f aca="false">EXP(H64+0.4*LN(L64))</f>
        <v>25280.6610959177</v>
      </c>
      <c r="N64" s="1" t="n">
        <f aca="false">M64-I64</f>
        <v>41.708717081292</v>
      </c>
      <c r="O64" s="1" t="n">
        <f aca="false">IF(I64=0,0,N64/I64)</f>
        <v>0.0016525534204132</v>
      </c>
    </row>
    <row r="65" customFormat="false" ht="15" hidden="false" customHeight="true" outlineLevel="0" collapsed="false">
      <c r="A65" s="1" t="n">
        <v>2031</v>
      </c>
      <c r="B65" s="1" t="n">
        <f aca="false">B64*(1-$B$3)</f>
        <v>407234.969064282</v>
      </c>
      <c r="D65" s="1" t="n">
        <f aca="false">$P$34*E65</f>
        <v>681316.653820743</v>
      </c>
      <c r="E65" s="1" t="n">
        <f aca="false">WEO_Data!E33</f>
        <v>28907.3115761952</v>
      </c>
      <c r="F65" s="1" t="n">
        <f aca="false">LN(B65)</f>
        <v>12.9171456174082</v>
      </c>
      <c r="G65" s="1" t="n">
        <f aca="false">LN(E65)</f>
        <v>10.2718498378186</v>
      </c>
      <c r="H65" s="1" t="n">
        <f aca="false">H$57 + (H$57-H$36)/23 * (2031-2023)</f>
        <v>5.00565917458028</v>
      </c>
      <c r="I65" s="1" t="n">
        <f aca="false">EXP(H65+0.4*F65)</f>
        <v>26173.8845972069</v>
      </c>
      <c r="J65" s="1" t="n">
        <f aca="false">Investment!B33</f>
        <v>812.5</v>
      </c>
      <c r="K65" s="1" t="n">
        <f aca="false">J65-$B$3*L64</f>
        <v>-1519.65505061713</v>
      </c>
      <c r="L65" s="1" t="n">
        <f aca="false">L64*(1-$B$3)+J65</f>
        <v>409731.998737348</v>
      </c>
      <c r="M65" s="1" t="n">
        <f aca="false">EXP(H65+0.4*LN(L65))</f>
        <v>26237.9627229928</v>
      </c>
      <c r="N65" s="1" t="n">
        <f aca="false">M65-I65</f>
        <v>64.0781257858216</v>
      </c>
      <c r="O65" s="1" t="n">
        <f aca="false">IF(I65=0,0,N65/I65)</f>
        <v>0.00244817025718298</v>
      </c>
    </row>
    <row r="66" customFormat="false" ht="15" hidden="false" customHeight="true" outlineLevel="0" collapsed="false">
      <c r="A66" s="1" t="n">
        <v>2032</v>
      </c>
      <c r="B66" s="1" t="n">
        <f aca="false">B65*(1-$B$3)</f>
        <v>404925.592114321</v>
      </c>
      <c r="D66" s="1" t="n">
        <f aca="false">$P$34*E66</f>
        <v>715382.48651178</v>
      </c>
      <c r="E66" s="1" t="n">
        <f aca="false">WEO_Data!E34</f>
        <v>30352.677155005</v>
      </c>
      <c r="F66" s="1" t="n">
        <f aca="false">LN(B66)</f>
        <v>12.911458606035</v>
      </c>
      <c r="G66" s="1" t="n">
        <f aca="false">LN(E66)</f>
        <v>10.320640001988</v>
      </c>
      <c r="H66" s="1" t="n">
        <f aca="false">H$57 + (H$57-H$36)/23 * (2032-2023)</f>
        <v>5.04430759126459</v>
      </c>
      <c r="I66" s="1" t="n">
        <f aca="false">EXP(H66+0.4*F66)</f>
        <v>27143.4497210889</v>
      </c>
      <c r="J66" s="1" t="n">
        <f aca="false">Investment!B34</f>
        <v>812.5</v>
      </c>
      <c r="K66" s="1" t="n">
        <f aca="false">J66-$B$3*L65</f>
        <v>-1511.03728295869</v>
      </c>
      <c r="L66" s="1" t="n">
        <f aca="false">L65*(1-$B$3)+J66</f>
        <v>408220.961454389</v>
      </c>
      <c r="M66" s="1" t="n">
        <f aca="false">EXP(H66+0.4*LN(L66))</f>
        <v>27231.5945589491</v>
      </c>
      <c r="N66" s="1" t="n">
        <f aca="false">M66-I66</f>
        <v>88.1448378601817</v>
      </c>
      <c r="O66" s="1" t="n">
        <f aca="false">IF(I66=0,0,N66/I66)</f>
        <v>0.00324737049880945</v>
      </c>
    </row>
    <row r="67" customFormat="false" ht="15" hidden="false" customHeight="true" outlineLevel="0" collapsed="false">
      <c r="A67" s="1" t="n">
        <v>2033</v>
      </c>
      <c r="B67" s="1" t="n">
        <f aca="false">B66*(1-$B$3)</f>
        <v>402629.311342985</v>
      </c>
      <c r="D67" s="1" t="n">
        <f aca="false">$P$34*E67</f>
        <v>751151.61083737</v>
      </c>
      <c r="E67" s="1" t="n">
        <f aca="false">WEO_Data!E35</f>
        <v>31870.3110127553</v>
      </c>
      <c r="F67" s="1" t="n">
        <f aca="false">LN(B67)</f>
        <v>12.9057715946618</v>
      </c>
      <c r="G67" s="1" t="n">
        <f aca="false">LN(E67)</f>
        <v>10.3694301661575</v>
      </c>
      <c r="H67" s="1" t="n">
        <f aca="false">H$57 + (H$57-H$36)/23 * (2033-2023)</f>
        <v>5.08295600794891</v>
      </c>
      <c r="I67" s="1" t="n">
        <f aca="false">EXP(H67+0.4*F67)</f>
        <v>28148.9306650303</v>
      </c>
      <c r="J67" s="1" t="n">
        <f aca="false">Investment!B35</f>
        <v>812.5</v>
      </c>
      <c r="K67" s="1" t="n">
        <f aca="false">J67-$B$3*L66</f>
        <v>-1502.4683855484</v>
      </c>
      <c r="L67" s="1" t="n">
        <f aca="false">L66*(1-$B$3)+J67</f>
        <v>406718.493068841</v>
      </c>
      <c r="M67" s="1" t="n">
        <f aca="false">EXP(H67+0.4*LN(L67))</f>
        <v>28262.9385277501</v>
      </c>
      <c r="N67" s="1" t="n">
        <f aca="false">M67-I67</f>
        <v>114.007862719754</v>
      </c>
      <c r="O67" s="1" t="n">
        <f aca="false">IF(I67=0,0,N67/I67)</f>
        <v>0.00405016673906507</v>
      </c>
    </row>
    <row r="68" customFormat="false" ht="15" hidden="false" customHeight="true" outlineLevel="0" collapsed="false">
      <c r="A68" s="1" t="n">
        <v>2034</v>
      </c>
      <c r="B68" s="1" t="n">
        <f aca="false">B67*(1-$B$3)</f>
        <v>400346.052483534</v>
      </c>
      <c r="D68" s="1" t="n">
        <f aca="false">$P$34*E68</f>
        <v>788709.191379238</v>
      </c>
      <c r="E68" s="1" t="n">
        <f aca="false">WEO_Data!E36</f>
        <v>33463.826563393</v>
      </c>
      <c r="F68" s="1" t="n">
        <f aca="false">LN(B68)</f>
        <v>12.9000845832886</v>
      </c>
      <c r="G68" s="1" t="n">
        <f aca="false">LN(E68)</f>
        <v>10.4182203303269</v>
      </c>
      <c r="H68" s="1" t="n">
        <f aca="false">H$57 + (H$57-H$36)/23 * (2034-2023)</f>
        <v>5.12160442463323</v>
      </c>
      <c r="I68" s="1" t="n">
        <f aca="false">EXP(H68+0.4*F68)</f>
        <v>29191.6578668725</v>
      </c>
      <c r="J68" s="1" t="n">
        <f aca="false">Investment!B36</f>
        <v>0</v>
      </c>
      <c r="K68" s="1" t="n">
        <f aca="false">J68-$B$3*L67</f>
        <v>-2306.44808124938</v>
      </c>
      <c r="L68" s="1" t="n">
        <f aca="false">L67*(1-$B$3)+J68</f>
        <v>404412.044987591</v>
      </c>
      <c r="M68" s="1" t="n">
        <f aca="false">EXP(H68+0.4*LN(L68))</f>
        <v>29309.888948623</v>
      </c>
      <c r="N68" s="1" t="n">
        <f aca="false">M68-I68</f>
        <v>118.23108175052</v>
      </c>
      <c r="O68" s="1" t="n">
        <f aca="false">IF(I68=0,0,N68/I68)</f>
        <v>0.00405016673906323</v>
      </c>
    </row>
    <row r="69" customFormat="false" ht="15" hidden="false" customHeight="true" outlineLevel="0" collapsed="false">
      <c r="A69" s="1" t="n">
        <v>2035</v>
      </c>
      <c r="B69" s="1" t="n">
        <f aca="false">B68*(1-$B$3)</f>
        <v>398075.741690388</v>
      </c>
      <c r="D69" s="1" t="n">
        <f aca="false">$P$34*E69</f>
        <v>828144.6509482</v>
      </c>
      <c r="E69" s="1" t="n">
        <f aca="false">WEO_Data!E37</f>
        <v>35137.0178915627</v>
      </c>
      <c r="F69" s="1" t="n">
        <f aca="false">LN(B69)</f>
        <v>12.8943975719155</v>
      </c>
      <c r="G69" s="1" t="n">
        <f aca="false">LN(E69)</f>
        <v>10.4670104944963</v>
      </c>
      <c r="H69" s="1" t="n">
        <f aca="false">H$57 + (H$57-H$36)/23 * (2035-2023)</f>
        <v>5.16025284131755</v>
      </c>
      <c r="I69" s="1" t="n">
        <f aca="false">EXP(H69+0.4*F69)</f>
        <v>30273.0110481667</v>
      </c>
      <c r="J69" s="1" t="n">
        <f aca="false">Investment!B37</f>
        <v>0</v>
      </c>
      <c r="K69" s="1" t="n">
        <f aca="false">J69-$B$3*L68</f>
        <v>-2293.36851186132</v>
      </c>
      <c r="L69" s="1" t="n">
        <f aca="false">L68*(1-$B$3)+J69</f>
        <v>402118.67647573</v>
      </c>
      <c r="M69" s="1" t="n">
        <f aca="false">EXP(H69+0.4*LN(L69))</f>
        <v>30395.6217906053</v>
      </c>
      <c r="N69" s="1" t="n">
        <f aca="false">M69-I69</f>
        <v>122.610742438636</v>
      </c>
      <c r="O69" s="1" t="n">
        <f aca="false">IF(I69=0,0,N69/I69)</f>
        <v>0.00405016673906512</v>
      </c>
    </row>
    <row r="70" customFormat="false" ht="15" hidden="false" customHeight="true" outlineLevel="0" collapsed="false">
      <c r="A70" s="1" t="n">
        <v>2036</v>
      </c>
      <c r="B70" s="1" t="n">
        <f aca="false">B69*(1-$B$3)</f>
        <v>395818.305536733</v>
      </c>
      <c r="D70" s="1" t="n">
        <f aca="false">$P$34*E70</f>
        <v>869551.88349561</v>
      </c>
      <c r="E70" s="1" t="n">
        <f aca="false">WEO_Data!E38</f>
        <v>36893.8687861408</v>
      </c>
      <c r="F70" s="1" t="n">
        <f aca="false">LN(B70)</f>
        <v>12.8887105605423</v>
      </c>
      <c r="G70" s="1" t="n">
        <f aca="false">LN(E70)</f>
        <v>10.5158006586658</v>
      </c>
      <c r="H70" s="1" t="n">
        <f aca="false">H$57 + (H$57-H$36)/23 * (2036-2023)</f>
        <v>5.19890125800187</v>
      </c>
      <c r="I70" s="1" t="n">
        <f aca="false">EXP(H70+0.4*F70)</f>
        <v>31394.4210398012</v>
      </c>
      <c r="J70" s="1" t="n">
        <f aca="false">Investment!B38</f>
        <v>0</v>
      </c>
      <c r="K70" s="1" t="n">
        <f aca="false">J70-$B$3*L69</f>
        <v>-2280.36311502316</v>
      </c>
      <c r="L70" s="1" t="n">
        <f aca="false">L69*(1-$B$3)+J70</f>
        <v>399838.313360707</v>
      </c>
      <c r="M70" s="1" t="n">
        <f aca="false">EXP(H70+0.4*LN(L70))</f>
        <v>31521.5736796888</v>
      </c>
      <c r="N70" s="1" t="n">
        <f aca="false">M70-I70</f>
        <v>127.15263988755</v>
      </c>
      <c r="O70" s="1" t="n">
        <f aca="false">IF(I70=0,0,N70/I70)</f>
        <v>0.00405016673906325</v>
      </c>
    </row>
    <row r="71" customFormat="false" ht="15" hidden="false" customHeight="true" outlineLevel="0" collapsed="false">
      <c r="A71" s="1" t="n">
        <v>2037</v>
      </c>
      <c r="B71" s="1" t="n">
        <f aca="false">B70*(1-$B$3)</f>
        <v>393573.67101215</v>
      </c>
      <c r="D71" s="1" t="n">
        <f aca="false">$P$34*E71</f>
        <v>913029.47767039</v>
      </c>
      <c r="E71" s="1" t="n">
        <f aca="false">WEO_Data!E39</f>
        <v>38738.5622254479</v>
      </c>
      <c r="F71" s="1" t="n">
        <f aca="false">LN(B71)</f>
        <v>12.8830235491691</v>
      </c>
      <c r="G71" s="1" t="n">
        <f aca="false">LN(E71)</f>
        <v>10.5645908228352</v>
      </c>
      <c r="H71" s="1" t="n">
        <f aca="false">H$57 + (H$57-H$36)/23 * (2037-2023)</f>
        <v>5.23754967468619</v>
      </c>
      <c r="I71" s="1" t="n">
        <f aca="false">EXP(H71+0.4*F71)</f>
        <v>32557.3716752567</v>
      </c>
      <c r="J71" s="1" t="n">
        <f aca="false">Investment!B39</f>
        <v>0</v>
      </c>
      <c r="K71" s="1" t="n">
        <f aca="false">J71-$B$3*L70</f>
        <v>-2267.43147011193</v>
      </c>
      <c r="L71" s="1" t="n">
        <f aca="false">L70*(1-$B$3)+J71</f>
        <v>397570.881890595</v>
      </c>
      <c r="M71" s="1" t="n">
        <f aca="false">EXP(H71+0.4*LN(L71))</f>
        <v>32689.2344591272</v>
      </c>
      <c r="N71" s="1" t="n">
        <f aca="false">M71-I71</f>
        <v>131.862783870503</v>
      </c>
      <c r="O71" s="1" t="n">
        <f aca="false">IF(I71=0,0,N71/I71)</f>
        <v>0.00405016673906506</v>
      </c>
    </row>
    <row r="72" customFormat="false" ht="15" hidden="false" customHeight="true" outlineLevel="0" collapsed="false">
      <c r="A72" s="1" t="n">
        <v>2038</v>
      </c>
      <c r="B72" s="1" t="n">
        <f aca="false">B71*(1-$B$3)</f>
        <v>391341.765520253</v>
      </c>
      <c r="D72" s="1" t="n">
        <f aca="false">$P$34*E72</f>
        <v>958680.95155391</v>
      </c>
      <c r="E72" s="1" t="n">
        <f aca="false">WEO_Data!E40</f>
        <v>40675.4903367202</v>
      </c>
      <c r="F72" s="1" t="n">
        <f aca="false">LN(B72)</f>
        <v>12.877336537796</v>
      </c>
      <c r="G72" s="1" t="n">
        <f aca="false">LN(E72)</f>
        <v>10.6133809870046</v>
      </c>
      <c r="H72" s="1" t="n">
        <f aca="false">H$57 + (H$57-H$36)/23 * (2038-2023)</f>
        <v>5.2761980913705</v>
      </c>
      <c r="I72" s="1" t="n">
        <f aca="false">EXP(H72+0.4*F72)</f>
        <v>33763.4017539925</v>
      </c>
      <c r="J72" s="1" t="n">
        <f aca="false">Investment!B40</f>
        <v>0</v>
      </c>
      <c r="K72" s="1" t="n">
        <f aca="false">J72-$B$3*L71</f>
        <v>-2254.57315888997</v>
      </c>
      <c r="L72" s="1" t="n">
        <f aca="false">L71*(1-$B$3)+J72</f>
        <v>395316.308731705</v>
      </c>
      <c r="M72" s="1" t="n">
        <f aca="false">EXP(H72+0.4*LN(L72))</f>
        <v>33900.1491607742</v>
      </c>
      <c r="N72" s="1" t="n">
        <f aca="false">M72-I72</f>
        <v>136.747406781651</v>
      </c>
      <c r="O72" s="1" t="n">
        <f aca="false">IF(I72=0,0,N72/I72)</f>
        <v>0.00405016673906327</v>
      </c>
    </row>
    <row r="73" customFormat="false" ht="15" hidden="false" customHeight="true" outlineLevel="0" collapsed="false">
      <c r="A73" s="1" t="n">
        <v>2039</v>
      </c>
      <c r="B73" s="1" t="n">
        <f aca="false">B72*(1-$B$3)</f>
        <v>389122.516876341</v>
      </c>
      <c r="D73" s="1" t="n">
        <f aca="false">$P$34*E73</f>
        <v>1006614.99913161</v>
      </c>
      <c r="E73" s="1" t="n">
        <f aca="false">WEO_Data!E41</f>
        <v>42709.2648535563</v>
      </c>
      <c r="F73" s="1" t="n">
        <f aca="false">LN(B73)</f>
        <v>12.8716495264228</v>
      </c>
      <c r="G73" s="1" t="n">
        <f aca="false">LN(E73)</f>
        <v>10.6621711511741</v>
      </c>
      <c r="H73" s="1" t="n">
        <f aca="false">H$57 + (H$57-H$36)/23 * (2039-2023)</f>
        <v>5.31484650805482</v>
      </c>
      <c r="I73" s="1" t="n">
        <f aca="false">EXP(H73+0.4*F73)</f>
        <v>35014.1070775646</v>
      </c>
      <c r="J73" s="1" t="n">
        <f aca="false">Investment!B41</f>
        <v>0</v>
      </c>
      <c r="K73" s="1" t="n">
        <f aca="false">J73-$B$3*L72</f>
        <v>-2241.7877654914</v>
      </c>
      <c r="L73" s="1" t="n">
        <f aca="false">L72*(1-$B$3)+J73</f>
        <v>393074.520966213</v>
      </c>
      <c r="M73" s="1" t="n">
        <f aca="false">EXP(H73+0.4*LN(L73))</f>
        <v>35155.9200494482</v>
      </c>
      <c r="N73" s="1" t="n">
        <f aca="false">M73-I73</f>
        <v>141.812971883614</v>
      </c>
      <c r="O73" s="1" t="n">
        <f aca="false">IF(I73=0,0,N73/I73)</f>
        <v>0.00405016673906503</v>
      </c>
    </row>
    <row r="74" customFormat="false" ht="15" hidden="false" customHeight="true" outlineLevel="0" collapsed="false">
      <c r="A74" s="1" t="n">
        <v>2040</v>
      </c>
      <c r="B74" s="1" t="n">
        <f aca="false">B73*(1-$B$3)</f>
        <v>386915.853305063</v>
      </c>
      <c r="D74" s="1" t="n">
        <f aca="false">$P$34*E74</f>
        <v>1056945.74908819</v>
      </c>
      <c r="E74" s="1" t="n">
        <f aca="false">WEO_Data!E42</f>
        <v>44844.7280962341</v>
      </c>
      <c r="F74" s="1" t="n">
        <f aca="false">LN(B74)</f>
        <v>12.8659625150496</v>
      </c>
      <c r="G74" s="1" t="n">
        <f aca="false">LN(E74)</f>
        <v>10.7109613153435</v>
      </c>
      <c r="H74" s="1" t="n">
        <f aca="false">H$57 + (H$57-H$36)/23 * (2040-2023)</f>
        <v>5.35349492473914</v>
      </c>
      <c r="I74" s="1" t="n">
        <f aca="false">EXP(H74+0.4*F74)</f>
        <v>36311.1425611665</v>
      </c>
      <c r="J74" s="1" t="n">
        <f aca="false">Investment!B42</f>
        <v>0</v>
      </c>
      <c r="K74" s="1" t="n">
        <f aca="false">J74-$B$3*L73</f>
        <v>-2229.07487640866</v>
      </c>
      <c r="L74" s="1" t="n">
        <f aca="false">L73*(1-$B$3)+J74</f>
        <v>390845.446089805</v>
      </c>
      <c r="M74" s="1" t="n">
        <f aca="false">EXP(H74+0.4*LN(L74))</f>
        <v>36458.2087430251</v>
      </c>
      <c r="N74" s="1" t="n">
        <f aca="false">M74-I74</f>
        <v>147.066181858623</v>
      </c>
      <c r="O74" s="1" t="n">
        <f aca="false">IF(I74=0,0,N74/I74)</f>
        <v>0.00405016673906333</v>
      </c>
    </row>
    <row r="75" customFormat="false" ht="15" hidden="false" customHeight="true" outlineLevel="0" collapsed="false">
      <c r="A75" s="1" t="n">
        <v>2041</v>
      </c>
      <c r="B75" s="1" t="n">
        <f aca="false">B74*(1-$B$3)</f>
        <v>384721.703438094</v>
      </c>
      <c r="D75" s="1" t="n">
        <f aca="false">$P$34*E75</f>
        <v>1109793.0365426</v>
      </c>
      <c r="E75" s="1" t="n">
        <f aca="false">WEO_Data!E43</f>
        <v>47086.9645010458</v>
      </c>
      <c r="F75" s="1" t="n">
        <f aca="false">LN(B75)</f>
        <v>12.8602755036764</v>
      </c>
      <c r="G75" s="1" t="n">
        <f aca="false">LN(E75)</f>
        <v>10.7597514795129</v>
      </c>
      <c r="H75" s="1" t="n">
        <f aca="false">H$57 + (H$57-H$36)/23 * (2041-2023)</f>
        <v>5.39214334142346</v>
      </c>
      <c r="I75" s="1" t="n">
        <f aca="false">EXP(H75+0.4*F75)</f>
        <v>37656.2244233893</v>
      </c>
      <c r="J75" s="1" t="n">
        <f aca="false">Investment!B43</f>
        <v>0</v>
      </c>
      <c r="K75" s="1" t="n">
        <f aca="false">J75-$B$3*L74</f>
        <v>-2216.43408047912</v>
      </c>
      <c r="L75" s="1" t="n">
        <f aca="false">L74*(1-$B$3)+J75</f>
        <v>388629.012009325</v>
      </c>
      <c r="M75" s="1" t="n">
        <f aca="false">EXP(H75+0.4*LN(L75))</f>
        <v>37808.7384110676</v>
      </c>
      <c r="N75" s="1" t="n">
        <f aca="false">M75-I75</f>
        <v>152.513987678314</v>
      </c>
      <c r="O75" s="1" t="n">
        <f aca="false">IF(I75=0,0,N75/I75)</f>
        <v>0.0040501667390633</v>
      </c>
    </row>
    <row r="7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</v>
      </c>
      <c r="B1" s="1" t="s">
        <v>120</v>
      </c>
      <c r="C1" s="1" t="s">
        <v>121</v>
      </c>
    </row>
    <row r="2" customFormat="false" ht="15" hidden="false" customHeight="true" outlineLevel="0" collapsed="false">
      <c r="A2" s="1" t="n">
        <v>2000</v>
      </c>
      <c r="B2" s="1" t="n">
        <v>0</v>
      </c>
    </row>
    <row r="3" customFormat="false" ht="15" hidden="false" customHeight="true" outlineLevel="0" collapsed="false">
      <c r="A3" s="1" t="n">
        <v>2001</v>
      </c>
      <c r="B3" s="1" t="n">
        <v>0</v>
      </c>
    </row>
    <row r="4" customFormat="false" ht="15" hidden="false" customHeight="true" outlineLevel="0" collapsed="false">
      <c r="A4" s="1" t="n">
        <v>2002</v>
      </c>
      <c r="B4" s="1" t="n">
        <v>0</v>
      </c>
    </row>
    <row r="5" customFormat="false" ht="15" hidden="false" customHeight="true" outlineLevel="0" collapsed="false">
      <c r="A5" s="1" t="n">
        <v>2003</v>
      </c>
      <c r="B5" s="1" t="n">
        <v>0</v>
      </c>
    </row>
    <row r="6" customFormat="false" ht="15" hidden="false" customHeight="true" outlineLevel="0" collapsed="false">
      <c r="A6" s="1" t="n">
        <v>2004</v>
      </c>
      <c r="B6" s="1" t="n">
        <v>0</v>
      </c>
    </row>
    <row r="7" customFormat="false" ht="15" hidden="false" customHeight="true" outlineLevel="0" collapsed="false">
      <c r="A7" s="1" t="n">
        <v>2005</v>
      </c>
      <c r="B7" s="1" t="n">
        <v>0</v>
      </c>
    </row>
    <row r="8" customFormat="false" ht="15" hidden="false" customHeight="true" outlineLevel="0" collapsed="false">
      <c r="A8" s="1" t="n">
        <v>2006</v>
      </c>
      <c r="B8" s="1" t="n">
        <v>0</v>
      </c>
    </row>
    <row r="9" customFormat="false" ht="15" hidden="false" customHeight="true" outlineLevel="0" collapsed="false">
      <c r="A9" s="1" t="n">
        <v>2007</v>
      </c>
      <c r="B9" s="1" t="n">
        <v>0</v>
      </c>
    </row>
    <row r="10" customFormat="false" ht="15" hidden="false" customHeight="true" outlineLevel="0" collapsed="false">
      <c r="A10" s="1" t="n">
        <v>2008</v>
      </c>
      <c r="B10" s="1" t="n">
        <v>0</v>
      </c>
    </row>
    <row r="11" customFormat="false" ht="15" hidden="false" customHeight="true" outlineLevel="0" collapsed="false">
      <c r="A11" s="1" t="n">
        <v>2009</v>
      </c>
      <c r="B11" s="1" t="n">
        <v>0</v>
      </c>
    </row>
    <row r="12" customFormat="false" ht="15" hidden="false" customHeight="true" outlineLevel="0" collapsed="false">
      <c r="A12" s="1" t="n">
        <v>2010</v>
      </c>
      <c r="B12" s="1" t="n">
        <v>0</v>
      </c>
    </row>
    <row r="13" customFormat="false" ht="15" hidden="false" customHeight="true" outlineLevel="0" collapsed="false">
      <c r="A13" s="1" t="n">
        <v>2011</v>
      </c>
      <c r="B13" s="1" t="n">
        <v>0</v>
      </c>
    </row>
    <row r="14" customFormat="false" ht="15" hidden="false" customHeight="true" outlineLevel="0" collapsed="false">
      <c r="A14" s="1" t="n">
        <v>2012</v>
      </c>
      <c r="B14" s="1" t="n">
        <v>0</v>
      </c>
    </row>
    <row r="15" customFormat="false" ht="15" hidden="false" customHeight="true" outlineLevel="0" collapsed="false">
      <c r="A15" s="1" t="n">
        <v>2013</v>
      </c>
      <c r="B15" s="1" t="n">
        <v>0</v>
      </c>
    </row>
    <row r="16" customFormat="false" ht="15" hidden="false" customHeight="true" outlineLevel="0" collapsed="false">
      <c r="A16" s="1" t="n">
        <v>2014</v>
      </c>
      <c r="B16" s="1" t="n">
        <v>0</v>
      </c>
    </row>
    <row r="17" customFormat="false" ht="15" hidden="false" customHeight="true" outlineLevel="0" collapsed="false">
      <c r="A17" s="1" t="n">
        <v>2015</v>
      </c>
      <c r="B17" s="1" t="n">
        <v>0</v>
      </c>
    </row>
    <row r="18" customFormat="false" ht="15" hidden="false" customHeight="true" outlineLevel="0" collapsed="false">
      <c r="A18" s="1" t="n">
        <v>2016</v>
      </c>
      <c r="B18" s="1" t="n">
        <v>0</v>
      </c>
    </row>
    <row r="19" customFormat="false" ht="15" hidden="false" customHeight="true" outlineLevel="0" collapsed="false">
      <c r="A19" s="1" t="n">
        <v>2017</v>
      </c>
      <c r="B19" s="1" t="n">
        <v>0</v>
      </c>
    </row>
    <row r="20" customFormat="false" ht="15" hidden="false" customHeight="true" outlineLevel="0" collapsed="false">
      <c r="A20" s="1" t="n">
        <v>2018</v>
      </c>
      <c r="B20" s="1" t="n">
        <v>0</v>
      </c>
    </row>
    <row r="21" customFormat="false" ht="15" hidden="false" customHeight="true" outlineLevel="0" collapsed="false">
      <c r="A21" s="1" t="n">
        <v>2019</v>
      </c>
      <c r="B21" s="1" t="n">
        <v>0</v>
      </c>
    </row>
    <row r="22" customFormat="false" ht="15" hidden="false" customHeight="true" outlineLevel="0" collapsed="false">
      <c r="A22" s="1" t="n">
        <v>2020</v>
      </c>
      <c r="B22" s="1" t="n">
        <v>0</v>
      </c>
    </row>
    <row r="23" customFormat="false" ht="15" hidden="false" customHeight="true" outlineLevel="0" collapsed="false">
      <c r="A23" s="1" t="n">
        <v>2021</v>
      </c>
      <c r="B23" s="1" t="n">
        <v>0</v>
      </c>
    </row>
    <row r="24" customFormat="false" ht="15" hidden="false" customHeight="true" outlineLevel="0" collapsed="false">
      <c r="A24" s="1" t="n">
        <v>2022</v>
      </c>
      <c r="B24" s="1" t="n">
        <v>0</v>
      </c>
    </row>
    <row r="25" customFormat="false" ht="15" hidden="false" customHeight="true" outlineLevel="0" collapsed="false">
      <c r="A25" s="1" t="n">
        <v>2023</v>
      </c>
      <c r="B25" s="1" t="n">
        <v>0</v>
      </c>
    </row>
    <row r="26" customFormat="false" ht="15" hidden="false" customHeight="true" outlineLevel="0" collapsed="false">
      <c r="A26" s="1" t="n">
        <v>2024</v>
      </c>
      <c r="B26" s="1" t="n">
        <v>0</v>
      </c>
    </row>
    <row r="27" customFormat="false" ht="15" hidden="false" customHeight="true" outlineLevel="0" collapsed="false">
      <c r="A27" s="1" t="n">
        <v>2025</v>
      </c>
      <c r="B27" s="1" t="n">
        <v>0</v>
      </c>
    </row>
    <row r="28" customFormat="false" ht="15" hidden="false" customHeight="true" outlineLevel="0" collapsed="false">
      <c r="A28" s="1" t="n">
        <v>2026</v>
      </c>
      <c r="B28" s="1" t="n">
        <v>812.5</v>
      </c>
    </row>
    <row r="29" customFormat="false" ht="15" hidden="false" customHeight="true" outlineLevel="0" collapsed="false">
      <c r="A29" s="1" t="n">
        <v>2027</v>
      </c>
      <c r="B29" s="1" t="n">
        <v>812.5</v>
      </c>
    </row>
    <row r="30" customFormat="false" ht="15" hidden="false" customHeight="true" outlineLevel="0" collapsed="false">
      <c r="A30" s="1" t="n">
        <v>2028</v>
      </c>
      <c r="B30" s="1" t="n">
        <v>812.5</v>
      </c>
    </row>
    <row r="31" customFormat="false" ht="15" hidden="false" customHeight="true" outlineLevel="0" collapsed="false">
      <c r="A31" s="1" t="n">
        <v>2029</v>
      </c>
      <c r="B31" s="1" t="n">
        <v>812.5</v>
      </c>
    </row>
    <row r="32" customFormat="false" ht="15" hidden="false" customHeight="true" outlineLevel="0" collapsed="false">
      <c r="A32" s="1" t="n">
        <v>2030</v>
      </c>
      <c r="B32" s="1" t="n">
        <v>812.5</v>
      </c>
    </row>
    <row r="33" customFormat="false" ht="15" hidden="false" customHeight="true" outlineLevel="0" collapsed="false">
      <c r="A33" s="1" t="n">
        <v>2031</v>
      </c>
      <c r="B33" s="1" t="n">
        <v>812.5</v>
      </c>
    </row>
    <row r="34" customFormat="false" ht="15" hidden="false" customHeight="true" outlineLevel="0" collapsed="false">
      <c r="A34" s="1" t="n">
        <v>2032</v>
      </c>
      <c r="B34" s="1" t="n">
        <v>812.5</v>
      </c>
    </row>
    <row r="35" customFormat="false" ht="15" hidden="false" customHeight="true" outlineLevel="0" collapsed="false">
      <c r="A35" s="1" t="n">
        <v>2033</v>
      </c>
      <c r="B35" s="1" t="n">
        <v>812.5</v>
      </c>
    </row>
    <row r="36" customFormat="false" ht="15" hidden="false" customHeight="true" outlineLevel="0" collapsed="false">
      <c r="A36" s="1" t="n">
        <v>2034</v>
      </c>
      <c r="B36" s="1" t="n">
        <v>0</v>
      </c>
    </row>
    <row r="37" customFormat="false" ht="15" hidden="false" customHeight="true" outlineLevel="0" collapsed="false">
      <c r="A37" s="1" t="n">
        <v>2035</v>
      </c>
      <c r="B37" s="1" t="n">
        <v>0</v>
      </c>
    </row>
    <row r="38" customFormat="false" ht="15" hidden="false" customHeight="true" outlineLevel="0" collapsed="false">
      <c r="A38" s="1" t="n">
        <v>2036</v>
      </c>
      <c r="B38" s="1" t="n">
        <v>0</v>
      </c>
    </row>
    <row r="39" customFormat="false" ht="15" hidden="false" customHeight="true" outlineLevel="0" collapsed="false">
      <c r="A39" s="1" t="n">
        <v>2037</v>
      </c>
      <c r="B39" s="1" t="n">
        <v>0</v>
      </c>
    </row>
    <row r="40" customFormat="false" ht="15" hidden="false" customHeight="true" outlineLevel="0" collapsed="false">
      <c r="A40" s="1" t="n">
        <v>2038</v>
      </c>
      <c r="B40" s="1" t="n">
        <v>0</v>
      </c>
    </row>
    <row r="41" customFormat="false" ht="15" hidden="false" customHeight="true" outlineLevel="0" collapsed="false">
      <c r="A41" s="1" t="n">
        <v>2039</v>
      </c>
      <c r="B41" s="1" t="n">
        <v>0</v>
      </c>
    </row>
    <row r="42" customFormat="false" ht="15" hidden="false" customHeight="true" outlineLevel="0" collapsed="false">
      <c r="A42" s="1" t="n">
        <v>2040</v>
      </c>
      <c r="B42" s="1" t="n">
        <v>0</v>
      </c>
    </row>
    <row r="43" customFormat="false" ht="15" hidden="false" customHeight="true" outlineLevel="0" collapsed="false">
      <c r="A43" s="1" t="n">
        <v>2041</v>
      </c>
      <c r="B4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122</v>
      </c>
    </row>
    <row r="3" customFormat="false" ht="15" hidden="false" customHeight="true" outlineLevel="0" collapsed="false">
      <c r="A3" s="1" t="s">
        <v>123</v>
      </c>
    </row>
    <row r="4" customFormat="false" ht="15" hidden="false" customHeight="true" outlineLevel="0" collapsed="false">
      <c r="A4" s="1" t="s">
        <v>13</v>
      </c>
      <c r="B4" s="1" t="s">
        <v>124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2026-01-29T04:04:59Z</dcterms:created>
  <dc:creator>openpyxl</dc:creator>
  <dc:description/>
  <dc:language>en-US</dc:language>
  <cp:lastModifiedBy/>
  <dcterms:modified xsi:type="dcterms:W3CDTF">2026-01-29T04:10:22Z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