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<sst xmlns="http://schemas.openxmlformats.org/spreadsheetml/2006/main" count="871" uniqueCount="627">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</sst>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General"/>
    <numFmt numFmtId="208" formatCode="0.0"/>
    <numFmt numFmtId="209" formatCode="yyyy"/>
    <numFmt numFmtId="210" formatCode="0.000"/>
  </numFmts>
  <fonts count="86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8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8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8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8" fontId="8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8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2" t="n">
        <v>1.645</v>
      </c>
    </row>
    <row r="4" customFormat="false" ht="12.75" hidden="false" customHeight="true" outlineLevel="0" collapsed="false">
      <c r="B4" s="1" t="s">
        <v>2</v>
      </c>
      <c r="C4" s="3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4" t="n">
        <f aca="false">C4*SQRT(12/3)</f>
        <v>9.62664592458711</v>
      </c>
    </row>
    <row r="6" customFormat="false" ht="12.75" hidden="false" customHeight="true" outlineLevel="0" collapsed="false">
      <c r="B6" s="1" t="s">
        <v>4</v>
      </c>
      <c r="C6" s="3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</row>
    <row r="12" customFormat="false" ht="23.25" hidden="false" customHeight="true" outlineLevel="0" collapsed="false">
      <c r="B12" s="6" t="s">
        <v>16</v>
      </c>
      <c r="C12" s="7" t="n">
        <f aca="false">Value!D18</f>
        <v>7471</v>
      </c>
      <c r="D12" s="8" t="n">
        <f aca="false">Value!F18</f>
        <v>1002</v>
      </c>
      <c r="E12" s="9" t="n">
        <f aca="false">Value!J18</f>
        <v>10.71</v>
      </c>
      <c r="F12" s="9" t="n">
        <f aca="false">Value!L18</f>
        <v>3877.64</v>
      </c>
      <c r="G12" s="9" t="n">
        <f aca="false">Value!M18</f>
        <v>55092.42</v>
      </c>
      <c r="H12" s="9" t="n">
        <f aca="false">Value!N18</f>
        <v>10121.89</v>
      </c>
      <c r="I12" s="9" t="n">
        <f aca="false">Value!O18</f>
        <v>921.28</v>
      </c>
      <c r="J12" s="7" t="n">
        <f aca="false">Value!Q18</f>
        <v>807.1</v>
      </c>
      <c r="K12" s="9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0" t="n">
        <f aca="false">C$3*C$6*C12/100</f>
        <v>400.533335259234</v>
      </c>
      <c r="D13" s="10" t="n">
        <f aca="false">C$3*C$6*D12/100</f>
        <v>53.7189669294274</v>
      </c>
      <c r="E13" s="10" t="n">
        <f aca="false">C$3*C$6*E12/100</f>
        <v>0.574181772269629</v>
      </c>
      <c r="F13" s="10" t="n">
        <f aca="false">C$3*C$6*F12/100</f>
        <v>207.88704084254</v>
      </c>
      <c r="G13" s="10" t="n">
        <f aca="false">C$3*C$6*G12/100</f>
        <v>2953.60068666879</v>
      </c>
      <c r="H13" s="10" t="n">
        <f aca="false">C$3*C$6*H12/100</f>
        <v>542.652169833635</v>
      </c>
      <c r="I13" s="10" t="n">
        <f aca="false">C$3*C$6*I12/100</f>
        <v>49.3914269987454</v>
      </c>
      <c r="J13" s="10" t="n">
        <f aca="false">C$3*C$6*J12/100</f>
        <v>43.2700381324759</v>
      </c>
      <c r="K13" s="10" t="n">
        <f aca="false">C$3*C$6*K12/100</f>
        <v>174.971427770395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1" t="str">
        <f aca="false">C11</f>
        <v>Belarus</v>
      </c>
      <c r="D20" s="11" t="str">
        <f aca="false">D11</f>
        <v>Georgia</v>
      </c>
      <c r="E20" s="11" t="str">
        <f aca="false">E11</f>
        <v>Moldova</v>
      </c>
      <c r="F20" s="11" t="str">
        <f aca="false">G11</f>
        <v>Uzbekistan</v>
      </c>
      <c r="G20" s="11" t="str">
        <f aca="false">H11</f>
        <v>Czechia</v>
      </c>
      <c r="H20" s="11" t="str">
        <f aca="false">I11</f>
        <v>Latvia</v>
      </c>
      <c r="I20" s="11" t="str">
        <f aca="false">J11</f>
        <v>Lithuania</v>
      </c>
    </row>
    <row r="21" customFormat="false" ht="23.25" hidden="false" customHeight="true" outlineLevel="0" collapsed="false">
      <c r="B21" s="6" t="s">
        <v>16</v>
      </c>
      <c r="C21" s="7" t="n">
        <f aca="false">C12</f>
        <v>7471</v>
      </c>
      <c r="D21" s="8" t="n">
        <f aca="false">D12</f>
        <v>1002</v>
      </c>
      <c r="E21" s="9" t="n">
        <f aca="false">E12</f>
        <v>10.71</v>
      </c>
      <c r="F21" s="9" t="n">
        <f aca="false">G12</f>
        <v>55092.42</v>
      </c>
      <c r="G21" s="9" t="n">
        <f aca="false">H12</f>
        <v>10121.89</v>
      </c>
      <c r="H21" s="7" t="n">
        <f aca="false">I12</f>
        <v>921.28</v>
      </c>
      <c r="I21" s="12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1" t="n">
        <f aca="false">C$6</f>
        <v>3.25907254969862</v>
      </c>
      <c r="D22" s="11" t="n">
        <f aca="false">C$6</f>
        <v>3.25907254969862</v>
      </c>
      <c r="E22" s="11" t="n">
        <f aca="false">C$6</f>
        <v>3.25907254969862</v>
      </c>
      <c r="F22" s="11" t="n">
        <f aca="false">C$6</f>
        <v>3.25907254969862</v>
      </c>
      <c r="G22" s="11" t="n">
        <f aca="false">C$6</f>
        <v>3.25907254969862</v>
      </c>
      <c r="H22" s="11" t="n">
        <f aca="false">C$6</f>
        <v>3.25907254969862</v>
      </c>
      <c r="I22" s="11" t="n">
        <f aca="false">C$6</f>
        <v>3.25907254969862</v>
      </c>
    </row>
    <row r="23" customFormat="false" ht="12.75" hidden="false" customHeight="true" outlineLevel="0" collapsed="false">
      <c r="B23" s="1" t="s">
        <v>19</v>
      </c>
      <c r="C23" s="12" t="n">
        <f aca="false">'Total Reserves'!D18</f>
        <v>14425.9</v>
      </c>
      <c r="D23" s="13" t="n">
        <f aca="false">'Total Reserves'!E18</f>
        <v>6158.7</v>
      </c>
      <c r="E23" s="13" t="n">
        <f aca="false">'Total Reserves'!H18</f>
        <v>5999.34</v>
      </c>
      <c r="F23" s="13" t="n">
        <f aca="false">'Total Reserves'!I18</f>
        <v>66311.75</v>
      </c>
      <c r="G23" s="13" t="n">
        <f aca="false">'Total Reserves'!J18</f>
        <v>175830.49</v>
      </c>
      <c r="H23" s="13" t="n">
        <f aca="false">'Total Reserves'!K18</f>
        <v>6076.9</v>
      </c>
      <c r="I23" s="12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0" t="n">
        <f aca="false">C$3*C22*C21/C23/100</f>
        <v>0.0277648767327677</v>
      </c>
      <c r="D24" s="10" t="n">
        <f aca="false">C$3*D22*D21/D23/100</f>
        <v>0.00872245229178681</v>
      </c>
      <c r="E24" s="10" t="n">
        <f aca="false">C$3*E22*E21/E23/100</f>
        <v>9.57074898688237E-005</v>
      </c>
      <c r="F24" s="10" t="n">
        <f aca="false">C$3*F22*F21/F23/100</f>
        <v>0.0445411361737368</v>
      </c>
      <c r="G24" s="10" t="n">
        <f aca="false">C$3*G22*G21/G23/100</f>
        <v>0.00308622338386042</v>
      </c>
      <c r="H24" s="10" t="n">
        <f aca="false">C$3*H22*H21/H23/100</f>
        <v>0.00812773404182156</v>
      </c>
      <c r="I24" s="10" t="n">
        <f aca="false">C$3*I22*I21/I23/100</f>
        <v>0.0061092575052559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14" width="9.16"/>
  </cols>
  <sheetData>
    <row r="1" customFormat="false" ht="15" hidden="false" customHeight="true" outlineLevel="0" collapsed="false">
      <c r="B1" s="14" t="s">
        <v>21</v>
      </c>
      <c r="C1" s="14" t="s">
        <v>22</v>
      </c>
      <c r="D1" s="14" t="s">
        <v>2</v>
      </c>
      <c r="E1" s="14" t="s">
        <v>4</v>
      </c>
    </row>
    <row r="2" customFormat="false" ht="15" hidden="false" customHeight="true" outlineLevel="0" collapsed="false">
      <c r="A2" s="14" t="s">
        <v>23</v>
      </c>
      <c r="B2" s="14" t="n">
        <v>409.819061279297</v>
      </c>
    </row>
    <row r="3" customFormat="false" ht="15" hidden="false" customHeight="true" outlineLevel="0" collapsed="false">
      <c r="A3" s="14" t="s">
        <v>24</v>
      </c>
      <c r="B3" s="14" t="n">
        <v>417.181060791016</v>
      </c>
      <c r="C3" s="14" t="n">
        <f aca="false">IF(ISBLANK(B3),"",IF(ISBLANK(B2),"",LN(B3/B2)*100))</f>
        <v>1.78045777637422</v>
      </c>
    </row>
    <row r="4" customFormat="false" ht="15" hidden="false" customHeight="true" outlineLevel="0" collapsed="false">
      <c r="A4" s="14" t="s">
        <v>25</v>
      </c>
      <c r="B4" s="14" t="n">
        <v>392.703338623047</v>
      </c>
      <c r="C4" s="14" t="n">
        <f aca="false">IF(ISBLANK(B4),"",IF(ISBLANK(B3),"",LN(B4/B3)*100))</f>
        <v>-6.04658628397791</v>
      </c>
    </row>
    <row r="5" customFormat="false" ht="15" hidden="false" customHeight="true" outlineLevel="0" collapsed="false">
      <c r="A5" s="14" t="s">
        <v>26</v>
      </c>
      <c r="B5" s="14" t="n">
        <v>374.292114257813</v>
      </c>
      <c r="C5" s="14" t="n">
        <f aca="false">IF(ISBLANK(B5),"",IF(ISBLANK(B4),"",LN(B5/B4)*100))</f>
        <v>-4.80179165459846</v>
      </c>
      <c r="D5" s="14" t="n">
        <f aca="false">IF(COUNTBLANK(C3:C5)&gt;0,"",STDEV(C3:C5))</f>
        <v>4.20591131550911</v>
      </c>
    </row>
    <row r="6" customFormat="false" ht="15" hidden="false" customHeight="true" outlineLevel="0" collapsed="false">
      <c r="A6" s="14" t="s">
        <v>27</v>
      </c>
      <c r="B6" s="14" t="n">
        <v>369.197631835938</v>
      </c>
      <c r="C6" s="14" t="n">
        <f aca="false">IF(ISBLANK(B6),"",IF(ISBLANK(B5),"",LN(B6/B5)*100))</f>
        <v>-1.37044584198046</v>
      </c>
      <c r="D6" s="14" t="n">
        <f aca="false">IF(COUNTBLANK(C4:C6)&gt;0,"",STDEV(C4:C6))</f>
        <v>2.42177404631354</v>
      </c>
    </row>
    <row r="7" customFormat="false" ht="15" hidden="false" customHeight="true" outlineLevel="0" collapsed="false">
      <c r="A7" s="14" t="s">
        <v>28</v>
      </c>
      <c r="B7" s="14" t="n">
        <v>352.527618408203</v>
      </c>
      <c r="C7" s="14" t="n">
        <f aca="false">IF(ISBLANK(B7),"",IF(ISBLANK(B6),"",LN(B7/B6)*100))</f>
        <v>-4.62031190186234</v>
      </c>
      <c r="D7" s="14" t="n">
        <f aca="false">IF(COUNTBLANK(C5:C7)&gt;0,"",STDEV(C5:C7))</f>
        <v>1.93083308417189</v>
      </c>
    </row>
    <row r="8" customFormat="false" ht="15" hidden="false" customHeight="true" outlineLevel="0" collapsed="false">
      <c r="A8" s="14" t="s">
        <v>29</v>
      </c>
      <c r="B8" s="14" t="n">
        <v>362.498565673828</v>
      </c>
      <c r="C8" s="14" t="n">
        <f aca="false">IF(ISBLANK(B8),"",IF(ISBLANK(B7),"",LN(B8/B7)*100))</f>
        <v>2.78915482477398</v>
      </c>
      <c r="D8" s="14" t="n">
        <f aca="false">IF(COUNTBLANK(C6:C8)&gt;0,"",STDEV(C6:C8))</f>
        <v>3.71402980348765</v>
      </c>
    </row>
    <row r="9" customFormat="false" ht="15" hidden="false" customHeight="true" outlineLevel="0" collapsed="false">
      <c r="A9" s="14" t="s">
        <v>30</v>
      </c>
      <c r="B9" s="14" t="n">
        <v>394.631805419922</v>
      </c>
      <c r="C9" s="14" t="n">
        <f aca="false">IF(ISBLANK(B9),"",IF(ISBLANK(B8),"",LN(B9/B8)*100))</f>
        <v>8.49326744877091</v>
      </c>
      <c r="D9" s="14" t="n">
        <f aca="false">IF(COUNTBLANK(C7:C9)&gt;0,"",STDEV(C7:C9))</f>
        <v>6.57524475318507</v>
      </c>
    </row>
    <row r="10" customFormat="false" ht="15" hidden="false" customHeight="true" outlineLevel="0" collapsed="false">
      <c r="A10" s="14" t="s">
        <v>31</v>
      </c>
      <c r="B10" s="14" t="n">
        <v>389.755004882813</v>
      </c>
      <c r="C10" s="14" t="n">
        <f aca="false">IF(ISBLANK(B10),"",IF(ISBLANK(B9),"",LN(B10/B9)*100))</f>
        <v>-1.24348428928857</v>
      </c>
      <c r="D10" s="14" t="n">
        <f aca="false">IF(COUNTBLANK(C8:C10)&gt;0,"",STDEV(C8:C10))</f>
        <v>4.8922287603251</v>
      </c>
    </row>
    <row r="11" customFormat="false" ht="15" hidden="false" customHeight="true" outlineLevel="0" collapsed="false">
      <c r="A11" s="14" t="s">
        <v>32</v>
      </c>
      <c r="B11" s="14" t="n">
        <v>380.995208740234</v>
      </c>
      <c r="C11" s="14" t="n">
        <f aca="false">IF(ISBLANK(B11),"",IF(ISBLANK(B10),"",LN(B11/B10)*100))</f>
        <v>-2.27315495571925</v>
      </c>
      <c r="D11" s="14" t="n">
        <f aca="false">IF(COUNTBLANK(C9:C11)&gt;0,"",STDEV(C9:C11))</f>
        <v>5.94110550152943</v>
      </c>
    </row>
    <row r="12" customFormat="false" ht="15" hidden="false" customHeight="true" outlineLevel="0" collapsed="false">
      <c r="A12" s="14" t="s">
        <v>33</v>
      </c>
      <c r="B12" s="14" t="n">
        <v>381.794097900391</v>
      </c>
      <c r="C12" s="14" t="n">
        <f aca="false">IF(ISBLANK(B12),"",IF(ISBLANK(B11),"",LN(B12/B11)*100))</f>
        <v>0.209465299343003</v>
      </c>
      <c r="D12" s="14" t="n">
        <f aca="false">IF(COUNTBLANK(C10:C12)&gt;0,"",STDEV(C10:C12))</f>
        <v>1.2473096059959</v>
      </c>
    </row>
    <row r="13" customFormat="false" ht="15" hidden="false" customHeight="true" outlineLevel="0" collapsed="false">
      <c r="A13" s="14" t="s">
        <v>34</v>
      </c>
      <c r="B13" s="14" t="n">
        <v>376.682342529297</v>
      </c>
      <c r="C13" s="14" t="n">
        <f aca="false">IF(ISBLANK(B13),"",IF(ISBLANK(B12),"",LN(B13/B12)*100))</f>
        <v>-1.34792130493926</v>
      </c>
      <c r="D13" s="14" t="n">
        <f aca="false">IF(COUNTBLANK(C11:C13)&gt;0,"",STDEV(C11:C13))</f>
        <v>1.25465225425075</v>
      </c>
    </row>
    <row r="14" customFormat="false" ht="15" hidden="false" customHeight="true" outlineLevel="0" collapsed="false">
      <c r="A14" s="14" t="s">
        <v>35</v>
      </c>
      <c r="B14" s="14" t="n">
        <v>383.702270507813</v>
      </c>
      <c r="C14" s="14" t="n">
        <f aca="false">IF(ISBLANK(B14),"",IF(ISBLANK(B13),"",LN(B14/B13)*100))</f>
        <v>1.84646751324177</v>
      </c>
      <c r="D14" s="14" t="n">
        <f aca="false">IF(COUNTBLANK(C12:C14)&gt;0,"",STDEV(C12:C14))</f>
        <v>1.59735975937521</v>
      </c>
      <c r="E14" s="14" t="n">
        <f aca="false">IF(COUNTBLANK(C3:C14)&gt;0,"",STDEV(C3:C14))</f>
        <v>3.98062494934324</v>
      </c>
    </row>
    <row r="15" customFormat="false" ht="15" hidden="false" customHeight="true" outlineLevel="0" collapsed="false">
      <c r="A15" s="14" t="s">
        <v>36</v>
      </c>
      <c r="B15" s="14" t="n">
        <v>364.391662597656</v>
      </c>
      <c r="C15" s="14" t="n">
        <f aca="false">IF(ISBLANK(B15),"",IF(ISBLANK(B14),"",LN(B15/B14)*100))</f>
        <v>-5.16376293239246</v>
      </c>
      <c r="D15" s="14" t="n">
        <f aca="false">IF(COUNTBLANK(C13:C15)&gt;0,"",STDEV(C13:C15))</f>
        <v>3.50970317235949</v>
      </c>
      <c r="E15" s="14" t="n">
        <f aca="false">IF(COUNTBLANK(C4:C15)&gt;0,"",STDEV(C4:C15))</f>
        <v>4.11376711426545</v>
      </c>
    </row>
    <row r="16" customFormat="false" ht="15" hidden="false" customHeight="true" outlineLevel="0" collapsed="false">
      <c r="A16" s="14" t="s">
        <v>37</v>
      </c>
      <c r="B16" s="14" t="n">
        <v>362.760803222656</v>
      </c>
      <c r="C16" s="14" t="n">
        <f aca="false">IF(ISBLANK(B16),"",IF(ISBLANK(B15),"",LN(B16/B15)*100))</f>
        <v>-0.448561253977092</v>
      </c>
      <c r="D16" s="14" t="n">
        <f aca="false">IF(COUNTBLANK(C14:C16)&gt;0,"",STDEV(C14:C16))</f>
        <v>3.57406432537222</v>
      </c>
      <c r="E16" s="14" t="n">
        <f aca="false">IF(COUNTBLANK(C5:C16)&gt;0,"",STDEV(C5:C16))</f>
        <v>3.81152677920712</v>
      </c>
    </row>
    <row r="17" customFormat="false" ht="15" hidden="false" customHeight="true" outlineLevel="0" collapsed="false">
      <c r="A17" s="14" t="s">
        <v>38</v>
      </c>
      <c r="B17" s="14" t="n">
        <v>358.323333740234</v>
      </c>
      <c r="C17" s="14" t="n">
        <f aca="false">IF(ISBLANK(B17),"",IF(ISBLANK(B16),"",LN(B17/B16)*100))</f>
        <v>-1.23079271123674</v>
      </c>
      <c r="D17" s="14" t="n">
        <f aca="false">IF(COUNTBLANK(C15:C17)&gt;0,"",STDEV(C15:C17))</f>
        <v>2.52696351646778</v>
      </c>
      <c r="E17" s="14" t="n">
        <f aca="false">IF(COUNTBLANK(C6:C17)&gt;0,"",STDEV(C6:C17))</f>
        <v>3.59191504895339</v>
      </c>
    </row>
    <row r="18" customFormat="false" ht="15" hidden="false" customHeight="true" outlineLevel="0" collapsed="false">
      <c r="A18" s="14" t="s">
        <v>39</v>
      </c>
      <c r="B18" s="14" t="n">
        <v>356.964294433594</v>
      </c>
      <c r="C18" s="14" t="n">
        <f aca="false">IF(ISBLANK(B18),"",IF(ISBLANK(B17),"",LN(B18/B17)*100))</f>
        <v>-0.379998447749823</v>
      </c>
      <c r="D18" s="14" t="n">
        <f aca="false">IF(COUNTBLANK(C16:C18)&gt;0,"",STDEV(C16:C18))</f>
        <v>0.472658754618764</v>
      </c>
      <c r="E18" s="14" t="n">
        <f aca="false">IF(COUNTBLANK(C7:C18)&gt;0,"",STDEV(C7:C18))</f>
        <v>3.57802202106459</v>
      </c>
    </row>
    <row r="19" customFormat="false" ht="15" hidden="false" customHeight="true" outlineLevel="0" collapsed="false">
      <c r="A19" s="14" t="s">
        <v>40</v>
      </c>
      <c r="B19" s="14" t="n">
        <v>366.910003662109</v>
      </c>
      <c r="C19" s="14" t="n">
        <f aca="false">IF(ISBLANK(B19),"",IF(ISBLANK(B18),"",LN(B19/B18)*100))</f>
        <v>2.7480835168127</v>
      </c>
      <c r="D19" s="14" t="n">
        <f aca="false">IF(COUNTBLANK(C17:C19)&gt;0,"",STDEV(C17:C19))</f>
        <v>2.0952407854445</v>
      </c>
      <c r="E19" s="14" t="n">
        <f aca="false">IF(COUNTBLANK(C8:C19)&gt;0,"",STDEV(C8:C19))</f>
        <v>3.39308162176582</v>
      </c>
    </row>
    <row r="20" customFormat="false" ht="15" hidden="false" customHeight="true" outlineLevel="0" collapsed="false">
      <c r="A20" s="14" t="s">
        <v>41</v>
      </c>
      <c r="B20" s="14" t="n">
        <v>367.792266845703</v>
      </c>
      <c r="C20" s="14" t="n">
        <f aca="false">IF(ISBLANK(B20),"",IF(ISBLANK(B19),"",LN(B20/B19)*100))</f>
        <v>0.240169016237603</v>
      </c>
      <c r="D20" s="14" t="n">
        <f aca="false">IF(COUNTBLANK(C18:C20)&gt;0,"",STDEV(C18:C20))</f>
        <v>1.65625781017554</v>
      </c>
      <c r="E20" s="14" t="n">
        <f aca="false">IF(COUNTBLANK(C9:C20)&gt;0,"",STDEV(C9:C20))</f>
        <v>3.30397395033367</v>
      </c>
    </row>
    <row r="21" customFormat="false" ht="15" hidden="false" customHeight="true" outlineLevel="0" collapsed="false">
      <c r="A21" s="14" t="s">
        <v>42</v>
      </c>
      <c r="B21" s="14" t="n">
        <v>356.669525146484</v>
      </c>
      <c r="C21" s="14" t="n">
        <f aca="false">IF(ISBLANK(B21),"",IF(ISBLANK(B20),"",LN(B21/B20)*100))</f>
        <v>-3.07086333309545</v>
      </c>
      <c r="D21" s="14" t="n">
        <f aca="false">IF(COUNTBLANK(C19:C21)&gt;0,"",STDEV(C19:C21))</f>
        <v>2.91869585039223</v>
      </c>
      <c r="E21" s="14" t="n">
        <f aca="false">IF(COUNTBLANK(C10:C21)&gt;0,"",STDEV(C10:C21))</f>
        <v>2.11108403245174</v>
      </c>
    </row>
    <row r="22" customFormat="false" ht="15" hidden="false" customHeight="true" outlineLevel="0" collapsed="false">
      <c r="A22" s="14" t="s">
        <v>43</v>
      </c>
      <c r="B22" s="14" t="n">
        <v>348.742858886719</v>
      </c>
      <c r="C22" s="14" t="n">
        <f aca="false">IF(ISBLANK(B22),"",IF(ISBLANK(B21),"",LN(B22/B21)*100))</f>
        <v>-2.24747965696714</v>
      </c>
      <c r="D22" s="14" t="n">
        <f aca="false">IF(COUNTBLANK(C20:C22)&gt;0,"",STDEV(C20:C22))</f>
        <v>1.72381804036572</v>
      </c>
      <c r="E22" s="14" t="n">
        <f aca="false">IF(COUNTBLANK(C11:C22)&gt;0,"",STDEV(C11:C22))</f>
        <v>2.14797756981025</v>
      </c>
    </row>
    <row r="23" customFormat="false" ht="15" hidden="false" customHeight="true" outlineLevel="0" collapsed="false">
      <c r="A23" s="14" t="s">
        <v>44</v>
      </c>
      <c r="B23" s="14" t="n">
        <v>358.814361572266</v>
      </c>
      <c r="C23" s="14" t="n">
        <f aca="false">IF(ISBLANK(B23),"",IF(ISBLANK(B22),"",LN(B23/B22)*100))</f>
        <v>2.84702994467017</v>
      </c>
      <c r="D23" s="14" t="n">
        <f aca="false">IF(COUNTBLANK(C21:C23)&gt;0,"",STDEV(C21:C23))</f>
        <v>3.20555376407657</v>
      </c>
      <c r="E23" s="14" t="n">
        <f aca="false">IF(COUNTBLANK(C12:C23)&gt;0,"",STDEV(C12:C23))</f>
        <v>2.3547541782145</v>
      </c>
    </row>
    <row r="24" customFormat="false" ht="15" hidden="false" customHeight="true" outlineLevel="0" collapsed="false">
      <c r="A24" s="14" t="s">
        <v>45</v>
      </c>
      <c r="B24" s="14" t="n">
        <v>359.589996337891</v>
      </c>
      <c r="C24" s="14" t="n">
        <f aca="false">IF(ISBLANK(B24),"",IF(ISBLANK(B23),"",LN(B24/B23)*100))</f>
        <v>0.215932728821503</v>
      </c>
      <c r="D24" s="14" t="n">
        <f aca="false">IF(COUNTBLANK(C22:C24)&gt;0,"",STDEV(C22:C24))</f>
        <v>2.54771470220137</v>
      </c>
      <c r="E24" s="14" t="n">
        <f aca="false">IF(COUNTBLANK(C13:C24)&gt;0,"",STDEV(C13:C24))</f>
        <v>2.35493201667823</v>
      </c>
    </row>
    <row r="25" customFormat="false" ht="15" hidden="false" customHeight="true" outlineLevel="0" collapsed="false">
      <c r="A25" s="14" t="s">
        <v>46</v>
      </c>
      <c r="B25" s="14" t="n">
        <v>361.532012939453</v>
      </c>
      <c r="C25" s="14" t="n">
        <f aca="false">IF(ISBLANK(B25),"",IF(ISBLANK(B24),"",LN(B25/B24)*100))</f>
        <v>0.538611017672481</v>
      </c>
      <c r="D25" s="14" t="n">
        <f aca="false">IF(COUNTBLANK(C23:C25)&gt;0,"",STDEV(C23:C25))</f>
        <v>1.43501404057379</v>
      </c>
      <c r="E25" s="14" t="n">
        <f aca="false">IF(COUNTBLANK(C14:C25)&gt;0,"",STDEV(C14:C25))</f>
        <v>2.35610041433307</v>
      </c>
    </row>
    <row r="26" customFormat="false" ht="15" hidden="false" customHeight="true" outlineLevel="0" collapsed="false">
      <c r="A26" s="14" t="s">
        <v>47</v>
      </c>
      <c r="B26" s="14" t="n">
        <v>354.700958251953</v>
      </c>
      <c r="C26" s="14" t="n">
        <f aca="false">IF(ISBLANK(B26),"",IF(ISBLANK(B25),"",LN(B26/B25)*100))</f>
        <v>-1.9075530166859</v>
      </c>
      <c r="D26" s="14" t="n">
        <f aca="false">IF(COUNTBLANK(C24:C26)&gt;0,"",STDEV(C24:C26))</f>
        <v>1.32897400729895</v>
      </c>
      <c r="E26" s="14" t="n">
        <f aca="false">IF(COUNTBLANK(C15:C26)&gt;0,"",STDEV(C15:C26))</f>
        <v>2.28731182327431</v>
      </c>
    </row>
    <row r="27" customFormat="false" ht="15" hidden="false" customHeight="true" outlineLevel="0" collapsed="false">
      <c r="A27" s="14" t="s">
        <v>48</v>
      </c>
      <c r="B27" s="14" t="n">
        <v>353.779998779297</v>
      </c>
      <c r="C27" s="14" t="n">
        <f aca="false">IF(ISBLANK(B27),"",IF(ISBLANK(B26),"",LN(B27/B26)*100))</f>
        <v>-0.259981579532838</v>
      </c>
      <c r="D27" s="14" t="n">
        <f aca="false">IF(COUNTBLANK(C25:C27)&gt;0,"",STDEV(C25:C27))</f>
        <v>1.24739463548511</v>
      </c>
      <c r="E27" s="14" t="n">
        <f aca="false">IF(COUNTBLANK(C16:C27)&gt;0,"",STDEV(C16:C27))</f>
        <v>1.79322606432761</v>
      </c>
    </row>
    <row r="28" customFormat="false" ht="15" hidden="false" customHeight="true" outlineLevel="0" collapsed="false">
      <c r="A28" s="14" t="s">
        <v>49</v>
      </c>
      <c r="B28" s="14" t="n">
        <v>344.183319091797</v>
      </c>
      <c r="C28" s="14" t="n">
        <f aca="false">IF(ISBLANK(B28),"",IF(ISBLANK(B27),"",LN(B28/B27)*100))</f>
        <v>-2.75008277979762</v>
      </c>
      <c r="D28" s="14" t="n">
        <f aca="false">IF(COUNTBLANK(C26:C28)&gt;0,"",STDEV(C26:C28))</f>
        <v>1.26655385658696</v>
      </c>
      <c r="E28" s="14" t="n">
        <f aca="false">IF(COUNTBLANK(C17:C28)&gt;0,"",STDEV(C17:C28))</f>
        <v>1.93435293340476</v>
      </c>
    </row>
    <row r="29" customFormat="false" ht="15" hidden="false" customHeight="true" outlineLevel="0" collapsed="false">
      <c r="A29" s="14" t="s">
        <v>50</v>
      </c>
      <c r="B29" s="14" t="n">
        <v>338.691589355469</v>
      </c>
      <c r="C29" s="14" t="n">
        <f aca="false">IF(ISBLANK(B29),"",IF(ISBLANK(B28),"",LN(B29/B28)*100))</f>
        <v>-1.60844923877242</v>
      </c>
      <c r="D29" s="14" t="n">
        <f aca="false">IF(COUNTBLANK(C27:C29)&gt;0,"",STDEV(C27:C29))</f>
        <v>1.24648145845074</v>
      </c>
      <c r="E29" s="14" t="n">
        <f aca="false">IF(COUNTBLANK(C18:C29)&gt;0,"",STDEV(C18:C29))</f>
        <v>1.95141956502044</v>
      </c>
    </row>
    <row r="30" customFormat="false" ht="15" hidden="false" customHeight="true" outlineLevel="0" collapsed="false">
      <c r="A30" s="14" t="s">
        <v>51</v>
      </c>
      <c r="B30" s="14" t="n">
        <v>337.098937988281</v>
      </c>
      <c r="C30" s="14" t="n">
        <f aca="false">IF(ISBLANK(B30),"",IF(ISBLANK(B29),"",LN(B30/B29)*100))</f>
        <v>-0.471345557938947</v>
      </c>
      <c r="D30" s="14" t="n">
        <f aca="false">IF(COUNTBLANK(C28:C30)&gt;0,"",STDEV(C28:C30))</f>
        <v>1.1393693613313</v>
      </c>
      <c r="E30" s="14" t="n">
        <f aca="false">IF(COUNTBLANK(C19:C30)&gt;0,"",STDEV(C19:C30))</f>
        <v>1.95121664070217</v>
      </c>
    </row>
    <row r="31" customFormat="false" ht="15" hidden="false" customHeight="true" outlineLevel="0" collapsed="false">
      <c r="A31" s="14" t="s">
        <v>52</v>
      </c>
      <c r="B31" s="14" t="n">
        <v>341.021911621094</v>
      </c>
      <c r="C31" s="14" t="n">
        <f aca="false">IF(ISBLANK(B31),"",IF(ISBLANK(B30),"",LN(B31/B30)*100))</f>
        <v>1.15702603726684</v>
      </c>
      <c r="D31" s="14" t="n">
        <f aca="false">IF(COUNTBLANK(C29:C31)&gt;0,"",STDEV(C29:C31))</f>
        <v>1.38999114717939</v>
      </c>
      <c r="E31" s="14" t="n">
        <f aca="false">IF(COUNTBLANK(C20:C31)&gt;0,"",STDEV(C20:C31))</f>
        <v>1.75647168894124</v>
      </c>
    </row>
    <row r="32" customFormat="false" ht="15" hidden="false" customHeight="true" outlineLevel="0" collapsed="false">
      <c r="A32" s="14" t="s">
        <v>53</v>
      </c>
      <c r="B32" s="14" t="n">
        <v>352.254486083984</v>
      </c>
      <c r="C32" s="14" t="n">
        <f aca="false">IF(ISBLANK(B32),"",IF(ISBLANK(B31),"",LN(B32/B31)*100))</f>
        <v>3.24071540368765</v>
      </c>
      <c r="D32" s="14" t="n">
        <f aca="false">IF(COUNTBLANK(C30:C32)&gt;0,"",STDEV(C30:C32))</f>
        <v>1.86067872968622</v>
      </c>
      <c r="E32" s="14" t="n">
        <f aca="false">IF(COUNTBLANK(C21:C32)&gt;0,"",STDEV(C21:C32))</f>
        <v>2.0734372475461</v>
      </c>
    </row>
    <row r="33" customFormat="false" ht="15" hidden="false" customHeight="true" outlineLevel="0" collapsed="false">
      <c r="A33" s="14" t="s">
        <v>54</v>
      </c>
      <c r="B33" s="14" t="n">
        <v>342.892852783203</v>
      </c>
      <c r="C33" s="14" t="n">
        <f aca="false">IF(ISBLANK(B33),"",IF(ISBLANK(B32),"",LN(B33/B32)*100))</f>
        <v>-2.69358704012723</v>
      </c>
      <c r="D33" s="14" t="n">
        <f aca="false">IF(COUNTBLANK(C31:C33)&gt;0,"",STDEV(C31:C33))</f>
        <v>3.01067345572937</v>
      </c>
      <c r="E33" s="14" t="n">
        <f aca="false">IF(COUNTBLANK(C22:C33)&gt;0,"",STDEV(C22:C33))</f>
        <v>2.03101688321573</v>
      </c>
    </row>
    <row r="34" customFormat="false" ht="15" hidden="false" customHeight="true" outlineLevel="0" collapsed="false">
      <c r="A34" s="14" t="s">
        <v>55</v>
      </c>
      <c r="B34" s="14" t="n">
        <v>345.006500244141</v>
      </c>
      <c r="C34" s="14" t="n">
        <f aca="false">IF(ISBLANK(B34),"",IF(ISBLANK(B33),"",LN(B34/B33)*100))</f>
        <v>0.614524233314385</v>
      </c>
      <c r="D34" s="14" t="n">
        <f aca="false">IF(COUNTBLANK(C32:C34)&gt;0,"",STDEV(C32:C34))</f>
        <v>2.97367409544392</v>
      </c>
      <c r="E34" s="14" t="n">
        <f aca="false">IF(COUNTBLANK(C23:C34)&gt;0,"",STDEV(C23:C34))</f>
        <v>1.95164721581831</v>
      </c>
    </row>
    <row r="35" customFormat="false" ht="15" hidden="false" customHeight="true" outlineLevel="0" collapsed="false">
      <c r="A35" s="14" t="s">
        <v>56</v>
      </c>
      <c r="B35" s="14" t="n">
        <v>344.892395019531</v>
      </c>
      <c r="C35" s="14" t="n">
        <f aca="false">IF(ISBLANK(B35),"",IF(ISBLANK(B34),"",LN(B35/B34)*100))</f>
        <v>-0.0330788254435048</v>
      </c>
      <c r="D35" s="14" t="n">
        <f aca="false">IF(COUNTBLANK(C33:C35)&gt;0,"",STDEV(C33:C35))</f>
        <v>1.75315400918761</v>
      </c>
      <c r="E35" s="14" t="n">
        <f aca="false">IF(COUNTBLANK(C24:C35)&gt;0,"",STDEV(C24:C35))</f>
        <v>1.72113603190221</v>
      </c>
    </row>
    <row r="36" customFormat="false" ht="15" hidden="false" customHeight="true" outlineLevel="0" collapsed="false">
      <c r="A36" s="14" t="s">
        <v>57</v>
      </c>
      <c r="B36" s="14" t="n">
        <v>335.050537109375</v>
      </c>
      <c r="C36" s="14" t="n">
        <f aca="false">IF(ISBLANK(B36),"",IF(ISBLANK(B35),"",LN(B36/B35)*100))</f>
        <v>-2.89510923965977</v>
      </c>
      <c r="D36" s="14" t="n">
        <f aca="false">IF(COUNTBLANK(C34:C36)&gt;0,"",STDEV(C34:C36))</f>
        <v>1.86762482528978</v>
      </c>
      <c r="E36" s="14" t="n">
        <f aca="false">IF(COUNTBLANK(C25:C36)&gt;0,"",STDEV(C25:C36))</f>
        <v>1.86015669526989</v>
      </c>
    </row>
    <row r="37" customFormat="false" ht="15" hidden="false" customHeight="true" outlineLevel="0" collapsed="false">
      <c r="A37" s="14" t="s">
        <v>58</v>
      </c>
      <c r="B37" s="14" t="n">
        <v>334.80712890625</v>
      </c>
      <c r="C37" s="14" t="n">
        <f aca="false">IF(ISBLANK(B37),"",IF(ISBLANK(B36),"",LN(B37/B36)*100))</f>
        <v>-0.0726746072149938</v>
      </c>
      <c r="D37" s="14" t="n">
        <f aca="false">IF(COUNTBLANK(C35:C37)&gt;0,"",STDEV(C35:C37))</f>
        <v>1.64108313684676</v>
      </c>
      <c r="E37" s="14" t="n">
        <f aca="false">IF(COUNTBLANK(C26:C37)&gt;0,"",STDEV(C26:C37))</f>
        <v>1.83466436676696</v>
      </c>
    </row>
    <row r="38" customFormat="false" ht="15" hidden="false" customHeight="true" outlineLevel="0" collapsed="false">
      <c r="A38" s="14" t="s">
        <v>59</v>
      </c>
      <c r="B38" s="14" t="n">
        <v>329.030548095703</v>
      </c>
      <c r="C38" s="14" t="n">
        <f aca="false">IF(ISBLANK(B38),"",IF(ISBLANK(B37),"",LN(B38/B37)*100))</f>
        <v>-1.74040336083754</v>
      </c>
      <c r="D38" s="14" t="n">
        <f aca="false">IF(COUNTBLANK(C36:C38)&gt;0,"",STDEV(C36:C38))</f>
        <v>1.41896688454839</v>
      </c>
      <c r="E38" s="14" t="n">
        <f aca="false">IF(COUNTBLANK(C27:C38)&gt;0,"",STDEV(C27:C38))</f>
        <v>1.82477356334903</v>
      </c>
    </row>
    <row r="39" customFormat="false" ht="15" hidden="false" customHeight="true" outlineLevel="0" collapsed="false">
      <c r="A39" s="14" t="s">
        <v>60</v>
      </c>
      <c r="B39" s="14" t="n">
        <v>329.299987792969</v>
      </c>
      <c r="C39" s="14" t="n">
        <f aca="false">IF(ISBLANK(B39),"",IF(ISBLANK(B38),"",LN(B39/B38)*100))</f>
        <v>0.0818554503010278</v>
      </c>
      <c r="D39" s="14" t="n">
        <f aca="false">IF(COUNTBLANK(C37:C39)&gt;0,"",STDEV(C37:C39))</f>
        <v>1.01043108862072</v>
      </c>
      <c r="E39" s="14" t="n">
        <f aca="false">IF(COUNTBLANK(C28:C39)&gt;0,"",STDEV(C28:C39))</f>
        <v>1.83365411915085</v>
      </c>
    </row>
    <row r="40" customFormat="false" ht="15" hidden="false" customHeight="true" outlineLevel="0" collapsed="false">
      <c r="A40" s="14" t="s">
        <v>61</v>
      </c>
      <c r="B40" s="14" t="n">
        <v>330.096954345703</v>
      </c>
      <c r="C40" s="14" t="n">
        <f aca="false">IF(ISBLANK(B40),"",IF(ISBLANK(B39),"",LN(B40/B39)*100))</f>
        <v>0.241726004435254</v>
      </c>
      <c r="D40" s="14" t="n">
        <f aca="false">IF(COUNTBLANK(C38:C40)&gt;0,"",STDEV(C38:C40))</f>
        <v>1.10113748683865</v>
      </c>
      <c r="E40" s="14" t="n">
        <f aca="false">IF(COUNTBLANK(C29:C40)&gt;0,"",STDEV(C29:C40))</f>
        <v>1.71385379998999</v>
      </c>
    </row>
    <row r="41" customFormat="false" ht="15" hidden="false" customHeight="true" outlineLevel="0" collapsed="false">
      <c r="A41" s="14" t="s">
        <v>62</v>
      </c>
      <c r="B41" s="14" t="n">
        <v>342.05712890625</v>
      </c>
      <c r="C41" s="14" t="n">
        <f aca="false">IF(ISBLANK(B41),"",IF(ISBLANK(B40),"",LN(B41/B40)*100))</f>
        <v>3.55913543408704</v>
      </c>
      <c r="D41" s="14" t="n">
        <f aca="false">IF(COUNTBLANK(C39:C41)&gt;0,"",STDEV(C39:C41))</f>
        <v>1.96308600608246</v>
      </c>
      <c r="E41" s="14" t="n">
        <f aca="false">IF(COUNTBLANK(C30:C41)&gt;0,"",STDEV(C30:C41))</f>
        <v>1.99463605491012</v>
      </c>
    </row>
    <row r="42" customFormat="false" ht="15" hidden="false" customHeight="true" outlineLevel="0" collapsed="false">
      <c r="A42" s="14" t="s">
        <v>63</v>
      </c>
      <c r="B42" s="14" t="n">
        <v>366.667999267578</v>
      </c>
      <c r="C42" s="14" t="n">
        <f aca="false">IF(ISBLANK(B42),"",IF(ISBLANK(B41),"",LN(B42/B41)*100))</f>
        <v>6.94790377799645</v>
      </c>
      <c r="D42" s="14" t="n">
        <f aca="false">IF(COUNTBLANK(C40:C42)&gt;0,"",STDEV(C40:C42))</f>
        <v>3.35315216234991</v>
      </c>
      <c r="E42" s="14" t="n">
        <f aca="false">IF(COUNTBLANK(C31:C42)&gt;0,"",STDEV(C31:C42))</f>
        <v>2.79619425940482</v>
      </c>
    </row>
    <row r="43" customFormat="false" ht="15" hidden="false" customHeight="true" outlineLevel="0" collapsed="false">
      <c r="A43" s="14" t="s">
        <v>64</v>
      </c>
      <c r="B43" s="14" t="n">
        <v>371.809997558594</v>
      </c>
      <c r="C43" s="14" t="n">
        <f aca="false">IF(ISBLANK(B43),"",IF(ISBLANK(B42),"",LN(B43/B42)*100))</f>
        <v>1.39261600622473</v>
      </c>
      <c r="D43" s="14" t="n">
        <f aca="false">IF(COUNTBLANK(C41:C43)&gt;0,"",STDEV(C41:C43))</f>
        <v>2.79996367676392</v>
      </c>
      <c r="E43" s="14" t="n">
        <f aca="false">IF(COUNTBLANK(C32:C43)&gt;0,"",STDEV(C32:C43))</f>
        <v>2.80051341376212</v>
      </c>
    </row>
    <row r="44" customFormat="false" ht="15" hidden="false" customHeight="true" outlineLevel="0" collapsed="false">
      <c r="A44" s="14" t="s">
        <v>65</v>
      </c>
      <c r="B44" s="14" t="n">
        <v>392.399993896484</v>
      </c>
      <c r="C44" s="14" t="n">
        <f aca="false">IF(ISBLANK(B44),"",IF(ISBLANK(B43),"",LN(B44/B43)*100))</f>
        <v>5.38987475967688</v>
      </c>
      <c r="D44" s="14" t="n">
        <f aca="false">IF(COUNTBLANK(C42:C44)&gt;0,"",STDEV(C42:C44))</f>
        <v>2.86550618539355</v>
      </c>
      <c r="E44" s="14" t="n">
        <f aca="false">IF(COUNTBLANK(C33:C44)&gt;0,"",STDEV(C33:C44))</f>
        <v>3.03523472705667</v>
      </c>
    </row>
    <row r="45" customFormat="false" ht="15" hidden="false" customHeight="true" outlineLevel="0" collapsed="false">
      <c r="A45" s="14" t="s">
        <v>66</v>
      </c>
      <c r="B45" s="14" t="n">
        <v>378.700012207031</v>
      </c>
      <c r="C45" s="14" t="n">
        <f aca="false">IF(ISBLANK(B45),"",IF(ISBLANK(B44),"",LN(B45/B44)*100))</f>
        <v>-3.55373449950969</v>
      </c>
      <c r="D45" s="14" t="n">
        <f aca="false">IF(COUNTBLANK(C43:C45)&gt;0,"",STDEV(C43:C45))</f>
        <v>4.480189866673</v>
      </c>
      <c r="E45" s="14" t="n">
        <f aca="false">IF(COUNTBLANK(C34:C45)&gt;0,"",STDEV(C34:C45))</f>
        <v>3.13627373523223</v>
      </c>
    </row>
    <row r="46" customFormat="false" ht="15" hidden="false" customHeight="true" outlineLevel="0" collapsed="false">
      <c r="A46" s="14" t="s">
        <v>67</v>
      </c>
      <c r="B46" s="14" t="n">
        <v>354.399993896484</v>
      </c>
      <c r="C46" s="14" t="n">
        <f aca="false">IF(ISBLANK(B46),"",IF(ISBLANK(B45),"",LN(B46/B45)*100))</f>
        <v>-6.63181656329737</v>
      </c>
      <c r="D46" s="14" t="n">
        <f aca="false">IF(COUNTBLANK(C44:C46)&gt;0,"",STDEV(C44:C46))</f>
        <v>6.24478179545789</v>
      </c>
      <c r="E46" s="14" t="n">
        <f aca="false">IF(COUNTBLANK(C35:C46)&gt;0,"",STDEV(C35:C46))</f>
        <v>3.80695275277363</v>
      </c>
    </row>
    <row r="47" customFormat="false" ht="15" hidden="false" customHeight="true" outlineLevel="0" collapsed="false">
      <c r="A47" s="14" t="s">
        <v>68</v>
      </c>
      <c r="B47" s="14" t="n">
        <v>362.380004882813</v>
      </c>
      <c r="C47" s="14" t="n">
        <f aca="false">IF(ISBLANK(B47),"",IF(ISBLANK(B46),"",LN(B47/B46)*100))</f>
        <v>2.22671969734358</v>
      </c>
      <c r="D47" s="14" t="n">
        <f aca="false">IF(COUNTBLANK(C45:C47)&gt;0,"",STDEV(C45:C47))</f>
        <v>4.49744195060594</v>
      </c>
      <c r="E47" s="14" t="n">
        <f aca="false">IF(COUNTBLANK(C36:C47)&gt;0,"",STDEV(C36:C47))</f>
        <v>3.84875025177879</v>
      </c>
    </row>
    <row r="48" customFormat="false" ht="15" hidden="false" customHeight="true" outlineLevel="0" collapsed="false">
      <c r="A48" s="14" t="s">
        <v>69</v>
      </c>
      <c r="B48" s="14" t="n">
        <v>374.167510986328</v>
      </c>
      <c r="C48" s="14" t="n">
        <f aca="false">IF(ISBLANK(B48),"",IF(ISBLANK(B47),"",LN(B48/B47)*100))</f>
        <v>3.2010188997119</v>
      </c>
      <c r="D48" s="14" t="n">
        <f aca="false">IF(COUNTBLANK(C46:C48)&gt;0,"",STDEV(C46:C48))</f>
        <v>5.4176805747392</v>
      </c>
      <c r="E48" s="14" t="n">
        <f aca="false">IF(COUNTBLANK(C37:C48)&gt;0,"",STDEV(C37:C48))</f>
        <v>3.77412595330101</v>
      </c>
    </row>
    <row r="49" customFormat="false" ht="15" hidden="false" customHeight="true" outlineLevel="0" collapsed="false">
      <c r="A49" s="14" t="s">
        <v>70</v>
      </c>
      <c r="B49" s="14" t="n">
        <v>383.302001953125</v>
      </c>
      <c r="C49" s="14" t="n">
        <f aca="false">IF(ISBLANK(B49),"",IF(ISBLANK(B48),"",LN(B49/B48)*100))</f>
        <v>2.41196078340818</v>
      </c>
      <c r="D49" s="14" t="n">
        <f aca="false">IF(COUNTBLANK(C47:C49)&gt;0,"",STDEV(C47:C49))</f>
        <v>0.51739506288823</v>
      </c>
      <c r="E49" s="14" t="n">
        <f aca="false">IF(COUNTBLANK(C38:C49)&gt;0,"",STDEV(C38:C49))</f>
        <v>3.78284966075346</v>
      </c>
    </row>
    <row r="50" customFormat="false" ht="15" hidden="false" customHeight="true" outlineLevel="0" collapsed="false">
      <c r="A50" s="14" t="s">
        <v>71</v>
      </c>
      <c r="B50" s="14" t="n">
        <v>387.077514648438</v>
      </c>
      <c r="C50" s="14" t="n">
        <f aca="false">IF(ISBLANK(B50),"",IF(ISBLANK(B49),"",LN(B50/B49)*100))</f>
        <v>0.980177390890843</v>
      </c>
      <c r="D50" s="14" t="n">
        <f aca="false">IF(COUNTBLANK(C48:C50)&gt;0,"",STDEV(C48:C50))</f>
        <v>1.1258147717169</v>
      </c>
      <c r="E50" s="14" t="n">
        <f aca="false">IF(COUNTBLANK(C39:C50)&gt;0,"",STDEV(C39:C50))</f>
        <v>3.6753593534964</v>
      </c>
    </row>
    <row r="51" customFormat="false" ht="15" hidden="false" customHeight="true" outlineLevel="0" collapsed="false">
      <c r="A51" s="14" t="s">
        <v>72</v>
      </c>
      <c r="B51" s="14" t="n">
        <v>382.304992675781</v>
      </c>
      <c r="C51" s="14" t="n">
        <f aca="false">IF(ISBLANK(B51),"",IF(ISBLANK(B50),"",LN(B51/B50)*100))</f>
        <v>-1.24062690295922</v>
      </c>
      <c r="D51" s="14" t="n">
        <f aca="false">IF(COUNTBLANK(C49:C51)&gt;0,"",STDEV(C49:C51))</f>
        <v>1.84044252836441</v>
      </c>
      <c r="E51" s="14" t="n">
        <f aca="false">IF(COUNTBLANK(C40:C51)&gt;0,"",STDEV(C40:C51))</f>
        <v>3.73629369669858</v>
      </c>
    </row>
    <row r="52" customFormat="false" ht="15" hidden="false" customHeight="true" outlineLevel="0" collapsed="false">
      <c r="A52" s="14" t="s">
        <v>73</v>
      </c>
      <c r="B52" s="14" t="n">
        <v>383.877502441406</v>
      </c>
      <c r="C52" s="14" t="n">
        <f aca="false">IF(ISBLANK(B52),"",IF(ISBLANK(B51),"",LN(B52/B51)*100))</f>
        <v>0.410479744350224</v>
      </c>
      <c r="D52" s="14" t="n">
        <f aca="false">IF(COUNTBLANK(C50:C52)&gt;0,"",STDEV(C50:C52))</f>
        <v>1.15344991806076</v>
      </c>
      <c r="E52" s="14" t="n">
        <f aca="false">IF(COUNTBLANK(C41:C52)&gt;0,"",STDEV(C41:C52))</f>
        <v>3.73249504436988</v>
      </c>
    </row>
    <row r="53" customFormat="false" ht="15" hidden="false" customHeight="true" outlineLevel="0" collapsed="false">
      <c r="A53" s="14" t="s">
        <v>74</v>
      </c>
      <c r="B53" s="14" t="n">
        <v>377.321044921875</v>
      </c>
      <c r="C53" s="14" t="n">
        <f aca="false">IF(ISBLANK(B53),"",IF(ISBLANK(B52),"",LN(B53/B52)*100))</f>
        <v>-1.72270945330121</v>
      </c>
      <c r="D53" s="14" t="n">
        <f aca="false">IF(COUNTBLANK(C51:C53)&gt;0,"",STDEV(C51:C53))</f>
        <v>1.11870854851405</v>
      </c>
      <c r="E53" s="14" t="n">
        <f aca="false">IF(COUNTBLANK(C42:C53)&gt;0,"",STDEV(C42:C53))</f>
        <v>3.74783907912453</v>
      </c>
    </row>
    <row r="54" customFormat="false" ht="15" hidden="false" customHeight="true" outlineLevel="0" collapsed="false">
      <c r="A54" s="14" t="s">
        <v>75</v>
      </c>
      <c r="B54" s="14" t="n">
        <v>381.589996337891</v>
      </c>
      <c r="C54" s="14" t="n">
        <f aca="false">IF(ISBLANK(B54),"",IF(ISBLANK(B53),"",LN(B54/B53)*100))</f>
        <v>1.12503210797978</v>
      </c>
      <c r="D54" s="14" t="n">
        <f aca="false">IF(COUNTBLANK(C52:C54)&gt;0,"",STDEV(C52:C54))</f>
        <v>1.48159335588371</v>
      </c>
      <c r="E54" s="14" t="n">
        <f aca="false">IF(COUNTBLANK(C43:C54)&gt;0,"",STDEV(C43:C54))</f>
        <v>3.22205924167455</v>
      </c>
    </row>
    <row r="55" customFormat="false" ht="15" hidden="false" customHeight="true" outlineLevel="0" collapsed="false">
      <c r="A55" s="14" t="s">
        <v>76</v>
      </c>
      <c r="B55" s="14" t="n">
        <v>385.743194580078</v>
      </c>
      <c r="C55" s="14" t="n">
        <f aca="false">IF(ISBLANK(B55),"",IF(ISBLANK(B54),"",LN(B55/B54)*100))</f>
        <v>1.08251248568354</v>
      </c>
      <c r="D55" s="14" t="n">
        <f aca="false">IF(COUNTBLANK(C53:C55)&gt;0,"",STDEV(C53:C55))</f>
        <v>1.63200847858749</v>
      </c>
      <c r="E55" s="14" t="n">
        <f aca="false">IF(COUNTBLANK(C44:C55)&gt;0,"",STDEV(C44:C55))</f>
        <v>3.21401660806068</v>
      </c>
    </row>
    <row r="56" customFormat="false" ht="15" hidden="false" customHeight="true" outlineLevel="0" collapsed="false">
      <c r="A56" s="14" t="s">
        <v>77</v>
      </c>
      <c r="B56" s="14" t="n">
        <v>385.399993896484</v>
      </c>
      <c r="C56" s="14" t="n">
        <f aca="false">IF(ISBLANK(B56),"",IF(ISBLANK(B55),"",LN(B56/B55)*100))</f>
        <v>-0.0890108896459827</v>
      </c>
      <c r="D56" s="14" t="n">
        <f aca="false">IF(COUNTBLANK(C54:C56)&gt;0,"",STDEV(C54:C56))</f>
        <v>0.688981777372457</v>
      </c>
      <c r="E56" s="14" t="n">
        <f aca="false">IF(COUNTBLANK(C45:C56)&gt;0,"",STDEV(C45:C56))</f>
        <v>2.78704724598817</v>
      </c>
    </row>
    <row r="57" customFormat="false" ht="15" hidden="false" customHeight="true" outlineLevel="0" collapsed="false">
      <c r="A57" s="14" t="s">
        <v>78</v>
      </c>
      <c r="B57" s="14" t="n">
        <v>380.761352539063</v>
      </c>
      <c r="C57" s="14" t="n">
        <f aca="false">IF(ISBLANK(B57),"",IF(ISBLANK(B56),"",LN(B57/B56)*100))</f>
        <v>-1.210893255773</v>
      </c>
      <c r="D57" s="14" t="n">
        <f aca="false">IF(COUNTBLANK(C55:C57)&gt;0,"",STDEV(C55:C57))</f>
        <v>1.14679240763939</v>
      </c>
      <c r="E57" s="14" t="n">
        <f aca="false">IF(COUNTBLANK(C46:C57)&gt;0,"",STDEV(C46:C57))</f>
        <v>2.60291151616283</v>
      </c>
    </row>
    <row r="58" customFormat="false" ht="15" hidden="false" customHeight="true" outlineLevel="0" collapsed="false">
      <c r="A58" s="14" t="s">
        <v>79</v>
      </c>
      <c r="B58" s="14" t="n">
        <v>391.928100585938</v>
      </c>
      <c r="C58" s="14" t="n">
        <f aca="false">IF(ISBLANK(B58),"",IF(ISBLANK(B57),"",LN(B58/B57)*100))</f>
        <v>2.89055985092225</v>
      </c>
      <c r="D58" s="14" t="n">
        <f aca="false">IF(COUNTBLANK(C56:C58)&gt;0,"",STDEV(C56:C58))</f>
        <v>2.11968470249301</v>
      </c>
      <c r="E58" s="14" t="n">
        <f aca="false">IF(COUNTBLANK(C47:C58)&gt;0,"",STDEV(C47:C58))</f>
        <v>1.6646906717279</v>
      </c>
    </row>
    <row r="59" customFormat="false" ht="15" hidden="false" customHeight="true" outlineLevel="0" collapsed="false">
      <c r="A59" s="14" t="s">
        <v>80</v>
      </c>
      <c r="B59" s="14" t="n">
        <v>389.594451904297</v>
      </c>
      <c r="C59" s="14" t="n">
        <f aca="false">IF(ISBLANK(B59),"",IF(ISBLANK(B58),"",LN(B59/B58)*100))</f>
        <v>-0.597207491999134</v>
      </c>
      <c r="D59" s="14" t="n">
        <f aca="false">IF(COUNTBLANK(C57:C59)&gt;0,"",STDEV(C57:C59))</f>
        <v>2.21220285542969</v>
      </c>
      <c r="E59" s="14" t="n">
        <f aca="false">IF(COUNTBLANK(C48:C59)&gt;0,"",STDEV(C48:C59))</f>
        <v>1.65018500592618</v>
      </c>
    </row>
    <row r="60" customFormat="false" ht="15" hidden="false" customHeight="true" outlineLevel="0" collapsed="false">
      <c r="A60" s="14" t="s">
        <v>81</v>
      </c>
      <c r="B60" s="14" t="n">
        <v>384.441253662109</v>
      </c>
      <c r="C60" s="14" t="n">
        <f aca="false">IF(ISBLANK(B60),"",IF(ISBLANK(B59),"",LN(B60/B59)*100))</f>
        <v>-1.33153402166627</v>
      </c>
      <c r="D60" s="14" t="n">
        <f aca="false">IF(COUNTBLANK(C58:C60)&gt;0,"",STDEV(C58:C60))</f>
        <v>2.25572727220703</v>
      </c>
      <c r="E60" s="14" t="n">
        <f aca="false">IF(COUNTBLANK(C49:C60)&gt;0,"",STDEV(C49:C60))</f>
        <v>1.51474364591084</v>
      </c>
    </row>
    <row r="61" customFormat="false" ht="15" hidden="false" customHeight="true" outlineLevel="0" collapsed="false">
      <c r="A61" s="14" t="s">
        <v>82</v>
      </c>
      <c r="B61" s="14" t="n">
        <v>379.399993896484</v>
      </c>
      <c r="C61" s="14" t="n">
        <f aca="false">IF(ISBLANK(B61),"",IF(ISBLANK(B60),"",LN(B61/B60)*100))</f>
        <v>-1.31999495446413</v>
      </c>
      <c r="D61" s="14" t="n">
        <f aca="false">IF(COUNTBLANK(C59:C61)&gt;0,"",STDEV(C59:C61))</f>
        <v>0.420672144339956</v>
      </c>
      <c r="E61" s="14" t="n">
        <f aca="false">IF(COUNTBLANK(C50:C61)&gt;0,"",STDEV(C50:C61))</f>
        <v>1.40414824861727</v>
      </c>
    </row>
    <row r="62" customFormat="false" ht="15" hidden="false" customHeight="true" outlineLevel="0" collapsed="false">
      <c r="A62" s="14" t="s">
        <v>83</v>
      </c>
      <c r="B62" s="14" t="n">
        <v>378.549987792969</v>
      </c>
      <c r="C62" s="14" t="n">
        <f aca="false">IF(ISBLANK(B62),"",IF(ISBLANK(B61),"",LN(B62/B61)*100))</f>
        <v>-0.224290911112622</v>
      </c>
      <c r="D62" s="14" t="n">
        <f aca="false">IF(COUNTBLANK(C60:C62)&gt;0,"",STDEV(C60:C62))</f>
        <v>0.635962237683608</v>
      </c>
      <c r="E62" s="14" t="n">
        <f aca="false">IF(COUNTBLANK(C51:C62)&gt;0,"",STDEV(C51:C62))</f>
        <v>1.36352529836633</v>
      </c>
    </row>
    <row r="63" customFormat="false" ht="15" hidden="false" customHeight="true" outlineLevel="0" collapsed="false">
      <c r="A63" s="14" t="s">
        <v>84</v>
      </c>
      <c r="B63" s="14" t="n">
        <v>376.505249023438</v>
      </c>
      <c r="C63" s="14" t="n">
        <f aca="false">IF(ISBLANK(B63),"",IF(ISBLANK(B62),"",LN(B63/B62)*100))</f>
        <v>-0.541614353042014</v>
      </c>
      <c r="D63" s="14" t="n">
        <f aca="false">IF(COUNTBLANK(C61:C63)&gt;0,"",STDEV(C61:C63))</f>
        <v>0.563787471494506</v>
      </c>
      <c r="E63" s="14" t="n">
        <f aca="false">IF(COUNTBLANK(C52:C63)&gt;0,"",STDEV(C52:C63))</f>
        <v>1.32884831286989</v>
      </c>
    </row>
    <row r="64" customFormat="false" ht="15" hidden="false" customHeight="true" outlineLevel="0" collapsed="false">
      <c r="A64" s="14" t="s">
        <v>85</v>
      </c>
      <c r="B64" s="14" t="n">
        <v>381.661895751953</v>
      </c>
      <c r="C64" s="14" t="n">
        <f aca="false">IF(ISBLANK(B64),"",IF(ISBLANK(B63),"",LN(B64/B63)*100))</f>
        <v>1.36031382567964</v>
      </c>
      <c r="D64" s="14" t="n">
        <f aca="false">IF(COUNTBLANK(C62:C64)&gt;0,"",STDEV(C62:C64))</f>
        <v>1.0189044063501</v>
      </c>
      <c r="E64" s="14" t="n">
        <f aca="false">IF(COUNTBLANK(C53:C64)&gt;0,"",STDEV(C53:C64))</f>
        <v>1.39065032427314</v>
      </c>
    </row>
    <row r="65" customFormat="false" ht="15" hidden="false" customHeight="true" outlineLevel="0" collapsed="false">
      <c r="A65" s="14" t="s">
        <v>86</v>
      </c>
      <c r="B65" s="14" t="n">
        <v>391.04443359375</v>
      </c>
      <c r="C65" s="14" t="n">
        <f aca="false">IF(ISBLANK(B65),"",IF(ISBLANK(B64),"",LN(B65/B64)*100))</f>
        <v>2.42860674045802</v>
      </c>
      <c r="D65" s="14" t="n">
        <f aca="false">IF(COUNTBLANK(C63:C65)&gt;0,"",STDEV(C63:C65))</f>
        <v>1.50448185394251</v>
      </c>
      <c r="E65" s="14" t="n">
        <f aca="false">IF(COUNTBLANK(C54:C65)&gt;0,"",STDEV(C54:C65))</f>
        <v>1.45126167178667</v>
      </c>
    </row>
    <row r="66" customFormat="false" ht="15" hidden="false" customHeight="true" outlineLevel="0" collapsed="false">
      <c r="A66" s="14" t="s">
        <v>87</v>
      </c>
      <c r="B66" s="14" t="n">
        <v>385.219055175781</v>
      </c>
      <c r="C66" s="14" t="n">
        <f aca="false">IF(ISBLANK(B66),"",IF(ISBLANK(B65),"",LN(B66/B65)*100))</f>
        <v>-1.50090474677351</v>
      </c>
      <c r="D66" s="14" t="n">
        <f aca="false">IF(COUNTBLANK(C64:C66)&gt;0,"",STDEV(C64:C66))</f>
        <v>2.03178419127135</v>
      </c>
      <c r="E66" s="14" t="n">
        <f aca="false">IF(COUNTBLANK(C55:C66)&gt;0,"",STDEV(C55:C66))</f>
        <v>1.51188237259342</v>
      </c>
    </row>
    <row r="67" customFormat="false" ht="15" hidden="false" customHeight="true" outlineLevel="0" collapsed="false">
      <c r="A67" s="14" t="s">
        <v>88</v>
      </c>
      <c r="B67" s="14" t="n">
        <v>387.490478515625</v>
      </c>
      <c r="C67" s="14" t="n">
        <f aca="false">IF(ISBLANK(B67),"",IF(ISBLANK(B66),"",LN(B67/B66)*100))</f>
        <v>0.587912995321146</v>
      </c>
      <c r="D67" s="14" t="n">
        <f aca="false">IF(COUNTBLANK(C65:C67)&gt;0,"",STDEV(C65:C67))</f>
        <v>1.96606093290451</v>
      </c>
      <c r="E67" s="14" t="n">
        <f aca="false">IF(COUNTBLANK(C56:C67)&gt;0,"",STDEV(C56:C67))</f>
        <v>1.48859667399045</v>
      </c>
    </row>
    <row r="68" customFormat="false" ht="15" hidden="false" customHeight="true" outlineLevel="0" collapsed="false">
      <c r="A68" s="14" t="s">
        <v>89</v>
      </c>
      <c r="B68" s="14" t="n">
        <v>386.240478515625</v>
      </c>
      <c r="C68" s="14" t="n">
        <f aca="false">IF(ISBLANK(B68),"",IF(ISBLANK(B67),"",LN(B68/B67)*100))</f>
        <v>-0.323110010305594</v>
      </c>
      <c r="D68" s="14" t="n">
        <f aca="false">IF(COUNTBLANK(C66:C68)&gt;0,"",STDEV(C66:C68))</f>
        <v>1.04724423430593</v>
      </c>
      <c r="E68" s="14" t="n">
        <f aca="false">IF(COUNTBLANK(C57:C68)&gt;0,"",STDEV(C57:C68))</f>
        <v>1.49193785346448</v>
      </c>
    </row>
    <row r="69" customFormat="false" ht="15" hidden="false" customHeight="true" outlineLevel="0" collapsed="false">
      <c r="A69" s="14" t="s">
        <v>90</v>
      </c>
      <c r="B69" s="14" t="n">
        <v>383.697631835938</v>
      </c>
      <c r="C69" s="14" t="n">
        <f aca="false">IF(ISBLANK(B69),"",IF(ISBLANK(B68),"",LN(B69/B68)*100))</f>
        <v>-0.660535149773923</v>
      </c>
      <c r="D69" s="14" t="n">
        <f aca="false">IF(COUNTBLANK(C67:C69)&gt;0,"",STDEV(C67:C69))</f>
        <v>0.645812332456537</v>
      </c>
      <c r="E69" s="14" t="n">
        <f aca="false">IF(COUNTBLANK(C58:C69)&gt;0,"",STDEV(C58:C69))</f>
        <v>1.45881287904442</v>
      </c>
    </row>
    <row r="70" customFormat="false" ht="15" hidden="false" customHeight="true" outlineLevel="0" collapsed="false">
      <c r="A70" s="14" t="s">
        <v>91</v>
      </c>
      <c r="B70" s="14" t="n">
        <v>383.217498779297</v>
      </c>
      <c r="C70" s="14" t="n">
        <f aca="false">IF(ISBLANK(B70),"",IF(ISBLANK(B69),"",LN(B70/B69)*100))</f>
        <v>-0.125211539113834</v>
      </c>
      <c r="D70" s="14" t="n">
        <f aca="false">IF(COUNTBLANK(C68:C70)&gt;0,"",STDEV(C68:C70))</f>
        <v>0.270675358370937</v>
      </c>
      <c r="E70" s="14" t="n">
        <f aca="false">IF(COUNTBLANK(C59:C70)&gt;0,"",STDEV(C59:C70))</f>
        <v>1.1559349064061</v>
      </c>
    </row>
    <row r="71" customFormat="false" ht="15" hidden="false" customHeight="true" outlineLevel="0" collapsed="false">
      <c r="A71" s="14" t="s">
        <v>92</v>
      </c>
      <c r="B71" s="14" t="n">
        <v>383.069030761719</v>
      </c>
      <c r="C71" s="14" t="n">
        <f aca="false">IF(ISBLANK(B71),"",IF(ISBLANK(B70),"",LN(B71/B70)*100))</f>
        <v>-0.0387500011320083</v>
      </c>
      <c r="D71" s="14" t="n">
        <f aca="false">IF(COUNTBLANK(C69:C71)&gt;0,"",STDEV(C69:C71))</f>
        <v>0.3368144238677</v>
      </c>
      <c r="E71" s="14" t="n">
        <f aca="false">IF(COUNTBLANK(C60:C71)&gt;0,"",STDEV(C60:C71))</f>
        <v>1.14915348861864</v>
      </c>
    </row>
    <row r="72" customFormat="false" ht="15" hidden="false" customHeight="true" outlineLevel="0" collapsed="false">
      <c r="A72" s="14" t="s">
        <v>93</v>
      </c>
      <c r="B72" s="14" t="n">
        <v>385.676300048828</v>
      </c>
      <c r="C72" s="14" t="n">
        <f aca="false">IF(ISBLANK(B72),"",IF(ISBLANK(B71),"",LN(B72/B71)*100))</f>
        <v>0.678320681692849</v>
      </c>
      <c r="D72" s="14" t="n">
        <f aca="false">IF(COUNTBLANK(C70:C72)&gt;0,"",STDEV(C70:C72))</f>
        <v>0.441083890658684</v>
      </c>
      <c r="E72" s="14" t="n">
        <f aca="false">IF(COUNTBLANK(C61:C72)&gt;0,"",STDEV(C61:C72))</f>
        <v>1.10545805281573</v>
      </c>
    </row>
    <row r="73" customFormat="false" ht="15" hidden="false" customHeight="true" outlineLevel="0" collapsed="false">
      <c r="A73" s="14" t="s">
        <v>94</v>
      </c>
      <c r="B73" s="14" t="n">
        <v>387.557678222656</v>
      </c>
      <c r="C73" s="14" t="n">
        <f aca="false">IF(ISBLANK(B73),"",IF(ISBLANK(B72),"",LN(B73/B72)*100))</f>
        <v>0.486626801038158</v>
      </c>
      <c r="D73" s="14" t="n">
        <f aca="false">IF(COUNTBLANK(C71:C73)&gt;0,"",STDEV(C71:C73))</f>
        <v>0.371249622290697</v>
      </c>
      <c r="E73" s="14" t="n">
        <f aca="false">IF(COUNTBLANK(C62:C73)&gt;0,"",STDEV(C62:C73))</f>
        <v>1.02550495774219</v>
      </c>
    </row>
    <row r="74" customFormat="false" ht="15" hidden="false" customHeight="true" outlineLevel="0" collapsed="false">
      <c r="A74" s="14" t="s">
        <v>95</v>
      </c>
      <c r="B74" s="14" t="n">
        <v>400.070587158203</v>
      </c>
      <c r="C74" s="14" t="n">
        <f aca="false">IF(ISBLANK(B74),"",IF(ISBLANK(B73),"",LN(B74/B73)*100))</f>
        <v>3.17763146918707</v>
      </c>
      <c r="D74" s="14" t="n">
        <f aca="false">IF(COUNTBLANK(C72:C74)&gt;0,"",STDEV(C72:C74))</f>
        <v>1.50137753859385</v>
      </c>
      <c r="E74" s="14" t="n">
        <f aca="false">IF(COUNTBLANK(C63:C74)&gt;0,"",STDEV(C63:C74))</f>
        <v>1.3295484160572</v>
      </c>
    </row>
    <row r="75" customFormat="false" ht="15" hidden="false" customHeight="true" outlineLevel="0" collapsed="false">
      <c r="A75" s="14" t="s">
        <v>96</v>
      </c>
      <c r="B75" s="14" t="n">
        <v>404.484222412109</v>
      </c>
      <c r="C75" s="14" t="n">
        <f aca="false">IF(ISBLANK(B75),"",IF(ISBLANK(B74),"",LN(B75/B74)*100))</f>
        <v>1.09717311413044</v>
      </c>
      <c r="D75" s="14" t="n">
        <f aca="false">IF(COUNTBLANK(C73:C75)&gt;0,"",STDEV(C73:C75))</f>
        <v>1.41082599278784</v>
      </c>
      <c r="E75" s="14" t="n">
        <f aca="false">IF(COUNTBLANK(C64:C75)&gt;0,"",STDEV(C64:C75))</f>
        <v>1.30108726003349</v>
      </c>
    </row>
    <row r="76" customFormat="false" ht="15" hidden="false" customHeight="true" outlineLevel="0" collapsed="false">
      <c r="A76" s="14" t="s">
        <v>97</v>
      </c>
      <c r="B76" s="14" t="n">
        <v>396.326324462891</v>
      </c>
      <c r="C76" s="14" t="n">
        <f aca="false">IF(ISBLANK(B76),"",IF(ISBLANK(B75),"",LN(B76/B75)*100))</f>
        <v>-2.03748069918874</v>
      </c>
      <c r="D76" s="14" t="n">
        <f aca="false">IF(COUNTBLANK(C74:C76)&gt;0,"",STDEV(C74:C76))</f>
        <v>2.62525415992506</v>
      </c>
      <c r="E76" s="14" t="n">
        <f aca="false">IF(COUNTBLANK(C65:C76)&gt;0,"",STDEV(C65:C76))</f>
        <v>1.47768776482881</v>
      </c>
    </row>
    <row r="77" customFormat="false" ht="15" hidden="false" customHeight="true" outlineLevel="0" collapsed="false">
      <c r="A77" s="14" t="s">
        <v>98</v>
      </c>
      <c r="B77" s="14" t="n">
        <v>393.144989013672</v>
      </c>
      <c r="C77" s="14" t="n">
        <f aca="false">IF(ISBLANK(B77),"",IF(ISBLANK(B76),"",LN(B77/B76)*100))</f>
        <v>-0.805945096454015</v>
      </c>
      <c r="D77" s="14" t="n">
        <f aca="false">IF(COUNTBLANK(C75:C77)&gt;0,"",STDEV(C75:C77))</f>
        <v>1.57927163557645</v>
      </c>
      <c r="E77" s="14" t="n">
        <f aca="false">IF(COUNTBLANK(C66:C77)&gt;0,"",STDEV(C66:C77))</f>
        <v>1.34608037935006</v>
      </c>
    </row>
    <row r="78" customFormat="false" ht="15" hidden="false" customHeight="true" outlineLevel="0" collapsed="false">
      <c r="A78" s="14" t="s">
        <v>99</v>
      </c>
      <c r="B78" s="14" t="n">
        <v>391.94287109375</v>
      </c>
      <c r="C78" s="14" t="n">
        <f aca="false">IF(ISBLANK(B78),"",IF(ISBLANK(B77),"",LN(B78/B77)*100))</f>
        <v>-0.306238045568545</v>
      </c>
      <c r="D78" s="14" t="n">
        <f aca="false">IF(COUNTBLANK(C76:C78)&gt;0,"",STDEV(C76:C78))</f>
        <v>0.891028263975739</v>
      </c>
      <c r="E78" s="14" t="n">
        <f aca="false">IF(COUNTBLANK(C67:C78)&gt;0,"",STDEV(C67:C78))</f>
        <v>1.26299492085514</v>
      </c>
    </row>
    <row r="79" customFormat="false" ht="15" hidden="false" customHeight="true" outlineLevel="0" collapsed="false">
      <c r="A79" s="14" t="s">
        <v>100</v>
      </c>
      <c r="B79" s="14" t="n">
        <v>385.272491455078</v>
      </c>
      <c r="C79" s="14" t="n">
        <f aca="false">IF(ISBLANK(B79),"",IF(ISBLANK(B78),"",LN(B79/B78)*100))</f>
        <v>-1.7165238214155</v>
      </c>
      <c r="D79" s="14" t="n">
        <f aca="false">IF(COUNTBLANK(C77:C79)&gt;0,"",STDEV(C77:C79))</f>
        <v>0.715048567186571</v>
      </c>
      <c r="E79" s="14" t="n">
        <f aca="false">IF(COUNTBLANK(C68:C79)&gt;0,"",STDEV(C68:C79))</f>
        <v>1.36080163306982</v>
      </c>
    </row>
    <row r="80" customFormat="false" ht="15" hidden="false" customHeight="true" outlineLevel="0" collapsed="false">
      <c r="A80" s="14" t="s">
        <v>101</v>
      </c>
      <c r="B80" s="14" t="n">
        <v>383.586364746094</v>
      </c>
      <c r="C80" s="14" t="n">
        <f aca="false">IF(ISBLANK(B80),"",IF(ISBLANK(B79),"",LN(B80/B79)*100))</f>
        <v>-0.43860570726479</v>
      </c>
      <c r="D80" s="14" t="n">
        <f aca="false">IF(COUNTBLANK(C78:C80)&gt;0,"",STDEV(C78:C80))</f>
        <v>0.77883479997298</v>
      </c>
      <c r="E80" s="14" t="n">
        <f aca="false">IF(COUNTBLANK(C69:C80)&gt;0,"",STDEV(C69:C80))</f>
        <v>1.36333165813187</v>
      </c>
    </row>
    <row r="81" customFormat="false" ht="15" hidden="false" customHeight="true" outlineLevel="0" collapsed="false">
      <c r="A81" s="14" t="s">
        <v>102</v>
      </c>
      <c r="B81" s="14" t="n">
        <v>387.471435546875</v>
      </c>
      <c r="C81" s="14" t="n">
        <f aca="false">IF(ISBLANK(B81),"",IF(ISBLANK(B80),"",LN(B81/B80)*100))</f>
        <v>1.0077334481346</v>
      </c>
      <c r="D81" s="14" t="n">
        <f aca="false">IF(COUNTBLANK(C79:C81)&gt;0,"",STDEV(C79:C81))</f>
        <v>1.36299604606986</v>
      </c>
      <c r="E81" s="14" t="n">
        <f aca="false">IF(COUNTBLANK(C70:C81)&gt;0,"",STDEV(C70:C81))</f>
        <v>1.38118595559472</v>
      </c>
    </row>
    <row r="82" customFormat="false" ht="15" hidden="false" customHeight="true" outlineLevel="0" collapsed="false">
      <c r="A82" s="14" t="s">
        <v>103</v>
      </c>
      <c r="B82" s="14" t="n">
        <v>382.964996337891</v>
      </c>
      <c r="C82" s="14" t="n">
        <f aca="false">IF(ISBLANK(B82),"",IF(ISBLANK(B81),"",LN(B82/B81)*100))</f>
        <v>-1.1698539728232</v>
      </c>
      <c r="D82" s="14" t="n">
        <f aca="false">IF(COUNTBLANK(C80:C82)&gt;0,"",STDEV(C80:C82))</f>
        <v>1.10818981182807</v>
      </c>
      <c r="E82" s="14" t="n">
        <f aca="false">IF(COUNTBLANK(C71:C82)&gt;0,"",STDEV(C71:C82))</f>
        <v>1.42754606910611</v>
      </c>
    </row>
    <row r="83" customFormat="false" ht="15" hidden="false" customHeight="true" outlineLevel="0" collapsed="false">
      <c r="A83" s="14" t="s">
        <v>104</v>
      </c>
      <c r="B83" s="14" t="n">
        <v>381.072723388672</v>
      </c>
      <c r="C83" s="14" t="n">
        <f aca="false">IF(ISBLANK(B83),"",IF(ISBLANK(B82),"",LN(B83/B82)*100))</f>
        <v>-0.495335968210093</v>
      </c>
      <c r="D83" s="14" t="n">
        <f aca="false">IF(COUNTBLANK(C81:C83)&gt;0,"",STDEV(C81:C83))</f>
        <v>1.11475551765186</v>
      </c>
      <c r="E83" s="14" t="n">
        <f aca="false">IF(COUNTBLANK(C72:C83)&gt;0,"",STDEV(C72:C83))</f>
        <v>1.43458050359506</v>
      </c>
    </row>
    <row r="84" customFormat="false" ht="15" hidden="false" customHeight="true" outlineLevel="0" collapsed="false">
      <c r="A84" s="14" t="s">
        <v>105</v>
      </c>
      <c r="B84" s="14" t="n">
        <v>378.516662597656</v>
      </c>
      <c r="C84" s="14" t="n">
        <f aca="false">IF(ISBLANK(B84),"",IF(ISBLANK(B83),"",LN(B84/B83)*100))</f>
        <v>-0.673013732465595</v>
      </c>
      <c r="D84" s="14" t="n">
        <f aca="false">IF(COUNTBLANK(C82:C84)&gt;0,"",STDEV(C82:C84))</f>
        <v>0.349617445907353</v>
      </c>
      <c r="E84" s="14" t="n">
        <f aca="false">IF(COUNTBLANK(C73:C84)&gt;0,"",STDEV(C73:C84))</f>
        <v>1.42577597279315</v>
      </c>
    </row>
    <row r="85" customFormat="false" ht="15" hidden="false" customHeight="true" outlineLevel="0" collapsed="false">
      <c r="A85" s="14" t="s">
        <v>106</v>
      </c>
      <c r="B85" s="14" t="n">
        <v>368.977661132813</v>
      </c>
      <c r="C85" s="14" t="n">
        <f aca="false">IF(ISBLANK(B85),"",IF(ISBLANK(B84),"",LN(B85/B84)*100))</f>
        <v>-2.55239913511018</v>
      </c>
      <c r="D85" s="14" t="n">
        <f aca="false">IF(COUNTBLANK(C83:C85)&gt;0,"",STDEV(C83:C85))</f>
        <v>1.13982219024149</v>
      </c>
      <c r="E85" s="14" t="n">
        <f aca="false">IF(COUNTBLANK(C74:C85)&gt;0,"",STDEV(C74:C85))</f>
        <v>1.56438777076253</v>
      </c>
    </row>
    <row r="86" customFormat="false" ht="15" hidden="false" customHeight="true" outlineLevel="0" collapsed="false">
      <c r="A86" s="14" t="s">
        <v>107</v>
      </c>
      <c r="B86" s="14" t="n">
        <v>355.200012207031</v>
      </c>
      <c r="C86" s="14" t="n">
        <f aca="false">IF(ISBLANK(B86),"",IF(ISBLANK(B85),"",LN(B86/B85)*100))</f>
        <v>-3.805505778785</v>
      </c>
      <c r="D86" s="14" t="n">
        <f aca="false">IF(COUNTBLANK(C84:C86)&gt;0,"",STDEV(C84:C86))</f>
        <v>1.5766458158778</v>
      </c>
      <c r="E86" s="14" t="n">
        <f aca="false">IF(COUNTBLANK(C75:C86)&gt;0,"",STDEV(C75:C86))</f>
        <v>1.39881080261745</v>
      </c>
    </row>
    <row r="87" customFormat="false" ht="15" hidden="false" customHeight="true" outlineLevel="0" collapsed="false">
      <c r="A87" s="14" t="s">
        <v>108</v>
      </c>
      <c r="B87" s="14" t="n">
        <v>346.713195800781</v>
      </c>
      <c r="C87" s="14" t="n">
        <f aca="false">IF(ISBLANK(B87),"",IF(ISBLANK(B86),"",LN(B87/B86)*100))</f>
        <v>-2.4183132367766</v>
      </c>
      <c r="D87" s="14" t="n">
        <f aca="false">IF(COUNTBLANK(C85:C87)&gt;0,"",STDEV(C85:C87))</f>
        <v>0.765131626710682</v>
      </c>
      <c r="E87" s="14" t="n">
        <f aca="false">IF(COUNTBLANK(C76:C87)&gt;0,"",STDEV(C76:C87))</f>
        <v>1.2851570973992</v>
      </c>
    </row>
    <row r="88" customFormat="false" ht="15" hidden="false" customHeight="true" outlineLevel="0" collapsed="false">
      <c r="A88" s="14" t="s">
        <v>109</v>
      </c>
      <c r="B88" s="14" t="n">
        <v>351.805267333984</v>
      </c>
      <c r="C88" s="14" t="n">
        <f aca="false">IF(ISBLANK(B88),"",IF(ISBLANK(B87),"",LN(B88/B87)*100))</f>
        <v>1.45798915985968</v>
      </c>
      <c r="D88" s="14" t="n">
        <f aca="false">IF(COUNTBLANK(C86:C88)&gt;0,"",STDEV(C86:C88))</f>
        <v>2.72807631821124</v>
      </c>
      <c r="E88" s="14" t="n">
        <f aca="false">IF(COUNTBLANK(C77:C88)&gt;0,"",STDEV(C77:C88))</f>
        <v>1.4802494793432</v>
      </c>
    </row>
    <row r="89" customFormat="false" ht="15" hidden="false" customHeight="true" outlineLevel="0" collapsed="false">
      <c r="A89" s="14" t="s">
        <v>110</v>
      </c>
      <c r="B89" s="14" t="n">
        <v>344.583343505859</v>
      </c>
      <c r="C89" s="14" t="n">
        <f aca="false">IF(ISBLANK(B89),"",IF(ISBLANK(B88),"",LN(B89/B88)*100))</f>
        <v>-2.07418175244604</v>
      </c>
      <c r="D89" s="14" t="n">
        <f aca="false">IF(COUNTBLANK(C87:C89)&gt;0,"",STDEV(C87:C89))</f>
        <v>2.14555269112702</v>
      </c>
      <c r="E89" s="14" t="n">
        <f aca="false">IF(COUNTBLANK(C78:C89)&gt;0,"",STDEV(C78:C89))</f>
        <v>1.51064255783824</v>
      </c>
    </row>
    <row r="90" customFormat="false" ht="15" hidden="false" customHeight="true" outlineLevel="0" collapsed="false">
      <c r="A90" s="14" t="s">
        <v>111</v>
      </c>
      <c r="B90" s="14" t="n">
        <v>343.702789306641</v>
      </c>
      <c r="C90" s="14" t="n">
        <f aca="false">IF(ISBLANK(B90),"",IF(ISBLANK(B89),"",LN(B90/B89)*100))</f>
        <v>-0.255868784113634</v>
      </c>
      <c r="D90" s="14" t="n">
        <f aca="false">IF(COUNTBLANK(C88:C90)&gt;0,"",STDEV(C88:C90))</f>
        <v>1.76634285350008</v>
      </c>
      <c r="E90" s="14" t="n">
        <f aca="false">IF(COUNTBLANK(C79:C90)&gt;0,"",STDEV(C79:C90))</f>
        <v>1.51311256953657</v>
      </c>
    </row>
    <row r="91" customFormat="false" ht="15" hidden="false" customHeight="true" outlineLevel="0" collapsed="false">
      <c r="A91" s="14" t="s">
        <v>112</v>
      </c>
      <c r="B91" s="14" t="n">
        <v>340.476318359375</v>
      </c>
      <c r="C91" s="14" t="n">
        <f aca="false">IF(ISBLANK(B91),"",IF(ISBLANK(B90),"",LN(B91/B90)*100))</f>
        <v>-0.943172578436849</v>
      </c>
      <c r="D91" s="14" t="n">
        <f aca="false">IF(COUNTBLANK(C89:C91)&gt;0,"",STDEV(C89:C91))</f>
        <v>0.918134912761543</v>
      </c>
      <c r="E91" s="14" t="n">
        <f aca="false">IF(COUNTBLANK(C80:C91)&gt;0,"",STDEV(C80:C91))</f>
        <v>1.50062827987695</v>
      </c>
    </row>
    <row r="92" customFormat="false" ht="15" hidden="false" customHeight="true" outlineLevel="0" collapsed="false">
      <c r="A92" s="14" t="s">
        <v>113</v>
      </c>
      <c r="B92" s="14" t="n">
        <v>324.088623046875</v>
      </c>
      <c r="C92" s="14" t="n">
        <f aca="false">IF(ISBLANK(B92),"",IF(ISBLANK(B91),"",LN(B92/B91)*100))</f>
        <v>-4.93285672526802</v>
      </c>
      <c r="D92" s="14" t="n">
        <f aca="false">IF(COUNTBLANK(C90:C92)&gt;0,"",STDEV(C90:C92))</f>
        <v>2.52534427682216</v>
      </c>
      <c r="E92" s="14" t="n">
        <f aca="false">IF(COUNTBLANK(C81:C92)&gt;0,"",STDEV(C81:C92))</f>
        <v>1.8578994601897</v>
      </c>
    </row>
    <row r="93" customFormat="false" ht="15" hidden="false" customHeight="true" outlineLevel="0" collapsed="false">
      <c r="A93" s="14" t="s">
        <v>114</v>
      </c>
      <c r="B93" s="14" t="n">
        <v>324.049987792969</v>
      </c>
      <c r="C93" s="14" t="n">
        <f aca="false">IF(ISBLANK(B93),"",IF(ISBLANK(B92),"",LN(B93/B92)*100))</f>
        <v>-0.0119219109325181</v>
      </c>
      <c r="D93" s="14" t="n">
        <f aca="false">IF(COUNTBLANK(C91:C93)&gt;0,"",STDEV(C91:C93))</f>
        <v>2.61407749324507</v>
      </c>
      <c r="E93" s="14" t="n">
        <f aca="false">IF(COUNTBLANK(C82:C93)&gt;0,"",STDEV(C82:C93))</f>
        <v>1.75818408788911</v>
      </c>
    </row>
    <row r="94" customFormat="false" ht="15" hidden="false" customHeight="true" outlineLevel="0" collapsed="false">
      <c r="A94" s="14" t="s">
        <v>115</v>
      </c>
      <c r="B94" s="14" t="n">
        <v>324.476196289063</v>
      </c>
      <c r="C94" s="14" t="n">
        <f aca="false">IF(ISBLANK(B94),"",IF(ISBLANK(B93),"",LN(B94/B93)*100))</f>
        <v>0.131439120860782</v>
      </c>
      <c r="D94" s="14" t="n">
        <f aca="false">IF(COUNTBLANK(C92:C94)&gt;0,"",STDEV(C92:C94))</f>
        <v>2.88337892785223</v>
      </c>
      <c r="E94" s="14" t="n">
        <f aca="false">IF(COUNTBLANK(C83:C94)&gt;0,"",STDEV(C83:C94))</f>
        <v>1.81878018015145</v>
      </c>
    </row>
    <row r="95" customFormat="false" ht="15" hidden="false" customHeight="true" outlineLevel="0" collapsed="false">
      <c r="A95" s="14" t="s">
        <v>116</v>
      </c>
      <c r="B95" s="14" t="n">
        <v>323.883331298828</v>
      </c>
      <c r="C95" s="14" t="n">
        <f aca="false">IF(ISBLANK(B95),"",IF(ISBLANK(B94),"",LN(B95/B94)*100))</f>
        <v>-0.182881605112033</v>
      </c>
      <c r="D95" s="14" t="n">
        <f aca="false">IF(COUNTBLANK(C93:C95)&gt;0,"",STDEV(C93:C95))</f>
        <v>0.157362173158434</v>
      </c>
      <c r="E95" s="14" t="n">
        <f aca="false">IF(COUNTBLANK(C84:C95)&gt;0,"",STDEV(C84:C95))</f>
        <v>1.83477978571793</v>
      </c>
    </row>
    <row r="96" customFormat="false" ht="15" hidden="false" customHeight="true" outlineLevel="0" collapsed="false">
      <c r="A96" s="14" t="s">
        <v>117</v>
      </c>
      <c r="B96" s="14" t="n">
        <v>305.346160888672</v>
      </c>
      <c r="C96" s="14" t="n">
        <f aca="false">IF(ISBLANK(B96),"",IF(ISBLANK(B95),"",LN(B96/B95)*100))</f>
        <v>-5.8937275593325</v>
      </c>
      <c r="D96" s="14" t="n">
        <f aca="false">IF(COUNTBLANK(C94:C96)&gt;0,"",STDEV(C94:C96))</f>
        <v>3.39153830770355</v>
      </c>
      <c r="E96" s="14" t="n">
        <f aca="false">IF(COUNTBLANK(C85:C96)&gt;0,"",STDEV(C85:C96))</f>
        <v>2.23390423136374</v>
      </c>
    </row>
    <row r="97" customFormat="false" ht="15" hidden="false" customHeight="true" outlineLevel="0" collapsed="false">
      <c r="A97" s="14" t="s">
        <v>118</v>
      </c>
      <c r="B97" s="14" t="n">
        <v>287.619995117188</v>
      </c>
      <c r="C97" s="14" t="n">
        <f aca="false">IF(ISBLANK(B97),"",IF(ISBLANK(B96),"",LN(B97/B96)*100))</f>
        <v>-5.9805939286053</v>
      </c>
      <c r="D97" s="14" t="n">
        <f aca="false">IF(COUNTBLANK(C95:C97)&gt;0,"",STDEV(C95:C97))</f>
        <v>3.32251850922692</v>
      </c>
      <c r="E97" s="14" t="n">
        <f aca="false">IF(COUNTBLANK(C86:C97)&gt;0,"",STDEV(C86:C97))</f>
        <v>2.53866925246831</v>
      </c>
    </row>
    <row r="98" customFormat="false" ht="15" hidden="false" customHeight="true" outlineLevel="0" collapsed="false">
      <c r="A98" s="14" t="s">
        <v>119</v>
      </c>
      <c r="B98" s="14" t="n">
        <v>289.5</v>
      </c>
      <c r="C98" s="14" t="n">
        <f aca="false">IF(ISBLANK(B98),"",IF(ISBLANK(B97),"",LN(B98/B97)*100))</f>
        <v>0.651514953142455</v>
      </c>
      <c r="D98" s="14" t="n">
        <f aca="false">IF(COUNTBLANK(C96:C98)&gt;0,"",STDEV(C96:C98))</f>
        <v>3.80422163594993</v>
      </c>
      <c r="E98" s="14" t="n">
        <f aca="false">IF(COUNTBLANK(C87:C98)&gt;0,"",STDEV(C87:C98))</f>
        <v>2.58815833631892</v>
      </c>
    </row>
    <row r="99" customFormat="false" ht="15" hidden="false" customHeight="true" outlineLevel="0" collapsed="false">
      <c r="A99" s="14" t="s">
        <v>120</v>
      </c>
      <c r="B99" s="14" t="n">
        <v>297.455261230469</v>
      </c>
      <c r="C99" s="14" t="n">
        <f aca="false">IF(ISBLANK(B99),"",IF(ISBLANK(B98),"",LN(B99/B98)*100))</f>
        <v>2.71085342454731</v>
      </c>
      <c r="D99" s="14" t="n">
        <f aca="false">IF(COUNTBLANK(C97:C99)&gt;0,"",STDEV(C97:C99))</f>
        <v>4.5417874647872</v>
      </c>
      <c r="E99" s="14" t="n">
        <f aca="false">IF(COUNTBLANK(C88:C99)&gt;0,"",STDEV(C88:C99))</f>
        <v>2.86794882320973</v>
      </c>
    </row>
    <row r="100" customFormat="false" ht="15" hidden="false" customHeight="true" outlineLevel="0" collapsed="false">
      <c r="A100" s="14" t="s">
        <v>121</v>
      </c>
      <c r="B100" s="14" t="n">
        <v>295.954559326172</v>
      </c>
      <c r="C100" s="14" t="n">
        <f aca="false">IF(ISBLANK(B100),"",IF(ISBLANK(B99),"",LN(B100/B99)*100))</f>
        <v>-0.505790450917729</v>
      </c>
      <c r="D100" s="14" t="n">
        <f aca="false">IF(COUNTBLANK(C98:C100)&gt;0,"",STDEV(C98:C100))</f>
        <v>1.62926509811642</v>
      </c>
      <c r="E100" s="14" t="n">
        <f aca="false">IF(COUNTBLANK(C89:C100)&gt;0,"",STDEV(C89:C100))</f>
        <v>2.75136095157253</v>
      </c>
    </row>
    <row r="101" customFormat="false" ht="15" hidden="false" customHeight="true" outlineLevel="0" collapsed="false">
      <c r="A101" s="14" t="s">
        <v>122</v>
      </c>
      <c r="B101" s="14" t="n">
        <v>308.285003662109</v>
      </c>
      <c r="C101" s="14" t="n">
        <f aca="false">IF(ISBLANK(B101),"",IF(ISBLANK(B100),"",LN(B101/B100)*100))</f>
        <v>4.08187649295606</v>
      </c>
      <c r="D101" s="14" t="n">
        <f aca="false">IF(COUNTBLANK(C99:C101)&gt;0,"",STDEV(C99:C101))</f>
        <v>2.35489525823648</v>
      </c>
      <c r="E101" s="14" t="n">
        <f aca="false">IF(COUNTBLANK(C90:C101)&gt;0,"",STDEV(C90:C101))</f>
        <v>3.16526716438943</v>
      </c>
    </row>
    <row r="102" customFormat="false" ht="15" hidden="false" customHeight="true" outlineLevel="0" collapsed="false">
      <c r="A102" s="14" t="s">
        <v>123</v>
      </c>
      <c r="B102" s="14" t="n">
        <v>298.978942871094</v>
      </c>
      <c r="C102" s="14" t="n">
        <f aca="false">IF(ISBLANK(B102),"",IF(ISBLANK(B101),"",LN(B102/B101)*100))</f>
        <v>-3.06515459484771</v>
      </c>
      <c r="D102" s="14" t="n">
        <f aca="false">IF(COUNTBLANK(C100:C102)&gt;0,"",STDEV(C100:C102))</f>
        <v>3.62116662092896</v>
      </c>
      <c r="E102" s="14" t="n">
        <f aca="false">IF(COUNTBLANK(C91:C102)&gt;0,"",STDEV(C91:C102))</f>
        <v>3.21457411782749</v>
      </c>
    </row>
    <row r="103" customFormat="false" ht="15" hidden="false" customHeight="true" outlineLevel="0" collapsed="false">
      <c r="A103" s="14" t="s">
        <v>124</v>
      </c>
      <c r="B103" s="14" t="n">
        <v>292.538635253906</v>
      </c>
      <c r="C103" s="14" t="n">
        <f aca="false">IF(ISBLANK(B103),"",IF(ISBLANK(B102),"",LN(B103/B102)*100))</f>
        <v>-2.17764014430102</v>
      </c>
      <c r="D103" s="14" t="n">
        <f aca="false">IF(COUNTBLANK(C101:C103)&gt;0,"",STDEV(C101:C103))</f>
        <v>3.89549491511372</v>
      </c>
      <c r="E103" s="14" t="n">
        <f aca="false">IF(COUNTBLANK(C92:C103)&gt;0,"",STDEV(C92:C103))</f>
        <v>3.22667488314908</v>
      </c>
    </row>
    <row r="104" customFormat="false" ht="15" hidden="false" customHeight="true" outlineLevel="0" collapsed="false">
      <c r="A104" s="14" t="s">
        <v>125</v>
      </c>
      <c r="B104" s="14" t="n">
        <v>292.752258300781</v>
      </c>
      <c r="C104" s="14" t="n">
        <f aca="false">IF(ISBLANK(B104),"",IF(ISBLANK(B103),"",LN(B104/B103)*100))</f>
        <v>0.072997225384285</v>
      </c>
      <c r="D104" s="14" t="n">
        <f aca="false">IF(COUNTBLANK(C102:C104)&gt;0,"",STDEV(C102:C104))</f>
        <v>1.61766536076834</v>
      </c>
      <c r="E104" s="14" t="n">
        <f aca="false">IF(COUNTBLANK(C93:C104)&gt;0,"",STDEV(C93:C104))</f>
        <v>3.02670415910873</v>
      </c>
    </row>
    <row r="105" customFormat="false" ht="15" hidden="false" customHeight="true" outlineLevel="0" collapsed="false">
      <c r="A105" s="14" t="s">
        <v>126</v>
      </c>
      <c r="B105" s="14" t="n">
        <v>284.109985351563</v>
      </c>
      <c r="C105" s="14" t="n">
        <f aca="false">IF(ISBLANK(B105),"",IF(ISBLANK(B104),"",LN(B105/B104)*100))</f>
        <v>-2.99652809859844</v>
      </c>
      <c r="D105" s="14" t="n">
        <f aca="false">IF(COUNTBLANK(C103:C105)&gt;0,"",STDEV(C103:C105))</f>
        <v>1.58944076989826</v>
      </c>
      <c r="E105" s="14" t="n">
        <f aca="false">IF(COUNTBLANK(C94:C105)&gt;0,"",STDEV(C94:C105))</f>
        <v>3.07406467576881</v>
      </c>
    </row>
    <row r="106" customFormat="false" ht="15" hidden="false" customHeight="true" outlineLevel="0" collapsed="false">
      <c r="A106" s="14" t="s">
        <v>127</v>
      </c>
      <c r="B106" s="14" t="n">
        <v>288.981811523438</v>
      </c>
      <c r="C106" s="14" t="n">
        <f aca="false">IF(ISBLANK(B106),"",IF(ISBLANK(B105),"",LN(B106/B105)*100))</f>
        <v>1.70023146715485</v>
      </c>
      <c r="D106" s="14" t="n">
        <f aca="false">IF(COUNTBLANK(C104:C106)&gt;0,"",STDEV(C104:C106))</f>
        <v>2.38500270477334</v>
      </c>
      <c r="E106" s="14" t="n">
        <f aca="false">IF(COUNTBLANK(C95:C106)&gt;0,"",STDEV(C95:C106))</f>
        <v>3.16308607430744</v>
      </c>
    </row>
    <row r="107" customFormat="false" ht="15" hidden="false" customHeight="true" outlineLevel="0" collapsed="false">
      <c r="A107" s="14" t="s">
        <v>128</v>
      </c>
      <c r="B107" s="14" t="n">
        <v>295.714996337891</v>
      </c>
      <c r="C107" s="14" t="n">
        <f aca="false">IF(ISBLANK(B107),"",IF(ISBLANK(B106),"",LN(B107/B106)*100))</f>
        <v>2.30323900493817</v>
      </c>
      <c r="D107" s="14" t="n">
        <f aca="false">IF(COUNTBLANK(C105:C107)&gt;0,"",STDEV(C105:C107))</f>
        <v>2.90145652678235</v>
      </c>
      <c r="E107" s="14" t="n">
        <f aca="false">IF(COUNTBLANK(C96:C107)&gt;0,"",STDEV(C96:C107))</f>
        <v>3.29755923496613</v>
      </c>
    </row>
    <row r="108" customFormat="false" ht="15" hidden="false" customHeight="true" outlineLevel="0" collapsed="false">
      <c r="A108" s="14" t="s">
        <v>129</v>
      </c>
      <c r="B108" s="14" t="n">
        <v>293.716674804688</v>
      </c>
      <c r="C108" s="14" t="n">
        <f aca="false">IF(ISBLANK(B108),"",IF(ISBLANK(B107),"",LN(B108/B107)*100))</f>
        <v>-0.678052872689304</v>
      </c>
      <c r="D108" s="14" t="n">
        <f aca="false">IF(COUNTBLANK(C106:C108)&gt;0,"",STDEV(C106:C108))</f>
        <v>1.57628020729073</v>
      </c>
      <c r="E108" s="14" t="n">
        <f aca="false">IF(COUNTBLANK(C97:C108)&gt;0,"",STDEV(C97:C108))</f>
        <v>2.87590282727578</v>
      </c>
    </row>
    <row r="109" customFormat="false" ht="15" hidden="false" customHeight="true" outlineLevel="0" collapsed="false">
      <c r="A109" s="14" t="s">
        <v>130</v>
      </c>
      <c r="B109" s="14" t="n">
        <v>291.678955078125</v>
      </c>
      <c r="C109" s="14" t="n">
        <f aca="false">IF(ISBLANK(B109),"",IF(ISBLANK(B108),"",LN(B109/B108)*100))</f>
        <v>-0.696188305089656</v>
      </c>
      <c r="D109" s="14" t="n">
        <f aca="false">IF(COUNTBLANK(C107:C109)&gt;0,"",STDEV(C107:C109))</f>
        <v>1.72650872869966</v>
      </c>
      <c r="E109" s="14" t="n">
        <f aca="false">IF(COUNTBLANK(C98:C109)&gt;0,"",STDEV(C98:C109))</f>
        <v>2.27214389487461</v>
      </c>
    </row>
    <row r="110" customFormat="false" ht="15" hidden="false" customHeight="true" outlineLevel="0" collapsed="false">
      <c r="A110" s="14" t="s">
        <v>131</v>
      </c>
      <c r="B110" s="14" t="n">
        <v>286.9368286</v>
      </c>
      <c r="C110" s="14" t="n">
        <f aca="false">IF(ISBLANK(B110),"",IF(ISBLANK(B109),"",LN(B110/B109)*100))</f>
        <v>-1.63916463740936</v>
      </c>
      <c r="D110" s="14" t="n">
        <f aca="false">IF(COUNTBLANK(C108:C110)&gt;0,"",STDEV(C108:C110))</f>
        <v>0.549737677064672</v>
      </c>
      <c r="E110" s="14" t="n">
        <f aca="false">IF(COUNTBLANK(C99:C110)&gt;0,"",STDEV(C99:C110))</f>
        <v>2.31887802601894</v>
      </c>
    </row>
    <row r="111" customFormat="false" ht="15" hidden="false" customHeight="true" outlineLevel="0" collapsed="false">
      <c r="A111" s="14" t="s">
        <v>132</v>
      </c>
      <c r="B111" s="14" t="n">
        <v>287.655</v>
      </c>
      <c r="C111" s="14" t="n">
        <f aca="false">IF(ISBLANK(B111),"",IF(ISBLANK(B110),"",LN(B111/B110)*100))</f>
        <v>0.249976326926377</v>
      </c>
      <c r="D111" s="14" t="n">
        <f aca="false">IF(COUNTBLANK(C109:C111)&gt;0,"",STDEV(C109:C111))</f>
        <v>0.944570930575052</v>
      </c>
      <c r="E111" s="14" t="n">
        <f aca="false">IF(COUNTBLANK(C100:C111)&gt;0,"",STDEV(C100:C111))</f>
        <v>2.15308444038134</v>
      </c>
    </row>
    <row r="112" customFormat="false" ht="15" hidden="false" customHeight="true" outlineLevel="0" collapsed="false">
      <c r="A112" s="14" t="s">
        <v>133</v>
      </c>
      <c r="B112" s="14" t="n">
        <v>286.2136364</v>
      </c>
      <c r="C112" s="14" t="n">
        <f aca="false">IF(ISBLANK(B112),"",IF(ISBLANK(B111),"",LN(B112/B111)*100))</f>
        <v>-0.502333300517367</v>
      </c>
      <c r="D112" s="14" t="n">
        <f aca="false">IF(COUNTBLANK(C110:C112)&gt;0,"",STDEV(C110:C112))</f>
        <v>0.95107034853856</v>
      </c>
      <c r="E112" s="14" t="n">
        <f aca="false">IF(COUNTBLANK(C101:C112)&gt;0,"",STDEV(C101:C112))</f>
        <v>2.15305159349666</v>
      </c>
    </row>
    <row r="113" customFormat="false" ht="15" hidden="false" customHeight="true" outlineLevel="0" collapsed="false">
      <c r="A113" s="14" t="s">
        <v>134</v>
      </c>
      <c r="B113" s="14" t="n">
        <v>282.6175</v>
      </c>
      <c r="C113" s="14" t="n">
        <f aca="false">IF(ISBLANK(B113),"",IF(ISBLANK(B112),"",LN(B113/B112)*100))</f>
        <v>-1.26441190729532</v>
      </c>
      <c r="D113" s="14" t="n">
        <f aca="false">IF(COUNTBLANK(C111:C113)&gt;0,"",STDEV(C111:C113))</f>
        <v>0.757199368550789</v>
      </c>
      <c r="E113" s="14" t="n">
        <f aca="false">IF(COUNTBLANK(C102:C113)&gt;0,"",STDEV(C102:C113))</f>
        <v>1.66692305315259</v>
      </c>
    </row>
    <row r="114" customFormat="false" ht="15" hidden="false" customHeight="true" outlineLevel="0" collapsed="false">
      <c r="A114" s="14" t="s">
        <v>135</v>
      </c>
      <c r="B114" s="14" t="n">
        <v>276.91</v>
      </c>
      <c r="C114" s="14" t="n">
        <f aca="false">IF(ISBLANK(B114),"",IF(ISBLANK(B113),"",LN(B114/B113)*100))</f>
        <v>-2.04018496700234</v>
      </c>
      <c r="D114" s="14" t="n">
        <f aca="false">IF(COUNTBLANK(C112:C114)&gt;0,"",STDEV(C112:C114))</f>
        <v>0.76893599551441</v>
      </c>
      <c r="E114" s="14" t="n">
        <f aca="false">IF(COUNTBLANK(C103:C114)&gt;0,"",STDEV(C103:C114))</f>
        <v>1.55883428153707</v>
      </c>
    </row>
    <row r="115" customFormat="false" ht="15" hidden="false" customHeight="true" outlineLevel="0" collapsed="false">
      <c r="A115" s="14" t="s">
        <v>136</v>
      </c>
      <c r="B115" s="14" t="n">
        <v>261.3136364</v>
      </c>
      <c r="C115" s="14" t="n">
        <f aca="false">IF(ISBLANK(B115),"",IF(ISBLANK(B114),"",LN(B115/B114)*100))</f>
        <v>-5.79711857220378</v>
      </c>
      <c r="D115" s="14" t="n">
        <f aca="false">IF(COUNTBLANK(C113:C115)&gt;0,"",STDEV(C113:C115))</f>
        <v>2.42424571307464</v>
      </c>
      <c r="E115" s="14" t="n">
        <f aca="false">IF(COUNTBLANK(C104:C115)&gt;0,"",STDEV(C104:C115))</f>
        <v>2.12937520086771</v>
      </c>
    </row>
    <row r="116" customFormat="false" ht="15" hidden="false" customHeight="true" outlineLevel="0" collapsed="false">
      <c r="A116" s="14" t="s">
        <v>137</v>
      </c>
      <c r="B116" s="14" t="n">
        <v>256.6931818</v>
      </c>
      <c r="C116" s="14" t="n">
        <f aca="false">IF(ISBLANK(B116),"",IF(ISBLANK(B115),"",LN(B116/B115)*100))</f>
        <v>-1.78398313651627</v>
      </c>
      <c r="D116" s="14" t="n">
        <f aca="false">IF(COUNTBLANK(C114:C116)&gt;0,"",STDEV(C114:C116))</f>
        <v>2.24668071893505</v>
      </c>
      <c r="E116" s="14" t="n">
        <f aca="false">IF(COUNTBLANK(C105:C116)&gt;0,"",STDEV(C105:C116))</f>
        <v>2.1164522739616</v>
      </c>
    </row>
    <row r="117" customFormat="false" ht="15" hidden="false" customHeight="true" outlineLevel="0" collapsed="false">
      <c r="A117" s="14" t="s">
        <v>138</v>
      </c>
      <c r="B117" s="14" t="n">
        <v>256.9052632</v>
      </c>
      <c r="C117" s="14" t="n">
        <f aca="false">IF(ISBLANK(B117),"",IF(ISBLANK(B116),"",LN(B117/B116)*100))</f>
        <v>0.082586469690026</v>
      </c>
      <c r="D117" s="14" t="n">
        <f aca="false">IF(COUNTBLANK(C115:C117)&gt;0,"",STDEV(C115:C117))</f>
        <v>3.00444863215797</v>
      </c>
      <c r="E117" s="14" t="n">
        <f aca="false">IF(COUNTBLANK(C106:C117)&gt;0,"",STDEV(C106:C117))</f>
        <v>2.05063656413625</v>
      </c>
    </row>
    <row r="118" customFormat="false" ht="15" hidden="false" customHeight="true" outlineLevel="0" collapsed="false">
      <c r="A118" s="14" t="s">
        <v>139</v>
      </c>
      <c r="B118" s="14" t="n">
        <v>264.3108696</v>
      </c>
      <c r="C118" s="14" t="n">
        <f aca="false">IF(ISBLANK(B118),"",IF(ISBLANK(B117),"",LN(B118/B117)*100))</f>
        <v>2.84185555026446</v>
      </c>
      <c r="D118" s="14" t="n">
        <f aca="false">IF(COUNTBLANK(C116:C118)&gt;0,"",STDEV(C116:C118))</f>
        <v>2.32723124155238</v>
      </c>
      <c r="E118" s="14" t="n">
        <f aca="false">IF(COUNTBLANK(C107:C118)&gt;0,"",STDEV(C107:C118))</f>
        <v>2.200167596541</v>
      </c>
    </row>
    <row r="119" customFormat="false" ht="15" hidden="false" customHeight="true" outlineLevel="0" collapsed="false">
      <c r="A119" s="14" t="s">
        <v>140</v>
      </c>
      <c r="B119" s="14" t="n">
        <v>310.7815789</v>
      </c>
      <c r="C119" s="14" t="n">
        <f aca="false">IF(ISBLANK(B119),"",IF(ISBLANK(B118),"",LN(B119/B118)*100))</f>
        <v>16.1964400030657</v>
      </c>
      <c r="D119" s="14" t="n">
        <f aca="false">IF(COUNTBLANK(C117:C119)&gt;0,"",STDEV(C117:C119))</f>
        <v>8.61795381225631</v>
      </c>
      <c r="E119" s="14" t="n">
        <f aca="false">IF(COUNTBLANK(C108:C119)&gt;0,"",STDEV(C108:C119))</f>
        <v>5.34998807996276</v>
      </c>
    </row>
    <row r="120" customFormat="false" ht="15" hidden="false" customHeight="true" outlineLevel="0" collapsed="false">
      <c r="A120" s="14" t="s">
        <v>141</v>
      </c>
      <c r="B120" s="14" t="n">
        <v>293.1840909</v>
      </c>
      <c r="C120" s="14" t="n">
        <f aca="false">IF(ISBLANK(B120),"",IF(ISBLANK(B119),"",LN(B120/B119)*100))</f>
        <v>-5.82896384800064</v>
      </c>
      <c r="D120" s="14" t="n">
        <f aca="false">IF(COUNTBLANK(C118:C120)&gt;0,"",STDEV(C118:C120))</f>
        <v>11.0953928107338</v>
      </c>
      <c r="E120" s="14" t="n">
        <f aca="false">IF(COUNTBLANK(C109:C120)&gt;0,"",STDEV(C109:C120))</f>
        <v>5.64413085690795</v>
      </c>
    </row>
    <row r="121" customFormat="false" ht="15" hidden="false" customHeight="true" outlineLevel="0" collapsed="false">
      <c r="A121" s="14" t="s">
        <v>142</v>
      </c>
      <c r="B121" s="14" t="n">
        <v>282.9526316</v>
      </c>
      <c r="C121" s="14" t="n">
        <f aca="false">IF(ISBLANK(B121),"",IF(ISBLANK(B120),"",LN(B121/B120)*100))</f>
        <v>-3.55212041800086</v>
      </c>
      <c r="D121" s="14" t="n">
        <f aca="false">IF(COUNTBLANK(C119:C121)&gt;0,"",STDEV(C119:C121))</f>
        <v>12.1127210644555</v>
      </c>
      <c r="E121" s="14" t="n">
        <f aca="false">IF(COUNTBLANK(C110:C121)&gt;0,"",STDEV(C110:C121))</f>
        <v>5.73494188533462</v>
      </c>
    </row>
    <row r="122" customFormat="false" ht="15" hidden="false" customHeight="true" outlineLevel="0" collapsed="false">
      <c r="A122" s="14" t="s">
        <v>143</v>
      </c>
      <c r="B122" s="14" t="n">
        <v>284.065625</v>
      </c>
      <c r="C122" s="14" t="n">
        <f aca="false">IF(ISBLANK(B122),"",IF(ISBLANK(B121),"",LN(B122/B121)*100))</f>
        <v>0.392578128297169</v>
      </c>
      <c r="D122" s="14" t="n">
        <f aca="false">IF(COUNTBLANK(C120:C122)&gt;0,"",STDEV(C120:C122))</f>
        <v>3.14781001091062</v>
      </c>
      <c r="E122" s="14" t="n">
        <f aca="false">IF(COUNTBLANK(C111:C122)&gt;0,"",STDEV(C111:C122))</f>
        <v>5.72027450768832</v>
      </c>
    </row>
    <row r="123" customFormat="false" ht="15" hidden="false" customHeight="true" outlineLevel="0" collapsed="false">
      <c r="A123" s="14" t="s">
        <v>144</v>
      </c>
      <c r="B123" s="14" t="n">
        <v>299.715</v>
      </c>
      <c r="C123" s="14" t="n">
        <f aca="false">IF(ISBLANK(B123),"",IF(ISBLANK(B122),"",LN(B123/B122)*100))</f>
        <v>5.36267377088092</v>
      </c>
      <c r="D123" s="14" t="n">
        <f aca="false">IF(COUNTBLANK(C121:C123)&gt;0,"",STDEV(C121:C123))</f>
        <v>4.46721488080504</v>
      </c>
      <c r="E123" s="14" t="n">
        <f aca="false">IF(COUNTBLANK(C112:C123)&gt;0,"",STDEV(C112:C123))</f>
        <v>5.93381202327577</v>
      </c>
    </row>
    <row r="124" customFormat="false" ht="15" hidden="false" customHeight="true" outlineLevel="0" collapsed="false">
      <c r="A124" s="14" t="s">
        <v>145</v>
      </c>
      <c r="B124" s="14" t="n">
        <v>286.924</v>
      </c>
      <c r="C124" s="14" t="n">
        <f aca="false">IF(ISBLANK(B124),"",IF(ISBLANK(B123),"",LN(B124/B123)*100))</f>
        <v>-4.36146507908793</v>
      </c>
      <c r="D124" s="14" t="n">
        <f aca="false">IF(COUNTBLANK(C122:C124)&gt;0,"",STDEV(C122:C124))</f>
        <v>4.8624694324247</v>
      </c>
      <c r="E124" s="14" t="n">
        <f aca="false">IF(COUNTBLANK(C113:C124)&gt;0,"",STDEV(C113:C124))</f>
        <v>6.0863627561043</v>
      </c>
    </row>
    <row r="125" customFormat="false" ht="15" hidden="false" customHeight="true" outlineLevel="0" collapsed="false">
      <c r="A125" s="14" t="s">
        <v>146</v>
      </c>
      <c r="B125" s="14" t="n">
        <v>279.6526316</v>
      </c>
      <c r="C125" s="14" t="n">
        <f aca="false">IF(ISBLANK(B125),"",IF(ISBLANK(B124),"",LN(B125/B124)*100))</f>
        <v>-2.56691407716598</v>
      </c>
      <c r="D125" s="14" t="n">
        <f aca="false">IF(COUNTBLANK(C123:C125)&gt;0,"",STDEV(C123:C125))</f>
        <v>5.17457974319116</v>
      </c>
      <c r="E125" s="14" t="n">
        <f aca="false">IF(COUNTBLANK(C114:C125)&gt;0,"",STDEV(C114:C125))</f>
        <v>6.12286826734397</v>
      </c>
    </row>
    <row r="126" customFormat="false" ht="15" hidden="false" customHeight="true" outlineLevel="0" collapsed="false">
      <c r="A126" s="14" t="s">
        <v>147</v>
      </c>
      <c r="B126" s="14" t="n">
        <v>276.7409091</v>
      </c>
      <c r="C126" s="14" t="n">
        <f aca="false">IF(ISBLANK(B126),"",IF(ISBLANK(B125),"",LN(B126/B125)*100))</f>
        <v>-1.04665092889411</v>
      </c>
      <c r="D126" s="14" t="n">
        <f aca="false">IF(COUNTBLANK(C124:C126)&gt;0,"",STDEV(C124:C126))</f>
        <v>1.659297350729</v>
      </c>
      <c r="E126" s="14" t="n">
        <f aca="false">IF(COUNTBLANK(C115:C126)&gt;0,"",STDEV(C115:C126))</f>
        <v>6.10074638627896</v>
      </c>
    </row>
    <row r="127" customFormat="false" ht="15" hidden="false" customHeight="true" outlineLevel="0" collapsed="false">
      <c r="A127" s="14" t="s">
        <v>148</v>
      </c>
      <c r="B127" s="14" t="n">
        <v>285.7318182</v>
      </c>
      <c r="C127" s="14" t="n">
        <f aca="false">IF(ISBLANK(B127),"",IF(ISBLANK(B126),"",LN(B127/B126)*100))</f>
        <v>3.19719500353687</v>
      </c>
      <c r="D127" s="14" t="n">
        <f aca="false">IF(COUNTBLANK(C125:C127)&gt;0,"",STDEV(C125:C127))</f>
        <v>2.98737292149378</v>
      </c>
      <c r="E127" s="14" t="n">
        <f aca="false">IF(COUNTBLANK(C116:C127)&gt;0,"",STDEV(C116:C127))</f>
        <v>5.87270833893031</v>
      </c>
    </row>
    <row r="128" customFormat="false" ht="15" hidden="false" customHeight="true" outlineLevel="0" collapsed="false">
      <c r="A128" s="14" t="s">
        <v>149</v>
      </c>
      <c r="B128" s="14" t="n">
        <v>281.5857143</v>
      </c>
      <c r="C128" s="14" t="n">
        <f aca="false">IF(ISBLANK(B128),"",IF(ISBLANK(B127),"",LN(B128/B127)*100))</f>
        <v>-1.46167797757907</v>
      </c>
      <c r="D128" s="14" t="n">
        <f aca="false">IF(COUNTBLANK(C126:C128)&gt;0,"",STDEV(C126:C128))</f>
        <v>2.57835778495807</v>
      </c>
      <c r="E128" s="14" t="n">
        <f aca="false">IF(COUNTBLANK(C117:C128)&gt;0,"",STDEV(C117:C128))</f>
        <v>5.86081839181305</v>
      </c>
    </row>
    <row r="129" customFormat="false" ht="15" hidden="false" customHeight="true" outlineLevel="0" collapsed="false">
      <c r="A129" s="14" t="s">
        <v>150</v>
      </c>
      <c r="B129" s="14" t="n">
        <v>274.425</v>
      </c>
      <c r="C129" s="14" t="n">
        <f aca="false">IF(ISBLANK(B129),"",IF(ISBLANK(B128),"",LN(B129/B128)*100))</f>
        <v>-2.57588929549234</v>
      </c>
      <c r="D129" s="14" t="n">
        <f aca="false">IF(COUNTBLANK(C127:C129)&gt;0,"",STDEV(C127:C129))</f>
        <v>3.06254432998762</v>
      </c>
      <c r="E129" s="14" t="n">
        <f aca="false">IF(COUNTBLANK(C118:C129)&gt;0,"",STDEV(C118:C129))</f>
        <v>5.93894296087344</v>
      </c>
    </row>
    <row r="130" customFormat="false" ht="15" hidden="false" customHeight="true" outlineLevel="0" collapsed="false">
      <c r="A130" s="14" t="s">
        <v>151</v>
      </c>
      <c r="B130" s="14" t="n">
        <v>273.53</v>
      </c>
      <c r="C130" s="14" t="n">
        <f aca="false">IF(ISBLANK(B130),"",IF(ISBLANK(B129),"",LN(B130/B129)*100))</f>
        <v>-0.326669451287245</v>
      </c>
      <c r="D130" s="14" t="n">
        <f aca="false">IF(COUNTBLANK(C128:C130)&gt;0,"",STDEV(C128:C130))</f>
        <v>1.12462594694763</v>
      </c>
      <c r="E130" s="14" t="n">
        <f aca="false">IF(COUNTBLANK(C119:C130)&gt;0,"",STDEV(C119:C130))</f>
        <v>5.89806782321256</v>
      </c>
    </row>
    <row r="131" customFormat="false" ht="15" hidden="false" customHeight="true" outlineLevel="0" collapsed="false">
      <c r="A131" s="14" t="s">
        <v>152</v>
      </c>
      <c r="B131" s="14" t="n">
        <v>269.9285714</v>
      </c>
      <c r="C131" s="14" t="n">
        <f aca="false">IF(ISBLANK(B131),"",IF(ISBLANK(B130),"",LN(B131/B130)*100))</f>
        <v>-1.32539314321256</v>
      </c>
      <c r="D131" s="14" t="n">
        <f aca="false">IF(COUNTBLANK(C129:C131)&gt;0,"",STDEV(C129:C131))</f>
        <v>1.12695604374834</v>
      </c>
      <c r="E131" s="14" t="n">
        <f aca="false">IF(COUNTBLANK(C120:C131)&gt;0,"",STDEV(C120:C131))</f>
        <v>3.11184046373389</v>
      </c>
    </row>
    <row r="132" customFormat="false" ht="15" hidden="false" customHeight="true" outlineLevel="0" collapsed="false">
      <c r="A132" s="14" t="s">
        <v>153</v>
      </c>
      <c r="B132" s="14" t="n">
        <v>266.2973684</v>
      </c>
      <c r="C132" s="14" t="n">
        <f aca="false">IF(ISBLANK(B132),"",IF(ISBLANK(B131),"",LN(B132/B131)*100))</f>
        <v>-1.35437629451948</v>
      </c>
      <c r="D132" s="14" t="n">
        <f aca="false">IF(COUNTBLANK(C130:C132)&gt;0,"",STDEV(C130:C132))</f>
        <v>0.585159578163508</v>
      </c>
      <c r="E132" s="14" t="n">
        <f aca="false">IF(COUNTBLANK(C121:C132)&gt;0,"",STDEV(C121:C132))</f>
        <v>2.7505101186382</v>
      </c>
    </row>
    <row r="133" customFormat="false" ht="15" hidden="false" customHeight="true" outlineLevel="0" collapsed="false">
      <c r="A133" s="14" t="s">
        <v>154</v>
      </c>
      <c r="B133" s="14" t="n">
        <v>271.45</v>
      </c>
      <c r="C133" s="14" t="n">
        <f aca="false">IF(ISBLANK(B133),"",IF(ISBLANK(B132),"",LN(B133/B132)*100))</f>
        <v>1.91643496682725</v>
      </c>
      <c r="D133" s="14" t="n">
        <f aca="false">IF(COUNTBLANK(C131:C133)&gt;0,"",STDEV(C131:C133))</f>
        <v>1.88009289776935</v>
      </c>
      <c r="E133" s="14" t="n">
        <f aca="false">IF(COUNTBLANK(C122:C133)&gt;0,"",STDEV(C122:C133))</f>
        <v>2.70602321827409</v>
      </c>
    </row>
    <row r="134" customFormat="false" ht="15" hidden="false" customHeight="true" outlineLevel="0" collapsed="false">
      <c r="A134" s="14" t="s">
        <v>155</v>
      </c>
      <c r="B134" s="14" t="n">
        <v>265.4863636</v>
      </c>
      <c r="C134" s="14" t="n">
        <f aca="false">IF(ISBLANK(B134),"",IF(ISBLANK(B133),"",LN(B134/B133)*100))</f>
        <v>-2.22144821937714</v>
      </c>
      <c r="D134" s="14" t="n">
        <f aca="false">IF(COUNTBLANK(C132:C134)&gt;0,"",STDEV(C132:C134))</f>
        <v>2.18220443943359</v>
      </c>
      <c r="E134" s="14" t="n">
        <f aca="false">IF(COUNTBLANK(C123:C134)&gt;0,"",STDEV(C123:C134))</f>
        <v>2.7460941333302</v>
      </c>
    </row>
    <row r="135" customFormat="false" ht="15" hidden="false" customHeight="true" outlineLevel="0" collapsed="false">
      <c r="A135" s="14" t="s">
        <v>156</v>
      </c>
      <c r="B135" s="14" t="n">
        <v>262.0894737</v>
      </c>
      <c r="C135" s="14" t="n">
        <f aca="false">IF(ISBLANK(B135),"",IF(ISBLANK(B134),"",LN(B135/B134)*100))</f>
        <v>-1.28775300236011</v>
      </c>
      <c r="D135" s="14" t="n">
        <f aca="false">IF(COUNTBLANK(C133:C135)&gt;0,"",STDEV(C133:C135))</f>
        <v>2.17027972708737</v>
      </c>
      <c r="E135" s="14" t="n">
        <f aca="false">IF(COUNTBLANK(C124:C135)&gt;0,"",STDEV(C124:C135))</f>
        <v>2.0151307480187</v>
      </c>
    </row>
    <row r="136" customFormat="false" ht="15" hidden="false" customHeight="true" outlineLevel="0" collapsed="false">
      <c r="A136" s="14" t="s">
        <v>157</v>
      </c>
      <c r="B136" s="14" t="n">
        <v>263.0272727</v>
      </c>
      <c r="C136" s="14" t="n">
        <f aca="false">IF(ISBLANK(B136),"",IF(ISBLANK(B135),"",LN(B136/B135)*100))</f>
        <v>0.357177714644906</v>
      </c>
      <c r="D136" s="14" t="n">
        <f aca="false">IF(COUNTBLANK(C134:C136)&gt;0,"",STDEV(C134:C136))</f>
        <v>1.30555834349639</v>
      </c>
      <c r="E136" s="14" t="n">
        <f aca="false">IF(COUNTBLANK(C125:C136)&gt;0,"",STDEV(C125:C136))</f>
        <v>1.77015135153859</v>
      </c>
    </row>
    <row r="137" customFormat="false" ht="15" hidden="false" customHeight="true" outlineLevel="0" collapsed="false">
      <c r="A137" s="14" t="s">
        <v>158</v>
      </c>
      <c r="B137" s="14" t="n">
        <v>260.3305556</v>
      </c>
      <c r="C137" s="14" t="n">
        <f aca="false">IF(ISBLANK(B137),"",IF(ISBLANK(B136),"",LN(B137/B136)*100))</f>
        <v>-1.03055340762553</v>
      </c>
      <c r="D137" s="14" t="n">
        <f aca="false">IF(COUNTBLANK(C135:C137)&gt;0,"",STDEV(C135:C137))</f>
        <v>0.884848985514498</v>
      </c>
      <c r="E137" s="14" t="n">
        <f aca="false">IF(COUNTBLANK(C126:C137)&gt;0,"",STDEV(C126:C137))</f>
        <v>1.67795263986098</v>
      </c>
    </row>
    <row r="138" customFormat="false" ht="15" hidden="false" customHeight="true" outlineLevel="0" collapsed="false">
      <c r="A138" s="14" t="s">
        <v>159</v>
      </c>
      <c r="B138" s="14" t="n">
        <v>272.0931818</v>
      </c>
      <c r="C138" s="14" t="n">
        <f aca="false">IF(ISBLANK(B138),"",IF(ISBLANK(B137),"",LN(B138/B137)*100))</f>
        <v>4.4192396571595</v>
      </c>
      <c r="D138" s="14" t="n">
        <f aca="false">IF(COUNTBLANK(C136:C138)&gt;0,"",STDEV(C136:C138))</f>
        <v>2.83214845837109</v>
      </c>
      <c r="E138" s="14" t="n">
        <f aca="false">IF(COUNTBLANK(C127:C138)&gt;0,"",STDEV(C127:C138))</f>
        <v>2.20407849327001</v>
      </c>
    </row>
    <row r="139" customFormat="false" ht="15" hidden="false" customHeight="true" outlineLevel="0" collapsed="false">
      <c r="A139" s="14" t="s">
        <v>160</v>
      </c>
      <c r="B139" s="14" t="n">
        <v>270.202381</v>
      </c>
      <c r="C139" s="14" t="n">
        <f aca="false">IF(ISBLANK(B139),"",IF(ISBLANK(B138),"",LN(B139/B138)*100))</f>
        <v>-0.697335029748531</v>
      </c>
      <c r="D139" s="14" t="n">
        <f aca="false">IF(COUNTBLANK(C137:C139)&gt;0,"",STDEV(C137:C139))</f>
        <v>3.05479446834649</v>
      </c>
      <c r="E139" s="14" t="n">
        <f aca="false">IF(COUNTBLANK(C128:C139)&gt;0,"",STDEV(C128:C139))</f>
        <v>1.9385675507768</v>
      </c>
    </row>
    <row r="140" customFormat="false" ht="15" hidden="false" customHeight="true" outlineLevel="0" collapsed="false">
      <c r="A140" s="14" t="s">
        <v>161</v>
      </c>
      <c r="B140" s="14" t="n">
        <v>267.5261905</v>
      </c>
      <c r="C140" s="14" t="n">
        <f aca="false">IF(ISBLANK(B140),"",IF(ISBLANK(B139),"",LN(B140/B139)*100))</f>
        <v>-0.995376752383034</v>
      </c>
      <c r="D140" s="14" t="n">
        <f aca="false">IF(COUNTBLANK(C138:C140)&gt;0,"",STDEV(C138:C140))</f>
        <v>3.04374320690895</v>
      </c>
      <c r="E140" s="14" t="n">
        <f aca="false">IF(COUNTBLANK(C129:C140)&gt;0,"",STDEV(C129:C140))</f>
        <v>1.92138536829001</v>
      </c>
    </row>
    <row r="141" customFormat="false" ht="15" hidden="false" customHeight="true" outlineLevel="0" collapsed="false">
      <c r="A141" s="14" t="s">
        <v>162</v>
      </c>
      <c r="B141" s="14" t="n">
        <v>272.0921053</v>
      </c>
      <c r="C141" s="14" t="n">
        <f aca="false">IF(ISBLANK(B141),"",IF(ISBLANK(B140),"",LN(B141/B140)*100))</f>
        <v>1.69231614482731</v>
      </c>
      <c r="D141" s="14" t="n">
        <f aca="false">IF(COUNTBLANK(C139:C141)&gt;0,"",STDEV(C139:C141))</f>
        <v>1.47325912601379</v>
      </c>
      <c r="E141" s="14" t="n">
        <f aca="false">IF(COUNTBLANK(C130:C141)&gt;0,"",STDEV(C130:C141))</f>
        <v>1.88204722916626</v>
      </c>
    </row>
    <row r="142" customFormat="false" ht="15" hidden="false" customHeight="true" outlineLevel="0" collapsed="false">
      <c r="A142" s="14" t="s">
        <v>163</v>
      </c>
      <c r="B142" s="14" t="n">
        <v>284.4723529</v>
      </c>
      <c r="C142" s="14" t="n">
        <f aca="false">IF(ISBLANK(B142),"",IF(ISBLANK(B141),"",LN(B142/B141)*100))</f>
        <v>4.44954395855907</v>
      </c>
      <c r="D142" s="14" t="n">
        <f aca="false">IF(COUNTBLANK(C140:C142)&gt;0,"",STDEV(C140:C142))</f>
        <v>2.72253435469531</v>
      </c>
      <c r="E142" s="14" t="n">
        <f aca="false">IF(COUNTBLANK(C131:C142)&gt;0,"",STDEV(C131:C142))</f>
        <v>2.28499920437619</v>
      </c>
    </row>
    <row r="143" customFormat="false" ht="15" hidden="false" customHeight="true" outlineLevel="0" collapsed="false">
      <c r="A143" s="14" t="s">
        <v>164</v>
      </c>
      <c r="B143" s="14" t="n">
        <v>282.2671429</v>
      </c>
      <c r="C143" s="14" t="n">
        <f aca="false">IF(ISBLANK(B143),"",IF(ISBLANK(B142),"",LN(B143/B142)*100))</f>
        <v>-0.778213322199913</v>
      </c>
      <c r="D143" s="14" t="n">
        <f aca="false">IF(COUNTBLANK(C141:C143)&gt;0,"",STDEV(C141:C143))</f>
        <v>2.61518856078596</v>
      </c>
      <c r="E143" s="14" t="n">
        <f aca="false">IF(COUNTBLANK(C132:C143)&gt;0,"",STDEV(C132:C143))</f>
        <v>2.25428313220803</v>
      </c>
    </row>
    <row r="144" customFormat="false" ht="15" hidden="false" customHeight="true" outlineLevel="0" collapsed="false">
      <c r="A144" s="14" t="s">
        <v>165</v>
      </c>
      <c r="B144" s="14" t="n">
        <v>277.184375</v>
      </c>
      <c r="C144" s="14" t="n">
        <f aca="false">IF(ISBLANK(B144),"",IF(ISBLANK(B143),"",LN(B144/B143)*100))</f>
        <v>-1.81710392832371</v>
      </c>
      <c r="D144" s="14" t="n">
        <f aca="false">IF(COUNTBLANK(C142:C144)&gt;0,"",STDEV(C142:C144))</f>
        <v>3.35856158735138</v>
      </c>
      <c r="E144" s="14" t="n">
        <f aca="false">IF(COUNTBLANK(C133:C144)&gt;0,"",STDEV(C133:C144))</f>
        <v>2.29017885165732</v>
      </c>
    </row>
    <row r="145" customFormat="false" ht="15" hidden="false" customHeight="true" outlineLevel="0" collapsed="false">
      <c r="A145" s="14" t="s">
        <v>166</v>
      </c>
      <c r="B145" s="14" t="n">
        <v>275.8357143</v>
      </c>
      <c r="C145" s="14" t="n">
        <f aca="false">IF(ISBLANK(B145),"",IF(ISBLANK(B144),"",LN(B145/B144)*100))</f>
        <v>-0.487744803401117</v>
      </c>
      <c r="D145" s="14" t="n">
        <f aca="false">IF(COUNTBLANK(C143:C145)&gt;0,"",STDEV(C143:C145))</f>
        <v>0.69891121693202</v>
      </c>
      <c r="E145" s="14" t="n">
        <f aca="false">IF(COUNTBLANK(C134:C145)&gt;0,"",STDEV(C134:C145))</f>
        <v>2.24384354498005</v>
      </c>
    </row>
    <row r="146" customFormat="false" ht="15" hidden="false" customHeight="true" outlineLevel="0" collapsed="false">
      <c r="A146" s="14" t="s">
        <v>167</v>
      </c>
      <c r="B146" s="14" t="n">
        <v>281</v>
      </c>
      <c r="C146" s="14" t="n">
        <f aca="false">IF(ISBLANK(B146),"",IF(ISBLANK(B145),"",LN(B146/B145)*100))</f>
        <v>1.85492188845688</v>
      </c>
      <c r="D146" s="14" t="n">
        <f aca="false">IF(COUNTBLANK(C144:C146)&gt;0,"",STDEV(C144:C146))</f>
        <v>1.85916901290419</v>
      </c>
      <c r="E146" s="14" t="n">
        <f aca="false">IF(COUNTBLANK(C135:C146)&gt;0,"",STDEV(C135:C146))</f>
        <v>2.16197390773722</v>
      </c>
    </row>
    <row r="147" customFormat="false" ht="15" hidden="false" customHeight="true" outlineLevel="0" collapsed="false">
      <c r="A147" s="14" t="s">
        <v>168</v>
      </c>
      <c r="B147" s="14" t="n">
        <v>295.2875</v>
      </c>
      <c r="C147" s="14" t="n">
        <f aca="false">IF(ISBLANK(B147),"",IF(ISBLANK(B146),"",LN(B147/B146)*100))</f>
        <v>4.95947886861316</v>
      </c>
      <c r="D147" s="14" t="n">
        <f aca="false">IF(COUNTBLANK(C145:C147)&gt;0,"",STDEV(C145:C147))</f>
        <v>2.73247772193208</v>
      </c>
      <c r="E147" s="14" t="n">
        <f aca="false">IF(COUNTBLANK(C136:C147)&gt;0,"",STDEV(C136:C147))</f>
        <v>2.43437711488684</v>
      </c>
    </row>
    <row r="148" customFormat="false" ht="15" hidden="false" customHeight="true" outlineLevel="0" collapsed="false">
      <c r="A148" s="14" t="s">
        <v>169</v>
      </c>
      <c r="B148" s="14" t="n">
        <v>294.0475</v>
      </c>
      <c r="C148" s="14" t="n">
        <f aca="false">IF(ISBLANK(B148),"",IF(ISBLANK(B147),"",LN(B148/B147)*100))</f>
        <v>-0.420813910550384</v>
      </c>
      <c r="D148" s="14" t="n">
        <f aca="false">IF(COUNTBLANK(C146:C148)&gt;0,"",STDEV(C146:C148))</f>
        <v>2.70076525758409</v>
      </c>
      <c r="E148" s="14" t="n">
        <f aca="false">IF(COUNTBLANK(C137:C148)&gt;0,"",STDEV(C137:C148))</f>
        <v>2.46306560691745</v>
      </c>
    </row>
    <row r="149" customFormat="false" ht="15" hidden="false" customHeight="true" outlineLevel="0" collapsed="false">
      <c r="A149" s="14" t="s">
        <v>170</v>
      </c>
      <c r="B149" s="14" t="n">
        <v>302.6833333</v>
      </c>
      <c r="C149" s="14" t="n">
        <f aca="false">IF(ISBLANK(B149),"",IF(ISBLANK(B148),"",LN(B149/B148)*100))</f>
        <v>2.89458354718984</v>
      </c>
      <c r="D149" s="14" t="n">
        <f aca="false">IF(COUNTBLANK(C147:C149)&gt;0,"",STDEV(C147:C149))</f>
        <v>2.71425875027743</v>
      </c>
      <c r="E149" s="14" t="n">
        <f aca="false">IF(COUNTBLANK(C138:C149)&gt;0,"",STDEV(C138:C149))</f>
        <v>2.43969365400848</v>
      </c>
    </row>
    <row r="150" customFormat="false" ht="15" hidden="false" customHeight="true" outlineLevel="0" collapsed="false">
      <c r="A150" s="14" t="s">
        <v>171</v>
      </c>
      <c r="B150" s="14" t="n">
        <v>314.4931818</v>
      </c>
      <c r="C150" s="14" t="n">
        <f aca="false">IF(ISBLANK(B150),"",IF(ISBLANK(B149),"",LN(B150/B149)*100))</f>
        <v>3.82752420279639</v>
      </c>
      <c r="D150" s="14" t="n">
        <f aca="false">IF(COUNTBLANK(C148:C150)&gt;0,"",STDEV(C148:C150))</f>
        <v>2.23273432122248</v>
      </c>
      <c r="E150" s="14" t="n">
        <f aca="false">IF(COUNTBLANK(C139:C150)&gt;0,"",STDEV(C139:C150))</f>
        <v>2.37507470269691</v>
      </c>
    </row>
    <row r="151" customFormat="false" ht="15" hidden="false" customHeight="true" outlineLevel="0" collapsed="false">
      <c r="A151" s="14" t="s">
        <v>172</v>
      </c>
      <c r="B151" s="14" t="n">
        <v>321.1777778</v>
      </c>
      <c r="C151" s="14" t="n">
        <f aca="false">IF(ISBLANK(B151),"",IF(ISBLANK(B150),"",LN(B151/B150)*100))</f>
        <v>2.10323983334763</v>
      </c>
      <c r="D151" s="14" t="n">
        <f aca="false">IF(COUNTBLANK(C149:C151)&gt;0,"",STDEV(C149:C151))</f>
        <v>0.863110627039053</v>
      </c>
      <c r="E151" s="14" t="n">
        <f aca="false">IF(COUNTBLANK(C140:C151)&gt;0,"",STDEV(C140:C151))</f>
        <v>2.30759548979661</v>
      </c>
    </row>
    <row r="152" customFormat="false" ht="15" hidden="false" customHeight="true" outlineLevel="0" collapsed="false">
      <c r="A152" s="14" t="s">
        <v>173</v>
      </c>
      <c r="B152" s="14" t="n">
        <v>313.2913043</v>
      </c>
      <c r="C152" s="14" t="n">
        <f aca="false">IF(ISBLANK(B152),"",IF(ISBLANK(B151),"",LN(B152/B151)*100))</f>
        <v>-2.48613523614704</v>
      </c>
      <c r="D152" s="14" t="n">
        <f aca="false">IF(COUNTBLANK(C150:C152)&gt;0,"",STDEV(C150:C152))</f>
        <v>3.26337799491529</v>
      </c>
      <c r="E152" s="14" t="n">
        <f aca="false">IF(COUNTBLANK(C141:C152)&gt;0,"",STDEV(C141:C152))</f>
        <v>2.48401860850767</v>
      </c>
    </row>
    <row r="153" customFormat="false" ht="15" hidden="false" customHeight="true" outlineLevel="0" collapsed="false">
      <c r="A153" s="14" t="s">
        <v>174</v>
      </c>
      <c r="B153" s="14" t="n">
        <v>310.2809524</v>
      </c>
      <c r="C153" s="14" t="n">
        <f aca="false">IF(ISBLANK(B153),"",IF(ISBLANK(B152),"",LN(B153/B152)*100))</f>
        <v>-0.965525728265579</v>
      </c>
      <c r="D153" s="14" t="n">
        <f aca="false">IF(COUNTBLANK(C151:C153)&gt;0,"",STDEV(C151:C153))</f>
        <v>2.33780305971589</v>
      </c>
      <c r="E153" s="14" t="n">
        <f aca="false">IF(COUNTBLANK(C142:C153)&gt;0,"",STDEV(C142:C153))</f>
        <v>2.56459678501656</v>
      </c>
    </row>
    <row r="154" customFormat="false" ht="15" hidden="false" customHeight="true" outlineLevel="0" collapsed="false">
      <c r="A154" s="14" t="s">
        <v>175</v>
      </c>
      <c r="B154" s="14" t="n">
        <v>319.1357143</v>
      </c>
      <c r="C154" s="14" t="n">
        <f aca="false">IF(ISBLANK(B154),"",IF(ISBLANK(B153),"",LN(B154/B153)*100))</f>
        <v>2.81382638858509</v>
      </c>
      <c r="D154" s="14" t="n">
        <f aca="false">IF(COUNTBLANK(C152:C154)&gt;0,"",STDEV(C152:C154))</f>
        <v>2.7290214645008</v>
      </c>
      <c r="E154" s="14" t="n">
        <f aca="false">IF(COUNTBLANK(C143:C154)&gt;0,"",STDEV(C143:C154))</f>
        <v>2.4087993163678</v>
      </c>
    </row>
    <row r="155" customFormat="false" ht="15" hidden="false" customHeight="true" outlineLevel="0" collapsed="false">
      <c r="A155" s="14" t="s">
        <v>176</v>
      </c>
      <c r="B155" s="14" t="n">
        <v>316.5565217</v>
      </c>
      <c r="C155" s="14" t="n">
        <f aca="false">IF(ISBLANK(B155),"",IF(ISBLANK(B154),"",LN(B155/B154)*100))</f>
        <v>-0.811463977905334</v>
      </c>
      <c r="D155" s="14" t="n">
        <f aca="false">IF(COUNTBLANK(C153:C155)&gt;0,"",STDEV(C153:C155))</f>
        <v>2.13892370471054</v>
      </c>
      <c r="E155" s="14" t="n">
        <f aca="false">IF(COUNTBLANK(C144:C155)&gt;0,"",STDEV(C144:C155))</f>
        <v>2.4109964149135</v>
      </c>
    </row>
    <row r="156" customFormat="false" ht="15" hidden="false" customHeight="true" outlineLevel="0" collapsed="false">
      <c r="A156" s="14" t="s">
        <v>177</v>
      </c>
      <c r="B156" s="14" t="n">
        <v>320.4357143</v>
      </c>
      <c r="C156" s="14" t="n">
        <f aca="false">IF(ISBLANK(B156),"",IF(ISBLANK(B155),"",LN(B156/B155)*100))</f>
        <v>1.21798676244252</v>
      </c>
      <c r="D156" s="14" t="n">
        <f aca="false">IF(COUNTBLANK(C154:C156)&gt;0,"",STDEV(C154:C156))</f>
        <v>1.8169619635183</v>
      </c>
      <c r="E156" s="14" t="n">
        <f aca="false">IF(COUNTBLANK(C145:C156)&gt;0,"",STDEV(C145:C156))</f>
        <v>2.24735143426008</v>
      </c>
    </row>
    <row r="157" customFormat="false" ht="15" hidden="false" customHeight="true" outlineLevel="0" collapsed="false">
      <c r="A157" s="14" t="s">
        <v>178</v>
      </c>
      <c r="B157" s="14" t="n">
        <v>332.0361111</v>
      </c>
      <c r="C157" s="14" t="n">
        <f aca="false">IF(ISBLANK(B157),"",IF(ISBLANK(B156),"",LN(B157/B156)*100))</f>
        <v>3.55620545403232</v>
      </c>
      <c r="D157" s="14" t="n">
        <f aca="false">IF(COUNTBLANK(C155:C157)&gt;0,"",STDEV(C155:C157))</f>
        <v>2.18565296207948</v>
      </c>
      <c r="E157" s="14" t="n">
        <f aca="false">IF(COUNTBLANK(C146:C157)&gt;0,"",STDEV(C146:C157))</f>
        <v>2.27295529439294</v>
      </c>
    </row>
    <row r="158" customFormat="false" ht="15" hidden="false" customHeight="true" outlineLevel="0" collapsed="false">
      <c r="A158" s="14" t="s">
        <v>179</v>
      </c>
      <c r="B158" s="14" t="n">
        <v>356.859090909091</v>
      </c>
      <c r="C158" s="14" t="n">
        <f aca="false">IF(ISBLANK(B158),"",IF(ISBLANK(B157),"",LN(B158/B157)*100))</f>
        <v>7.20972691527628</v>
      </c>
      <c r="D158" s="14" t="n">
        <f aca="false">IF(COUNTBLANK(C156:C158)&gt;0,"",STDEV(C156:C158))</f>
        <v>3.01983541981321</v>
      </c>
      <c r="E158" s="14" t="n">
        <f aca="false">IF(COUNTBLANK(C147:C158)&gt;0,"",STDEV(C147:C158))</f>
        <v>2.80307869271788</v>
      </c>
    </row>
    <row r="159" customFormat="false" ht="15" hidden="false" customHeight="true" outlineLevel="0" collapsed="false">
      <c r="A159" s="14" t="s">
        <v>180</v>
      </c>
      <c r="B159" s="14" t="n">
        <v>358.97</v>
      </c>
      <c r="C159" s="14" t="n">
        <f aca="false">IF(ISBLANK(B159),"",IF(ISBLANK(B158),"",LN(B159/B158)*100))</f>
        <v>0.589781900898677</v>
      </c>
      <c r="D159" s="14" t="n">
        <f aca="false">IF(COUNTBLANK(C157:C159)&gt;0,"",STDEV(C157:C159))</f>
        <v>3.31591012538386</v>
      </c>
      <c r="E159" s="14" t="n">
        <f aca="false">IF(COUNTBLANK(C148:C159)&gt;0,"",STDEV(C148:C159))</f>
        <v>2.66278972398224</v>
      </c>
    </row>
    <row r="160" customFormat="false" ht="15" hidden="false" customHeight="true" outlineLevel="0" collapsed="false">
      <c r="A160" s="14" t="s">
        <v>181</v>
      </c>
      <c r="B160" s="14" t="n">
        <v>340.55</v>
      </c>
      <c r="C160" s="14" t="n">
        <f aca="false">IF(ISBLANK(B160),"",IF(ISBLANK(B159),"",LN(B160/B159)*100))</f>
        <v>-5.2676861849554</v>
      </c>
      <c r="D160" s="14" t="n">
        <f aca="false">IF(COUNTBLANK(C158:C160)&gt;0,"",STDEV(C158:C160))</f>
        <v>6.24258816576393</v>
      </c>
      <c r="E160" s="14" t="n">
        <f aca="false">IF(COUNTBLANK(C149:C160)&gt;0,"",STDEV(C149:C160))</f>
        <v>3.29440852204671</v>
      </c>
    </row>
    <row r="161" customFormat="false" ht="15" hidden="false" customHeight="true" outlineLevel="0" collapsed="false">
      <c r="A161" s="14" t="s">
        <v>182</v>
      </c>
      <c r="B161" s="14" t="n">
        <v>328.18</v>
      </c>
      <c r="C161" s="14" t="n">
        <f aca="false">IF(ISBLANK(B161),"",IF(ISBLANK(B160),"",LN(B161/B160)*100))</f>
        <v>-3.69997193403231</v>
      </c>
      <c r="D161" s="14" t="n">
        <f aca="false">IF(COUNTBLANK(C159:C161)&gt;0,"",STDEV(C159:C161))</f>
        <v>3.03231617507287</v>
      </c>
      <c r="E161" s="14" t="n">
        <f aca="false">IF(COUNTBLANK(C150:C161)&gt;0,"",STDEV(C150:C161))</f>
        <v>3.53178444444775</v>
      </c>
    </row>
    <row r="162" customFormat="false" ht="15" hidden="false" customHeight="true" outlineLevel="0" collapsed="false">
      <c r="A162" s="14" t="s">
        <v>183</v>
      </c>
      <c r="B162" s="14" t="n">
        <v>355.6825</v>
      </c>
      <c r="C162" s="14" t="n">
        <f aca="false">IF(ISBLANK(B162),"",IF(ISBLANK(B161),"",LN(B162/B161)*100))</f>
        <v>8.04762406341038</v>
      </c>
      <c r="D162" s="14" t="n">
        <f aca="false">IF(COUNTBLANK(C160:C162)&gt;0,"",STDEV(C160:C162))</f>
        <v>7.27737620645785</v>
      </c>
      <c r="E162" s="14" t="n">
        <f aca="false">IF(COUNTBLANK(C151:C162)&gt;0,"",STDEV(C151:C162))</f>
        <v>4.0468885254713</v>
      </c>
    </row>
    <row r="163" customFormat="false" ht="15" hidden="false" customHeight="true" outlineLevel="0" collapsed="false">
      <c r="A163" s="14" t="s">
        <v>184</v>
      </c>
      <c r="B163" s="14" t="n">
        <v>356.352380952381</v>
      </c>
      <c r="C163" s="14" t="n">
        <f aca="false">IF(ISBLANK(B163),"",IF(ISBLANK(B162),"",LN(B163/B162)*100))</f>
        <v>0.188159644404626</v>
      </c>
      <c r="D163" s="14" t="n">
        <f aca="false">IF(COUNTBLANK(C161:C163)&gt;0,"",STDEV(C161:C163))</f>
        <v>5.98462975524228</v>
      </c>
      <c r="E163" s="14" t="n">
        <f aca="false">IF(COUNTBLANK(C152:C163)&gt;0,"",STDEV(C152:C163))</f>
        <v>4.03828131176147</v>
      </c>
    </row>
    <row r="164" customFormat="false" ht="15" hidden="false" customHeight="true" outlineLevel="0" collapsed="false">
      <c r="A164" s="14" t="s">
        <v>185</v>
      </c>
      <c r="B164" s="14" t="n">
        <v>351.019565217391</v>
      </c>
      <c r="C164" s="14" t="n">
        <f aca="false">IF(ISBLANK(B164),"",IF(ISBLANK(B163),"",LN(B164/B163)*100))</f>
        <v>-1.50781121526923</v>
      </c>
      <c r="D164" s="14" t="n">
        <f aca="false">IF(COUNTBLANK(C162:C164)&gt;0,"",STDEV(C162:C164))</f>
        <v>5.09826508849686</v>
      </c>
      <c r="E164" s="14" t="n">
        <f aca="false">IF(COUNTBLANK(C153:C164)&gt;0,"",STDEV(C153:C164))</f>
        <v>3.97381427253634</v>
      </c>
    </row>
    <row r="165" customFormat="false" ht="15" hidden="false" customHeight="true" outlineLevel="0" collapsed="false">
      <c r="A165" s="14" t="s">
        <v>186</v>
      </c>
      <c r="B165" s="14" t="n">
        <v>359.7675</v>
      </c>
      <c r="C165" s="14" t="n">
        <f aca="false">IF(ISBLANK(B165),"",IF(ISBLANK(B164),"",LN(B165/B164)*100))</f>
        <v>2.46160262041768</v>
      </c>
      <c r="D165" s="14" t="n">
        <f aca="false">IF(COUNTBLANK(C163:C165)&gt;0,"",STDEV(C163:C165))</f>
        <v>1.99169552228701</v>
      </c>
      <c r="E165" s="14" t="n">
        <f aca="false">IF(COUNTBLANK(C154:C165)&gt;0,"",STDEV(C154:C165))</f>
        <v>3.9468835094731</v>
      </c>
    </row>
    <row r="166" customFormat="false" ht="15" hidden="false" customHeight="true" outlineLevel="0" collapsed="false">
      <c r="A166" s="14" t="s">
        <v>187</v>
      </c>
      <c r="B166" s="14" t="n">
        <v>378.945454545455</v>
      </c>
      <c r="C166" s="14" t="n">
        <f aca="false">IF(ISBLANK(B166),"",IF(ISBLANK(B165),"",LN(B166/B165)*100))</f>
        <v>5.1934285843264</v>
      </c>
      <c r="D166" s="14" t="n">
        <f aca="false">IF(COUNTBLANK(C164:C166)&gt;0,"",STDEV(C164:C166))</f>
        <v>3.36961259266089</v>
      </c>
      <c r="E166" s="14" t="n">
        <f aca="false">IF(COUNTBLANK(C155:C166)&gt;0,"",STDEV(C155:C166))</f>
        <v>4.09067793135218</v>
      </c>
    </row>
    <row r="167" customFormat="false" ht="15" hidden="false" customHeight="true" outlineLevel="0" collapsed="false">
      <c r="A167" s="14" t="s">
        <v>188</v>
      </c>
      <c r="B167" s="14" t="n">
        <v>378.919565217391</v>
      </c>
      <c r="C167" s="14" t="n">
        <f aca="false">IF(ISBLANK(B167),"",IF(ISBLANK(B166),"",LN(B167/B166)*100))</f>
        <v>-0.00683217390933194</v>
      </c>
      <c r="D167" s="14" t="n">
        <f aca="false">IF(COUNTBLANK(C165:C167)&gt;0,"",STDEV(C165:C167))</f>
        <v>2.6012418631805</v>
      </c>
      <c r="E167" s="14" t="n">
        <f aca="false">IF(COUNTBLANK(C156:C167)&gt;0,"",STDEV(C156:C167))</f>
        <v>4.05702668365764</v>
      </c>
    </row>
    <row r="168" customFormat="false" ht="15" hidden="false" customHeight="true" outlineLevel="0" collapsed="false">
      <c r="A168" s="14" t="s">
        <v>189</v>
      </c>
      <c r="B168" s="14" t="n">
        <v>389.91</v>
      </c>
      <c r="C168" s="14" t="n">
        <f aca="false">IF(ISBLANK(B168),"",IF(ISBLANK(B167),"",LN(B168/B167)*100))</f>
        <v>2.85919896807971</v>
      </c>
      <c r="D168" s="14" t="n">
        <f aca="false">IF(COUNTBLANK(C166:C168)&gt;0,"",STDEV(C166:C168))</f>
        <v>2.6046584664744</v>
      </c>
      <c r="E168" s="14" t="n">
        <f aca="false">IF(COUNTBLANK(C157:C168)&gt;0,"",STDEV(C157:C168))</f>
        <v>4.07433665753413</v>
      </c>
    </row>
    <row r="169" customFormat="false" ht="15" hidden="false" customHeight="true" outlineLevel="0" collapsed="false">
      <c r="A169" s="14" t="s">
        <v>190</v>
      </c>
      <c r="B169" s="14" t="n">
        <v>406.952631578947</v>
      </c>
      <c r="C169" s="14" t="n">
        <f aca="false">IF(ISBLANK(B169),"",IF(ISBLANK(B168),"",LN(B169/B168)*100))</f>
        <v>4.27808510808952</v>
      </c>
      <c r="D169" s="14" t="n">
        <f aca="false">IF(COUNTBLANK(C167:C169)&gt;0,"",STDEV(C167:C169))</f>
        <v>2.18280738571285</v>
      </c>
      <c r="E169" s="14" t="n">
        <f aca="false">IF(COUNTBLANK(C158:C169)&gt;0,"",STDEV(C158:C169))</f>
        <v>4.11044613323701</v>
      </c>
    </row>
    <row r="170" customFormat="false" ht="15" hidden="false" customHeight="true" outlineLevel="0" collapsed="false">
      <c r="A170" s="14" t="s">
        <v>191</v>
      </c>
      <c r="B170" s="14" t="n">
        <v>413.788095238095</v>
      </c>
      <c r="C170" s="14" t="n">
        <f aca="false">IF(ISBLANK(B170),"",IF(ISBLANK(B169),"",LN(B170/B169)*100))</f>
        <v>1.66572011933136</v>
      </c>
      <c r="D170" s="14" t="n">
        <f aca="false">IF(COUNTBLANK(C168:C170)&gt;0,"",STDEV(C168:C170))</f>
        <v>1.3078022579383</v>
      </c>
      <c r="E170" s="14" t="n">
        <f aca="false">IF(COUNTBLANK(C159:C170)&gt;0,"",STDEV(C159:C170))</f>
        <v>3.72809547603491</v>
      </c>
    </row>
    <row r="171" customFormat="false" ht="15" hidden="false" customHeight="true" outlineLevel="0" collapsed="false">
      <c r="A171" s="14" t="s">
        <v>192</v>
      </c>
      <c r="B171" s="14" t="n">
        <v>404.8775</v>
      </c>
      <c r="C171" s="14" t="n">
        <f aca="false">IF(ISBLANK(B171),"",IF(ISBLANK(B170),"",LN(B171/B170)*100))</f>
        <v>-2.17694433180942</v>
      </c>
      <c r="D171" s="14" t="n">
        <f aca="false">IF(COUNTBLANK(C169:C171)&gt;0,"",STDEV(C169:C171))</f>
        <v>3.24699671461985</v>
      </c>
      <c r="E171" s="14" t="n">
        <f aca="false">IF(COUNTBLANK(C160:C171)&gt;0,"",STDEV(C160:C171))</f>
        <v>3.85491647545242</v>
      </c>
    </row>
    <row r="172" customFormat="false" ht="15" hidden="false" customHeight="true" outlineLevel="0" collapsed="false">
      <c r="A172" s="14" t="s">
        <v>193</v>
      </c>
      <c r="B172" s="14" t="n">
        <v>406.667391304348</v>
      </c>
      <c r="C172" s="14" t="n">
        <f aca="false">IF(ISBLANK(B172),"",IF(ISBLANK(B171),"",LN(B172/B171)*100))</f>
        <v>0.441107873582108</v>
      </c>
      <c r="D172" s="14" t="n">
        <f aca="false">IF(COUNTBLANK(C170:C172)&gt;0,"",STDEV(C170:C172))</f>
        <v>1.96298847791896</v>
      </c>
      <c r="E172" s="14" t="n">
        <f aca="false">IF(COUNTBLANK(C161:C172)&gt;0,"",STDEV(C161:C172))</f>
        <v>3.32680443966626</v>
      </c>
    </row>
    <row r="173" customFormat="false" ht="15" hidden="false" customHeight="true" outlineLevel="0" collapsed="false">
      <c r="A173" s="14" t="s">
        <v>194</v>
      </c>
      <c r="B173" s="14" t="n">
        <v>403.26</v>
      </c>
      <c r="C173" s="14" t="n">
        <f aca="false">IF(ISBLANK(B173),"",IF(ISBLANK(B172),"",LN(B173/B172)*100))</f>
        <v>-0.84141157436131</v>
      </c>
      <c r="D173" s="14" t="n">
        <f aca="false">IF(COUNTBLANK(C171:C173)&gt;0,"",STDEV(C171:C173))</f>
        <v>1.30911555580638</v>
      </c>
      <c r="E173" s="14" t="n">
        <f aca="false">IF(COUNTBLANK(C162:C173)&gt;0,"",STDEV(C162:C173))</f>
        <v>3.00949595614332</v>
      </c>
    </row>
    <row r="174" customFormat="false" ht="15" hidden="false" customHeight="true" outlineLevel="0" collapsed="false">
      <c r="A174" s="14" t="s">
        <v>195</v>
      </c>
      <c r="B174" s="14" t="n">
        <v>383.778947368421</v>
      </c>
      <c r="C174" s="14" t="n">
        <f aca="false">IF(ISBLANK(B174),"",IF(ISBLANK(B173),"",LN(B174/B173)*100))</f>
        <v>-4.95147862715606</v>
      </c>
      <c r="D174" s="14" t="n">
        <f aca="false">IF(COUNTBLANK(C172:C174)&gt;0,"",STDEV(C172:C174))</f>
        <v>2.81713496543224</v>
      </c>
      <c r="E174" s="14" t="n">
        <f aca="false">IF(COUNTBLANK(C163:C174)&gt;0,"",STDEV(C163:C174))</f>
        <v>2.85933323832949</v>
      </c>
    </row>
    <row r="175" customFormat="false" ht="15" hidden="false" customHeight="true" outlineLevel="0" collapsed="false">
      <c r="A175" s="14" t="s">
        <v>196</v>
      </c>
      <c r="B175" s="14" t="n">
        <v>392.372727272727</v>
      </c>
      <c r="C175" s="14" t="n">
        <f aca="false">IF(ISBLANK(B175),"",IF(ISBLANK(B174),"",LN(B175/B174)*100))</f>
        <v>2.2145493974357</v>
      </c>
      <c r="D175" s="14" t="n">
        <f aca="false">IF(COUNTBLANK(C173:C175)&gt;0,"",STDEV(C173:C175))</f>
        <v>3.59591217655201</v>
      </c>
      <c r="E175" s="14" t="n">
        <f aca="false">IF(COUNTBLANK(C164:C175)&gt;0,"",STDEV(C164:C175))</f>
        <v>2.89030628812677</v>
      </c>
    </row>
    <row r="176" customFormat="false" ht="15" hidden="false" customHeight="true" outlineLevel="0" collapsed="false">
      <c r="A176" s="14" t="s">
        <v>197</v>
      </c>
      <c r="B176" s="14" t="n">
        <v>398.090909090909</v>
      </c>
      <c r="C176" s="14" t="n">
        <f aca="false">IF(ISBLANK(B176),"",IF(ISBLANK(B175),"",LN(B176/B175)*100))</f>
        <v>1.44681710903018</v>
      </c>
      <c r="D176" s="14" t="n">
        <f aca="false">IF(COUNTBLANK(C174:C176)&gt;0,"",STDEV(C174:C176))</f>
        <v>3.93445377071993</v>
      </c>
      <c r="E176" s="14" t="n">
        <f aca="false">IF(COUNTBLANK(C165:C176)&gt;0,"",STDEV(C165:C176))</f>
        <v>2.80005003904949</v>
      </c>
    </row>
    <row r="177" customFormat="false" ht="15" hidden="false" customHeight="true" outlineLevel="0" collapsed="false">
      <c r="A177" s="14" t="s">
        <v>198</v>
      </c>
      <c r="B177" s="14" t="n">
        <v>400.509523809524</v>
      </c>
      <c r="C177" s="14" t="n">
        <f aca="false">IF(ISBLANK(B177),"",IF(ISBLANK(B176),"",LN(B177/B176)*100))</f>
        <v>0.605715202171259</v>
      </c>
      <c r="D177" s="14" t="n">
        <f aca="false">IF(COUNTBLANK(C175:C177)&gt;0,"",STDEV(C175:C177))</f>
        <v>0.804695879637586</v>
      </c>
      <c r="E177" s="14" t="n">
        <f aca="false">IF(COUNTBLANK(C166:C177)&gt;0,"",STDEV(C166:C177))</f>
        <v>2.76595907046884</v>
      </c>
    </row>
    <row r="178" customFormat="false" ht="15" hidden="false" customHeight="true" outlineLevel="0" collapsed="false">
      <c r="A178" s="14" t="s">
        <v>199</v>
      </c>
      <c r="B178" s="14" t="n">
        <v>405.275</v>
      </c>
      <c r="C178" s="14" t="n">
        <f aca="false">IF(ISBLANK(B178),"",IF(ISBLANK(B177),"",LN(B178/B177)*100))</f>
        <v>1.18283030028966</v>
      </c>
      <c r="D178" s="14" t="n">
        <f aca="false">IF(COUNTBLANK(C176:C178)&gt;0,"",STDEV(C176:C178))</f>
        <v>0.430155648067635</v>
      </c>
      <c r="E178" s="14" t="n">
        <f aca="false">IF(COUNTBLANK(C167:C178)&gt;0,"",STDEV(C167:C178))</f>
        <v>2.4198746080798</v>
      </c>
    </row>
    <row r="179" customFormat="false" ht="15" hidden="false" customHeight="true" outlineLevel="0" collapsed="false">
      <c r="A179" s="14" t="s">
        <v>200</v>
      </c>
      <c r="B179" s="14" t="n">
        <v>420.464285714286</v>
      </c>
      <c r="C179" s="14" t="n">
        <f aca="false">IF(ISBLANK(B179),"",IF(ISBLANK(B178),"",LN(B179/B178)*100))</f>
        <v>3.67936938753568</v>
      </c>
      <c r="D179" s="14" t="n">
        <f aca="false">IF(COUNTBLANK(C177:C179)&gt;0,"",STDEV(C177:C179))</f>
        <v>1.63366251624132</v>
      </c>
      <c r="E179" s="14" t="n">
        <f aca="false">IF(COUNTBLANK(C168:C179)&gt;0,"",STDEV(C168:C179))</f>
        <v>2.57067685375949</v>
      </c>
    </row>
    <row r="180" customFormat="false" ht="15" hidden="false" customHeight="true" outlineLevel="0" collapsed="false">
      <c r="A180" s="14" t="s">
        <v>201</v>
      </c>
      <c r="B180" s="14" t="n">
        <v>439.375</v>
      </c>
      <c r="C180" s="14" t="n">
        <f aca="false">IF(ISBLANK(B180),"",IF(ISBLANK(B179),"",LN(B180/B179)*100))</f>
        <v>4.39937196619358</v>
      </c>
      <c r="D180" s="14" t="n">
        <f aca="false">IF(COUNTBLANK(C178:C180)&gt;0,"",STDEV(C178:C180))</f>
        <v>1.6880586194362</v>
      </c>
      <c r="E180" s="14" t="n">
        <f aca="false">IF(COUNTBLANK(C169:C180)&gt;0,"",STDEV(C169:C180))</f>
        <v>2.71365913334029</v>
      </c>
    </row>
    <row r="181" customFormat="false" ht="15" hidden="false" customHeight="true" outlineLevel="0" collapsed="false">
      <c r="A181" s="14" t="s">
        <v>202</v>
      </c>
      <c r="B181" s="14" t="n">
        <v>442.078947368421</v>
      </c>
      <c r="C181" s="14" t="n">
        <f aca="false">IF(ISBLANK(B181),"",IF(ISBLANK(B180),"",LN(B181/B180)*100))</f>
        <v>0.6135217518899</v>
      </c>
      <c r="D181" s="14" t="n">
        <f aca="false">IF(COUNTBLANK(C179:C181)&gt;0,"",STDEV(C179:C181))</f>
        <v>2.01040987874828</v>
      </c>
      <c r="E181" s="14" t="n">
        <f aca="false">IF(COUNTBLANK(C170:C181)&gt;0,"",STDEV(C170:C181))</f>
        <v>2.5091374209915</v>
      </c>
    </row>
    <row r="182" customFormat="false" ht="15" hidden="false" customHeight="true" outlineLevel="0" collapsed="false">
      <c r="A182" s="14" t="s">
        <v>203</v>
      </c>
      <c r="B182" s="14" t="n">
        <v>424.03</v>
      </c>
      <c r="C182" s="14" t="n">
        <f aca="false">IF(ISBLANK(B182),"",IF(ISBLANK(B181),"",LN(B182/B181)*100))</f>
        <v>-4.16842726378865</v>
      </c>
      <c r="D182" s="14" t="n">
        <f aca="false">IF(COUNTBLANK(C180:C182)&gt;0,"",STDEV(C180:C182))</f>
        <v>4.29353936900114</v>
      </c>
      <c r="E182" s="14" t="n">
        <f aca="false">IF(COUNTBLANK(C171:C182)&gt;0,"",STDEV(C171:C182))</f>
        <v>2.84554698709954</v>
      </c>
    </row>
    <row r="183" customFormat="false" ht="15" hidden="false" customHeight="true" outlineLevel="0" collapsed="false">
      <c r="A183" s="14" t="s">
        <v>204</v>
      </c>
      <c r="B183" s="14" t="n">
        <v>423.35</v>
      </c>
      <c r="C183" s="14" t="n">
        <f aca="false">IF(ISBLANK(B183),"",IF(ISBLANK(B182),"",LN(B183/B182)*100))</f>
        <v>-0.160494735765566</v>
      </c>
      <c r="D183" s="14" t="n">
        <f aca="false">IF(COUNTBLANK(C181:C183)&gt;0,"",STDEV(C181:C183))</f>
        <v>2.56676388541736</v>
      </c>
      <c r="E183" s="14" t="n">
        <f aca="false">IF(COUNTBLANK(C172:C183)&gt;0,"",STDEV(C172:C183))</f>
        <v>2.75011796006253</v>
      </c>
    </row>
    <row r="184" customFormat="false" ht="15" hidden="false" customHeight="true" outlineLevel="0" collapsed="false">
      <c r="A184" s="14" t="s">
        <v>205</v>
      </c>
      <c r="B184" s="14" t="n">
        <v>434.321428571429</v>
      </c>
      <c r="C184" s="14" t="n">
        <f aca="false">IF(ISBLANK(B184),"",IF(ISBLANK(B183),"",LN(B184/B183)*100))</f>
        <v>2.55856187175103</v>
      </c>
      <c r="D184" s="14" t="n">
        <f aca="false">IF(COUNTBLANK(C182:C184)&gt;0,"",STDEV(C182:C184))</f>
        <v>3.38401080607351</v>
      </c>
      <c r="E184" s="14" t="n">
        <f aca="false">IF(COUNTBLANK(C173:C184)&gt;0,"",STDEV(C173:C184))</f>
        <v>2.82196211483914</v>
      </c>
    </row>
    <row r="185" customFormat="false" ht="15" hidden="false" customHeight="true" outlineLevel="0" collapsed="false">
      <c r="A185" s="14" t="s">
        <v>206</v>
      </c>
      <c r="B185" s="14" t="n">
        <v>429.233333333333</v>
      </c>
      <c r="C185" s="14" t="n">
        <f aca="false">IF(ISBLANK(B185),"",IF(ISBLANK(B184),"",LN(B185/B184)*100))</f>
        <v>-1.1784207194169</v>
      </c>
      <c r="D185" s="14" t="n">
        <f aca="false">IF(COUNTBLANK(C183:C185)&gt;0,"",STDEV(C183:C185))</f>
        <v>1.93194552329012</v>
      </c>
      <c r="E185" s="14" t="n">
        <f aca="false">IF(COUNTBLANK(C174:C185)&gt;0,"",STDEV(C174:C185))</f>
        <v>2.83867663811904</v>
      </c>
    </row>
    <row r="186" customFormat="false" ht="15" hidden="false" customHeight="true" outlineLevel="0" collapsed="false">
      <c r="A186" s="14" t="s">
        <v>207</v>
      </c>
      <c r="B186" s="14" t="n">
        <v>421.8725</v>
      </c>
      <c r="C186" s="14" t="n">
        <f aca="false">IF(ISBLANK(B186),"",IF(ISBLANK(B185),"",LN(B186/B185)*100))</f>
        <v>-1.72975359283177</v>
      </c>
      <c r="D186" s="14" t="n">
        <f aca="false">IF(COUNTBLANK(C184:C186)&gt;0,"",STDEV(C184:C186))</f>
        <v>2.33304723297593</v>
      </c>
      <c r="E186" s="14" t="n">
        <f aca="false">IF(COUNTBLANK(C175:C186)&gt;0,"",STDEV(C175:C186))</f>
        <v>2.39121993426235</v>
      </c>
    </row>
    <row r="187" customFormat="false" ht="15" hidden="false" customHeight="true" outlineLevel="0" collapsed="false">
      <c r="A187" s="14" t="s">
        <v>208</v>
      </c>
      <c r="B187" s="14" t="n">
        <v>430.656818181818</v>
      </c>
      <c r="C187" s="14" t="n">
        <f aca="false">IF(ISBLANK(B187),"",IF(ISBLANK(B186),"",LN(B187/B186)*100))</f>
        <v>2.06083917307763</v>
      </c>
      <c r="D187" s="14" t="n">
        <f aca="false">IF(COUNTBLANK(C185:C187)&gt;0,"",STDEV(C185:C187))</f>
        <v>2.04798136813612</v>
      </c>
      <c r="E187" s="14" t="n">
        <f aca="false">IF(COUNTBLANK(C176:C187)&gt;0,"",STDEV(C176:C187))</f>
        <v>2.3832858091723</v>
      </c>
    </row>
    <row r="188" customFormat="false" ht="15" hidden="false" customHeight="true" outlineLevel="0" collapsed="false">
      <c r="A188" s="14" t="s">
        <v>209</v>
      </c>
      <c r="B188" s="14" t="n">
        <v>424.478571428571</v>
      </c>
      <c r="C188" s="14" t="n">
        <f aca="false">IF(ISBLANK(B188),"",IF(ISBLANK(B187),"",LN(B188/B187)*100))</f>
        <v>-1.44500024926008</v>
      </c>
      <c r="D188" s="14" t="n">
        <f aca="false">IF(COUNTBLANK(C186:C188)&gt;0,"",STDEV(C186:C188))</f>
        <v>2.11110508339657</v>
      </c>
      <c r="E188" s="14" t="n">
        <f aca="false">IF(COUNTBLANK(C177:C188)&gt;0,"",STDEV(C177:C188))</f>
        <v>2.45441214613705</v>
      </c>
    </row>
    <row r="189" customFormat="false" ht="15" hidden="false" customHeight="true" outlineLevel="0" collapsed="false">
      <c r="A189" s="14" t="s">
        <v>210</v>
      </c>
      <c r="B189" s="14" t="n">
        <v>437.929545454545</v>
      </c>
      <c r="C189" s="14" t="n">
        <f aca="false">IF(ISBLANK(B189),"",IF(ISBLANK(B188),"",LN(B189/B188)*100))</f>
        <v>3.11965173897777</v>
      </c>
      <c r="D189" s="14" t="n">
        <f aca="false">IF(COUNTBLANK(C187:C189)&gt;0,"",STDEV(C187:C189))</f>
        <v>2.3891435661707</v>
      </c>
      <c r="E189" s="14" t="n">
        <f aca="false">IF(COUNTBLANK(C178:C189)&gt;0,"",STDEV(C178:C189))</f>
        <v>2.56577273441673</v>
      </c>
    </row>
    <row r="190" customFormat="false" ht="15" hidden="false" customHeight="true" outlineLevel="0" collapsed="false">
      <c r="A190" s="14" t="s">
        <v>211</v>
      </c>
      <c r="B190" s="14" t="n">
        <v>456.047727272727</v>
      </c>
      <c r="C190" s="14" t="n">
        <f aca="false">IF(ISBLANK(B190),"",IF(ISBLANK(B189),"",LN(B190/B189)*100))</f>
        <v>4.05394267978862</v>
      </c>
      <c r="D190" s="14" t="n">
        <f aca="false">IF(COUNTBLANK(C188:C190)&gt;0,"",STDEV(C188:C190))</f>
        <v>2.94242872110608</v>
      </c>
      <c r="E190" s="14" t="n">
        <f aca="false">IF(COUNTBLANK(C179:C190)&gt;0,"",STDEV(C179:C190))</f>
        <v>2.73843613524002</v>
      </c>
    </row>
    <row r="191" customFormat="false" ht="15" hidden="false" customHeight="true" outlineLevel="0" collapsed="false">
      <c r="A191" s="14" t="s">
        <v>212</v>
      </c>
      <c r="B191" s="14" t="n">
        <v>469.897619047619</v>
      </c>
      <c r="C191" s="14" t="n">
        <f aca="false">IF(ISBLANK(B191),"",IF(ISBLANK(B190),"",LN(B191/B190)*100))</f>
        <v>2.99173700525829</v>
      </c>
      <c r="D191" s="14" t="n">
        <f aca="false">IF(COUNTBLANK(C189:C191)&gt;0,"",STDEV(C189:C191))</f>
        <v>0.579876802460111</v>
      </c>
      <c r="E191" s="14" t="n">
        <f aca="false">IF(COUNTBLANK(C180:C191)&gt;0,"",STDEV(C180:C191))</f>
        <v>2.68354228637885</v>
      </c>
    </row>
    <row r="192" customFormat="false" ht="15" hidden="false" customHeight="true" outlineLevel="0" collapsed="false">
      <c r="A192" s="14" t="s">
        <v>213</v>
      </c>
      <c r="B192" s="14" t="n">
        <v>476.665909090909</v>
      </c>
      <c r="C192" s="14" t="n">
        <f aca="false">IF(ISBLANK(B192),"",IF(ISBLANK(B191),"",LN(B192/B191)*100))</f>
        <v>1.43010061030767</v>
      </c>
      <c r="D192" s="14" t="n">
        <f aca="false">IF(COUNTBLANK(C190:C192)&gt;0,"",STDEV(C190:C192))</f>
        <v>1.31981920040946</v>
      </c>
      <c r="E192" s="14" t="n">
        <f aca="false">IF(COUNTBLANK(C181:C192)&gt;0,"",STDEV(C181:C192))</f>
        <v>2.46193250426554</v>
      </c>
    </row>
    <row r="193" customFormat="false" ht="15" hidden="false" customHeight="true" outlineLevel="0" collapsed="false">
      <c r="A193" s="14" t="s">
        <v>214</v>
      </c>
      <c r="B193" s="14" t="n">
        <v>510.097222222222</v>
      </c>
      <c r="C193" s="14" t="n">
        <f aca="false">IF(ISBLANK(B193),"",IF(ISBLANK(B192),"",LN(B193/B192)*100))</f>
        <v>6.77854940939066</v>
      </c>
      <c r="D193" s="14" t="n">
        <f aca="false">IF(COUNTBLANK(C191:C193)&gt;0,"",STDEV(C191:C193))</f>
        <v>2.75028971111946</v>
      </c>
      <c r="E193" s="14" t="n">
        <f aca="false">IF(COUNTBLANK(C182:C193)&gt;0,"",STDEV(C182:C193))</f>
        <v>3.0257521420338</v>
      </c>
    </row>
    <row r="194" customFormat="false" ht="15" hidden="false" customHeight="true" outlineLevel="0" collapsed="false">
      <c r="A194" s="14" t="s">
        <v>215</v>
      </c>
      <c r="B194" s="14" t="n">
        <v>549.864285714286</v>
      </c>
      <c r="C194" s="14" t="n">
        <f aca="false">IF(ISBLANK(B194),"",IF(ISBLANK(B193),"",LN(B194/B193)*100))</f>
        <v>7.50701551724569</v>
      </c>
      <c r="D194" s="14" t="n">
        <f aca="false">IF(COUNTBLANK(C192:C194)&gt;0,"",STDEV(C192:C194))</f>
        <v>3.31826918269327</v>
      </c>
      <c r="E194" s="14" t="n">
        <f aca="false">IF(COUNTBLANK(C183:C194)&gt;0,"",STDEV(C183:C194))</f>
        <v>3.02231602029592</v>
      </c>
    </row>
    <row r="195" customFormat="false" ht="15" hidden="false" customHeight="true" outlineLevel="0" collapsed="false">
      <c r="A195" s="14" t="s">
        <v>216</v>
      </c>
      <c r="B195" s="14" t="n">
        <v>554.995</v>
      </c>
      <c r="C195" s="14" t="n">
        <f aca="false">IF(ISBLANK(B195),"",IF(ISBLANK(B194),"",LN(B195/B194)*100))</f>
        <v>0.928761016567174</v>
      </c>
      <c r="D195" s="14" t="n">
        <f aca="false">IF(COUNTBLANK(C193:C195)&gt;0,"",STDEV(C193:C195))</f>
        <v>3.60610869190052</v>
      </c>
      <c r="E195" s="14" t="n">
        <f aca="false">IF(COUNTBLANK(C184:C195)&gt;0,"",STDEV(C184:C195))</f>
        <v>2.96185755179057</v>
      </c>
    </row>
    <row r="196" customFormat="false" ht="15" hidden="false" customHeight="true" outlineLevel="0" collapsed="false">
      <c r="A196" s="14" t="s">
        <v>217</v>
      </c>
      <c r="B196" s="14" t="n">
        <v>557.09347826087</v>
      </c>
      <c r="C196" s="14" t="n">
        <f aca="false">IF(ISBLANK(B196),"",IF(ISBLANK(B195),"",LN(B196/B195)*100))</f>
        <v>0.377394567527851</v>
      </c>
      <c r="D196" s="14" t="n">
        <f aca="false">IF(COUNTBLANK(C194:C196)&gt;0,"",STDEV(C194:C196))</f>
        <v>3.96671426001165</v>
      </c>
      <c r="E196" s="14" t="n">
        <f aca="false">IF(COUNTBLANK(C185:C196)&gt;0,"",STDEV(C185:C196))</f>
        <v>3.00818893428602</v>
      </c>
    </row>
    <row r="197" customFormat="false" ht="15" hidden="false" customHeight="true" outlineLevel="0" collapsed="false">
      <c r="A197" s="14" t="s">
        <v>218</v>
      </c>
      <c r="B197" s="14" t="n">
        <v>610.652777777778</v>
      </c>
      <c r="C197" s="14" t="n">
        <f aca="false">IF(ISBLANK(B197),"",IF(ISBLANK(B196),"",LN(B197/B196)*100))</f>
        <v>9.17954621215165</v>
      </c>
      <c r="D197" s="14" t="n">
        <f aca="false">IF(COUNTBLANK(C195:C197)&gt;0,"",STDEV(C195:C197))</f>
        <v>4.93047216940656</v>
      </c>
      <c r="E197" s="14" t="n">
        <f aca="false">IF(COUNTBLANK(C186:C197)&gt;0,"",STDEV(C186:C197))</f>
        <v>3.44435456219765</v>
      </c>
    </row>
    <row r="198" customFormat="false" ht="15" hidden="false" customHeight="true" outlineLevel="0" collapsed="false">
      <c r="A198" s="14" t="s">
        <v>219</v>
      </c>
      <c r="B198" s="14" t="n">
        <v>675.392857142857</v>
      </c>
      <c r="C198" s="14" t="n">
        <f aca="false">IF(ISBLANK(B198),"",IF(ISBLANK(B197),"",LN(B198/B197)*100))</f>
        <v>10.076601965843</v>
      </c>
      <c r="D198" s="14" t="n">
        <f aca="false">IF(COUNTBLANK(C196:C198)&gt;0,"",STDEV(C196:C198))</f>
        <v>5.35968293147574</v>
      </c>
      <c r="E198" s="14" t="n">
        <f aca="false">IF(COUNTBLANK(C187:C198)&gt;0,"",STDEV(C187:C198))</f>
        <v>3.66880669654807</v>
      </c>
    </row>
    <row r="199" customFormat="false" ht="15" hidden="false" customHeight="true" outlineLevel="0" collapsed="false">
      <c r="A199" s="14" t="s">
        <v>220</v>
      </c>
      <c r="B199" s="14" t="n">
        <v>596.145454545455</v>
      </c>
      <c r="C199" s="14" t="n">
        <f aca="false">IF(ISBLANK(B199),"",IF(ISBLANK(B198),"",LN(B199/B198)*100))</f>
        <v>-12.4809843611618</v>
      </c>
      <c r="D199" s="14" t="n">
        <f aca="false">IF(COUNTBLANK(C197:C199)&gt;0,"",STDEV(C197:C199))</f>
        <v>12.7725486535444</v>
      </c>
      <c r="E199" s="14" t="n">
        <f aca="false">IF(COUNTBLANK(C188:C199)&gt;0,"",STDEV(C188:C199))</f>
        <v>6.00016448484531</v>
      </c>
    </row>
    <row r="200" customFormat="false" ht="15" hidden="false" customHeight="true" outlineLevel="0" collapsed="false">
      <c r="A200" s="14" t="s">
        <v>221</v>
      </c>
      <c r="B200" s="14" t="n">
        <v>633.709523809524</v>
      </c>
      <c r="C200" s="14" t="n">
        <f aca="false">IF(ISBLANK(B200),"",IF(ISBLANK(B199),"",LN(B200/B199)*100))</f>
        <v>6.11059965691346</v>
      </c>
      <c r="D200" s="14" t="n">
        <f aca="false">IF(COUNTBLANK(C198:C200)&gt;0,"",STDEV(C198:C200))</f>
        <v>12.0431230135422</v>
      </c>
      <c r="E200" s="14" t="n">
        <f aca="false">IF(COUNTBLANK(C189:C200)&gt;0,"",STDEV(C189:C200))</f>
        <v>5.92044136474415</v>
      </c>
    </row>
    <row r="201" customFormat="false" ht="15" hidden="false" customHeight="true" outlineLevel="0" collapsed="false">
      <c r="A201" s="14" t="s">
        <v>222</v>
      </c>
      <c r="B201" s="14" t="n">
        <v>632.593181818182</v>
      </c>
      <c r="C201" s="14" t="n">
        <f aca="false">IF(ISBLANK(B201),"",IF(ISBLANK(B200),"",LN(B201/B200)*100))</f>
        <v>-0.176315232618395</v>
      </c>
      <c r="D201" s="14" t="n">
        <f aca="false">IF(COUNTBLANK(C199:C201)&gt;0,"",STDEV(C199:C201))</f>
        <v>9.45671875346038</v>
      </c>
      <c r="E201" s="14" t="n">
        <f aca="false">IF(COUNTBLANK(C190:C201)&gt;0,"",STDEV(C190:C201))</f>
        <v>6.00737902559156</v>
      </c>
    </row>
    <row r="202" customFormat="false" ht="15" hidden="false" customHeight="true" outlineLevel="0" collapsed="false">
      <c r="A202" s="14" t="s">
        <v>223</v>
      </c>
      <c r="B202" s="14" t="n">
        <v>598.185714285714</v>
      </c>
      <c r="C202" s="14" t="n">
        <f aca="false">IF(ISBLANK(B202),"",IF(ISBLANK(B201),"",LN(B202/B201)*100))</f>
        <v>-5.59262680400257</v>
      </c>
      <c r="D202" s="14" t="n">
        <f aca="false">IF(COUNTBLANK(C200:C202)&gt;0,"",STDEV(C200:C202))</f>
        <v>5.85700776082254</v>
      </c>
      <c r="E202" s="14" t="n">
        <f aca="false">IF(COUNTBLANK(C191:C202)&gt;0,"",STDEV(C191:C202))</f>
        <v>6.48909243883097</v>
      </c>
    </row>
    <row r="203" customFormat="false" ht="15" hidden="false" customHeight="true" outlineLevel="0" collapsed="false">
      <c r="A203" s="14" t="s">
        <v>224</v>
      </c>
      <c r="B203" s="14" t="n">
        <v>585.779545454546</v>
      </c>
      <c r="C203" s="14" t="n">
        <f aca="false">IF(ISBLANK(B203),"",IF(ISBLANK(B202),"",LN(B203/B202)*100))</f>
        <v>-2.09577482441966</v>
      </c>
      <c r="D203" s="14" t="n">
        <f aca="false">IF(COUNTBLANK(C201:C203)&gt;0,"",STDEV(C201:C203))</f>
        <v>2.74617096851783</v>
      </c>
      <c r="E203" s="14" t="n">
        <f aca="false">IF(COUNTBLANK(C192:C203)&gt;0,"",STDEV(C192:C203))</f>
        <v>6.60220876075621</v>
      </c>
    </row>
    <row r="204" customFormat="false" ht="15" hidden="false" customHeight="true" outlineLevel="0" collapsed="false">
      <c r="A204" s="14" t="s">
        <v>225</v>
      </c>
      <c r="B204" s="14" t="n">
        <v>627.827272727273</v>
      </c>
      <c r="C204" s="14" t="n">
        <f aca="false">IF(ISBLANK(B204),"",IF(ISBLANK(B203),"",LN(B204/B203)*100))</f>
        <v>6.93215687097292</v>
      </c>
      <c r="D204" s="14" t="n">
        <f aca="false">IF(COUNTBLANK(C202:C204)&gt;0,"",STDEV(C202:C204))</f>
        <v>6.46273588310605</v>
      </c>
      <c r="E204" s="14" t="n">
        <f aca="false">IF(COUNTBLANK(C193:C204)&gt;0,"",STDEV(C193:C204))</f>
        <v>6.76054154541858</v>
      </c>
    </row>
    <row r="205" customFormat="false" ht="15" hidden="false" customHeight="true" outlineLevel="0" collapsed="false">
      <c r="A205" s="14" t="s">
        <v>226</v>
      </c>
      <c r="B205" s="14" t="n">
        <v>629.791176470588</v>
      </c>
      <c r="C205" s="14" t="n">
        <f aca="false">IF(ISBLANK(B205),"",IF(ISBLANK(B204),"",LN(B205/B204)*100))</f>
        <v>0.312321330999755</v>
      </c>
      <c r="D205" s="14" t="n">
        <f aca="false">IF(COUNTBLANK(C203:C205)&gt;0,"",STDEV(C203:C205))</f>
        <v>4.67483868468049</v>
      </c>
      <c r="E205" s="14" t="n">
        <f aca="false">IF(COUNTBLANK(C194:C205)&gt;0,"",STDEV(C194:C205))</f>
        <v>6.62710622258977</v>
      </c>
    </row>
    <row r="206" customFormat="false" ht="15" hidden="false" customHeight="true" outlineLevel="0" collapsed="false">
      <c r="A206" s="14" t="s">
        <v>227</v>
      </c>
      <c r="B206" s="14" t="n">
        <v>631.165909090909</v>
      </c>
      <c r="C206" s="14" t="n">
        <f aca="false">IF(ISBLANK(B206),"",IF(ISBLANK(B205),"",LN(B206/B205)*100))</f>
        <v>0.218045987564851</v>
      </c>
      <c r="D206" s="14" t="n">
        <f aca="false">IF(COUNTBLANK(C204:C206)&gt;0,"",STDEV(C204:C206))</f>
        <v>3.84946739544079</v>
      </c>
      <c r="E206" s="14" t="n">
        <f aca="false">IF(COUNTBLANK(C195:C206)&gt;0,"",STDEV(C195:C206))</f>
        <v>6.3816194875742</v>
      </c>
    </row>
    <row r="207" customFormat="false" ht="15" hidden="false" customHeight="true" outlineLevel="0" collapsed="false">
      <c r="A207" s="14" t="s">
        <v>228</v>
      </c>
      <c r="B207" s="14" t="n">
        <v>664.745</v>
      </c>
      <c r="C207" s="14" t="n">
        <f aca="false">IF(ISBLANK(B207),"",IF(ISBLANK(B206),"",LN(B207/B206)*100))</f>
        <v>5.18347500756159</v>
      </c>
      <c r="D207" s="14" t="n">
        <f aca="false">IF(COUNTBLANK(C205:C207)&gt;0,"",STDEV(C205:C207))</f>
        <v>2.83996805538628</v>
      </c>
      <c r="E207" s="14" t="n">
        <f aca="false">IF(COUNTBLANK(C196:C207)&gt;0,"",STDEV(C196:C207))</f>
        <v>6.48560959514792</v>
      </c>
    </row>
    <row r="208" customFormat="false" ht="15" hidden="false" customHeight="true" outlineLevel="0" collapsed="false">
      <c r="A208" s="14" t="s">
        <v>229</v>
      </c>
      <c r="B208" s="14" t="n">
        <v>654.895454545455</v>
      </c>
      <c r="C208" s="14" t="n">
        <f aca="false">IF(ISBLANK(B208),"",IF(ISBLANK(B207),"",LN(B208/B207)*100))</f>
        <v>-1.49278969551556</v>
      </c>
      <c r="D208" s="14" t="n">
        <f aca="false">IF(COUNTBLANK(C206:C208)&gt;0,"",STDEV(C206:C208))</f>
        <v>3.46782723696651</v>
      </c>
      <c r="E208" s="14" t="n">
        <f aca="false">IF(COUNTBLANK(C197:C208)&gt;0,"",STDEV(C197:C208))</f>
        <v>6.53739858893175</v>
      </c>
    </row>
    <row r="209" customFormat="false" ht="15" hidden="false" customHeight="true" outlineLevel="0" collapsed="false">
      <c r="A209" s="14" t="s">
        <v>230</v>
      </c>
      <c r="B209" s="14" t="n">
        <v>679.368421052632</v>
      </c>
      <c r="C209" s="14" t="n">
        <f aca="false">IF(ISBLANK(B209),"",IF(ISBLANK(B208),"",LN(B209/B208)*100))</f>
        <v>3.66879624903975</v>
      </c>
      <c r="D209" s="14" t="n">
        <f aca="false">IF(COUNTBLANK(C207:C209)&gt;0,"",STDEV(C207:C209))</f>
        <v>3.50020788882846</v>
      </c>
      <c r="E209" s="14" t="n">
        <f aca="false">IF(COUNTBLANK(C198:C209)&gt;0,"",STDEV(C198:C209))</f>
        <v>6.11729339874815</v>
      </c>
    </row>
    <row r="210" customFormat="false" ht="15" hidden="false" customHeight="true" outlineLevel="0" collapsed="false">
      <c r="A210" s="14" t="s">
        <v>231</v>
      </c>
      <c r="B210" s="14" t="n">
        <v>666.859523809524</v>
      </c>
      <c r="C210" s="14" t="n">
        <f aca="false">IF(ISBLANK(B210),"",IF(ISBLANK(B209),"",LN(B210/B209)*100))</f>
        <v>-1.85841592521981</v>
      </c>
      <c r="D210" s="14" t="n">
        <f aca="false">IF(COUNTBLANK(C208:C210)&gt;0,"",STDEV(C208:C210))</f>
        <v>3.09100108978094</v>
      </c>
      <c r="E210" s="14" t="n">
        <f aca="false">IF(COUNTBLANK(C199:C210)&gt;0,"",STDEV(C199:C210))</f>
        <v>5.41790802863384</v>
      </c>
    </row>
    <row r="211" customFormat="false" ht="15" hidden="false" customHeight="true" outlineLevel="0" collapsed="false">
      <c r="A211" s="14" t="s">
        <v>232</v>
      </c>
      <c r="B211" s="14" t="n">
        <v>655.490476190476</v>
      </c>
      <c r="C211" s="14" t="n">
        <f aca="false">IF(ISBLANK(B211),"",IF(ISBLANK(B210),"",LN(B211/B210)*100))</f>
        <v>-1.71956407313222</v>
      </c>
      <c r="D211" s="14" t="n">
        <f aca="false">IF(COUNTBLANK(C209:C211)&gt;0,"",STDEV(C209:C211))</f>
        <v>3.15181908368454</v>
      </c>
      <c r="E211" s="14" t="n">
        <f aca="false">IF(COUNTBLANK(C200:C211)&gt;0,"",STDEV(C200:C211))</f>
        <v>3.84592814513754</v>
      </c>
    </row>
    <row r="212" customFormat="false" ht="15" hidden="false" customHeight="true" outlineLevel="0" collapsed="false">
      <c r="A212" s="14" t="s">
        <v>233</v>
      </c>
      <c r="B212" s="14" t="n">
        <v>665.295454545455</v>
      </c>
      <c r="C212" s="14" t="n">
        <f aca="false">IF(ISBLANK(B212),"",IF(ISBLANK(B211),"",LN(B212/B211)*100))</f>
        <v>1.48474605148076</v>
      </c>
      <c r="D212" s="14" t="n">
        <f aca="false">IF(COUNTBLANK(C210:C212)&gt;0,"",STDEV(C210:C212))</f>
        <v>1.89136701946775</v>
      </c>
      <c r="E212" s="14" t="n">
        <f aca="false">IF(COUNTBLANK(C201:C212)&gt;0,"",STDEV(C201:C212))</f>
        <v>3.47852001911676</v>
      </c>
    </row>
    <row r="213" customFormat="false" ht="15" hidden="false" customHeight="true" outlineLevel="0" collapsed="false">
      <c r="A213" s="14" t="s">
        <v>234</v>
      </c>
      <c r="B213" s="14" t="n">
        <v>665.411363636364</v>
      </c>
      <c r="C213" s="14" t="n">
        <f aca="false">IF(ISBLANK(B213),"",IF(ISBLANK(B212),"",LN(B213/B212)*100))</f>
        <v>0.0174206804411644</v>
      </c>
      <c r="D213" s="14" t="n">
        <f aca="false">IF(COUNTBLANK(C211:C213)&gt;0,"",STDEV(C211:C213))</f>
        <v>1.60404505097478</v>
      </c>
      <c r="E213" s="14" t="n">
        <f aca="false">IF(COUNTBLANK(C202:C213)&gt;0,"",STDEV(C202:C213))</f>
        <v>3.47602369950808</v>
      </c>
    </row>
    <row r="214" customFormat="false" ht="15" hidden="false" customHeight="true" outlineLevel="0" collapsed="false">
      <c r="A214" s="14" t="s">
        <v>235</v>
      </c>
      <c r="B214" s="14" t="n">
        <v>712.6525</v>
      </c>
      <c r="C214" s="14" t="n">
        <f aca="false">IF(ISBLANK(B214),"",IF(ISBLANK(B213),"",LN(B214/B213)*100))</f>
        <v>6.8588482987172</v>
      </c>
      <c r="D214" s="14" t="n">
        <f aca="false">IF(COUNTBLANK(C212:C214)&gt;0,"",STDEV(C212:C214))</f>
        <v>3.60183172298851</v>
      </c>
      <c r="E214" s="14" t="n">
        <f aca="false">IF(COUNTBLANK(C203:C214)&gt;0,"",STDEV(C203:C214))</f>
        <v>3.37450842568969</v>
      </c>
    </row>
    <row r="215" customFormat="false" ht="15" hidden="false" customHeight="true" outlineLevel="0" collapsed="false">
      <c r="A215" s="14" t="s">
        <v>236</v>
      </c>
      <c r="B215" s="14" t="n">
        <v>754.604347826087</v>
      </c>
      <c r="C215" s="14" t="n">
        <f aca="false">IF(ISBLANK(B215),"",IF(ISBLANK(B214),"",LN(B215/B214)*100))</f>
        <v>5.71996449479661</v>
      </c>
      <c r="D215" s="14" t="n">
        <f aca="false">IF(COUNTBLANK(C213:C215)&gt;0,"",STDEV(C213:C215))</f>
        <v>3.66563305423011</v>
      </c>
      <c r="E215" s="14" t="n">
        <f aca="false">IF(COUNTBLANK(C204:C215)&gt;0,"",STDEV(C204:C215))</f>
        <v>3.38025875574091</v>
      </c>
    </row>
    <row r="216" customFormat="false" ht="15" hidden="false" customHeight="true" outlineLevel="0" collapsed="false">
      <c r="A216" s="14" t="s">
        <v>237</v>
      </c>
      <c r="B216" s="14" t="n">
        <v>806.247727272727</v>
      </c>
      <c r="C216" s="14" t="n">
        <f aca="false">IF(ISBLANK(B216),"",IF(ISBLANK(B215),"",LN(B216/B215)*100))</f>
        <v>6.61974799432195</v>
      </c>
      <c r="D216" s="14" t="n">
        <f aca="false">IF(COUNTBLANK(C214:C216)&gt;0,"",STDEV(C214:C216))</f>
        <v>0.600532488770399</v>
      </c>
      <c r="E216" s="14" t="n">
        <f aca="false">IF(COUNTBLANK(C205:C216)&gt;0,"",STDEV(C205:C216))</f>
        <v>3.34071847521984</v>
      </c>
    </row>
    <row r="217" customFormat="false" ht="15" hidden="false" customHeight="true" outlineLevel="0" collapsed="false">
      <c r="A217" s="14" t="s">
        <v>238</v>
      </c>
      <c r="B217" s="14" t="n">
        <v>803.202941176471</v>
      </c>
      <c r="C217" s="14" t="n">
        <f aca="false">IF(ISBLANK(B217),"",IF(ISBLANK(B216),"",LN(B217/B216)*100))</f>
        <v>-0.378363846541323</v>
      </c>
      <c r="D217" s="14" t="n">
        <f aca="false">IF(COUNTBLANK(C215:C217)&gt;0,"",STDEV(C215:C217))</f>
        <v>3.8072909932132</v>
      </c>
      <c r="E217" s="14" t="n">
        <f aca="false">IF(COUNTBLANK(C206:C217)&gt;0,"",STDEV(C206:C217))</f>
        <v>3.37974669465659</v>
      </c>
    </row>
    <row r="218" customFormat="false" ht="15" hidden="false" customHeight="true" outlineLevel="0" collapsed="false">
      <c r="A218" s="14" t="s">
        <v>239</v>
      </c>
      <c r="B218" s="14" t="n">
        <v>889.595454545455</v>
      </c>
      <c r="C218" s="14" t="n">
        <f aca="false">IF(ISBLANK(B218),"",IF(ISBLANK(B217),"",LN(B218/B217)*100))</f>
        <v>10.2159403180484</v>
      </c>
      <c r="D218" s="14" t="n">
        <f aca="false">IF(COUNTBLANK(C216:C218)&gt;0,"",STDEV(C216:C218))</f>
        <v>5.38741510835366</v>
      </c>
      <c r="E218" s="14" t="n">
        <f aca="false">IF(COUNTBLANK(C207:C218)&gt;0,"",STDEV(C207:C218))</f>
        <v>4.05764878337406</v>
      </c>
    </row>
    <row r="219" customFormat="false" ht="15" hidden="false" customHeight="true" outlineLevel="0" collapsed="false">
      <c r="A219" s="14" t="s">
        <v>240</v>
      </c>
      <c r="B219" s="14" t="n">
        <v>922.297619047619</v>
      </c>
      <c r="C219" s="14" t="n">
        <f aca="false">IF(ISBLANK(B219),"",IF(ISBLANK(B218),"",LN(B219/B218)*100))</f>
        <v>3.61011547659273</v>
      </c>
      <c r="D219" s="14" t="n">
        <f aca="false">IF(COUNTBLANK(C217:C219)&gt;0,"",STDEV(C217:C219))</f>
        <v>5.35076583115141</v>
      </c>
      <c r="E219" s="14" t="n">
        <f aca="false">IF(COUNTBLANK(C208:C219)&gt;0,"",STDEV(C208:C219))</f>
        <v>4.00076638020535</v>
      </c>
    </row>
    <row r="220" customFormat="false" ht="15" hidden="false" customHeight="true" outlineLevel="0" collapsed="false">
      <c r="A220" s="14" t="s">
        <v>241</v>
      </c>
      <c r="B220" s="14" t="n">
        <v>968.434210526316</v>
      </c>
      <c r="C220" s="14" t="n">
        <f aca="false">IF(ISBLANK(B220),"",IF(ISBLANK(B219),"",LN(B220/B219)*100))</f>
        <v>4.88125825943894</v>
      </c>
      <c r="D220" s="14" t="n">
        <f aca="false">IF(COUNTBLANK(C218:C220)&gt;0,"",STDEV(C218:C220))</f>
        <v>3.50503348716349</v>
      </c>
      <c r="E220" s="14" t="n">
        <f aca="false">IF(COUNTBLANK(C209:C220)&gt;0,"",STDEV(C209:C220))</f>
        <v>3.80779223646889</v>
      </c>
    </row>
    <row r="221" customFormat="false" ht="15" hidden="false" customHeight="true" outlineLevel="0" collapsed="false">
      <c r="A221" s="14" t="s">
        <v>242</v>
      </c>
      <c r="B221" s="14" t="n">
        <v>909.704545454546</v>
      </c>
      <c r="C221" s="14" t="n">
        <f aca="false">IF(ISBLANK(B221),"",IF(ISBLANK(B220),"",LN(B221/B220)*100))</f>
        <v>-6.256067982708</v>
      </c>
      <c r="D221" s="14" t="n">
        <f aca="false">IF(COUNTBLANK(C219:C221)&gt;0,"",STDEV(C219:C221))</f>
        <v>6.09641172946535</v>
      </c>
      <c r="E221" s="14" t="n">
        <f aca="false">IF(COUNTBLANK(C210:C221)&gt;0,"",STDEV(C210:C221))</f>
        <v>4.68724355870384</v>
      </c>
    </row>
    <row r="222" customFormat="false" ht="15" hidden="false" customHeight="true" outlineLevel="0" collapsed="false">
      <c r="A222" s="14" t="s">
        <v>243</v>
      </c>
      <c r="B222" s="14" t="n">
        <v>888.6625</v>
      </c>
      <c r="C222" s="14" t="n">
        <f aca="false">IF(ISBLANK(B222),"",IF(ISBLANK(B221),"",LN(B222/B221)*100))</f>
        <v>-2.34023480803921</v>
      </c>
      <c r="D222" s="14" t="n">
        <f aca="false">IF(COUNTBLANK(C220:C222)&gt;0,"",STDEV(C220:C222))</f>
        <v>5.6498340300031</v>
      </c>
      <c r="E222" s="14" t="n">
        <f aca="false">IF(COUNTBLANK(C211:C222)&gt;0,"",STDEV(C211:C222))</f>
        <v>4.72922171509034</v>
      </c>
    </row>
    <row r="223" customFormat="false" ht="15" hidden="false" customHeight="true" outlineLevel="0" collapsed="false">
      <c r="A223" s="14" t="s">
        <v>244</v>
      </c>
      <c r="B223" s="14" t="n">
        <v>889.488095238095</v>
      </c>
      <c r="C223" s="14" t="n">
        <f aca="false">IF(ISBLANK(B223),"",IF(ISBLANK(B222),"",LN(B223/B222)*100))</f>
        <v>0.0928599973063643</v>
      </c>
      <c r="D223" s="14" t="n">
        <f aca="false">IF(COUNTBLANK(C221:C223)&gt;0,"",STDEV(C221:C223))</f>
        <v>3.20319076024323</v>
      </c>
      <c r="E223" s="14" t="n">
        <f aca="false">IF(COUNTBLANK(C212:C223)&gt;0,"",STDEV(C212:C223))</f>
        <v>4.61347138380821</v>
      </c>
    </row>
    <row r="224" customFormat="false" ht="15" hidden="false" customHeight="true" outlineLevel="0" collapsed="false">
      <c r="A224" s="14" t="s">
        <v>245</v>
      </c>
      <c r="B224" s="14" t="n">
        <v>939.771739130435</v>
      </c>
      <c r="C224" s="14" t="n">
        <f aca="false">IF(ISBLANK(B224),"",IF(ISBLANK(B223),"",LN(B224/B223)*100))</f>
        <v>5.49908917031469</v>
      </c>
      <c r="D224" s="14" t="n">
        <f aca="false">IF(COUNTBLANK(C222:C224)&gt;0,"",STDEV(C222:C224))</f>
        <v>4.01252756253213</v>
      </c>
      <c r="E224" s="14" t="n">
        <f aca="false">IF(COUNTBLANK(C213:C224)&gt;0,"",STDEV(C213:C224))</f>
        <v>4.67482718934201</v>
      </c>
    </row>
    <row r="225" customFormat="false" ht="15" hidden="false" customHeight="true" outlineLevel="0" collapsed="false">
      <c r="A225" s="14" t="s">
        <v>246</v>
      </c>
      <c r="B225" s="14" t="n">
        <v>839.025</v>
      </c>
      <c r="C225" s="14" t="n">
        <f aca="false">IF(ISBLANK(B225),"",IF(ISBLANK(B224),"",LN(B225/B224)*100))</f>
        <v>-11.3396511662491</v>
      </c>
      <c r="D225" s="14" t="n">
        <f aca="false">IF(COUNTBLANK(C223:C225)&gt;0,"",STDEV(C223:C225))</f>
        <v>8.59721661836093</v>
      </c>
      <c r="E225" s="14" t="n">
        <f aca="false">IF(COUNTBLANK(C214:C225)&gt;0,"",STDEV(C214:C225))</f>
        <v>6.20566359986776</v>
      </c>
    </row>
    <row r="226" customFormat="false" ht="15" hidden="false" customHeight="true" outlineLevel="0" collapsed="false">
      <c r="A226" s="14" t="s">
        <v>247</v>
      </c>
      <c r="B226" s="14" t="n">
        <v>829.931818181818</v>
      </c>
      <c r="C226" s="14" t="n">
        <f aca="false">IF(ISBLANK(B226),"",IF(ISBLANK(B225),"",LN(B226/B225)*100))</f>
        <v>-1.08969527535848</v>
      </c>
      <c r="D226" s="14" t="n">
        <f aca="false">IF(COUNTBLANK(C224:C226)&gt;0,"",STDEV(C224:C226))</f>
        <v>8.48544687842042</v>
      </c>
      <c r="E226" s="14" t="n">
        <f aca="false">IF(COUNTBLANK(C215:C226)&gt;0,"",STDEV(C215:C226))</f>
        <v>6.05433035461477</v>
      </c>
    </row>
    <row r="227" customFormat="false" ht="15" hidden="false" customHeight="true" outlineLevel="0" collapsed="false">
      <c r="A227" s="14" t="s">
        <v>248</v>
      </c>
      <c r="B227" s="14" t="n">
        <v>806.619565217391</v>
      </c>
      <c r="C227" s="14" t="n">
        <f aca="false">IF(ISBLANK(B227),"",IF(ISBLANK(B226),"",LN(B227/B226)*100))</f>
        <v>-2.84914120960471</v>
      </c>
      <c r="D227" s="14" t="n">
        <f aca="false">IF(COUNTBLANK(C225:C227)&gt;0,"",STDEV(C225:C227))</f>
        <v>5.48096714526152</v>
      </c>
      <c r="E227" s="14" t="n">
        <f aca="false">IF(COUNTBLANK(C216:C227)&gt;0,"",STDEV(C216:C227))</f>
        <v>5.98667377243319</v>
      </c>
    </row>
    <row r="228" customFormat="false" ht="15" hidden="false" customHeight="true" outlineLevel="0" collapsed="false">
      <c r="A228" s="14" t="s">
        <v>249</v>
      </c>
      <c r="B228" s="14" t="n">
        <v>760.8625</v>
      </c>
      <c r="C228" s="14" t="n">
        <f aca="false">IF(ISBLANK(B228),"",IF(ISBLANK(B227),"",LN(B228/B227)*100))</f>
        <v>-5.83994803264145</v>
      </c>
      <c r="D228" s="14" t="n">
        <f aca="false">IF(COUNTBLANK(C226:C228)&gt;0,"",STDEV(C226:C228))</f>
        <v>2.40157853318511</v>
      </c>
      <c r="E228" s="14" t="n">
        <f aca="false">IF(COUNTBLANK(C217:C228)&gt;0,"",STDEV(C217:C228))</f>
        <v>5.91939987773297</v>
      </c>
    </row>
    <row r="229" customFormat="false" ht="15" hidden="false" customHeight="true" outlineLevel="0" collapsed="false">
      <c r="A229" s="14" t="s">
        <v>250</v>
      </c>
      <c r="B229" s="14" t="n">
        <v>816.092105263158</v>
      </c>
      <c r="C229" s="14" t="n">
        <f aca="false">IF(ISBLANK(B229),"",IF(ISBLANK(B228),"",LN(B229/B228)*100))</f>
        <v>7.00745644662554</v>
      </c>
      <c r="D229" s="14" t="n">
        <f aca="false">IF(COUNTBLANK(C227:C229)&gt;0,"",STDEV(C227:C229))</f>
        <v>6.72251496420073</v>
      </c>
      <c r="E229" s="14" t="n">
        <f aca="false">IF(COUNTBLANK(C218:C229)&gt;0,"",STDEV(C218:C229))</f>
        <v>6.30281114268787</v>
      </c>
    </row>
    <row r="230" customFormat="false" ht="15" hidden="false" customHeight="true" outlineLevel="0" collapsed="false">
      <c r="A230" s="14" t="s">
        <v>251</v>
      </c>
      <c r="B230" s="14" t="n">
        <v>858.690476190476</v>
      </c>
      <c r="C230" s="14" t="n">
        <f aca="false">IF(ISBLANK(B230),"",IF(ISBLANK(B229),"",LN(B230/B229)*100))</f>
        <v>5.08813039630916</v>
      </c>
      <c r="D230" s="14" t="n">
        <f aca="false">IF(COUNTBLANK(C228:C230)&gt;0,"",STDEV(C228:C230))</f>
        <v>6.93015767606347</v>
      </c>
      <c r="E230" s="14" t="n">
        <f aca="false">IF(COUNTBLANK(C219:C230)&gt;0,"",STDEV(C219:C230))</f>
        <v>5.70225398493801</v>
      </c>
    </row>
    <row r="231" customFormat="false" ht="15" hidden="false" customHeight="true" outlineLevel="0" collapsed="false">
      <c r="A231" s="14" t="s">
        <v>252</v>
      </c>
      <c r="B231" s="14" t="n">
        <v>943.1625</v>
      </c>
      <c r="C231" s="14" t="n">
        <f aca="false">IF(ISBLANK(B231),"",IF(ISBLANK(B230),"",LN(B231/B230)*100))</f>
        <v>9.38300635086556</v>
      </c>
      <c r="D231" s="14" t="n">
        <f aca="false">IF(COUNTBLANK(C229:C231)&gt;0,"",STDEV(C229:C231))</f>
        <v>2.15147272428231</v>
      </c>
      <c r="E231" s="14" t="n">
        <f aca="false">IF(COUNTBLANK(C220:C231)&gt;0,"",STDEV(C220:C231))</f>
        <v>6.27625672433845</v>
      </c>
    </row>
    <row r="232" customFormat="false" ht="15" hidden="false" customHeight="true" outlineLevel="0" collapsed="false">
      <c r="A232" s="14" t="s">
        <v>253</v>
      </c>
      <c r="B232" s="14" t="n">
        <v>924.272727272727</v>
      </c>
      <c r="C232" s="14" t="n">
        <f aca="false">IF(ISBLANK(B232),"",IF(ISBLANK(B231),"",LN(B232/B231)*100))</f>
        <v>-2.023140268627</v>
      </c>
      <c r="D232" s="14" t="n">
        <f aca="false">IF(COUNTBLANK(C230:C232)&gt;0,"",STDEV(C230:C232))</f>
        <v>5.76073361416712</v>
      </c>
      <c r="E232" s="14" t="n">
        <f aca="false">IF(COUNTBLANK(C221:C232)&gt;0,"",STDEV(C221:C232))</f>
        <v>6.12130035970631</v>
      </c>
    </row>
    <row r="233" customFormat="false" ht="15" hidden="false" customHeight="true" outlineLevel="0" collapsed="false">
      <c r="A233" s="14" t="s">
        <v>254</v>
      </c>
      <c r="B233" s="14" t="n">
        <v>890.2</v>
      </c>
      <c r="C233" s="14" t="n">
        <f aca="false">IF(ISBLANK(B233),"",IF(ISBLANK(B232),"",LN(B233/B232)*100))</f>
        <v>-3.75610308950363</v>
      </c>
      <c r="D233" s="14" t="n">
        <f aca="false">IF(COUNTBLANK(C231:C233)&gt;0,"",STDEV(C231:C233))</f>
        <v>7.13838844709715</v>
      </c>
      <c r="E233" s="14" t="n">
        <f aca="false">IF(COUNTBLANK(C222:C233)&gt;0,"",STDEV(C222:C233))</f>
        <v>5.94342494100889</v>
      </c>
    </row>
    <row r="234" customFormat="false" ht="15" hidden="false" customHeight="true" outlineLevel="0" collapsed="false">
      <c r="A234" s="14" t="s">
        <v>255</v>
      </c>
      <c r="B234" s="14" t="n">
        <v>928.644736842105</v>
      </c>
      <c r="C234" s="14" t="n">
        <f aca="false">IF(ISBLANK(B234),"",IF(ISBLANK(B233),"",LN(B234/B233)*100))</f>
        <v>4.22800944989025</v>
      </c>
      <c r="D234" s="14" t="n">
        <f aca="false">IF(COUNTBLANK(C232:C234)&gt;0,"",STDEV(C232:C234))</f>
        <v>4.19972391917146</v>
      </c>
      <c r="E234" s="14" t="n">
        <f aca="false">IF(COUNTBLANK(C223:C234)&gt;0,"",STDEV(C223:C234))</f>
        <v>6.02829804197411</v>
      </c>
    </row>
    <row r="235" customFormat="false" ht="15" hidden="false" customHeight="true" outlineLevel="0" collapsed="false">
      <c r="A235" s="14" t="s">
        <v>256</v>
      </c>
      <c r="B235" s="14" t="n">
        <v>945.670454545455</v>
      </c>
      <c r="C235" s="14" t="n">
        <f aca="false">IF(ISBLANK(B235),"",IF(ISBLANK(B234),"",LN(B235/B234)*100))</f>
        <v>1.81679005636476</v>
      </c>
      <c r="D235" s="14" t="n">
        <f aca="false">IF(COUNTBLANK(C233:C235)&gt;0,"",STDEV(C233:C235))</f>
        <v>4.09506145702127</v>
      </c>
      <c r="E235" s="14" t="n">
        <f aca="false">IF(COUNTBLANK(C224:C235)&gt;0,"",STDEV(C224:C235))</f>
        <v>6.04170449957324</v>
      </c>
    </row>
    <row r="236" customFormat="false" ht="15" hidden="false" customHeight="true" outlineLevel="0" collapsed="false">
      <c r="A236" s="14" t="s">
        <v>257</v>
      </c>
      <c r="B236" s="14" t="n">
        <v>934.228260869565</v>
      </c>
      <c r="C236" s="14" t="n">
        <f aca="false">IF(ISBLANK(B236),"",IF(ISBLANK(B235),"",LN(B236/B235)*100))</f>
        <v>-1.2173352621353</v>
      </c>
      <c r="D236" s="14" t="n">
        <f aca="false">IF(COUNTBLANK(C234:C236)&gt;0,"",STDEV(C234:C236))</f>
        <v>2.72860386904063</v>
      </c>
      <c r="E236" s="14" t="n">
        <f aca="false">IF(COUNTBLANK(C225:C236)&gt;0,"",STDEV(C225:C236))</f>
        <v>5.84545652697407</v>
      </c>
    </row>
    <row r="237" customFormat="false" ht="15" hidden="false" customHeight="true" outlineLevel="0" collapsed="false">
      <c r="A237" s="14" t="s">
        <v>258</v>
      </c>
      <c r="B237" s="14" t="n">
        <v>949.375</v>
      </c>
      <c r="C237" s="14" t="n">
        <f aca="false">IF(ISBLANK(B237),"",IF(ISBLANK(B236),"",LN(B237/B236)*100))</f>
        <v>1.60830743270863</v>
      </c>
      <c r="D237" s="14" t="n">
        <f aca="false">IF(COUNTBLANK(C235:C237)&gt;0,"",STDEV(C235:C237))</f>
        <v>1.6947781610806</v>
      </c>
      <c r="E237" s="14" t="n">
        <f aca="false">IF(COUNTBLANK(C226:C237)&gt;0,"",STDEV(C226:C237))</f>
        <v>4.64335164024531</v>
      </c>
    </row>
    <row r="238" customFormat="false" ht="15" hidden="false" customHeight="true" outlineLevel="0" collapsed="false">
      <c r="A238" s="14" t="s">
        <v>259</v>
      </c>
      <c r="B238" s="14" t="n">
        <v>996.590909090909</v>
      </c>
      <c r="C238" s="14" t="n">
        <f aca="false">IF(ISBLANK(B238),"",IF(ISBLANK(B237),"",LN(B238/B237)*100))</f>
        <v>4.85364905320306</v>
      </c>
      <c r="D238" s="14" t="n">
        <f aca="false">IF(COUNTBLANK(C236:C238)&gt;0,"",STDEV(C236:C238))</f>
        <v>3.03790907889299</v>
      </c>
      <c r="E238" s="14" t="n">
        <f aca="false">IF(COUNTBLANK(C227:C238)&gt;0,"",STDEV(C227:C238))</f>
        <v>4.71318324804133</v>
      </c>
    </row>
    <row r="239" customFormat="false" ht="15" hidden="false" customHeight="true" outlineLevel="0" collapsed="false">
      <c r="A239" s="14" t="s">
        <v>260</v>
      </c>
      <c r="B239" s="14" t="n">
        <v>1043.15909090909</v>
      </c>
      <c r="C239" s="14" t="n">
        <f aca="false">IF(ISBLANK(B239),"",IF(ISBLANK(B238),"",LN(B239/B238)*100))</f>
        <v>4.56686115186029</v>
      </c>
      <c r="D239" s="14" t="n">
        <f aca="false">IF(COUNTBLANK(C237:C239)&gt;0,"",STDEV(C237:C239))</f>
        <v>1.79664175816884</v>
      </c>
      <c r="E239" s="14" t="n">
        <f aca="false">IF(COUNTBLANK(C228:C239)&gt;0,"",STDEV(C228:C239))</f>
        <v>4.57157393362893</v>
      </c>
    </row>
    <row r="240" customFormat="false" ht="15" hidden="false" customHeight="true" outlineLevel="0" collapsed="false">
      <c r="A240" s="14" t="s">
        <v>261</v>
      </c>
      <c r="B240" s="14" t="n">
        <v>1127.03571428571</v>
      </c>
      <c r="C240" s="14" t="n">
        <f aca="false">IF(ISBLANK(B240),"",IF(ISBLANK(B239),"",LN(B240/B239)*100))</f>
        <v>7.73372278315053</v>
      </c>
      <c r="D240" s="14" t="n">
        <f aca="false">IF(COUNTBLANK(C238:C240)&gt;0,"",STDEV(C238:C240))</f>
        <v>1.75147959270766</v>
      </c>
      <c r="E240" s="14" t="n">
        <f aca="false">IF(COUNTBLANK(C229:C240)&gt;0,"",STDEV(C229:C240))</f>
        <v>4.06836907749634</v>
      </c>
    </row>
    <row r="241" customFormat="false" ht="15" hidden="false" customHeight="true" outlineLevel="0" collapsed="false">
      <c r="A241" s="14" t="s">
        <v>262</v>
      </c>
      <c r="B241" s="14" t="n">
        <v>1134.72368421053</v>
      </c>
      <c r="C241" s="14" t="n">
        <f aca="false">IF(ISBLANK(B241),"",IF(ISBLANK(B240),"",LN(B241/B240)*100))</f>
        <v>0.679824700978153</v>
      </c>
      <c r="D241" s="14" t="n">
        <f aca="false">IF(COUNTBLANK(C239:C241)&gt;0,"",STDEV(C239:C241))</f>
        <v>3.53307097569758</v>
      </c>
      <c r="E241" s="14" t="n">
        <f aca="false">IF(COUNTBLANK(C230:C241)&gt;0,"",STDEV(C230:C241))</f>
        <v>3.94880645265459</v>
      </c>
    </row>
    <row r="242" customFormat="false" ht="15" hidden="false" customHeight="true" outlineLevel="0" collapsed="false">
      <c r="A242" s="14" t="s">
        <v>263</v>
      </c>
      <c r="B242" s="14" t="n">
        <v>1117.9625</v>
      </c>
      <c r="C242" s="14" t="n">
        <f aca="false">IF(ISBLANK(B242),"",IF(ISBLANK(B241),"",LN(B242/B241)*100))</f>
        <v>-1.48813391288159</v>
      </c>
      <c r="D242" s="14" t="n">
        <f aca="false">IF(COUNTBLANK(C240:C242)&gt;0,"",STDEV(C240:C242))</f>
        <v>4.82182820838798</v>
      </c>
      <c r="E242" s="14" t="n">
        <f aca="false">IF(COUNTBLANK(C231:C242)&gt;0,"",STDEV(C231:C242))</f>
        <v>4.04938637869817</v>
      </c>
    </row>
    <row r="243" customFormat="false" ht="15" hidden="false" customHeight="true" outlineLevel="0" collapsed="false">
      <c r="A243" s="14" t="s">
        <v>264</v>
      </c>
      <c r="B243" s="14" t="n">
        <v>1095.4125</v>
      </c>
      <c r="C243" s="14" t="n">
        <f aca="false">IF(ISBLANK(B243),"",IF(ISBLANK(B242),"",LN(B243/B242)*100))</f>
        <v>-2.03768274720479</v>
      </c>
      <c r="D243" s="14" t="n">
        <f aca="false">IF(COUNTBLANK(C241:C243)&gt;0,"",STDEV(C241:C243))</f>
        <v>1.43683072556955</v>
      </c>
      <c r="E243" s="14" t="n">
        <f aca="false">IF(COUNTBLANK(C232:C243)&gt;0,"",STDEV(C232:C243))</f>
        <v>3.51410380741558</v>
      </c>
    </row>
    <row r="244" customFormat="false" ht="15" hidden="false" customHeight="true" outlineLevel="0" collapsed="false">
      <c r="A244" s="14" t="s">
        <v>265</v>
      </c>
      <c r="B244" s="14" t="n">
        <v>1113.33695652174</v>
      </c>
      <c r="C244" s="14" t="n">
        <f aca="false">IF(ISBLANK(B244),"",IF(ISBLANK(B243),"",LN(B244/B243)*100))</f>
        <v>1.62307680170913</v>
      </c>
      <c r="D244" s="14" t="n">
        <f aca="false">IF(COUNTBLANK(C242:C244)&gt;0,"",STDEV(C242:C244))</f>
        <v>1.97411568838871</v>
      </c>
      <c r="E244" s="14" t="n">
        <f aca="false">IF(COUNTBLANK(C233:C244)&gt;0,"",STDEV(C233:C244))</f>
        <v>3.35988936327577</v>
      </c>
    </row>
    <row r="245" customFormat="false" ht="15" hidden="false" customHeight="true" outlineLevel="0" collapsed="false">
      <c r="A245" s="14" t="s">
        <v>266</v>
      </c>
      <c r="B245" s="14" t="n">
        <v>1148.6875</v>
      </c>
      <c r="C245" s="14" t="n">
        <f aca="false">IF(ISBLANK(B245),"",IF(ISBLANK(B244),"",LN(B245/B244)*100))</f>
        <v>3.12582135675076</v>
      </c>
      <c r="D245" s="14" t="n">
        <f aca="false">IF(COUNTBLANK(C243:C245)&gt;0,"",STDEV(C243:C245))</f>
        <v>2.65584814777494</v>
      </c>
      <c r="E245" s="14" t="n">
        <f aca="false">IF(COUNTBLANK(C234:C245)&gt;0,"",STDEV(C234:C245))</f>
        <v>2.93174727914246</v>
      </c>
    </row>
    <row r="246" customFormat="false" ht="15" hidden="false" customHeight="true" outlineLevel="0" collapsed="false">
      <c r="A246" s="14" t="s">
        <v>267</v>
      </c>
      <c r="B246" s="14" t="n">
        <v>1205.43421052632</v>
      </c>
      <c r="C246" s="14" t="n">
        <f aca="false">IF(ISBLANK(B246),"",IF(ISBLANK(B245),"",LN(B246/B245)*100))</f>
        <v>4.82198564776923</v>
      </c>
      <c r="D246" s="14" t="n">
        <f aca="false">IF(COUNTBLANK(C244:C246)&gt;0,"",STDEV(C244:C246))</f>
        <v>1.60042870846298</v>
      </c>
      <c r="E246" s="14" t="n">
        <f aca="false">IF(COUNTBLANK(C235:C246)&gt;0,"",STDEV(C235:C246))</f>
        <v>2.97518444328112</v>
      </c>
    </row>
    <row r="247" customFormat="false" ht="15" hidden="false" customHeight="true" outlineLevel="0" collapsed="false">
      <c r="A247" s="14" t="s">
        <v>268</v>
      </c>
      <c r="B247" s="14" t="n">
        <v>1232.92045454546</v>
      </c>
      <c r="C247" s="14" t="n">
        <f aca="false">IF(ISBLANK(B247),"",IF(ISBLANK(B246),"",LN(B247/B246)*100))</f>
        <v>2.25458656292168</v>
      </c>
      <c r="D247" s="14" t="n">
        <f aca="false">IF(COUNTBLANK(C245:C247)&gt;0,"",STDEV(C245:C247))</f>
        <v>1.3056008469271</v>
      </c>
      <c r="E247" s="14" t="n">
        <f aca="false">IF(COUNTBLANK(C236:C247)&gt;0,"",STDEV(C236:C247))</f>
        <v>2.97309070123594</v>
      </c>
    </row>
    <row r="248" customFormat="false" ht="15" hidden="false" customHeight="true" outlineLevel="0" collapsed="false">
      <c r="A248" s="14" t="s">
        <v>269</v>
      </c>
      <c r="B248" s="14" t="n">
        <v>1192.96590909091</v>
      </c>
      <c r="C248" s="14" t="n">
        <f aca="false">IF(ISBLANK(B248),"",IF(ISBLANK(B247),"",LN(B248/B247)*100))</f>
        <v>-3.29431414259571</v>
      </c>
      <c r="D248" s="14" t="n">
        <f aca="false">IF(COUNTBLANK(C246:C248)&gt;0,"",STDEV(C246:C248))</f>
        <v>4.14841655308877</v>
      </c>
      <c r="E248" s="14" t="n">
        <f aca="false">IF(COUNTBLANK(C237:C248)&gt;0,"",STDEV(C237:C248))</f>
        <v>3.2393171724815</v>
      </c>
    </row>
    <row r="249" customFormat="false" ht="15" hidden="false" customHeight="true" outlineLevel="0" collapsed="false">
      <c r="A249" s="14" t="s">
        <v>270</v>
      </c>
      <c r="B249" s="14" t="n">
        <v>1215.80952380952</v>
      </c>
      <c r="C249" s="14" t="n">
        <f aca="false">IF(ISBLANK(B249),"",IF(ISBLANK(B248),"",LN(B249/B248)*100))</f>
        <v>1.8967562745877</v>
      </c>
      <c r="D249" s="14" t="n">
        <f aca="false">IF(COUNTBLANK(C247:C249)&gt;0,"",STDEV(C247:C249))</f>
        <v>3.10552071938286</v>
      </c>
      <c r="E249" s="14" t="n">
        <f aca="false">IF(COUNTBLANK(C238:C249)&gt;0,"",STDEV(C238:C249))</f>
        <v>3.23691368864567</v>
      </c>
    </row>
    <row r="250" customFormat="false" ht="15" hidden="false" customHeight="true" outlineLevel="0" collapsed="false">
      <c r="A250" s="14" t="s">
        <v>271</v>
      </c>
      <c r="B250" s="14" t="n">
        <v>1270.97727272727</v>
      </c>
      <c r="C250" s="14" t="n">
        <f aca="false">IF(ISBLANK(B250),"",IF(ISBLANK(B249),"",LN(B250/B249)*100))</f>
        <v>4.43759809665701</v>
      </c>
      <c r="D250" s="14" t="n">
        <f aca="false">IF(COUNTBLANK(C248:C250)&gt;0,"",STDEV(C248:C250))</f>
        <v>3.94092958823252</v>
      </c>
      <c r="E250" s="14" t="n">
        <f aca="false">IF(COUNTBLANK(C239:C250)&gt;0,"",STDEV(C239:C250))</f>
        <v>3.20637015714134</v>
      </c>
    </row>
    <row r="251" customFormat="false" ht="15" hidden="false" customHeight="true" outlineLevel="0" collapsed="false">
      <c r="A251" s="14" t="s">
        <v>272</v>
      </c>
      <c r="B251" s="14" t="n">
        <v>1342.02380952381</v>
      </c>
      <c r="C251" s="14" t="n">
        <f aca="false">IF(ISBLANK(B251),"",IF(ISBLANK(B250),"",LN(B251/B250)*100))</f>
        <v>5.43926695761718</v>
      </c>
      <c r="D251" s="14" t="n">
        <f aca="false">IF(COUNTBLANK(C249:C251)&gt;0,"",STDEV(C249:C251))</f>
        <v>1.82613433291803</v>
      </c>
      <c r="E251" s="14" t="n">
        <f aca="false">IF(COUNTBLANK(C240:C251)&gt;0,"",STDEV(C240:C251))</f>
        <v>3.27828556795087</v>
      </c>
    </row>
    <row r="252" customFormat="false" ht="15" hidden="false" customHeight="true" outlineLevel="0" collapsed="false">
      <c r="A252" s="14" t="s">
        <v>273</v>
      </c>
      <c r="B252" s="14" t="n">
        <v>1369.88636363636</v>
      </c>
      <c r="C252" s="14" t="n">
        <f aca="false">IF(ISBLANK(B252),"",IF(ISBLANK(B251),"",LN(B252/B251)*100))</f>
        <v>2.05490099358443</v>
      </c>
      <c r="D252" s="14" t="n">
        <f aca="false">IF(COUNTBLANK(C250:C252)&gt;0,"",STDEV(C250:C252))</f>
        <v>1.73851080767953</v>
      </c>
      <c r="E252" s="14" t="n">
        <f aca="false">IF(COUNTBLANK(C241:C252)&gt;0,"",STDEV(C241:C252))</f>
        <v>2.75989808384915</v>
      </c>
    </row>
    <row r="253" customFormat="false" ht="15" hidden="false" customHeight="true" outlineLevel="0" collapsed="false">
      <c r="A253" s="14" t="s">
        <v>274</v>
      </c>
      <c r="B253" s="14" t="n">
        <v>1390.55263157895</v>
      </c>
      <c r="C253" s="14" t="n">
        <f aca="false">IF(ISBLANK(B253),"",IF(ISBLANK(B252),"",LN(B253/B252)*100))</f>
        <v>1.49734546564682</v>
      </c>
      <c r="D253" s="14" t="n">
        <f aca="false">IF(COUNTBLANK(C251:C253)&gt;0,"",STDEV(C251:C253))</f>
        <v>2.13321143639096</v>
      </c>
      <c r="E253" s="14" t="n">
        <f aca="false">IF(COUNTBLANK(C242:C253)&gt;0,"",STDEV(C242:C253))</f>
        <v>2.74446204759983</v>
      </c>
    </row>
    <row r="254" customFormat="false" ht="15" hidden="false" customHeight="true" outlineLevel="0" collapsed="false">
      <c r="A254" s="14" t="s">
        <v>275</v>
      </c>
      <c r="B254" s="14" t="n">
        <v>1356.4</v>
      </c>
      <c r="C254" s="14" t="n">
        <f aca="false">IF(ISBLANK(B254),"",IF(ISBLANK(B253),"",LN(B254/B253)*100))</f>
        <v>-2.48671135360927</v>
      </c>
      <c r="D254" s="14" t="n">
        <f aca="false">IF(COUNTBLANK(C252:C254)&gt;0,"",STDEV(C252:C254))</f>
        <v>2.47688714646621</v>
      </c>
      <c r="E254" s="14" t="n">
        <f aca="false">IF(COUNTBLANK(C243:C254)&gt;0,"",STDEV(C243:C254))</f>
        <v>2.86233534358432</v>
      </c>
    </row>
    <row r="255" customFormat="false" ht="15" hidden="false" customHeight="true" outlineLevel="0" collapsed="false">
      <c r="A255" s="14" t="s">
        <v>276</v>
      </c>
      <c r="B255" s="14" t="n">
        <v>1372.725</v>
      </c>
      <c r="C255" s="14" t="n">
        <f aca="false">IF(ISBLANK(B255),"",IF(ISBLANK(B254),"",LN(B255/B254)*100))</f>
        <v>1.19636841226517</v>
      </c>
      <c r="D255" s="14" t="n">
        <f aca="false">IF(COUNTBLANK(C253:C255)&gt;0,"",STDEV(C253:C255))</f>
        <v>2.21842182972179</v>
      </c>
      <c r="E255" s="14" t="n">
        <f aca="false">IF(COUNTBLANK(C244:C255)&gt;0,"",STDEV(C244:C255))</f>
        <v>2.63041136205916</v>
      </c>
    </row>
    <row r="256" customFormat="false" ht="15" hidden="false" customHeight="true" outlineLevel="0" collapsed="false">
      <c r="A256" s="14" t="s">
        <v>277</v>
      </c>
      <c r="B256" s="14" t="n">
        <v>1424.01086956522</v>
      </c>
      <c r="C256" s="14" t="n">
        <f aca="false">IF(ISBLANK(B256),"",IF(ISBLANK(B255),"",LN(B256/B255)*100))</f>
        <v>3.66796306902968</v>
      </c>
      <c r="D256" s="14" t="n">
        <f aca="false">IF(COUNTBLANK(C254:C256)&gt;0,"",STDEV(C254:C256))</f>
        <v>3.09714583549184</v>
      </c>
      <c r="E256" s="14" t="n">
        <f aca="false">IF(COUNTBLANK(C245:C256)&gt;0,"",STDEV(C245:C256))</f>
        <v>2.67802106974838</v>
      </c>
    </row>
    <row r="257" customFormat="false" ht="15" hidden="false" customHeight="true" outlineLevel="0" collapsed="false">
      <c r="A257" s="14" t="s">
        <v>278</v>
      </c>
      <c r="B257" s="14" t="n">
        <v>1473.80555555556</v>
      </c>
      <c r="C257" s="14" t="n">
        <f aca="false">IF(ISBLANK(B257),"",IF(ISBLANK(B256),"",LN(B257/B256)*100))</f>
        <v>3.43704228064563</v>
      </c>
      <c r="D257" s="14" t="n">
        <f aca="false">IF(COUNTBLANK(C255:C257)&gt;0,"",STDEV(C255:C257))</f>
        <v>1.36520596384439</v>
      </c>
      <c r="E257" s="14" t="n">
        <f aca="false">IF(COUNTBLANK(C246:C257)&gt;0,"",STDEV(C246:C257))</f>
        <v>2.69085299940498</v>
      </c>
    </row>
    <row r="258" customFormat="false" ht="15" hidden="false" customHeight="true" outlineLevel="0" collapsed="false">
      <c r="A258" s="14" t="s">
        <v>279</v>
      </c>
      <c r="B258" s="14" t="n">
        <v>1510.4375</v>
      </c>
      <c r="C258" s="14" t="n">
        <f aca="false">IF(ISBLANK(B258),"",IF(ISBLANK(B257),"",LN(B258/B257)*100))</f>
        <v>2.45514750723109</v>
      </c>
      <c r="D258" s="14" t="n">
        <f aca="false">IF(COUNTBLANK(C256:C258)&gt;0,"",STDEV(C256:C258))</f>
        <v>0.643993186235627</v>
      </c>
      <c r="E258" s="14" t="n">
        <f aca="false">IF(COUNTBLANK(C247:C258)&gt;0,"",STDEV(C247:C258))</f>
        <v>2.55464519763253</v>
      </c>
    </row>
    <row r="259" customFormat="false" ht="15" hidden="false" customHeight="true" outlineLevel="0" collapsed="false">
      <c r="A259" s="14" t="s">
        <v>280</v>
      </c>
      <c r="B259" s="14" t="n">
        <v>1528.65909090909</v>
      </c>
      <c r="C259" s="14" t="n">
        <f aca="false">IF(ISBLANK(B259),"",IF(ISBLANK(B258),"",LN(B259/B258)*100))</f>
        <v>1.19915959999452</v>
      </c>
      <c r="D259" s="14" t="n">
        <f aca="false">IF(COUNTBLANK(C257:C259)&gt;0,"",STDEV(C257:C259))</f>
        <v>1.12173540117842</v>
      </c>
      <c r="E259" s="14" t="n">
        <f aca="false">IF(COUNTBLANK(C248:C259)&gt;0,"",STDEV(C248:C259))</f>
        <v>2.55872876704934</v>
      </c>
    </row>
    <row r="260" customFormat="false" ht="15" hidden="false" customHeight="true" outlineLevel="0" collapsed="false">
      <c r="A260" s="14" t="s">
        <v>281</v>
      </c>
      <c r="B260" s="14" t="n">
        <v>1572.80952380952</v>
      </c>
      <c r="C260" s="14" t="n">
        <f aca="false">IF(ISBLANK(B260),"",IF(ISBLANK(B259),"",LN(B260/B259)*100))</f>
        <v>2.8472585752838</v>
      </c>
      <c r="D260" s="14" t="n">
        <f aca="false">IF(COUNTBLANK(C258:C260)&gt;0,"",STDEV(C258:C260))</f>
        <v>0.860957504290379</v>
      </c>
      <c r="E260" s="14" t="n">
        <f aca="false">IF(COUNTBLANK(C249:C260)&gt;0,"",STDEV(C249:C260))</f>
        <v>2.00275530576746</v>
      </c>
    </row>
    <row r="261" customFormat="false" ht="15" hidden="false" customHeight="true" outlineLevel="0" collapsed="false">
      <c r="A261" s="14" t="s">
        <v>282</v>
      </c>
      <c r="B261" s="14" t="n">
        <v>1755.80681818182</v>
      </c>
      <c r="C261" s="14" t="n">
        <f aca="false">IF(ISBLANK(B261),"",IF(ISBLANK(B260),"",LN(B261/B260)*100))</f>
        <v>11.0064951022337</v>
      </c>
      <c r="D261" s="14" t="n">
        <f aca="false">IF(COUNTBLANK(C259:C261)&gt;0,"",STDEV(C259:C261))</f>
        <v>5.25155850817234</v>
      </c>
      <c r="E261" s="14" t="n">
        <f aca="false">IF(COUNTBLANK(C250:C261)&gt;0,"",STDEV(C250:C261))</f>
        <v>3.20201985811774</v>
      </c>
    </row>
    <row r="262" customFormat="false" ht="15" hidden="false" customHeight="true" outlineLevel="0" collapsed="false">
      <c r="A262" s="14" t="s">
        <v>283</v>
      </c>
      <c r="B262" s="14" t="n">
        <v>1771.85227272727</v>
      </c>
      <c r="C262" s="14" t="n">
        <f aca="false">IF(ISBLANK(B262),"",IF(ISBLANK(B261),"",LN(B262/B261)*100))</f>
        <v>0.909700443603982</v>
      </c>
      <c r="D262" s="14" t="n">
        <f aca="false">IF(COUNTBLANK(C260:C262)&gt;0,"",STDEV(C260:C262))</f>
        <v>5.35836627146256</v>
      </c>
      <c r="E262" s="14" t="n">
        <f aca="false">IF(COUNTBLANK(C251:C262)&gt;0,"",STDEV(C251:C262))</f>
        <v>3.22616858319977</v>
      </c>
    </row>
    <row r="263" customFormat="false" ht="15" hidden="false" customHeight="true" outlineLevel="0" collapsed="false">
      <c r="A263" s="14" t="s">
        <v>284</v>
      </c>
      <c r="B263" s="14" t="n">
        <v>1665.21428571429</v>
      </c>
      <c r="C263" s="14" t="n">
        <f aca="false">IF(ISBLANK(B263),"",IF(ISBLANK(B262),"",LN(B263/B262)*100))</f>
        <v>-6.20716658922635</v>
      </c>
      <c r="D263" s="14" t="n">
        <f aca="false">IF(COUNTBLANK(C261:C263)&gt;0,"",STDEV(C261:C263))</f>
        <v>8.64971297760374</v>
      </c>
      <c r="E263" s="14" t="n">
        <f aca="false">IF(COUNTBLANK(C252:C263)&gt;0,"",STDEV(C252:C263))</f>
        <v>4.00703779741807</v>
      </c>
    </row>
    <row r="264" customFormat="false" ht="15" hidden="false" customHeight="true" outlineLevel="0" collapsed="false">
      <c r="A264" s="14" t="s">
        <v>285</v>
      </c>
      <c r="B264" s="14" t="n">
        <v>1738.97727272727</v>
      </c>
      <c r="C264" s="14" t="n">
        <f aca="false">IF(ISBLANK(B264),"",IF(ISBLANK(B263),"",LN(B264/B263)*100))</f>
        <v>4.33433508447779</v>
      </c>
      <c r="D264" s="14" t="n">
        <f aca="false">IF(COUNTBLANK(C262:C264)&gt;0,"",STDEV(C262:C264))</f>
        <v>5.3774401642908</v>
      </c>
      <c r="E264" s="14" t="n">
        <f aca="false">IF(COUNTBLANK(C253:C264)&gt;0,"",STDEV(C253:C264))</f>
        <v>4.07378885936552</v>
      </c>
    </row>
    <row r="265" customFormat="false" ht="15" hidden="false" customHeight="true" outlineLevel="0" collapsed="false">
      <c r="A265" s="14" t="s">
        <v>286</v>
      </c>
      <c r="B265" s="14" t="n">
        <v>1652.30555555556</v>
      </c>
      <c r="C265" s="14" t="n">
        <f aca="false">IF(ISBLANK(B265),"",IF(ISBLANK(B264),"",LN(B265/B264)*100))</f>
        <v>-5.11255471390771</v>
      </c>
      <c r="D265" s="14" t="n">
        <f aca="false">IF(COUNTBLANK(C263:C265)&gt;0,"",STDEV(C263:C265))</f>
        <v>5.79604979788154</v>
      </c>
      <c r="E265" s="14" t="n">
        <f aca="false">IF(COUNTBLANK(C254:C265)&gt;0,"",STDEV(C254:C265))</f>
        <v>4.56359688971325</v>
      </c>
    </row>
    <row r="266" customFormat="false" ht="15" hidden="false" customHeight="true" outlineLevel="0" collapsed="false">
      <c r="A266" s="14" t="s">
        <v>287</v>
      </c>
      <c r="B266" s="14" t="n">
        <v>1656.11904761905</v>
      </c>
      <c r="C266" s="14" t="n">
        <f aca="false">IF(ISBLANK(B266),"",IF(ISBLANK(B265),"",LN(B266/B265)*100))</f>
        <v>0.230532305238895</v>
      </c>
      <c r="D266" s="14" t="n">
        <f aca="false">IF(COUNTBLANK(C264:C266)&gt;0,"",STDEV(C264:C266))</f>
        <v>4.73697341854308</v>
      </c>
      <c r="E266" s="14" t="n">
        <f aca="false">IF(COUNTBLANK(C255:C266)&gt;0,"",STDEV(C255:C266))</f>
        <v>4.4162301468484</v>
      </c>
    </row>
    <row r="267" customFormat="false" ht="15" hidden="false" customHeight="true" outlineLevel="0" collapsed="false">
      <c r="A267" s="14" t="s">
        <v>288</v>
      </c>
      <c r="B267" s="14" t="n">
        <v>1742.61904761905</v>
      </c>
      <c r="C267" s="14" t="n">
        <f aca="false">IF(ISBLANK(B267),"",IF(ISBLANK(B266),"",LN(B267/B266)*100))</f>
        <v>5.09122392917201</v>
      </c>
      <c r="D267" s="14" t="n">
        <f aca="false">IF(COUNTBLANK(C265:C267)&gt;0,"",STDEV(C265:C267))</f>
        <v>5.10378945089033</v>
      </c>
      <c r="E267" s="14" t="n">
        <f aca="false">IF(COUNTBLANK(C256:C267)&gt;0,"",STDEV(C256:C267))</f>
        <v>4.52065377600926</v>
      </c>
    </row>
    <row r="268" customFormat="false" ht="15" hidden="false" customHeight="true" outlineLevel="0" collapsed="false">
      <c r="A268" s="14" t="s">
        <v>289</v>
      </c>
      <c r="B268" s="14" t="n">
        <v>1673.77272727273</v>
      </c>
      <c r="C268" s="14" t="n">
        <f aca="false">IF(ISBLANK(B268),"",IF(ISBLANK(B267),"",LN(B268/B267)*100))</f>
        <v>-4.03089847443557</v>
      </c>
      <c r="D268" s="14" t="n">
        <f aca="false">IF(COUNTBLANK(C266:C268)&gt;0,"",STDEV(C266:C268))</f>
        <v>4.56434063327388</v>
      </c>
      <c r="E268" s="14" t="n">
        <f aca="false">IF(COUNTBLANK(C257:C268)&gt;0,"",STDEV(C257:C268))</f>
        <v>4.79837975872495</v>
      </c>
    </row>
    <row r="269" customFormat="false" ht="15" hidden="false" customHeight="true" outlineLevel="0" collapsed="false">
      <c r="A269" s="14" t="s">
        <v>290</v>
      </c>
      <c r="B269" s="14" t="n">
        <v>1650.06578947368</v>
      </c>
      <c r="C269" s="14" t="n">
        <f aca="false">IF(ISBLANK(B269),"",IF(ISBLANK(B268),"",LN(B269/B268)*100))</f>
        <v>-1.42650370595162</v>
      </c>
      <c r="D269" s="14" t="n">
        <f aca="false">IF(COUNTBLANK(C267:C269)&gt;0,"",STDEV(C267:C269))</f>
        <v>4.698878638962</v>
      </c>
      <c r="E269" s="14" t="n">
        <f aca="false">IF(COUNTBLANK(C258:C269)&gt;0,"",STDEV(C258:C269))</f>
        <v>4.81114978473519</v>
      </c>
    </row>
    <row r="270" customFormat="false" ht="15" hidden="false" customHeight="true" outlineLevel="0" collapsed="false">
      <c r="A270" s="14" t="s">
        <v>291</v>
      </c>
      <c r="B270" s="14" t="n">
        <v>1585.50454545455</v>
      </c>
      <c r="C270" s="14" t="n">
        <f aca="false">IF(ISBLANK(B270),"",IF(ISBLANK(B269),"",LN(B270/B269)*100))</f>
        <v>-3.99124776434545</v>
      </c>
      <c r="D270" s="14" t="n">
        <f aca="false">IF(COUNTBLANK(C268:C270)&gt;0,"",STDEV(C268:C270))</f>
        <v>1.49233354035347</v>
      </c>
      <c r="E270" s="14" t="n">
        <f aca="false">IF(COUNTBLANK(C259:C270)&gt;0,"",STDEV(C259:C270))</f>
        <v>4.98356653959712</v>
      </c>
    </row>
    <row r="271" customFormat="false" ht="15" hidden="false" customHeight="true" outlineLevel="0" collapsed="false">
      <c r="A271" s="14" t="s">
        <v>292</v>
      </c>
      <c r="B271" s="14" t="n">
        <v>1596.69736842105</v>
      </c>
      <c r="C271" s="14" t="n">
        <f aca="false">IF(ISBLANK(B271),"",IF(ISBLANK(B270),"",LN(B271/B270)*100))</f>
        <v>0.703466934359349</v>
      </c>
      <c r="D271" s="14" t="n">
        <f aca="false">IF(COUNTBLANK(C269:C271)&gt;0,"",STDEV(C269:C271))</f>
        <v>2.35071028683843</v>
      </c>
      <c r="E271" s="14" t="n">
        <f aca="false">IF(COUNTBLANK(C260:C271)&gt;0,"",STDEV(C260:C271))</f>
        <v>4.97842991430578</v>
      </c>
    </row>
    <row r="272" customFormat="false" ht="15" hidden="false" customHeight="true" outlineLevel="0" collapsed="false">
      <c r="A272" s="14" t="s">
        <v>293</v>
      </c>
      <c r="B272" s="14" t="n">
        <v>1593.90909090909</v>
      </c>
      <c r="C272" s="14" t="n">
        <f aca="false">IF(ISBLANK(B272),"",IF(ISBLANK(B271),"",LN(B272/B271)*100))</f>
        <v>-0.17478045364157</v>
      </c>
      <c r="D272" s="14" t="n">
        <f aca="false">IF(COUNTBLANK(C270:C272)&gt;0,"",STDEV(C270:C272))</f>
        <v>2.49589954760592</v>
      </c>
      <c r="E272" s="14" t="n">
        <f aca="false">IF(COUNTBLANK(C261:C272)&gt;0,"",STDEV(C261:C272))</f>
        <v>4.91739335288059</v>
      </c>
    </row>
    <row r="273" customFormat="false" ht="15" hidden="false" customHeight="true" outlineLevel="0" collapsed="false">
      <c r="A273" s="14" t="s">
        <v>294</v>
      </c>
      <c r="B273" s="14" t="n">
        <v>1626.03409090909</v>
      </c>
      <c r="C273" s="14" t="n">
        <f aca="false">IF(ISBLANK(B273),"",IF(ISBLANK(B272),"",LN(B273/B272)*100))</f>
        <v>1.99544303349643</v>
      </c>
      <c r="D273" s="14" t="n">
        <f aca="false">IF(COUNTBLANK(C271:C273)&gt;0,"",STDEV(C271:C273))</f>
        <v>1.09166468443056</v>
      </c>
      <c r="E273" s="14" t="n">
        <f aca="false">IF(COUNTBLANK(C262:C273)&gt;0,"",STDEV(C262:C273))</f>
        <v>3.61891444363064</v>
      </c>
    </row>
    <row r="274" customFormat="false" ht="15" hidden="false" customHeight="true" outlineLevel="0" collapsed="false">
      <c r="A274" s="14" t="s">
        <v>295</v>
      </c>
      <c r="B274" s="14" t="n">
        <v>1744.45</v>
      </c>
      <c r="C274" s="14" t="n">
        <f aca="false">IF(ISBLANK(B274),"",IF(ISBLANK(B273),"",LN(B274/B273)*100))</f>
        <v>7.02953427017631</v>
      </c>
      <c r="D274" s="14" t="n">
        <f aca="false">IF(COUNTBLANK(C272:C274)&gt;0,"",STDEV(C272:C274))</f>
        <v>3.69581058324065</v>
      </c>
      <c r="E274" s="14" t="n">
        <f aca="false">IF(COUNTBLANK(C263:C274)&gt;0,"",STDEV(C263:C274))</f>
        <v>4.23577332445825</v>
      </c>
    </row>
    <row r="275" customFormat="false" ht="15" hidden="false" customHeight="true" outlineLevel="0" collapsed="false">
      <c r="A275" s="14" t="s">
        <v>296</v>
      </c>
      <c r="B275" s="14" t="n">
        <v>1747.01086956522</v>
      </c>
      <c r="C275" s="14" t="n">
        <f aca="false">IF(ISBLANK(B275),"",IF(ISBLANK(B274),"",LN(B275/B274)*100))</f>
        <v>0.146693325236402</v>
      </c>
      <c r="D275" s="14" t="n">
        <f aca="false">IF(COUNTBLANK(C273:C275)&gt;0,"",STDEV(C273:C275))</f>
        <v>3.56214938710582</v>
      </c>
      <c r="E275" s="14" t="n">
        <f aca="false">IF(COUNTBLANK(C264:C275)&gt;0,"",STDEV(C264:C275))</f>
        <v>3.77959085736094</v>
      </c>
    </row>
    <row r="276" customFormat="false" ht="15" hidden="false" customHeight="true" outlineLevel="0" collapsed="false">
      <c r="A276" s="14" t="s">
        <v>297</v>
      </c>
      <c r="B276" s="14" t="n">
        <v>1721.13636363636</v>
      </c>
      <c r="C276" s="14" t="n">
        <f aca="false">IF(ISBLANK(B276),"",IF(ISBLANK(B275),"",LN(B276/B275)*100))</f>
        <v>-1.49215037712434</v>
      </c>
      <c r="D276" s="14" t="n">
        <f aca="false">IF(COUNTBLANK(C274:C276)&gt;0,"",STDEV(C274:C276))</f>
        <v>4.52176988545688</v>
      </c>
      <c r="E276" s="14" t="n">
        <f aca="false">IF(COUNTBLANK(C265:C276)&gt;0,"",STDEV(C265:C276))</f>
        <v>3.59805509262328</v>
      </c>
    </row>
    <row r="277" customFormat="false" ht="15" hidden="false" customHeight="true" outlineLevel="0" collapsed="false">
      <c r="A277" s="14" t="s">
        <v>298</v>
      </c>
      <c r="B277" s="14" t="n">
        <v>1688.52941176471</v>
      </c>
      <c r="C277" s="14" t="n">
        <f aca="false">IF(ISBLANK(B277),"",IF(ISBLANK(B276),"",LN(B277/B276)*100))</f>
        <v>-1.91267696440816</v>
      </c>
      <c r="D277" s="14" t="n">
        <f aca="false">IF(COUNTBLANK(C275:C277)&gt;0,"",STDEV(C275:C277))</f>
        <v>1.08809139331605</v>
      </c>
      <c r="E277" s="14" t="n">
        <f aca="false">IF(COUNTBLANK(C266:C277)&gt;0,"",STDEV(C266:C277))</f>
        <v>3.29769656296808</v>
      </c>
    </row>
    <row r="278" customFormat="false" ht="15" hidden="false" customHeight="true" outlineLevel="0" collapsed="false">
      <c r="A278" s="14" t="s">
        <v>299</v>
      </c>
      <c r="B278" s="14" t="n">
        <v>1670.95454545455</v>
      </c>
      <c r="C278" s="14" t="n">
        <f aca="false">IF(ISBLANK(B278),"",IF(ISBLANK(B277),"",LN(B278/B277)*100))</f>
        <v>-1.04629323221755</v>
      </c>
      <c r="D278" s="14" t="n">
        <f aca="false">IF(COUNTBLANK(C276:C278)&gt;0,"",STDEV(C276:C278))</f>
        <v>0.433253577727399</v>
      </c>
      <c r="E278" s="14" t="n">
        <f aca="false">IF(COUNTBLANK(C267:C278)&gt;0,"",STDEV(C267:C278))</f>
        <v>3.31648843930475</v>
      </c>
    </row>
    <row r="279" customFormat="false" ht="15" hidden="false" customHeight="true" outlineLevel="0" collapsed="false">
      <c r="A279" s="14" t="s">
        <v>300</v>
      </c>
      <c r="B279" s="14" t="n">
        <v>1627.5875</v>
      </c>
      <c r="C279" s="14" t="n">
        <f aca="false">IF(ISBLANK(B279),"",IF(ISBLANK(B278),"",LN(B279/B278)*100))</f>
        <v>-2.62961901449653</v>
      </c>
      <c r="D279" s="14" t="n">
        <f aca="false">IF(COUNTBLANK(C277:C279)&gt;0,"",STDEV(C277:C279))</f>
        <v>0.792837436828296</v>
      </c>
      <c r="E279" s="14" t="n">
        <f aca="false">IF(COUNTBLANK(C268:C279)&gt;0,"",STDEV(C268:C279))</f>
        <v>2.987311903448</v>
      </c>
    </row>
    <row r="280" customFormat="false" ht="15" hidden="false" customHeight="true" outlineLevel="0" collapsed="false">
      <c r="A280" s="14" t="s">
        <v>301</v>
      </c>
      <c r="B280" s="14" t="n">
        <v>1592.8625</v>
      </c>
      <c r="C280" s="14" t="n">
        <f aca="false">IF(ISBLANK(B280),"",IF(ISBLANK(B279),"",LN(B280/B279)*100))</f>
        <v>-2.15661450223872</v>
      </c>
      <c r="D280" s="14" t="n">
        <f aca="false">IF(COUNTBLANK(C278:C280)&gt;0,"",STDEV(C278:C280))</f>
        <v>0.812759407215834</v>
      </c>
      <c r="E280" s="14" t="n">
        <f aca="false">IF(COUNTBLANK(C269:C280)&gt;0,"",STDEV(C269:C280))</f>
        <v>2.83497174474899</v>
      </c>
    </row>
    <row r="281" customFormat="false" ht="15" hidden="false" customHeight="true" outlineLevel="0" collapsed="false">
      <c r="A281" s="14" t="s">
        <v>302</v>
      </c>
      <c r="B281" s="14" t="n">
        <v>1485.08333333333</v>
      </c>
      <c r="C281" s="14" t="n">
        <f aca="false">IF(ISBLANK(B281),"",IF(ISBLANK(B280),"",LN(B281/B280)*100))</f>
        <v>-7.00618246708986</v>
      </c>
      <c r="D281" s="14" t="n">
        <f aca="false">IF(COUNTBLANK(C279:C281)&gt;0,"",STDEV(C279:C281))</f>
        <v>2.67383464861805</v>
      </c>
      <c r="E281" s="14" t="n">
        <f aca="false">IF(COUNTBLANK(C270:C281)&gt;0,"",STDEV(C270:C281))</f>
        <v>3.41463881529484</v>
      </c>
    </row>
    <row r="282" customFormat="false" ht="15" hidden="false" customHeight="true" outlineLevel="0" collapsed="false">
      <c r="A282" s="14" t="s">
        <v>303</v>
      </c>
      <c r="B282" s="14" t="n">
        <v>1413.5</v>
      </c>
      <c r="C282" s="14" t="n">
        <f aca="false">IF(ISBLANK(B282),"",IF(ISBLANK(B281),"",LN(B282/B281)*100))</f>
        <v>-4.94019892514518</v>
      </c>
      <c r="D282" s="14" t="n">
        <f aca="false">IF(COUNTBLANK(C280:C282)&gt;0,"",STDEV(C280:C282))</f>
        <v>2.43361663924101</v>
      </c>
      <c r="E282" s="14" t="n">
        <f aca="false">IF(COUNTBLANK(C271:C282)&gt;0,"",STDEV(C271:C282))</f>
        <v>3.50313749612513</v>
      </c>
    </row>
    <row r="283" customFormat="false" ht="15" hidden="false" customHeight="true" outlineLevel="0" collapsed="false">
      <c r="A283" s="14" t="s">
        <v>304</v>
      </c>
      <c r="B283" s="14" t="n">
        <v>1342.3625</v>
      </c>
      <c r="C283" s="14" t="n">
        <f aca="false">IF(ISBLANK(B283),"",IF(ISBLANK(B282),"",LN(B283/B282)*100))</f>
        <v>-5.16377768526102</v>
      </c>
      <c r="D283" s="14" t="n">
        <f aca="false">IF(COUNTBLANK(C281:C283)&gt;0,"",STDEV(C281:C283))</f>
        <v>1.13377914057861</v>
      </c>
      <c r="E283" s="14" t="n">
        <f aca="false">IF(COUNTBLANK(C272:C283)&gt;0,"",STDEV(C272:C283))</f>
        <v>3.65641923850446</v>
      </c>
    </row>
    <row r="284" customFormat="false" ht="15" hidden="false" customHeight="true" outlineLevel="0" collapsed="false">
      <c r="A284" s="14" t="s">
        <v>305</v>
      </c>
      <c r="B284" s="14" t="n">
        <v>1286.72391304348</v>
      </c>
      <c r="C284" s="14" t="n">
        <f aca="false">IF(ISBLANK(B284),"",IF(ISBLANK(B283),"",LN(B284/B283)*100))</f>
        <v>-4.23317354773031</v>
      </c>
      <c r="D284" s="14" t="n">
        <f aca="false">IF(COUNTBLANK(C282:C284)&gt;0,"",STDEV(C282:C284))</f>
        <v>0.485780541512464</v>
      </c>
      <c r="E284" s="14" t="n">
        <f aca="false">IF(COUNTBLANK(C273:C284)&gt;0,"",STDEV(C273:C284))</f>
        <v>3.71537518688077</v>
      </c>
    </row>
    <row r="285" customFormat="false" ht="15" hidden="false" customHeight="true" outlineLevel="0" collapsed="false">
      <c r="A285" s="14" t="s">
        <v>306</v>
      </c>
      <c r="B285" s="14" t="n">
        <v>1347.09523809524</v>
      </c>
      <c r="C285" s="14" t="n">
        <f aca="false">IF(ISBLANK(B285),"",IF(ISBLANK(B284),"",LN(B285/B284)*100))</f>
        <v>4.58512129641291</v>
      </c>
      <c r="D285" s="14" t="n">
        <f aca="false">IF(COUNTBLANK(C283:C285)&gt;0,"",STDEV(C283:C285))</f>
        <v>5.38004614871649</v>
      </c>
      <c r="E285" s="14" t="n">
        <f aca="false">IF(COUNTBLANK(C274:C285)&gt;0,"",STDEV(C274:C285))</f>
        <v>4.01776991642572</v>
      </c>
    </row>
    <row r="286" customFormat="false" ht="15" hidden="false" customHeight="true" outlineLevel="0" collapsed="false">
      <c r="A286" s="14" t="s">
        <v>307</v>
      </c>
      <c r="B286" s="14" t="n">
        <v>1348.79761904762</v>
      </c>
      <c r="C286" s="14" t="n">
        <f aca="false">IF(ISBLANK(B286),"",IF(ISBLANK(B285),"",LN(B286/B285)*100))</f>
        <v>0.126294424064245</v>
      </c>
      <c r="D286" s="14" t="n">
        <f aca="false">IF(COUNTBLANK(C284:C286)&gt;0,"",STDEV(C284:C286))</f>
        <v>4.40924071379121</v>
      </c>
      <c r="E286" s="14" t="n">
        <f aca="false">IF(COUNTBLANK(C275:C286)&gt;0,"",STDEV(C275:C286))</f>
        <v>3.05324264565479</v>
      </c>
    </row>
    <row r="287" customFormat="false" ht="15" hidden="false" customHeight="true" outlineLevel="0" collapsed="false">
      <c r="A287" s="14" t="s">
        <v>308</v>
      </c>
      <c r="B287" s="14" t="n">
        <v>1316.1847826087</v>
      </c>
      <c r="C287" s="14" t="n">
        <f aca="false">IF(ISBLANK(B287),"",IF(ISBLANK(B286),"",LN(B287/B286)*100))</f>
        <v>-2.44763076634861</v>
      </c>
      <c r="D287" s="14" t="n">
        <f aca="false">IF(COUNTBLANK(C285:C287)&gt;0,"",STDEV(C285:C287))</f>
        <v>3.55822590485054</v>
      </c>
      <c r="E287" s="14" t="n">
        <f aca="false">IF(COUNTBLANK(C276:C287)&gt;0,"",STDEV(C276:C287))</f>
        <v>2.966963262433</v>
      </c>
    </row>
    <row r="288" customFormat="false" ht="15" hidden="false" customHeight="true" outlineLevel="0" collapsed="false">
      <c r="A288" s="14" t="s">
        <v>309</v>
      </c>
      <c r="B288" s="14" t="n">
        <v>1275.82142857143</v>
      </c>
      <c r="C288" s="14" t="n">
        <f aca="false">IF(ISBLANK(B288),"",IF(ISBLANK(B287),"",LN(B288/B287)*100))</f>
        <v>-3.11470064943084</v>
      </c>
      <c r="D288" s="14" t="n">
        <f aca="false">IF(COUNTBLANK(C286:C288)&gt;0,"",STDEV(C286:C288))</f>
        <v>1.71143809807116</v>
      </c>
      <c r="E288" s="14" t="n">
        <f aca="false">IF(COUNTBLANK(C277:C288)&gt;0,"",STDEV(C277:C288))</f>
        <v>2.96079595924313</v>
      </c>
    </row>
    <row r="289" customFormat="false" ht="15" hidden="false" customHeight="true" outlineLevel="0" collapsed="false">
      <c r="A289" s="14" t="s">
        <v>310</v>
      </c>
      <c r="B289" s="14" t="n">
        <v>1225.40277777778</v>
      </c>
      <c r="C289" s="14" t="n">
        <f aca="false">IF(ISBLANK(B289),"",IF(ISBLANK(B288),"",LN(B289/B288)*100))</f>
        <v>-4.03206407282164</v>
      </c>
      <c r="D289" s="14" t="n">
        <f aca="false">IF(COUNTBLANK(C287:C289)&gt;0,"",STDEV(C287:C289))</f>
        <v>0.795504743559258</v>
      </c>
      <c r="E289" s="14" t="n">
        <f aca="false">IF(COUNTBLANK(C278:C289)&gt;0,"",STDEV(C278:C289))</f>
        <v>2.9860095358531</v>
      </c>
    </row>
    <row r="290" customFormat="false" ht="15" hidden="false" customHeight="true" outlineLevel="0" collapsed="false">
      <c r="A290" s="14" t="s">
        <v>311</v>
      </c>
      <c r="B290" s="14" t="n">
        <v>1244.79545454546</v>
      </c>
      <c r="C290" s="14" t="n">
        <f aca="false">IF(ISBLANK(B290),"",IF(ISBLANK(B289),"",LN(B290/B289)*100))</f>
        <v>1.57016347408706</v>
      </c>
      <c r="D290" s="14" t="n">
        <f aca="false">IF(COUNTBLANK(C288:C290)&gt;0,"",STDEV(C288:C290))</f>
        <v>3.00484223084849</v>
      </c>
      <c r="E290" s="14" t="n">
        <f aca="false">IF(COUNTBLANK(C279:C290)&gt;0,"",STDEV(C279:C290))</f>
        <v>3.20311032376356</v>
      </c>
    </row>
    <row r="291" customFormat="false" ht="15" hidden="false" customHeight="true" outlineLevel="0" collapsed="false">
      <c r="A291" s="14" t="s">
        <v>312</v>
      </c>
      <c r="B291" s="14" t="n">
        <v>1300.975</v>
      </c>
      <c r="C291" s="14" t="n">
        <f aca="false">IF(ISBLANK(B291),"",IF(ISBLANK(B290),"",LN(B291/B290)*100))</f>
        <v>4.41427604768108</v>
      </c>
      <c r="D291" s="14" t="n">
        <f aca="false">IF(COUNTBLANK(C289:C291)&gt;0,"",STDEV(C289:C291))</f>
        <v>4.29756891063293</v>
      </c>
      <c r="E291" s="14" t="n">
        <f aca="false">IF(COUNTBLANK(C280:C291)&gt;0,"",STDEV(C280:C291))</f>
        <v>3.76418707040809</v>
      </c>
    </row>
    <row r="292" customFormat="false" ht="15" hidden="false" customHeight="true" outlineLevel="0" collapsed="false">
      <c r="A292" s="14" t="s">
        <v>313</v>
      </c>
      <c r="B292" s="14" t="n">
        <v>1336.08333333333</v>
      </c>
      <c r="C292" s="14" t="n">
        <f aca="false">IF(ISBLANK(B292),"",IF(ISBLANK(B291),"",LN(B292/B291)*100))</f>
        <v>2.66284650606606</v>
      </c>
      <c r="D292" s="14" t="n">
        <f aca="false">IF(COUNTBLANK(C290:C292)&gt;0,"",STDEV(C290:C292))</f>
        <v>1.4347147207077</v>
      </c>
      <c r="E292" s="14" t="n">
        <f aca="false">IF(COUNTBLANK(C281:C292)&gt;0,"",STDEV(C281:C292))</f>
        <v>3.98127151652484</v>
      </c>
    </row>
    <row r="293" customFormat="false" ht="15" hidden="false" customHeight="true" outlineLevel="0" collapsed="false">
      <c r="A293" s="14" t="s">
        <v>314</v>
      </c>
      <c r="B293" s="14" t="n">
        <v>1299</v>
      </c>
      <c r="C293" s="14" t="n">
        <f aca="false">IF(ISBLANK(B293),"",IF(ISBLANK(B292),"",LN(B293/B292)*100))</f>
        <v>-2.81477107302351</v>
      </c>
      <c r="D293" s="14" t="n">
        <f aca="false">IF(COUNTBLANK(C291:C293)&gt;0,"",STDEV(C291:C293))</f>
        <v>3.77118288373291</v>
      </c>
      <c r="E293" s="14" t="n">
        <f aca="false">IF(COUNTBLANK(C282:C293)&gt;0,"",STDEV(C282:C293))</f>
        <v>3.61823985729243</v>
      </c>
    </row>
    <row r="294" customFormat="false" ht="15" hidden="false" customHeight="true" outlineLevel="0" collapsed="false">
      <c r="A294" s="14" t="s">
        <v>315</v>
      </c>
      <c r="B294" s="14" t="n">
        <v>1287.525</v>
      </c>
      <c r="C294" s="14" t="n">
        <f aca="false">IF(ISBLANK(B294),"",IF(ISBLANK(B293),"",LN(B294/B293)*100))</f>
        <v>-0.887296684549683</v>
      </c>
      <c r="D294" s="14" t="n">
        <f aca="false">IF(COUNTBLANK(C292:C294)&gt;0,"",STDEV(C292:C294))</f>
        <v>2.7785778297194</v>
      </c>
      <c r="E294" s="14" t="n">
        <f aca="false">IF(COUNTBLANK(C283:C294)&gt;0,"",STDEV(C283:C294))</f>
        <v>3.41206771982852</v>
      </c>
    </row>
    <row r="295" customFormat="false" ht="15" hidden="false" customHeight="true" outlineLevel="0" collapsed="false">
      <c r="A295" s="14" t="s">
        <v>316</v>
      </c>
      <c r="B295" s="14" t="n">
        <v>1279.09523809524</v>
      </c>
      <c r="C295" s="14" t="n">
        <f aca="false">IF(ISBLANK(B295),"",IF(ISBLANK(B294),"",LN(B295/B294)*100))</f>
        <v>-0.656878808241187</v>
      </c>
      <c r="D295" s="14" t="n">
        <f aca="false">IF(COUNTBLANK(C293:C295)&gt;0,"",STDEV(C293:C295))</f>
        <v>1.18495773077583</v>
      </c>
      <c r="E295" s="14" t="n">
        <f aca="false">IF(COUNTBLANK(C284:C295)&gt;0,"",STDEV(C284:C295))</f>
        <v>3.1210465429267</v>
      </c>
    </row>
    <row r="296" customFormat="false" ht="15" hidden="false" customHeight="true" outlineLevel="0" collapsed="false">
      <c r="A296" s="14" t="s">
        <v>317</v>
      </c>
      <c r="B296" s="14" t="n">
        <v>1310.96739130435</v>
      </c>
      <c r="C296" s="14" t="n">
        <f aca="false">IF(ISBLANK(B296),"",IF(ISBLANK(B295),"",LN(B296/B295)*100))</f>
        <v>2.46123485647183</v>
      </c>
      <c r="D296" s="14" t="n">
        <f aca="false">IF(COUNTBLANK(C294:C296)&gt;0,"",STDEV(C294:C296))</f>
        <v>1.87031141368706</v>
      </c>
      <c r="E296" s="14" t="n">
        <f aca="false">IF(COUNTBLANK(C285:C296)&gt;0,"",STDEV(C285:C296))</f>
        <v>2.96862583918361</v>
      </c>
    </row>
    <row r="297" customFormat="false" ht="15" hidden="false" customHeight="true" outlineLevel="0" collapsed="false">
      <c r="A297" s="14" t="s">
        <v>318</v>
      </c>
      <c r="B297" s="14" t="n">
        <v>1295.9875</v>
      </c>
      <c r="C297" s="14" t="n">
        <f aca="false">IF(ISBLANK(B297),"",IF(ISBLANK(B296),"",LN(B297/B296)*100))</f>
        <v>-1.14923785034314</v>
      </c>
      <c r="D297" s="14" t="n">
        <f aca="false">IF(COUNTBLANK(C295:C297)&gt;0,"",STDEV(C295:C297))</f>
        <v>1.95791400130621</v>
      </c>
      <c r="E297" s="14" t="n">
        <f aca="false">IF(COUNTBLANK(C286:C297)&gt;0,"",STDEV(C286:C297))</f>
        <v>2.6333742231581</v>
      </c>
    </row>
    <row r="298" customFormat="false" ht="15" hidden="false" customHeight="true" outlineLevel="0" collapsed="false">
      <c r="A298" s="14" t="s">
        <v>319</v>
      </c>
      <c r="B298" s="14" t="n">
        <v>1238.81818181818</v>
      </c>
      <c r="C298" s="14" t="n">
        <f aca="false">IF(ISBLANK(B298),"",IF(ISBLANK(B297),"",LN(B298/B297)*100))</f>
        <v>-4.51151068525289</v>
      </c>
      <c r="D298" s="14" t="n">
        <f aca="false">IF(COUNTBLANK(C296:C298)&gt;0,"",STDEV(C296:C298))</f>
        <v>3.48710893082579</v>
      </c>
      <c r="E298" s="14" t="n">
        <f aca="false">IF(COUNTBLANK(C287:C298)&gt;0,"",STDEV(C287:C298))</f>
        <v>2.88943126550625</v>
      </c>
    </row>
    <row r="299" customFormat="false" ht="15" hidden="false" customHeight="true" outlineLevel="0" collapsed="false">
      <c r="A299" s="14" t="s">
        <v>320</v>
      </c>
      <c r="B299" s="14" t="n">
        <v>1222.48913043478</v>
      </c>
      <c r="C299" s="14" t="n">
        <f aca="false">IF(ISBLANK(B299),"",IF(ISBLANK(B298),"",LN(B299/B298)*100))</f>
        <v>-1.32687949018427</v>
      </c>
      <c r="D299" s="14" t="n">
        <f aca="false">IF(COUNTBLANK(C297:C299)&gt;0,"",STDEV(C297:C299))</f>
        <v>1.89201440345036</v>
      </c>
      <c r="E299" s="14" t="n">
        <f aca="false">IF(COUNTBLANK(C288:C299)&gt;0,"",STDEV(C288:C299))</f>
        <v>2.84590222095828</v>
      </c>
    </row>
    <row r="300" customFormat="false" ht="15" hidden="false" customHeight="true" outlineLevel="0" collapsed="false">
      <c r="A300" s="14" t="s">
        <v>321</v>
      </c>
      <c r="B300" s="14" t="n">
        <v>1176.3</v>
      </c>
      <c r="C300" s="14" t="n">
        <f aca="false">IF(ISBLANK(B300),"",IF(ISBLANK(B299),"",LN(B300/B299)*100))</f>
        <v>-3.85151320832103</v>
      </c>
      <c r="D300" s="14" t="n">
        <f aca="false">IF(COUNTBLANK(C298:C300)&gt;0,"",STDEV(C298:C300))</f>
        <v>1.68083550300208</v>
      </c>
      <c r="E300" s="14" t="n">
        <f aca="false">IF(COUNTBLANK(C289:C300)&gt;0,"",STDEV(C289:C300))</f>
        <v>2.91191026958407</v>
      </c>
    </row>
    <row r="301" customFormat="false" ht="15" hidden="false" customHeight="true" outlineLevel="0" collapsed="false">
      <c r="A301" s="14" t="s">
        <v>322</v>
      </c>
      <c r="B301" s="14" t="n">
        <v>1202.28947368421</v>
      </c>
      <c r="C301" s="14" t="n">
        <f aca="false">IF(ISBLANK(B301),"",IF(ISBLANK(B300),"",LN(B301/B300)*100))</f>
        <v>2.18537148270187</v>
      </c>
      <c r="D301" s="14" t="n">
        <f aca="false">IF(COUNTBLANK(C299:C301)&gt;0,"",STDEV(C299:C301))</f>
        <v>3.03187673122329</v>
      </c>
      <c r="E301" s="14" t="n">
        <f aca="false">IF(COUNTBLANK(C290:C301)&gt;0,"",STDEV(C290:C301))</f>
        <v>2.81205717162554</v>
      </c>
    </row>
    <row r="302" customFormat="false" ht="15" hidden="false" customHeight="true" outlineLevel="0" collapsed="false">
      <c r="A302" s="14" t="s">
        <v>323</v>
      </c>
      <c r="B302" s="14" t="n">
        <v>1251.84523809524</v>
      </c>
      <c r="C302" s="14" t="n">
        <f aca="false">IF(ISBLANK(B302),"",IF(ISBLANK(B301),"",LN(B302/B301)*100))</f>
        <v>4.0391019481052</v>
      </c>
      <c r="D302" s="14" t="n">
        <f aca="false">IF(COUNTBLANK(C300:C302)&gt;0,"",STDEV(C300:C302))</f>
        <v>4.1259766714055</v>
      </c>
      <c r="E302" s="14" t="n">
        <f aca="false">IF(COUNTBLANK(C291:C302)&gt;0,"",STDEV(C291:C302))</f>
        <v>3.03178371702873</v>
      </c>
    </row>
    <row r="303" customFormat="false" ht="15" hidden="false" customHeight="true" outlineLevel="0" collapsed="false">
      <c r="A303" s="14" t="s">
        <v>324</v>
      </c>
      <c r="B303" s="14" t="n">
        <v>1227.1875</v>
      </c>
      <c r="C303" s="14" t="n">
        <f aca="false">IF(ISBLANK(B303),"",IF(ISBLANK(B302),"",LN(B303/B302)*100))</f>
        <v>-1.98936875021376</v>
      </c>
      <c r="D303" s="14" t="n">
        <f aca="false">IF(COUNTBLANK(C301:C303)&gt;0,"",STDEV(C301:C303))</f>
        <v>3.0878048192629</v>
      </c>
      <c r="E303" s="14" t="n">
        <f aca="false">IF(COUNTBLANK(C292:C303)&gt;0,"",STDEV(C292:C303))</f>
        <v>2.7430259666222</v>
      </c>
    </row>
    <row r="304" customFormat="false" ht="15" hidden="false" customHeight="true" outlineLevel="0" collapsed="false">
      <c r="A304" s="14" t="s">
        <v>325</v>
      </c>
      <c r="B304" s="14" t="n">
        <v>1178.62954545455</v>
      </c>
      <c r="C304" s="14" t="n">
        <f aca="false">IF(ISBLANK(B304),"",IF(ISBLANK(B303),"",LN(B304/B303)*100))</f>
        <v>-4.03726044199077</v>
      </c>
      <c r="D304" s="14" t="n">
        <f aca="false">IF(COUNTBLANK(C302:C304)&gt;0,"",STDEV(C302:C304))</f>
        <v>4.1984907764159</v>
      </c>
      <c r="E304" s="14" t="n">
        <f aca="false">IF(COUNTBLANK(C293:C304)&gt;0,"",STDEV(C293:C304))</f>
        <v>2.72553018283355</v>
      </c>
    </row>
    <row r="305" customFormat="false" ht="15" hidden="false" customHeight="true" outlineLevel="0" collapsed="false">
      <c r="A305" s="14" t="s">
        <v>326</v>
      </c>
      <c r="B305" s="14" t="n">
        <v>1197.91</v>
      </c>
      <c r="C305" s="14" t="n">
        <f aca="false">IF(ISBLANK(B305),"",IF(ISBLANK(B304),"",LN(B305/B304)*100))</f>
        <v>1.62260102922527</v>
      </c>
      <c r="D305" s="14" t="n">
        <f aca="false">IF(COUNTBLANK(C303:C305)&gt;0,"",STDEV(C303:C305))</f>
        <v>2.86572323454848</v>
      </c>
      <c r="E305" s="14" t="n">
        <f aca="false">IF(COUNTBLANK(C294:C305)&gt;0,"",STDEV(C294:C305))</f>
        <v>2.76431939836123</v>
      </c>
    </row>
    <row r="306" customFormat="false" ht="15" hidden="false" customHeight="true" outlineLevel="0" collapsed="false">
      <c r="A306" s="14" t="s">
        <v>327</v>
      </c>
      <c r="B306" s="14" t="n">
        <v>1199.05263157895</v>
      </c>
      <c r="C306" s="14" t="n">
        <f aca="false">IF(ISBLANK(B306),"",IF(ISBLANK(B305),"",LN(B306/B305)*100))</f>
        <v>0.095339964874527</v>
      </c>
      <c r="D306" s="14" t="n">
        <f aca="false">IF(COUNTBLANK(C304:C306)&gt;0,"",STDEV(C304:C306))</f>
        <v>2.928166216675</v>
      </c>
      <c r="E306" s="14" t="n">
        <f aca="false">IF(COUNTBLANK(C295:C306)&gt;0,"",STDEV(C295:C306))</f>
        <v>2.77200676147803</v>
      </c>
    </row>
    <row r="307" customFormat="false" ht="15" hidden="false" customHeight="true" outlineLevel="0" collapsed="false">
      <c r="A307" s="14" t="s">
        <v>328</v>
      </c>
      <c r="B307" s="14" t="n">
        <v>1181.50454545455</v>
      </c>
      <c r="C307" s="14" t="n">
        <f aca="false">IF(ISBLANK(B307),"",IF(ISBLANK(B306),"",LN(B307/B306)*100))</f>
        <v>-1.47431064842251</v>
      </c>
      <c r="D307" s="14" t="n">
        <f aca="false">IF(COUNTBLANK(C305:C307)&gt;0,"",STDEV(C305:C307))</f>
        <v>1.54850418929886</v>
      </c>
      <c r="E307" s="14" t="n">
        <f aca="false">IF(COUNTBLANK(C296:C307)&gt;0,"",STDEV(C296:C307))</f>
        <v>2.78373151606237</v>
      </c>
    </row>
    <row r="308" customFormat="false" ht="15" hidden="false" customHeight="true" outlineLevel="0" collapsed="false">
      <c r="A308" s="14" t="s">
        <v>329</v>
      </c>
      <c r="B308" s="14" t="n">
        <v>1130.03695652174</v>
      </c>
      <c r="C308" s="14" t="n">
        <f aca="false">IF(ISBLANK(B308),"",IF(ISBLANK(B307),"",LN(B308/B307)*100))</f>
        <v>-4.45383277511053</v>
      </c>
      <c r="D308" s="14" t="n">
        <f aca="false">IF(COUNTBLANK(C306:C308)&gt;0,"",STDEV(C306:C308))</f>
        <v>2.31071157039956</v>
      </c>
      <c r="E308" s="14" t="n">
        <f aca="false">IF(COUNTBLANK(C297:C308)&gt;0,"",STDEV(C297:C308))</f>
        <v>2.79428065653143</v>
      </c>
    </row>
    <row r="309" customFormat="false" ht="15" hidden="false" customHeight="true" outlineLevel="0" collapsed="false">
      <c r="A309" s="14" t="s">
        <v>330</v>
      </c>
      <c r="B309" s="14" t="n">
        <v>1117.475</v>
      </c>
      <c r="C309" s="14" t="n">
        <f aca="false">IF(ISBLANK(B309),"",IF(ISBLANK(B308),"",LN(B309/B308)*100))</f>
        <v>-1.11786611852608</v>
      </c>
      <c r="D309" s="14" t="n">
        <f aca="false">IF(COUNTBLANK(C307:C309)&gt;0,"",STDEV(C307:C309))</f>
        <v>1.83181505344471</v>
      </c>
      <c r="E309" s="14" t="n">
        <f aca="false">IF(COUNTBLANK(C298:C309)&gt;0,"",STDEV(C298:C309))</f>
        <v>2.79438554223416</v>
      </c>
    </row>
    <row r="310" customFormat="false" ht="15" hidden="false" customHeight="true" outlineLevel="0" collapsed="false">
      <c r="A310" s="14" t="s">
        <v>331</v>
      </c>
      <c r="B310" s="14" t="n">
        <v>1124.53181818182</v>
      </c>
      <c r="C310" s="14" t="n">
        <f aca="false">IF(ISBLANK(B310),"",IF(ISBLANK(B309),"",LN(B310/B309)*100))</f>
        <v>0.629511153025463</v>
      </c>
      <c r="D310" s="14" t="n">
        <f aca="false">IF(COUNTBLANK(C308:C310)&gt;0,"",STDEV(C308:C310))</f>
        <v>2.58271131290017</v>
      </c>
      <c r="E310" s="14" t="n">
        <f aca="false">IF(COUNTBLANK(C299:C310)&gt;0,"",STDEV(C299:C310))</f>
        <v>2.63599172869692</v>
      </c>
    </row>
    <row r="311" customFormat="false" ht="15" hidden="false" customHeight="true" outlineLevel="0" collapsed="false">
      <c r="A311" s="14" t="s">
        <v>332</v>
      </c>
      <c r="B311" s="14" t="n">
        <v>1159.24545454546</v>
      </c>
      <c r="C311" s="14" t="n">
        <f aca="false">IF(ISBLANK(B311),"",IF(ISBLANK(B310),"",LN(B311/B310)*100))</f>
        <v>3.04025358303584</v>
      </c>
      <c r="D311" s="14" t="n">
        <f aca="false">IF(COUNTBLANK(C309:C311)&gt;0,"",STDEV(C309:C311))</f>
        <v>2.08786038188639</v>
      </c>
      <c r="E311" s="14" t="n">
        <f aca="false">IF(COUNTBLANK(C300:C311)&gt;0,"",STDEV(C300:C311))</f>
        <v>2.85037762424469</v>
      </c>
    </row>
    <row r="312" customFormat="false" ht="15" hidden="false" customHeight="true" outlineLevel="0" collapsed="false">
      <c r="A312" s="14" t="s">
        <v>333</v>
      </c>
      <c r="B312" s="14" t="n">
        <v>1085.70238095238</v>
      </c>
      <c r="C312" s="14" t="n">
        <f aca="false">IF(ISBLANK(B312),"",IF(ISBLANK(B311),"",LN(B312/B311)*100))</f>
        <v>-6.55421899867284</v>
      </c>
      <c r="D312" s="14" t="n">
        <f aca="false">IF(COUNTBLANK(C310:C312)&gt;0,"",STDEV(C310:C312))</f>
        <v>4.99118493074593</v>
      </c>
      <c r="E312" s="14" t="n">
        <f aca="false">IF(COUNTBLANK(C301:C312)&gt;0,"",STDEV(C301:C312))</f>
        <v>3.22621801968334</v>
      </c>
    </row>
    <row r="313" customFormat="false" ht="15" hidden="false" customHeight="true" outlineLevel="0" collapsed="false">
      <c r="A313" s="14" t="s">
        <v>334</v>
      </c>
      <c r="B313" s="14" t="n">
        <v>1068.25263157895</v>
      </c>
      <c r="C313" s="14" t="n">
        <f aca="false">IF(ISBLANK(B313),"",IF(ISBLANK(B312),"",LN(B313/B312)*100))</f>
        <v>-1.62028742770283</v>
      </c>
      <c r="D313" s="14" t="n">
        <f aca="false">IF(COUNTBLANK(C311:C313)&gt;0,"",STDEV(C311:C313))</f>
        <v>4.79788542625727</v>
      </c>
      <c r="E313" s="14" t="n">
        <f aca="false">IF(COUNTBLANK(C302:C313)&gt;0,"",STDEV(C302:C313))</f>
        <v>3.10501574457563</v>
      </c>
    </row>
    <row r="314" customFormat="false" ht="15" hidden="false" customHeight="true" outlineLevel="0" collapsed="false">
      <c r="A314" s="14" t="s">
        <v>335</v>
      </c>
      <c r="B314" s="14" t="n">
        <v>1097.375</v>
      </c>
      <c r="C314" s="14" t="n">
        <f aca="false">IF(ISBLANK(B314),"",IF(ISBLANK(B313),"",LN(B314/B313)*100))</f>
        <v>2.68967052766886</v>
      </c>
      <c r="D314" s="14" t="n">
        <f aca="false">IF(COUNTBLANK(C312:C314)&gt;0,"",STDEV(C312:C314))</f>
        <v>4.62545334533629</v>
      </c>
      <c r="E314" s="14" t="n">
        <f aca="false">IF(COUNTBLANK(C303:C314)&gt;0,"",STDEV(C303:C314))</f>
        <v>2.92578086886157</v>
      </c>
    </row>
    <row r="315" customFormat="false" ht="15" hidden="false" customHeight="true" outlineLevel="0" collapsed="false">
      <c r="A315" s="14" t="s">
        <v>336</v>
      </c>
      <c r="B315" s="14" t="n">
        <v>1199.91190476191</v>
      </c>
      <c r="C315" s="14" t="n">
        <f aca="false">IF(ISBLANK(B315),"",IF(ISBLANK(B314),"",LN(B315/B314)*100))</f>
        <v>8.93271771364664</v>
      </c>
      <c r="D315" s="14" t="n">
        <f aca="false">IF(COUNTBLANK(C313:C315)&gt;0,"",STDEV(C313:C315))</f>
        <v>5.305928967623</v>
      </c>
      <c r="E315" s="14" t="n">
        <f aca="false">IF(COUNTBLANK(C304:C315)&gt;0,"",STDEV(C304:C315))</f>
        <v>4.09023837635912</v>
      </c>
    </row>
    <row r="316" customFormat="false" ht="15" hidden="false" customHeight="true" outlineLevel="0" collapsed="false">
      <c r="A316" s="14" t="s">
        <v>337</v>
      </c>
      <c r="B316" s="14" t="n">
        <v>1246.3380952381</v>
      </c>
      <c r="C316" s="14" t="n">
        <f aca="false">IF(ISBLANK(B316),"",IF(ISBLANK(B315),"",LN(B316/B315)*100))</f>
        <v>3.79615866501577</v>
      </c>
      <c r="D316" s="14" t="n">
        <f aca="false">IF(COUNTBLANK(C314:C316)&gt;0,"",STDEV(C314:C316))</f>
        <v>3.3312708542063</v>
      </c>
      <c r="E316" s="14" t="n">
        <f aca="false">IF(COUNTBLANK(C305:C316)&gt;0,"",STDEV(C305:C316))</f>
        <v>4.04478190199554</v>
      </c>
    </row>
    <row r="317" customFormat="false" ht="15" hidden="false" customHeight="true" outlineLevel="0" collapsed="false">
      <c r="A317" s="14" t="s">
        <v>338</v>
      </c>
      <c r="B317" s="14" t="n">
        <v>1242.26190476191</v>
      </c>
      <c r="C317" s="14" t="n">
        <f aca="false">IF(ISBLANK(B317),"",IF(ISBLANK(B316),"",LN(B317/B316)*100))</f>
        <v>-0.327589337095945</v>
      </c>
      <c r="D317" s="14" t="n">
        <f aca="false">IF(COUNTBLANK(C315:C317)&gt;0,"",STDEV(C315:C317))</f>
        <v>4.63937537316941</v>
      </c>
      <c r="E317" s="14" t="n">
        <f aca="false">IF(COUNTBLANK(C306:C317)&gt;0,"",STDEV(C306:C317))</f>
        <v>4.0332251072502</v>
      </c>
    </row>
    <row r="318" customFormat="false" ht="15" hidden="false" customHeight="true" outlineLevel="0" collapsed="false">
      <c r="A318" s="14" t="s">
        <v>339</v>
      </c>
      <c r="B318" s="14" t="n">
        <v>1259.3975</v>
      </c>
      <c r="C318" s="14" t="n">
        <f aca="false">IF(ISBLANK(B318),"",IF(ISBLANK(B317),"",LN(B318/B317)*100))</f>
        <v>1.3699597318378</v>
      </c>
      <c r="D318" s="14" t="n">
        <f aca="false">IF(COUNTBLANK(C316:C318)&gt;0,"",STDEV(C316:C318))</f>
        <v>2.07257535808762</v>
      </c>
      <c r="E318" s="14" t="n">
        <f aca="false">IF(COUNTBLANK(C307:C318)&gt;0,"",STDEV(C307:C318))</f>
        <v>4.04402973217719</v>
      </c>
    </row>
    <row r="319" customFormat="false" ht="15" hidden="false" customHeight="true" outlineLevel="0" collapsed="false">
      <c r="A319" s="14" t="s">
        <v>340</v>
      </c>
      <c r="B319" s="14" t="n">
        <v>1276.40454545455</v>
      </c>
      <c r="C319" s="14" t="n">
        <f aca="false">IF(ISBLANK(B319),"",IF(ISBLANK(B318),"",LN(B319/B318)*100))</f>
        <v>1.34137445694396</v>
      </c>
      <c r="D319" s="14" t="n">
        <f aca="false">IF(COUNTBLANK(C317:C319)&gt;0,"",STDEV(C317:C319))</f>
        <v>0.971933648729399</v>
      </c>
      <c r="E319" s="14" t="n">
        <f aca="false">IF(COUNTBLANK(C308:C319)&gt;0,"",STDEV(C308:C319))</f>
        <v>4.00632130407064</v>
      </c>
    </row>
    <row r="320" customFormat="false" ht="15" hidden="false" customHeight="true" outlineLevel="0" collapsed="false">
      <c r="A320" s="14" t="s">
        <v>341</v>
      </c>
      <c r="B320" s="14" t="n">
        <v>1337.32619047619</v>
      </c>
      <c r="C320" s="14" t="n">
        <f aca="false">IF(ISBLANK(B320),"",IF(ISBLANK(B319),"",LN(B320/B319)*100))</f>
        <v>4.66250637300987</v>
      </c>
      <c r="D320" s="14" t="n">
        <f aca="false">IF(COUNTBLANK(C318:C320)&gt;0,"",STDEV(C318:C320))</f>
        <v>1.9092580455134</v>
      </c>
      <c r="E320" s="14" t="n">
        <f aca="false">IF(COUNTBLANK(C309:C320)&gt;0,"",STDEV(C309:C320))</f>
        <v>3.8114043827255</v>
      </c>
    </row>
    <row r="321" customFormat="false" ht="15" hidden="false" customHeight="true" outlineLevel="0" collapsed="false">
      <c r="A321" s="14" t="s">
        <v>342</v>
      </c>
      <c r="B321" s="14" t="n">
        <v>1341.08863636364</v>
      </c>
      <c r="C321" s="14" t="n">
        <f aca="false">IF(ISBLANK(B321),"",IF(ISBLANK(B320),"",LN(B321/B320)*100))</f>
        <v>0.280945903115127</v>
      </c>
      <c r="D321" s="14" t="n">
        <f aca="false">IF(COUNTBLANK(C319:C321)&gt;0,"",STDEV(C319:C321))</f>
        <v>2.28591695945089</v>
      </c>
      <c r="E321" s="14" t="n">
        <f aca="false">IF(COUNTBLANK(C310:C321)&gt;0,"",STDEV(C310:C321))</f>
        <v>3.74814592984093</v>
      </c>
    </row>
    <row r="322" customFormat="false" ht="15" hidden="false" customHeight="true" outlineLevel="0" collapsed="false">
      <c r="A322" s="14" t="s">
        <v>343</v>
      </c>
      <c r="B322" s="14" t="n">
        <v>1326.02954545455</v>
      </c>
      <c r="C322" s="14" t="n">
        <f aca="false">IF(ISBLANK(B322),"",IF(ISBLANK(B321),"",LN(B322/B321)*100))</f>
        <v>-1.12925261735969</v>
      </c>
      <c r="D322" s="14" t="n">
        <f aca="false">IF(COUNTBLANK(C320:C322)&gt;0,"",STDEV(C320:C322))</f>
        <v>3.02024293231025</v>
      </c>
      <c r="E322" s="14" t="n">
        <f aca="false">IF(COUNTBLANK(C311:C322)&gt;0,"",STDEV(C311:C322))</f>
        <v>3.81983661062064</v>
      </c>
    </row>
    <row r="323" customFormat="false" ht="15" hidden="false" customHeight="true" outlineLevel="0" collapsed="false">
      <c r="A323" s="14" t="s">
        <v>344</v>
      </c>
      <c r="B323" s="14" t="n">
        <v>1266.56904761905</v>
      </c>
      <c r="C323" s="14" t="n">
        <f aca="false">IF(ISBLANK(B323),"",IF(ISBLANK(B322),"",LN(B323/B322)*100))</f>
        <v>-4.5877465730177</v>
      </c>
      <c r="D323" s="14" t="n">
        <f aca="false">IF(COUNTBLANK(C321:C323)&gt;0,"",STDEV(C321:C323))</f>
        <v>2.50512829796615</v>
      </c>
      <c r="E323" s="14" t="n">
        <f aca="false">IF(COUNTBLANK(C312:C323)&gt;0,"",STDEV(C312:C323))</f>
        <v>4.13864822048999</v>
      </c>
    </row>
    <row r="324" customFormat="false" ht="15" hidden="false" customHeight="true" outlineLevel="0" collapsed="false">
      <c r="A324" s="14" t="s">
        <v>345</v>
      </c>
      <c r="B324" s="14" t="n">
        <v>1235.97954545455</v>
      </c>
      <c r="C324" s="14" t="n">
        <f aca="false">IF(ISBLANK(B324),"",IF(ISBLANK(B323),"",LN(B324/B323)*100))</f>
        <v>-2.44478975116229</v>
      </c>
      <c r="D324" s="14" t="n">
        <f aca="false">IF(COUNTBLANK(C322:C324)&gt;0,"",STDEV(C322:C324))</f>
        <v>1.74566521857587</v>
      </c>
      <c r="E324" s="14" t="n">
        <f aca="false">IF(COUNTBLANK(C313:C324)&gt;0,"",STDEV(C313:C324))</f>
        <v>3.61763502798745</v>
      </c>
    </row>
    <row r="325" customFormat="false" ht="15" hidden="false" customHeight="true" outlineLevel="0" collapsed="false">
      <c r="A325" s="14" t="s">
        <v>346</v>
      </c>
      <c r="B325" s="14" t="n">
        <v>1151.40277777778</v>
      </c>
      <c r="C325" s="14" t="n">
        <f aca="false">IF(ISBLANK(B325),"",IF(ISBLANK(B324),"",LN(B325/B324)*100))</f>
        <v>-7.08828041349531</v>
      </c>
      <c r="D325" s="14" t="n">
        <f aca="false">IF(COUNTBLANK(C323:C325)&gt;0,"",STDEV(C323:C325))</f>
        <v>2.32403883210832</v>
      </c>
      <c r="E325" s="14" t="n">
        <f aca="false">IF(COUNTBLANK(C314:C325)&gt;0,"",STDEV(C314:C325))</f>
        <v>4.27360962391869</v>
      </c>
    </row>
    <row r="326" customFormat="false" ht="15" hidden="false" customHeight="true" outlineLevel="0" collapsed="false">
      <c r="A326" s="14" t="s">
        <v>347</v>
      </c>
      <c r="B326" s="14" t="n">
        <v>1192.61666666667</v>
      </c>
      <c r="C326" s="14" t="n">
        <f aca="false">IF(ISBLANK(B326),"",IF(ISBLANK(B325),"",LN(B326/B325)*100))</f>
        <v>3.51687668990806</v>
      </c>
      <c r="D326" s="14" t="n">
        <f aca="false">IF(COUNTBLANK(C324:C326)&gt;0,"",STDEV(C324:C326))</f>
        <v>5.31621465383069</v>
      </c>
      <c r="E326" s="14" t="n">
        <f aca="false">IF(COUNTBLANK(C315:C326)&gt;0,"",STDEV(C315:C326))</f>
        <v>4.31640413912781</v>
      </c>
    </row>
    <row r="327" customFormat="false" ht="15" hidden="false" customHeight="true" outlineLevel="0" collapsed="false">
      <c r="A327" s="14" t="s">
        <v>348</v>
      </c>
      <c r="B327" s="14" t="n">
        <v>1234.3575</v>
      </c>
      <c r="C327" s="14" t="n">
        <f aca="false">IF(ISBLANK(B327),"",IF(ISBLANK(B326),"",LN(B327/B326)*100))</f>
        <v>3.44008191139634</v>
      </c>
      <c r="D327" s="14" t="n">
        <f aca="false">IF(COUNTBLANK(C325:C327)&gt;0,"",STDEV(C325:C327))</f>
        <v>6.10084239907451</v>
      </c>
      <c r="E327" s="14" t="n">
        <f aca="false">IF(COUNTBLANK(C316:C327)&gt;0,"",STDEV(C316:C327))</f>
        <v>3.59406726168898</v>
      </c>
    </row>
    <row r="328" customFormat="false" ht="15" hidden="false" customHeight="true" outlineLevel="0" collapsed="false">
      <c r="A328" s="14" t="s">
        <v>349</v>
      </c>
      <c r="B328" s="14" t="n">
        <v>1231.09347826087</v>
      </c>
      <c r="C328" s="14" t="n">
        <f aca="false">IF(ISBLANK(B328),"",IF(ISBLANK(B327),"",LN(B328/B327)*100))</f>
        <v>-0.264781062360456</v>
      </c>
      <c r="D328" s="14" t="n">
        <f aca="false">IF(COUNTBLANK(C326:C328)&gt;0,"",STDEV(C326:C328))</f>
        <v>2.16151345310076</v>
      </c>
      <c r="E328" s="14" t="n">
        <f aca="false">IF(COUNTBLANK(C317:C328)&gt;0,"",STDEV(C317:C328))</f>
        <v>3.41508830129149</v>
      </c>
    </row>
    <row r="329" customFormat="false" ht="15" hidden="false" customHeight="true" outlineLevel="0" collapsed="false">
      <c r="A329" s="14" t="s">
        <v>350</v>
      </c>
      <c r="B329" s="14" t="n">
        <v>1265.62777777778</v>
      </c>
      <c r="C329" s="14" t="n">
        <f aca="false">IF(ISBLANK(B329),"",IF(ISBLANK(B328),"",LN(B329/B328)*100))</f>
        <v>2.76654849296826</v>
      </c>
      <c r="D329" s="14" t="n">
        <f aca="false">IF(COUNTBLANK(C327:C329)&gt;0,"",STDEV(C327:C329))</f>
        <v>1.97351698721947</v>
      </c>
      <c r="E329" s="14" t="n">
        <f aca="false">IF(COUNTBLANK(C318:C329)&gt;0,"",STDEV(C318:C329))</f>
        <v>3.51198511647018</v>
      </c>
    </row>
    <row r="330" customFormat="false" ht="15" hidden="false" customHeight="true" outlineLevel="0" collapsed="false">
      <c r="A330" s="14" t="s">
        <v>351</v>
      </c>
      <c r="B330" s="14" t="n">
        <v>1245.00476190476</v>
      </c>
      <c r="C330" s="14" t="n">
        <f aca="false">IF(ISBLANK(B330),"",IF(ISBLANK(B329),"",LN(B330/B329)*100))</f>
        <v>-1.64289113652834</v>
      </c>
      <c r="D330" s="14" t="n">
        <f aca="false">IF(COUNTBLANK(C328:C330)&gt;0,"",STDEV(C328:C330))</f>
        <v>2.25578161235034</v>
      </c>
      <c r="E330" s="14" t="n">
        <f aca="false">IF(COUNTBLANK(C319:C330)&gt;0,"",STDEV(C319:C330))</f>
        <v>3.52492435998032</v>
      </c>
    </row>
    <row r="331" customFormat="false" ht="15" hidden="false" customHeight="true" outlineLevel="0" collapsed="false">
      <c r="A331" s="14" t="s">
        <v>352</v>
      </c>
      <c r="B331" s="14" t="n">
        <v>1260.25681818182</v>
      </c>
      <c r="C331" s="14" t="n">
        <f aca="false">IF(ISBLANK(B331),"",IF(ISBLANK(B330),"",LN(B331/B330)*100))</f>
        <v>1.21761694154755</v>
      </c>
      <c r="D331" s="14" t="n">
        <f aca="false">IF(COUNTBLANK(C329:C331)&gt;0,"",STDEV(C329:C331))</f>
        <v>2.23699401213247</v>
      </c>
      <c r="E331" s="14" t="n">
        <f aca="false">IF(COUNTBLANK(C320:C331)&gt;0,"",STDEV(C320:C331))</f>
        <v>3.52051559319288</v>
      </c>
    </row>
    <row r="332" customFormat="false" ht="15" hidden="false" customHeight="true" outlineLevel="0" collapsed="false">
      <c r="A332" s="14" t="s">
        <v>353</v>
      </c>
      <c r="B332" s="14" t="n">
        <v>1236.22142857143</v>
      </c>
      <c r="C332" s="14" t="n">
        <f aca="false">IF(ISBLANK(B332),"",IF(ISBLANK(B331),"",LN(B332/B331)*100))</f>
        <v>-1.92560318281221</v>
      </c>
      <c r="D332" s="14" t="n">
        <f aca="false">IF(COUNTBLANK(C330:C332)&gt;0,"",STDEV(C330:C332))</f>
        <v>1.7388820793847</v>
      </c>
      <c r="E332" s="14" t="n">
        <f aca="false">IF(COUNTBLANK(C321:C332)&gt;0,"",STDEV(C321:C332))</f>
        <v>3.20919731431481</v>
      </c>
    </row>
    <row r="333" customFormat="false" ht="15" hidden="false" customHeight="true" outlineLevel="0" collapsed="false">
      <c r="A333" s="14" t="s">
        <v>354</v>
      </c>
      <c r="B333" s="14" t="n">
        <v>1282.31590909091</v>
      </c>
      <c r="C333" s="14" t="n">
        <f aca="false">IF(ISBLANK(B333),"",IF(ISBLANK(B332),"",LN(B333/B332)*100))</f>
        <v>3.6608254770174</v>
      </c>
      <c r="D333" s="14" t="n">
        <f aca="false">IF(COUNTBLANK(C331:C333)&gt;0,"",STDEV(C331:C333))</f>
        <v>2.80051441314325</v>
      </c>
      <c r="E333" s="14" t="n">
        <f aca="false">IF(COUNTBLANK(C322:C333)&gt;0,"",STDEV(C322:C333))</f>
        <v>3.43891537941801</v>
      </c>
    </row>
    <row r="334" customFormat="false" ht="15" hidden="false" customHeight="true" outlineLevel="0" collapsed="false">
      <c r="A334" s="14" t="s">
        <v>355</v>
      </c>
      <c r="B334" s="14" t="n">
        <v>1314.97857142857</v>
      </c>
      <c r="C334" s="14" t="n">
        <f aca="false">IF(ISBLANK(B334),"",IF(ISBLANK(B333),"",LN(B334/B333)*100))</f>
        <v>2.51526229153892</v>
      </c>
      <c r="D334" s="14" t="n">
        <f aca="false">IF(COUNTBLANK(C332:C334)&gt;0,"",STDEV(C332:C334))</f>
        <v>2.95075657938133</v>
      </c>
      <c r="E334" s="14" t="n">
        <f aca="false">IF(COUNTBLANK(C323:C334)&gt;0,"",STDEV(C323:C334))</f>
        <v>3.52593086334264</v>
      </c>
    </row>
    <row r="335" customFormat="false" ht="15" hidden="false" customHeight="true" outlineLevel="0" collapsed="false">
      <c r="A335" s="14" t="s">
        <v>356</v>
      </c>
      <c r="B335" s="14" t="n">
        <v>1279.51363636364</v>
      </c>
      <c r="C335" s="14" t="n">
        <f aca="false">IF(ISBLANK(B335),"",IF(ISBLANK(B334),"",LN(B335/B334)*100))</f>
        <v>-2.73403358722502</v>
      </c>
      <c r="D335" s="14" t="n">
        <f aca="false">IF(COUNTBLANK(C333:C335)&gt;0,"",STDEV(C333:C335))</f>
        <v>3.4098300223094</v>
      </c>
      <c r="E335" s="14" t="n">
        <f aca="false">IF(COUNTBLANK(C324:C335)&gt;0,"",STDEV(C324:C335))</f>
        <v>3.34601249368336</v>
      </c>
    </row>
    <row r="336" customFormat="false" ht="15" hidden="false" customHeight="true" outlineLevel="0" collapsed="false">
      <c r="A336" s="14" t="s">
        <v>357</v>
      </c>
      <c r="B336" s="14" t="n">
        <v>1282.28409090909</v>
      </c>
      <c r="C336" s="14" t="n">
        <f aca="false">IF(ISBLANK(B336),"",IF(ISBLANK(B335),"",LN(B336/B335)*100))</f>
        <v>0.216289958883369</v>
      </c>
      <c r="D336" s="14" t="n">
        <f aca="false">IF(COUNTBLANK(C334:C336)&gt;0,"",STDEV(C334:C336))</f>
        <v>2.63137448354294</v>
      </c>
      <c r="E336" s="14" t="n">
        <f aca="false">IF(COUNTBLANK(C325:C336)&gt;0,"",STDEV(C325:C336))</f>
        <v>3.24992991820385</v>
      </c>
    </row>
    <row r="337" customFormat="false" ht="15" hidden="false" customHeight="true" outlineLevel="0" collapsed="false">
      <c r="A337" s="14" t="s">
        <v>358</v>
      </c>
      <c r="B337" s="14" t="n">
        <v>1261.25588235294</v>
      </c>
      <c r="C337" s="14" t="n">
        <f aca="false">IF(ISBLANK(B337),"",IF(ISBLANK(B336),"",LN(B337/B336)*100))</f>
        <v>-1.65349771399635</v>
      </c>
      <c r="D337" s="14" t="n">
        <f aca="false">IF(COUNTBLANK(C335:C337)&gt;0,"",STDEV(C335:C337))</f>
        <v>1.49265271366721</v>
      </c>
      <c r="E337" s="14" t="n">
        <f aca="false">IF(COUNTBLANK(C326:C337)&gt;0,"",STDEV(C326:C337))</f>
        <v>2.3908913704195</v>
      </c>
    </row>
    <row r="338" customFormat="false" ht="15" hidden="false" customHeight="true" outlineLevel="0" collapsed="false">
      <c r="A338" s="14" t="s">
        <v>359</v>
      </c>
      <c r="B338" s="14" t="n">
        <v>1331.66590909091</v>
      </c>
      <c r="C338" s="14" t="n">
        <f aca="false">IF(ISBLANK(B338),"",IF(ISBLANK(B337),"",LN(B338/B337)*100))</f>
        <v>5.43227650750397</v>
      </c>
      <c r="D338" s="14" t="n">
        <f aca="false">IF(COUNTBLANK(C336:C338)&gt;0,"",STDEV(C336:C338))</f>
        <v>3.67221136680889</v>
      </c>
      <c r="E338" s="14" t="n">
        <f aca="false">IF(COUNTBLANK(C327:C338)&gt;0,"",STDEV(C327:C338))</f>
        <v>2.64242275098843</v>
      </c>
    </row>
    <row r="339" customFormat="false" ht="15" hidden="false" customHeight="true" outlineLevel="0" collapsed="false">
      <c r="A339" s="14" t="s">
        <v>360</v>
      </c>
      <c r="B339" s="14" t="n">
        <v>1331.525</v>
      </c>
      <c r="C339" s="14" t="n">
        <f aca="false">IF(ISBLANK(B339),"",IF(ISBLANK(B338),"",LN(B339/B338)*100))</f>
        <v>-0.0105819744698236</v>
      </c>
      <c r="D339" s="14" t="n">
        <f aca="false">IF(COUNTBLANK(C337:C339)&gt;0,"",STDEV(C337:C339))</f>
        <v>3.70882004821067</v>
      </c>
      <c r="E339" s="14" t="n">
        <f aca="false">IF(COUNTBLANK(C328:C339)&gt;0,"",STDEV(C328:C339))</f>
        <v>2.52842826481291</v>
      </c>
    </row>
    <row r="340" customFormat="false" ht="15" hidden="false" customHeight="true" outlineLevel="0" collapsed="false">
      <c r="A340" s="14" t="s">
        <v>361</v>
      </c>
      <c r="B340" s="14" t="n">
        <v>1324.65714285714</v>
      </c>
      <c r="C340" s="14" t="n">
        <f aca="false">IF(ISBLANK(B340),"",IF(ISBLANK(B339),"",LN(B340/B339)*100))</f>
        <v>-0.517123606614103</v>
      </c>
      <c r="D340" s="14" t="n">
        <f aca="false">IF(COUNTBLANK(C338:C340)&gt;0,"",STDEV(C338:C340))</f>
        <v>3.29839998074212</v>
      </c>
      <c r="E340" s="14" t="n">
        <f aca="false">IF(COUNTBLANK(C329:C340)&gt;0,"",STDEV(C329:C340))</f>
        <v>2.5375924616144</v>
      </c>
    </row>
    <row r="341" customFormat="false" ht="15" hidden="false" customHeight="true" outlineLevel="0" collapsed="false">
      <c r="A341" s="14" t="s">
        <v>362</v>
      </c>
      <c r="B341" s="14" t="n">
        <v>1334.74</v>
      </c>
      <c r="C341" s="14" t="n">
        <f aca="false">IF(ISBLANK(B341),"",IF(ISBLANK(B340),"",LN(B341/B340)*100))</f>
        <v>0.758285048419176</v>
      </c>
      <c r="D341" s="14" t="n">
        <f aca="false">IF(COUNTBLANK(C339:C341)&gt;0,"",STDEV(C339:C341))</f>
        <v>0.642184833376833</v>
      </c>
      <c r="E341" s="14" t="n">
        <f aca="false">IF(COUNTBLANK(C330:C341)&gt;0,"",STDEV(C330:C341))</f>
        <v>2.4470766831519</v>
      </c>
    </row>
    <row r="342" customFormat="false" ht="15" hidden="false" customHeight="true" outlineLevel="0" collapsed="false">
      <c r="A342" s="14" t="s">
        <v>363</v>
      </c>
      <c r="B342" s="14" t="n">
        <v>1303.02619047619</v>
      </c>
      <c r="C342" s="14" t="n">
        <f aca="false">IF(ISBLANK(B342),"",IF(ISBLANK(B341),"",LN(B342/B341)*100))</f>
        <v>-2.40471182544634</v>
      </c>
      <c r="D342" s="14" t="n">
        <f aca="false">IF(COUNTBLANK(C340:C342)&gt;0,"",STDEV(C340:C342))</f>
        <v>1.59134145431305</v>
      </c>
      <c r="E342" s="14" t="n">
        <f aca="false">IF(COUNTBLANK(C331:C342)&gt;0,"",STDEV(C331:C342))</f>
        <v>2.51505084994589</v>
      </c>
    </row>
    <row r="343" customFormat="false" ht="15" hidden="false" customHeight="true" outlineLevel="0" collapsed="false">
      <c r="A343" s="14" t="s">
        <v>364</v>
      </c>
      <c r="B343" s="14" t="n">
        <v>1281.56666666667</v>
      </c>
      <c r="C343" s="14" t="n">
        <f aca="false">IF(ISBLANK(B343),"",IF(ISBLANK(B342),"",LN(B343/B342)*100))</f>
        <v>-1.66061102374281</v>
      </c>
      <c r="D343" s="14" t="n">
        <f aca="false">IF(COUNTBLANK(C341:C343)&gt;0,"",STDEV(C341:C343))</f>
        <v>1.65374793701557</v>
      </c>
      <c r="E343" s="14" t="n">
        <f aca="false">IF(COUNTBLANK(C332:C343)&gt;0,"",STDEV(C332:C343))</f>
        <v>2.56462000793825</v>
      </c>
    </row>
    <row r="344" customFormat="false" ht="15" hidden="false" customHeight="true" outlineLevel="0" collapsed="false">
      <c r="A344" s="14" t="s">
        <v>365</v>
      </c>
      <c r="B344" s="14" t="n">
        <v>1238.525</v>
      </c>
      <c r="C344" s="14" t="n">
        <f aca="false">IF(ISBLANK(B344),"",IF(ISBLANK(B343),"",LN(B344/B343)*100))</f>
        <v>-3.41621323864267</v>
      </c>
      <c r="D344" s="14" t="n">
        <f aca="false">IF(COUNTBLANK(C342:C344)&gt;0,"",STDEV(C342:C344))</f>
        <v>0.881188614784537</v>
      </c>
      <c r="E344" s="14" t="n">
        <f aca="false">IF(COUNTBLANK(C333:C344)&gt;0,"",STDEV(C333:C344))</f>
        <v>2.70595318446726</v>
      </c>
    </row>
    <row r="345" customFormat="false" ht="15" hidden="false" customHeight="true" outlineLevel="0" collapsed="false">
      <c r="A345" s="14" t="s">
        <v>366</v>
      </c>
      <c r="B345" s="14" t="n">
        <v>1201.24545454546</v>
      </c>
      <c r="C345" s="14" t="n">
        <f aca="false">IF(ISBLANK(B345),"",IF(ISBLANK(B344),"",LN(B345/B344)*100))</f>
        <v>-3.0562258094043</v>
      </c>
      <c r="D345" s="14" t="n">
        <f aca="false">IF(COUNTBLANK(C343:C345)&gt;0,"",STDEV(C343:C345))</f>
        <v>0.927314286540073</v>
      </c>
      <c r="E345" s="14" t="n">
        <f aca="false">IF(COUNTBLANK(C334:C345)&gt;0,"",STDEV(C334:C345))</f>
        <v>2.57490332811106</v>
      </c>
    </row>
    <row r="346" customFormat="false" ht="15" hidden="false" customHeight="true" outlineLevel="0" collapsed="false">
      <c r="A346" s="14" t="s">
        <v>367</v>
      </c>
      <c r="B346" s="14" t="n">
        <v>1198.4725</v>
      </c>
      <c r="C346" s="14" t="n">
        <f aca="false">IF(ISBLANK(B346),"",IF(ISBLANK(B345),"",LN(B346/B345)*100))</f>
        <v>-0.231106807732253</v>
      </c>
      <c r="D346" s="14" t="n">
        <f aca="false">IF(COUNTBLANK(C344:C346)&gt;0,"",STDEV(C344:C346))</f>
        <v>1.74431415839412</v>
      </c>
      <c r="E346" s="14" t="n">
        <f aca="false">IF(COUNTBLANK(C335:C346)&gt;0,"",STDEV(C335:C346))</f>
        <v>2.39393835302583</v>
      </c>
    </row>
    <row r="347" customFormat="false" ht="15" hidden="false" customHeight="true" outlineLevel="0" collapsed="false">
      <c r="A347" s="14" t="s">
        <v>368</v>
      </c>
      <c r="B347" s="14" t="n">
        <v>1215.39347826087</v>
      </c>
      <c r="C347" s="14" t="n">
        <f aca="false">IF(ISBLANK(B347),"",IF(ISBLANK(B346),"",LN(B347/B346)*100))</f>
        <v>1.40200455040512</v>
      </c>
      <c r="D347" s="14" t="n">
        <f aca="false">IF(COUNTBLANK(C345:C347)&gt;0,"",STDEV(C345:C347))</f>
        <v>2.25551797535186</v>
      </c>
      <c r="E347" s="14" t="n">
        <f aca="false">IF(COUNTBLANK(C336:C347)&gt;0,"",STDEV(C336:C347))</f>
        <v>2.38366864197258</v>
      </c>
    </row>
    <row r="348" customFormat="false" ht="15" hidden="false" customHeight="true" outlineLevel="0" collapsed="false">
      <c r="A348" s="14" t="s">
        <v>369</v>
      </c>
      <c r="B348" s="14" t="n">
        <v>1220.94545454546</v>
      </c>
      <c r="C348" s="14" t="n">
        <f aca="false">IF(ISBLANK(B348),"",IF(ISBLANK(B347),"",LN(B348/B347)*100))</f>
        <v>0.455764657401606</v>
      </c>
      <c r="D348" s="14" t="n">
        <f aca="false">IF(COUNTBLANK(C346:C348)&gt;0,"",STDEV(C346:C348))</f>
        <v>0.819981204337812</v>
      </c>
      <c r="E348" s="14" t="n">
        <f aca="false">IF(COUNTBLANK(C337:C348)&gt;0,"",STDEV(C337:C348))</f>
        <v>2.39054953230258</v>
      </c>
    </row>
    <row r="349" customFormat="false" ht="15" hidden="false" customHeight="true" outlineLevel="0" collapsed="false">
      <c r="A349" s="14" t="s">
        <v>370</v>
      </c>
      <c r="B349" s="14" t="n">
        <v>1247.92352941177</v>
      </c>
      <c r="C349" s="14" t="n">
        <f aca="false">IF(ISBLANK(B349),"",IF(ISBLANK(B348),"",LN(B349/B348)*100))</f>
        <v>2.18554722013082</v>
      </c>
      <c r="D349" s="14" t="n">
        <f aca="false">IF(COUNTBLANK(C347:C349)&gt;0,"",STDEV(C347:C349))</f>
        <v>0.866165569691522</v>
      </c>
      <c r="E349" s="14" t="n">
        <f aca="false">IF(COUNTBLANK(C338:C349)&gt;0,"",STDEV(C338:C349))</f>
        <v>2.46452475598154</v>
      </c>
    </row>
    <row r="350" customFormat="false" ht="15" hidden="false" customHeight="true" outlineLevel="0" collapsed="false">
      <c r="A350" s="14" t="s">
        <v>371</v>
      </c>
      <c r="B350" s="14" t="n">
        <v>1291.74545454546</v>
      </c>
      <c r="C350" s="14" t="n">
        <f aca="false">IF(ISBLANK(B350),"",IF(ISBLANK(B349),"",LN(B350/B349)*100))</f>
        <v>3.45133757843313</v>
      </c>
      <c r="D350" s="14" t="n">
        <f aca="false">IF(COUNTBLANK(C348:C350)&gt;0,"",STDEV(C348:C350))</f>
        <v>1.50376361566075</v>
      </c>
      <c r="E350" s="14" t="n">
        <f aca="false">IF(COUNTBLANK(C339:C350)&gt;0,"",STDEV(C339:C350))</f>
        <v>2.1005830798406</v>
      </c>
    </row>
    <row r="351" customFormat="false" ht="15" hidden="false" customHeight="true" outlineLevel="0" collapsed="false">
      <c r="A351" s="14" t="s">
        <v>372</v>
      </c>
      <c r="B351" s="14" t="n">
        <v>1320.065</v>
      </c>
      <c r="C351" s="14" t="n">
        <f aca="false">IF(ISBLANK(B351),"",IF(ISBLANK(B350),"",LN(B351/B350)*100))</f>
        <v>2.16866084657456</v>
      </c>
      <c r="D351" s="14" t="n">
        <f aca="false">IF(COUNTBLANK(C349:C351)&gt;0,"",STDEV(C349:C351))</f>
        <v>0.735727528735374</v>
      </c>
      <c r="E351" s="14" t="n">
        <f aca="false">IF(COUNTBLANK(C340:C351)&gt;0,"",STDEV(C340:C351))</f>
        <v>2.21461327801778</v>
      </c>
    </row>
    <row r="352" customFormat="false" ht="15" hidden="false" customHeight="true" outlineLevel="0" collapsed="false">
      <c r="A352" s="14" t="s">
        <v>373</v>
      </c>
      <c r="B352" s="14" t="n">
        <v>1300.89761904762</v>
      </c>
      <c r="C352" s="14" t="n">
        <f aca="false">IF(ISBLANK(B352),"",IF(ISBLANK(B351),"",LN(B352/B351)*100))</f>
        <v>-1.46264754211973</v>
      </c>
      <c r="D352" s="14" t="n">
        <f aca="false">IF(COUNTBLANK(C350:C352)&gt;0,"",STDEV(C350:C352))</f>
        <v>2.54882031461837</v>
      </c>
      <c r="E352" s="14" t="n">
        <f aca="false">IF(COUNTBLANK(C341:C352)&gt;0,"",STDEV(C341:C352))</f>
        <v>2.24845066075901</v>
      </c>
    </row>
    <row r="353" customFormat="false" ht="15" hidden="false" customHeight="true" outlineLevel="0" collapsed="false">
      <c r="A353" s="14" t="s">
        <v>374</v>
      </c>
      <c r="B353" s="14" t="n">
        <v>1286.445</v>
      </c>
      <c r="C353" s="14" t="n">
        <f aca="false">IF(ISBLANK(B353),"",IF(ISBLANK(B352),"",LN(B353/B352)*100))</f>
        <v>-1.11719022149409</v>
      </c>
      <c r="D353" s="14" t="n">
        <f aca="false">IF(COUNTBLANK(C351:C353)&gt;0,"",STDEV(C351:C353))</f>
        <v>2.00426872016134</v>
      </c>
      <c r="E353" s="14" t="n">
        <f aca="false">IF(COUNTBLANK(C342:C353)&gt;0,"",STDEV(C342:C353))</f>
        <v>2.24469257611079</v>
      </c>
    </row>
    <row r="354" customFormat="false" ht="15" hidden="false" customHeight="true" outlineLevel="0" collapsed="false">
      <c r="A354" s="14" t="s">
        <v>375</v>
      </c>
      <c r="B354" s="14" t="n">
        <v>1283.94761904762</v>
      </c>
      <c r="C354" s="14" t="n">
        <f aca="false">IF(ISBLANK(B354),"",IF(ISBLANK(B353),"",LN(B354/B353)*100))</f>
        <v>-0.194319087264253</v>
      </c>
      <c r="D354" s="14" t="n">
        <f aca="false">IF(COUNTBLANK(C352:C354)&gt;0,"",STDEV(C352:C354))</f>
        <v>0.655704323630269</v>
      </c>
      <c r="E354" s="14" t="n">
        <f aca="false">IF(COUNTBLANK(C343:C354)&gt;0,"",STDEV(C343:C354))</f>
        <v>2.14541274104794</v>
      </c>
    </row>
    <row r="355" customFormat="false" ht="15" hidden="false" customHeight="true" outlineLevel="0" collapsed="false">
      <c r="A355" s="14" t="s">
        <v>376</v>
      </c>
      <c r="B355" s="14" t="n">
        <v>1359.0425</v>
      </c>
      <c r="C355" s="14" t="n">
        <f aca="false">IF(ISBLANK(B355),"",IF(ISBLANK(B354),"",LN(B355/B354)*100))</f>
        <v>5.68409983734929</v>
      </c>
      <c r="D355" s="14" t="n">
        <f aca="false">IF(COUNTBLANK(C353:C355)&gt;0,"",STDEV(C353:C355))</f>
        <v>3.6892873441938</v>
      </c>
      <c r="E355" s="14" t="n">
        <f aca="false">IF(COUNTBLANK(C344:C355)&gt;0,"",STDEV(C344:C355))</f>
        <v>2.65419550139489</v>
      </c>
    </row>
    <row r="356" customFormat="false" ht="15" hidden="false" customHeight="true" outlineLevel="0" collapsed="false">
      <c r="A356" s="14" t="s">
        <v>377</v>
      </c>
      <c r="B356" s="14" t="n">
        <v>1412.97826086957</v>
      </c>
      <c r="C356" s="14" t="n">
        <f aca="false">IF(ISBLANK(B356),"",IF(ISBLANK(B355),"",LN(B356/B355)*100))</f>
        <v>3.89193108204043</v>
      </c>
      <c r="D356" s="14" t="n">
        <f aca="false">IF(COUNTBLANK(C354:C356)&gt;0,"",STDEV(C354:C356))</f>
        <v>3.01289225238536</v>
      </c>
      <c r="E356" s="14" t="n">
        <f aca="false">IF(COUNTBLANK(C345:C356)&gt;0,"",STDEV(C345:C356))</f>
        <v>2.51122403772531</v>
      </c>
    </row>
    <row r="357" customFormat="false" ht="15" hidden="false" customHeight="true" outlineLevel="0" collapsed="false">
      <c r="A357" s="14" t="s">
        <v>378</v>
      </c>
      <c r="B357" s="14" t="n">
        <v>1498.79761904762</v>
      </c>
      <c r="C357" s="14" t="n">
        <f aca="false">IF(ISBLANK(B357),"",IF(ISBLANK(B356),"",LN(B357/B356)*100))</f>
        <v>5.89634808684186</v>
      </c>
      <c r="D357" s="14" t="n">
        <f aca="false">IF(COUNTBLANK(C355:C357)&gt;0,"",STDEV(C355:C357))</f>
        <v>1.1011059361732</v>
      </c>
      <c r="E357" s="14" t="n">
        <f aca="false">IF(COUNTBLANK(C346:C357)&gt;0,"",STDEV(C346:C357))</f>
        <v>2.49460221035295</v>
      </c>
    </row>
    <row r="358" customFormat="false" ht="15" hidden="false" customHeight="true" outlineLevel="0" collapsed="false">
      <c r="A358" s="14" t="s">
        <v>379</v>
      </c>
      <c r="B358" s="14" t="n">
        <v>1511.31428571429</v>
      </c>
      <c r="C358" s="14" t="n">
        <f aca="false">IF(ISBLANK(B358),"",IF(ISBLANK(B357),"",LN(B358/B357)*100))</f>
        <v>0.831646078551411</v>
      </c>
      <c r="D358" s="14" t="n">
        <f aca="false">IF(COUNTBLANK(C356:C358)&gt;0,"",STDEV(C356:C358))</f>
        <v>2.55062862397025</v>
      </c>
      <c r="E358" s="14" t="n">
        <f aca="false">IF(COUNTBLANK(C347:C358)&gt;0,"",STDEV(C347:C358))</f>
        <v>2.4323143394923</v>
      </c>
    </row>
    <row r="359" customFormat="false" ht="15" hidden="false" customHeight="true" outlineLevel="0" collapsed="false">
      <c r="A359" s="14" t="s">
        <v>380</v>
      </c>
      <c r="B359" s="14" t="n">
        <v>1494.8</v>
      </c>
      <c r="C359" s="14" t="n">
        <f aca="false">IF(ISBLANK(B359),"",IF(ISBLANK(B358),"",LN(B359/B358)*100))</f>
        <v>-1.09872415200111</v>
      </c>
      <c r="D359" s="14" t="n">
        <f aca="false">IF(COUNTBLANK(C357:C359)&gt;0,"",STDEV(C357:C359))</f>
        <v>3.61267609228063</v>
      </c>
      <c r="E359" s="14" t="n">
        <f aca="false">IF(COUNTBLANK(C348:C359)&gt;0,"",STDEV(C348:C359))</f>
        <v>2.58430169245565</v>
      </c>
    </row>
    <row r="360" customFormat="false" ht="15" hidden="false" customHeight="true" outlineLevel="0" collapsed="false">
      <c r="A360" s="14" t="s">
        <v>381</v>
      </c>
      <c r="B360" s="14" t="n">
        <v>1470.01666666667</v>
      </c>
      <c r="C360" s="14" t="n">
        <f aca="false">IF(ISBLANK(B360),"",IF(ISBLANK(B359),"",LN(B360/B359)*100))</f>
        <v>-1.6718680034337</v>
      </c>
      <c r="D360" s="14" t="n">
        <f aca="false">IF(COUNTBLANK(C358:C360)&gt;0,"",STDEV(C358:C360))</f>
        <v>1.31164056688155</v>
      </c>
      <c r="E360" s="14" t="n">
        <f aca="false">IF(COUNTBLANK(C349:C360)&gt;0,"",STDEV(C349:C360))</f>
        <v>2.7471077470645</v>
      </c>
    </row>
    <row r="361" customFormat="false" ht="15" hidden="false" customHeight="true" outlineLevel="0" collapsed="false">
      <c r="A361" s="14" t="s">
        <v>382</v>
      </c>
      <c r="B361" s="14" t="n">
        <v>1476.04444444444</v>
      </c>
      <c r="C361" s="14" t="n">
        <f aca="false">IF(ISBLANK(B361),"",IF(ISBLANK(B360),"",LN(B361/B360)*100))</f>
        <v>0.409209854230869</v>
      </c>
      <c r="D361" s="14" t="n">
        <f aca="false">IF(COUNTBLANK(C359:C361)&gt;0,"",STDEV(C359:C361))</f>
        <v>1.07496076604742</v>
      </c>
      <c r="E361" s="14" t="n">
        <f aca="false">IF(COUNTBLANK(C350:C361)&gt;0,"",STDEV(C350:C361))</f>
        <v>2.75741529143562</v>
      </c>
    </row>
    <row r="362" customFormat="false" ht="15" hidden="false" customHeight="true" outlineLevel="0" collapsed="false">
      <c r="A362" s="14" t="s">
        <v>383</v>
      </c>
      <c r="B362" s="14" t="n">
        <v>1560.67272727273</v>
      </c>
      <c r="C362" s="14" t="n">
        <f aca="false">IF(ISBLANK(B362),"",IF(ISBLANK(B361),"",LN(B362/B361)*100))</f>
        <v>5.57511266002436</v>
      </c>
      <c r="D362" s="14" t="n">
        <f aca="false">IF(COUNTBLANK(C360:C362)&gt;0,"",STDEV(C360:C362))</f>
        <v>3.73131267306609</v>
      </c>
      <c r="E362" s="14" t="n">
        <f aca="false">IF(COUNTBLANK(C351:C362)&gt;0,"",STDEV(C351:C362))</f>
        <v>2.96170278985324</v>
      </c>
    </row>
    <row r="363" customFormat="false" ht="15" hidden="false" customHeight="true" outlineLevel="0" collapsed="false">
      <c r="A363" s="14" t="s">
        <v>384</v>
      </c>
      <c r="B363" s="14" t="n">
        <v>1597.1025</v>
      </c>
      <c r="C363" s="14" t="n">
        <f aca="false">IF(ISBLANK(B363),"",IF(ISBLANK(B362),"",LN(B363/B362)*100))</f>
        <v>2.30740862786679</v>
      </c>
      <c r="D363" s="14" t="n">
        <f aca="false">IF(COUNTBLANK(C361:C363)&gt;0,"",STDEV(C361:C363))</f>
        <v>2.61303144594284</v>
      </c>
      <c r="E363" s="14" t="n">
        <f aca="false">IF(COUNTBLANK(C352:C363)&gt;0,"",STDEV(C352:C363))</f>
        <v>2.96449626299644</v>
      </c>
    </row>
    <row r="364" customFormat="false" ht="15" hidden="false" customHeight="true" outlineLevel="0" collapsed="false">
      <c r="A364" s="14" t="s">
        <v>385</v>
      </c>
      <c r="B364" s="14" t="n">
        <v>1591.92727272727</v>
      </c>
      <c r="C364" s="14" t="n">
        <f aca="false">IF(ISBLANK(B364),"",IF(ISBLANK(B363),"",LN(B364/B363)*100))</f>
        <v>-0.324564659763955</v>
      </c>
      <c r="D364" s="14" t="n">
        <f aca="false">IF(COUNTBLANK(C362:C364)&gt;0,"",STDEV(C362:C364))</f>
        <v>2.95554184277055</v>
      </c>
      <c r="E364" s="14" t="n">
        <f aca="false">IF(COUNTBLANK(C353:C364)&gt;0,"",STDEV(C353:C364))</f>
        <v>2.87489261707643</v>
      </c>
    </row>
    <row r="365" customFormat="false" ht="15" hidden="false" customHeight="true" outlineLevel="0" collapsed="false">
      <c r="A365" s="14" t="s">
        <v>386</v>
      </c>
      <c r="B365" s="14" t="n">
        <v>1682.93</v>
      </c>
      <c r="C365" s="14" t="n">
        <f aca="false">IF(ISBLANK(B365),"",IF(ISBLANK(B364),"",LN(B365/B364)*100))</f>
        <v>5.55909185307122</v>
      </c>
      <c r="D365" s="14" t="n">
        <f aca="false">IF(COUNTBLANK(C363:C365)&gt;0,"",STDEV(C363:C365))</f>
        <v>2.94726260409286</v>
      </c>
      <c r="E365" s="14" t="n">
        <f aca="false">IF(COUNTBLANK(C354:C365)&gt;0,"",STDEV(C354:C365))</f>
        <v>2.92934059405651</v>
      </c>
    </row>
    <row r="366" customFormat="false" ht="15" hidden="false" customHeight="true" outlineLevel="0" collapsed="false">
      <c r="A366" s="14" t="s">
        <v>387</v>
      </c>
      <c r="B366" s="14" t="n">
        <v>1716.38157894737</v>
      </c>
      <c r="C366" s="14" t="n">
        <f aca="false">IF(ISBLANK(B366),"",IF(ISBLANK(B365),"",LN(B366/B365)*100))</f>
        <v>1.96820197510571</v>
      </c>
      <c r="D366" s="14" t="n">
        <f aca="false">IF(COUNTBLANK(C364:C366)&gt;0,"",STDEV(C364:C366))</f>
        <v>2.96559951551887</v>
      </c>
      <c r="E366" s="14" t="n">
        <f aca="false">IF(COUNTBLANK(C355:C366)&gt;0,"",STDEV(C355:C366))</f>
        <v>2.83091582151992</v>
      </c>
    </row>
    <row r="367" customFormat="false" ht="15" hidden="false" customHeight="true" outlineLevel="0" collapsed="false">
      <c r="A367" s="14" t="s">
        <v>388</v>
      </c>
      <c r="B367" s="14" t="n">
        <v>1732.21818181818</v>
      </c>
      <c r="C367" s="14" t="n">
        <f aca="false">IF(ISBLANK(B367),"",IF(ISBLANK(B366),"",LN(B367/B366)*100))</f>
        <v>0.918443153301796</v>
      </c>
      <c r="D367" s="14" t="n">
        <f aca="false">IF(COUNTBLANK(C365:C367)&gt;0,"",STDEV(C365:C367))</f>
        <v>2.43351953811422</v>
      </c>
      <c r="E367" s="14" t="n">
        <f aca="false">IF(COUNTBLANK(C356:C367)&gt;0,"",STDEV(C356:C367))</f>
        <v>2.66036589662712</v>
      </c>
    </row>
    <row r="368" customFormat="false" ht="15" hidden="false" customHeight="true" outlineLevel="0" collapsed="false">
      <c r="A368" s="14" t="s">
        <v>389</v>
      </c>
      <c r="B368" s="14" t="n">
        <v>1843.31304347826</v>
      </c>
      <c r="C368" s="14" t="n">
        <f aca="false">IF(ISBLANK(B368),"",IF(ISBLANK(B367),"",LN(B368/B367)*100))</f>
        <v>6.21617464176807</v>
      </c>
      <c r="D368" s="14" t="n">
        <f aca="false">IF(COUNTBLANK(C366:C368)&gt;0,"",STDEV(C366:C368))</f>
        <v>2.80515074712432</v>
      </c>
      <c r="E368" s="14" t="n">
        <f aca="false">IF(COUNTBLANK(C357:C368)&gt;0,"",STDEV(C357:C368))</f>
        <v>2.88409399437965</v>
      </c>
    </row>
    <row r="369" customFormat="false" ht="15" hidden="false" customHeight="true" outlineLevel="0" collapsed="false">
      <c r="A369" s="14" t="s">
        <v>390</v>
      </c>
      <c r="B369" s="14" t="n">
        <v>1968.03095238095</v>
      </c>
      <c r="C369" s="14" t="n">
        <f aca="false">IF(ISBLANK(B369),"",IF(ISBLANK(B368),"",LN(B369/B368)*100))</f>
        <v>6.54690066913256</v>
      </c>
      <c r="D369" s="14" t="n">
        <f aca="false">IF(COUNTBLANK(C367:C369)&gt;0,"",STDEV(C367:C369))</f>
        <v>3.15845090291045</v>
      </c>
      <c r="E369" s="14" t="n">
        <f aca="false">IF(COUNTBLANK(C358:C369)&gt;0,"",STDEV(C358:C369))</f>
        <v>2.96456418216822</v>
      </c>
    </row>
    <row r="370" customFormat="false" ht="15" hidden="false" customHeight="true" outlineLevel="0" collapsed="false">
      <c r="A370" s="14" t="s">
        <v>391</v>
      </c>
      <c r="B370" s="14" t="n">
        <v>1922.21363636364</v>
      </c>
      <c r="C370" s="14" t="n">
        <f aca="false">IF(ISBLANK(B370),"",IF(ISBLANK(B369),"",LN(B370/B369)*100))</f>
        <v>-2.35560688163231</v>
      </c>
      <c r="D370" s="14" t="n">
        <f aca="false">IF(COUNTBLANK(C368:C370)&gt;0,"",STDEV(C368:C370))</f>
        <v>5.04710245060652</v>
      </c>
      <c r="E370" s="14" t="n">
        <f aca="false">IF(COUNTBLANK(C359:C370)&gt;0,"",STDEV(C359:C370))</f>
        <v>3.23551739578113</v>
      </c>
    </row>
    <row r="371" customFormat="false" ht="15" hidden="false" customHeight="true" outlineLevel="0" collapsed="false">
      <c r="A371" s="14" t="s">
        <v>392</v>
      </c>
      <c r="B371" s="14" t="n">
        <v>1900.275</v>
      </c>
      <c r="C371" s="14" t="n">
        <f aca="false">IF(ISBLANK(B371),"",IF(ISBLANK(B370),"",LN(B371/B370)*100))</f>
        <v>-1.14788449847722</v>
      </c>
      <c r="D371" s="14" t="n">
        <f aca="false">IF(COUNTBLANK(C369:C371)&gt;0,"",STDEV(C369:C371))</f>
        <v>4.82912954236866</v>
      </c>
      <c r="E371" s="14" t="n">
        <f aca="false">IF(COUNTBLANK(C360:C371)&gt;0,"",STDEV(C360:C371))</f>
        <v>3.23983154609604</v>
      </c>
    </row>
    <row r="372" customFormat="false" ht="15" hidden="false" customHeight="true" outlineLevel="0" collapsed="false">
      <c r="A372" s="14" t="s">
        <v>393</v>
      </c>
      <c r="B372" s="14" t="n">
        <v>1863.49285714286</v>
      </c>
      <c r="C372" s="14" t="n">
        <f aca="false">IF(ISBLANK(B372),"",IF(ISBLANK(B371),"",LN(B372/B371)*100))</f>
        <v>-1.95460056443816</v>
      </c>
      <c r="D372" s="14" t="n">
        <f aca="false">IF(COUNTBLANK(C370:C372)&gt;0,"",STDEV(C370:C372))</f>
        <v>0.615113842076259</v>
      </c>
      <c r="E372" s="14" t="n">
        <f aca="false">IF(COUNTBLANK(C361:C372)&gt;0,"",STDEV(C361:C372))</f>
        <v>3.26985142308285</v>
      </c>
    </row>
    <row r="373" customFormat="false" ht="15" hidden="false" customHeight="true" outlineLevel="0" collapsed="false">
      <c r="A373" s="14" t="s">
        <v>394</v>
      </c>
      <c r="B373" s="14" t="n">
        <v>1855.9552631579</v>
      </c>
      <c r="C373" s="14" t="n">
        <f aca="false">IF(ISBLANK(B373),"",IF(ISBLANK(B372),"",LN(B373/B372)*100))</f>
        <v>-0.40530767252408</v>
      </c>
      <c r="D373" s="14" t="n">
        <f aca="false">IF(COUNTBLANK(C371:C373)&gt;0,"",STDEV(C371:C373))</f>
        <v>0.774867689615202</v>
      </c>
      <c r="E373" s="14" t="n">
        <f aca="false">IF(COUNTBLANK(C362:C373)&gt;0,"",STDEV(C362:C373))</f>
        <v>3.31350568373192</v>
      </c>
    </row>
    <row r="374" customFormat="false" ht="15" hidden="false" customHeight="true" outlineLevel="0" collapsed="false">
      <c r="A374" s="14" t="s">
        <v>395</v>
      </c>
      <c r="B374" s="14" t="n">
        <v>1866.985</v>
      </c>
      <c r="C374" s="14" t="n">
        <f aca="false">IF(ISBLANK(B374),"",IF(ISBLANK(B373),"",LN(B374/B373)*100))</f>
        <v>0.592530007620606</v>
      </c>
      <c r="D374" s="14" t="n">
        <f aca="false">IF(COUNTBLANK(C372:C374)&gt;0,"",STDEV(C372:C374))</f>
        <v>1.28347592186014</v>
      </c>
      <c r="E374" s="14" t="n">
        <f aca="false">IF(COUNTBLANK(C363:C374)&gt;0,"",STDEV(C363:C374))</f>
        <v>3.11874888454669</v>
      </c>
    </row>
    <row r="375" customFormat="false" ht="15" hidden="false" customHeight="true" outlineLevel="0" collapsed="false">
      <c r="A375" s="14" t="s">
        <v>396</v>
      </c>
      <c r="B375" s="14" t="n">
        <v>1808.175</v>
      </c>
      <c r="C375" s="14" t="n">
        <f aca="false">IF(ISBLANK(B375),"",IF(ISBLANK(B374),"",LN(B375/B374)*100))</f>
        <v>-3.20067809263814</v>
      </c>
      <c r="D375" s="14" t="n">
        <f aca="false">IF(COUNTBLANK(C373:C375)&gt;0,"",STDEV(C373:C375))</f>
        <v>1.966308025778</v>
      </c>
      <c r="E375" s="14" t="n">
        <f aca="false">IF(COUNTBLANK(C364:C375)&gt;0,"",STDEV(C364:C375))</f>
        <v>3.38225363118655</v>
      </c>
    </row>
    <row r="376" customFormat="false" ht="15" hidden="false" customHeight="true" outlineLevel="0" collapsed="false">
      <c r="A376" s="14" t="s">
        <v>397</v>
      </c>
      <c r="B376" s="14" t="n">
        <v>1718.22826086957</v>
      </c>
      <c r="C376" s="14" t="n">
        <f aca="false">IF(ISBLANK(B376),"",IF(ISBLANK(B375),"",LN(B376/B375)*100))</f>
        <v>-5.1024370283689</v>
      </c>
      <c r="D376" s="14" t="n">
        <f aca="false">IF(COUNTBLANK(C374:C376)&gt;0,"",STDEV(C374:C376))</f>
        <v>2.89936097219449</v>
      </c>
      <c r="E376" s="14" t="n">
        <f aca="false">IF(COUNTBLANK(C365:C376)&gt;0,"",STDEV(C365:C376))</f>
        <v>3.81084101031168</v>
      </c>
    </row>
    <row r="377" customFormat="false" ht="15" hidden="false" customHeight="true" outlineLevel="0" collapsed="false">
      <c r="A377" s="14" t="s">
        <v>398</v>
      </c>
      <c r="B377" s="14" t="n">
        <v>1761.6775</v>
      </c>
      <c r="C377" s="14" t="n">
        <f aca="false">IF(ISBLANK(B377),"",IF(ISBLANK(B376),"",LN(B377/B376)*100))</f>
        <v>2.49728010771956</v>
      </c>
      <c r="D377" s="14" t="n">
        <f aca="false">IF(COUNTBLANK(C375:C377)&gt;0,"",STDEV(C375:C377))</f>
        <v>3.9547253434175</v>
      </c>
      <c r="E377" s="14" t="n">
        <f aca="false">IF(COUNTBLANK(C366:C377)&gt;0,"",STDEV(C366:C377))</f>
        <v>3.54446239232851</v>
      </c>
    </row>
    <row r="378" customFormat="false" ht="15" hidden="false" customHeight="true" outlineLevel="0" collapsed="false">
      <c r="A378" s="14" t="s">
        <v>399</v>
      </c>
      <c r="B378" s="14" t="n">
        <v>1855.56</v>
      </c>
      <c r="C378" s="14" t="n">
        <f aca="false">IF(ISBLANK(B378),"",IF(ISBLANK(B377),"",LN(B378/B377)*100))</f>
        <v>5.19200571783596</v>
      </c>
      <c r="D378" s="14" t="n">
        <f aca="false">IF(COUNTBLANK(C376:C378)&gt;0,"",STDEV(C376:C378))</f>
        <v>5.3384267051455</v>
      </c>
      <c r="E378" s="14" t="n">
        <f aca="false">IF(COUNTBLANK(C367:C378)&gt;0,"",STDEV(C367:C378))</f>
        <v>3.78940262003929</v>
      </c>
    </row>
    <row r="379" customFormat="false" ht="15" hidden="false" customHeight="true" outlineLevel="0" collapsed="false">
      <c r="A379" s="14" t="s">
        <v>400</v>
      </c>
      <c r="B379" s="14" t="n">
        <v>1834.56590909091</v>
      </c>
      <c r="C379" s="14" t="n">
        <f aca="false">IF(ISBLANK(B379),"",IF(ISBLANK(B378),"",LN(B379/B378)*100))</f>
        <v>-1.13786455751445</v>
      </c>
      <c r="D379" s="14" t="n">
        <f aca="false">IF(COUNTBLANK(C377:C379)&gt;0,"",STDEV(C377:C379))</f>
        <v>3.17655685068391</v>
      </c>
      <c r="E379" s="14" t="n">
        <f aca="false">IF(COUNTBLANK(C368:C379)&gt;0,"",STDEV(C368:C379))</f>
        <v>3.82249603788655</v>
      </c>
    </row>
    <row r="380" customFormat="false" ht="15" hidden="false" customHeight="true" outlineLevel="0" collapsed="false">
      <c r="A380" s="14" t="s">
        <v>401</v>
      </c>
      <c r="B380" s="14" t="n">
        <v>1807.09318181818</v>
      </c>
      <c r="C380" s="14" t="n">
        <f aca="false">IF(ISBLANK(B380),"",IF(ISBLANK(B379),"",LN(B380/B379)*100))</f>
        <v>-1.50883142996084</v>
      </c>
      <c r="D380" s="14" t="n">
        <f aca="false">IF(COUNTBLANK(C378:C380)&gt;0,"",STDEV(C378:C380))</f>
        <v>3.76621146079432</v>
      </c>
      <c r="E380" s="14" t="n">
        <f aca="false">IF(COUNTBLANK(C369:C380)&gt;0,"",STDEV(C369:C380))</f>
        <v>3.39491489932204</v>
      </c>
    </row>
    <row r="381" customFormat="false" ht="15" hidden="false" customHeight="true" outlineLevel="0" collapsed="false">
      <c r="A381" s="14" t="s">
        <v>402</v>
      </c>
      <c r="B381" s="14" t="n">
        <v>1783.96904761905</v>
      </c>
      <c r="C381" s="14" t="n">
        <f aca="false">IF(ISBLANK(B381),"",IF(ISBLANK(B380),"",LN(B381/B380)*100))</f>
        <v>-1.28788934004664</v>
      </c>
      <c r="D381" s="14" t="n">
        <f aca="false">IF(COUNTBLANK(C379:C381)&gt;0,"",STDEV(C379:C381))</f>
        <v>0.186609781327306</v>
      </c>
      <c r="E381" s="14" t="n">
        <f aca="false">IF(COUNTBLANK(C370:C381)&gt;0,"",STDEV(C370:C381))</f>
        <v>2.66065597455846</v>
      </c>
    </row>
    <row r="382" customFormat="false" ht="15" hidden="false" customHeight="true" outlineLevel="0" collapsed="false">
      <c r="A382" s="14" t="s">
        <v>403</v>
      </c>
      <c r="B382" s="14" t="n">
        <v>1777.25227272727</v>
      </c>
      <c r="C382" s="14" t="n">
        <f aca="false">IF(ISBLANK(B382),"",IF(ISBLANK(B381),"",LN(B382/B381)*100))</f>
        <v>-0.377217940261543</v>
      </c>
      <c r="D382" s="14" t="n">
        <f aca="false">IF(COUNTBLANK(C380:C382)&gt;0,"",STDEV(C380:C382))</f>
        <v>0.599817596656354</v>
      </c>
      <c r="E382" s="14" t="n">
        <f aca="false">IF(COUNTBLANK(C371:C382)&gt;0,"",STDEV(C371:C382))</f>
        <v>2.61768392796764</v>
      </c>
    </row>
    <row r="383" customFormat="false" ht="15" hidden="false" customHeight="true" outlineLevel="0" collapsed="false">
      <c r="A383" s="14" t="s">
        <v>404</v>
      </c>
      <c r="B383" s="14" t="n">
        <v>1776.85476190476</v>
      </c>
      <c r="C383" s="14" t="n">
        <f aca="false">IF(ISBLANK(B383),"",IF(ISBLANK(B382),"",LN(B383/B382)*100))</f>
        <v>-0.0223690969514605</v>
      </c>
      <c r="D383" s="14" t="n">
        <f aca="false">IF(COUNTBLANK(C381:C383)&gt;0,"",STDEV(C381:C383))</f>
        <v>0.652786538064412</v>
      </c>
      <c r="E383" s="14" t="n">
        <f aca="false">IF(COUNTBLANK(C372:C383)&gt;0,"",STDEV(C372:C383))</f>
        <v>2.61851967480665</v>
      </c>
    </row>
    <row r="384" customFormat="false" ht="15" hidden="false" customHeight="true" outlineLevel="0" collapsed="false">
      <c r="A384" s="14" t="s">
        <v>405</v>
      </c>
      <c r="B384" s="14" t="n">
        <v>1820.23409090909</v>
      </c>
      <c r="C384" s="14" t="n">
        <f aca="false">IF(ISBLANK(B384),"",IF(ISBLANK(B383),"",LN(B384/B383)*100))</f>
        <v>2.41203005504514</v>
      </c>
      <c r="D384" s="14" t="n">
        <f aca="false">IF(COUNTBLANK(C382:C384)&gt;0,"",STDEV(C382:C384))</f>
        <v>1.51833907676352</v>
      </c>
      <c r="E384" s="14" t="n">
        <f aca="false">IF(COUNTBLANK(C373:C384)&gt;0,"",STDEV(C373:C384))</f>
        <v>2.70888827316466</v>
      </c>
    </row>
    <row r="385" customFormat="false" ht="15" hidden="false" customHeight="true" outlineLevel="0" collapsed="false">
      <c r="A385" s="14" t="s">
        <v>406</v>
      </c>
      <c r="B385" s="14" t="n">
        <v>1786.65263157895</v>
      </c>
      <c r="C385" s="14" t="n">
        <f aca="false">IF(ISBLANK(B385),"",IF(ISBLANK(B384),"",LN(B385/B384)*100))</f>
        <v>-1.86212832721008</v>
      </c>
      <c r="D385" s="14" t="n">
        <f aca="false">IF(COUNTBLANK(C383:C385)&gt;0,"",STDEV(C383:C385))</f>
        <v>2.14396218612355</v>
      </c>
      <c r="E385" s="14" t="n">
        <f aca="false">IF(COUNTBLANK(C374:C385)&gt;0,"",STDEV(C374:C385))</f>
        <v>2.75144482864357</v>
      </c>
    </row>
    <row r="386" customFormat="false" ht="15" hidden="false" customHeight="true" outlineLevel="0" collapsed="false">
      <c r="A386" s="14" t="s">
        <v>407</v>
      </c>
      <c r="B386" s="14" t="n">
        <v>1816.765</v>
      </c>
      <c r="C386" s="14" t="n">
        <f aca="false">IF(ISBLANK(B386),"",IF(ISBLANK(B385),"",LN(B386/B385)*100))</f>
        <v>1.67136160583153</v>
      </c>
      <c r="D386" s="14" t="n">
        <f aca="false">IF(COUNTBLANK(C384:C386)&gt;0,"",STDEV(C384:C386))</f>
        <v>2.28409612812777</v>
      </c>
      <c r="E386" s="14" t="n">
        <f aca="false">IF(COUNTBLANK(C375:C386)&gt;0,"",STDEV(C375:C386))</f>
        <v>2.8010479307807</v>
      </c>
    </row>
    <row r="387" customFormat="false" ht="15" hidden="false" customHeight="true" outlineLevel="0" collapsed="false">
      <c r="A387" s="14" t="s">
        <v>408</v>
      </c>
      <c r="B387" s="14" t="n">
        <v>1856.295</v>
      </c>
      <c r="C387" s="14" t="n">
        <f aca="false">IF(ISBLANK(B387),"",IF(ISBLANK(B386),"",LN(B387/B386)*100))</f>
        <v>2.15251187167534</v>
      </c>
      <c r="D387" s="14" t="n">
        <f aca="false">IF(COUNTBLANK(C385:C387)&gt;0,"",STDEV(C385:C387))</f>
        <v>2.19219800701392</v>
      </c>
      <c r="E387" s="14" t="n">
        <f aca="false">IF(COUNTBLANK(C376:C387)&gt;0,"",STDEV(C376:C387))</f>
        <v>2.70921440355652</v>
      </c>
    </row>
    <row r="388" customFormat="false" ht="15" hidden="false" customHeight="true" outlineLevel="0" collapsed="false">
      <c r="A388" s="14" t="s">
        <v>409</v>
      </c>
      <c r="B388" s="14" t="n">
        <v>1947.82826086957</v>
      </c>
      <c r="C388" s="14" t="n">
        <f aca="false">IF(ISBLANK(B388),"",IF(ISBLANK(B387),"",LN(B388/B387)*100))</f>
        <v>4.81324738633257</v>
      </c>
      <c r="D388" s="14" t="n">
        <f aca="false">IF(COUNTBLANK(C386:C388)&gt;0,"",STDEV(C386:C388))</f>
        <v>1.69226009205611</v>
      </c>
      <c r="E388" s="14" t="n">
        <f aca="false">IF(COUNTBLANK(C377:C388)&gt;0,"",STDEV(C377:C388))</f>
        <v>2.43715269021387</v>
      </c>
    </row>
    <row r="389" customFormat="false" ht="15" hidden="false" customHeight="true" outlineLevel="0" collapsed="false">
      <c r="A389" s="14" t="s">
        <v>410</v>
      </c>
      <c r="B389" s="14" t="n">
        <v>1933.9</v>
      </c>
      <c r="C389" s="14" t="n">
        <f aca="false">IF(ISBLANK(B389),"",IF(ISBLANK(B388),"",LN(B389/B388)*100))</f>
        <v>-0.717635017648219</v>
      </c>
      <c r="D389" s="14" t="n">
        <f aca="false">IF(COUNTBLANK(C387:C389)&gt;0,"",STDEV(C387:C389))</f>
        <v>2.76610185435257</v>
      </c>
      <c r="E389" s="14" t="n">
        <f aca="false">IF(COUNTBLANK(C378:C389)&gt;0,"",STDEV(C378:C389))</f>
        <v>2.43971772242725</v>
      </c>
    </row>
    <row r="390" customFormat="false" ht="15" hidden="false" customHeight="true" outlineLevel="0" collapsed="false">
      <c r="A390" s="14" t="s">
        <v>411</v>
      </c>
      <c r="B390" s="14" t="n">
        <v>1849.83318181818</v>
      </c>
      <c r="C390" s="14" t="n">
        <f aca="false">IF(ISBLANK(B390),"",IF(ISBLANK(B389),"",LN(B390/B389)*100))</f>
        <v>-4.44432263517937</v>
      </c>
      <c r="D390" s="14" t="n">
        <f aca="false">IF(COUNTBLANK(C388:C390)&gt;0,"",STDEV(C388:C390))</f>
        <v>4.65799426557041</v>
      </c>
      <c r="E390" s="14" t="n">
        <f aca="false">IF(COUNTBLANK(C379:C390)&gt;0,"",STDEV(C379:C390))</f>
        <v>2.4404045944325</v>
      </c>
    </row>
    <row r="391" customFormat="false" ht="15" hidden="false" customHeight="true" outlineLevel="0" collapsed="false">
      <c r="A391" s="14" t="s">
        <v>412</v>
      </c>
      <c r="B391" s="14" t="n">
        <v>1837.06409090909</v>
      </c>
      <c r="C391" s="14" t="n">
        <f aca="false">IF(ISBLANK(B391),"",IF(ISBLANK(B390),"",LN(B391/B390)*100))</f>
        <v>-0.692676851005132</v>
      </c>
      <c r="D391" s="14" t="n">
        <f aca="false">IF(COUNTBLANK(C389:C391)&gt;0,"",STDEV(C389:C391))</f>
        <v>2.15884496890716</v>
      </c>
      <c r="E391" s="14" t="n">
        <f aca="false">IF(COUNTBLANK(C380:C391)&gt;0,"",STDEV(C380:C391))</f>
        <v>2.4252985763388</v>
      </c>
    </row>
    <row r="392" customFormat="false" ht="15" hidden="false" customHeight="true" outlineLevel="0" collapsed="false">
      <c r="A392" s="14" t="s">
        <v>413</v>
      </c>
      <c r="B392" s="14" t="n">
        <v>1737.38047619048</v>
      </c>
      <c r="C392" s="14" t="n">
        <f aca="false">IF(ISBLANK(B392),"",IF(ISBLANK(B391),"",LN(B392/B391)*100))</f>
        <v>-5.57901891153862</v>
      </c>
      <c r="D392" s="14" t="n">
        <f aca="false">IF(COUNTBLANK(C390:C392)&gt;0,"",STDEV(C390:C392))</f>
        <v>2.55730067525749</v>
      </c>
      <c r="E392" s="14" t="n">
        <f aca="false">IF(COUNTBLANK(C381:C392)&gt;0,"",STDEV(C381:C392))</f>
        <v>2.89613317892463</v>
      </c>
    </row>
    <row r="393" customFormat="false" ht="15" hidden="false" customHeight="true" outlineLevel="0" collapsed="false">
      <c r="A393" s="14" t="s">
        <v>414</v>
      </c>
      <c r="B393" s="14" t="n">
        <v>1764.13260869565</v>
      </c>
      <c r="C393" s="14" t="n">
        <f aca="false">IF(ISBLANK(B393),"",IF(ISBLANK(B392),"",LN(B393/B392)*100))</f>
        <v>1.52806243477506</v>
      </c>
      <c r="D393" s="14" t="n">
        <f aca="false">IF(COUNTBLANK(C391:C393)&gt;0,"",STDEV(C391:C393))</f>
        <v>3.63590032341982</v>
      </c>
      <c r="E393" s="14" t="n">
        <f aca="false">IF(COUNTBLANK(C382:C393)&gt;0,"",STDEV(C382:C393))</f>
        <v>2.925209463659</v>
      </c>
    </row>
    <row r="394" customFormat="false" ht="15" hidden="false" customHeight="true" outlineLevel="0" collapsed="false">
      <c r="A394" s="14" t="s">
        <v>415</v>
      </c>
      <c r="B394" s="14" t="n">
        <v>1683.20818181818</v>
      </c>
      <c r="C394" s="14" t="n">
        <f aca="false">IF(ISBLANK(B394),"",IF(ISBLANK(B393),"",LN(B394/B393)*100))</f>
        <v>-4.69575253361284</v>
      </c>
      <c r="D394" s="14" t="n">
        <f aca="false">IF(COUNTBLANK(C392:C394)&gt;0,"",STDEV(C392:C394))</f>
        <v>3.87355645194058</v>
      </c>
      <c r="E394" s="14" t="n">
        <f aca="false">IF(COUNTBLANK(C383:C394)&gt;0,"",STDEV(C383:C394))</f>
        <v>3.21465690309307</v>
      </c>
    </row>
    <row r="395" customFormat="false" ht="15" hidden="false" customHeight="true" outlineLevel="0" collapsed="false">
      <c r="A395" s="14" t="s">
        <v>416</v>
      </c>
      <c r="B395" s="14" t="n">
        <v>1666.62666666667</v>
      </c>
      <c r="C395" s="14" t="n">
        <f aca="false">IF(ISBLANK(B395),"",IF(ISBLANK(B394),"",LN(B395/B394)*100))</f>
        <v>-0.98999809425187</v>
      </c>
      <c r="D395" s="14" t="n">
        <f aca="false">IF(COUNTBLANK(C393:C395)&gt;0,"",STDEV(C393:C395))</f>
        <v>3.13073786705882</v>
      </c>
      <c r="E395" s="14" t="n">
        <f aca="false">IF(COUNTBLANK(C384:C395)&gt;0,"",STDEV(C384:C395))</f>
        <v>3.21500736969372</v>
      </c>
    </row>
    <row r="396" customFormat="false" ht="15" hidden="false" customHeight="true" outlineLevel="0" collapsed="false">
      <c r="A396" s="14" t="s">
        <v>417</v>
      </c>
      <c r="B396" s="14" t="n">
        <v>1727.89863636364</v>
      </c>
      <c r="C396" s="14" t="n">
        <f aca="false">IF(ISBLANK(B396),"",IF(ISBLANK(B395),"",LN(B396/B395)*100))</f>
        <v>3.61043856715569</v>
      </c>
      <c r="D396" s="14" t="n">
        <f aca="false">IF(COUNTBLANK(C394:C396)&gt;0,"",STDEV(C394:C396))</f>
        <v>4.1611185203611</v>
      </c>
      <c r="E396" s="14" t="n">
        <f aca="false">IF(COUNTBLANK(C385:C396)&gt;0,"",STDEV(C385:C396))</f>
        <v>3.33133684709541</v>
      </c>
    </row>
    <row r="397" customFormat="false" ht="15" hidden="false" customHeight="true" outlineLevel="0" collapsed="false">
      <c r="A397" s="14" t="s">
        <v>418</v>
      </c>
      <c r="B397" s="14" t="n">
        <v>1797.40818181818</v>
      </c>
      <c r="C397" s="14" t="n">
        <f aca="false">IF(ISBLANK(B397),"",IF(ISBLANK(B396),"",LN(B397/B396)*100))</f>
        <v>3.9439719111929</v>
      </c>
      <c r="D397" s="14" t="n">
        <f aca="false">IF(COUNTBLANK(C395:C397)&gt;0,"",STDEV(C395:C397))</f>
        <v>2.75739375684831</v>
      </c>
      <c r="E397" s="14" t="n">
        <f aca="false">IF(COUNTBLANK(C386:C397)&gt;0,"",STDEV(C386:C397))</f>
        <v>3.52125609447655</v>
      </c>
    </row>
    <row r="398" customFormat="false" ht="15" hidden="false" customHeight="true" outlineLevel="0" collapsed="false">
      <c r="A398" s="14" t="s">
        <v>419</v>
      </c>
      <c r="B398" s="14" t="n">
        <v>1896.05954545455</v>
      </c>
      <c r="C398" s="14" t="n">
        <f aca="false">IF(ISBLANK(B398),"",IF(ISBLANK(B397),"",LN(B398/B397)*100))</f>
        <v>5.34320809086622</v>
      </c>
      <c r="D398" s="14" t="n">
        <f aca="false">IF(COUNTBLANK(C396:C398)&gt;0,"",STDEV(C396:C398))</f>
        <v>0.9193835435036</v>
      </c>
      <c r="E398" s="14" t="n">
        <f aca="false">IF(COUNTBLANK(C387:C398)&gt;0,"",STDEV(C387:C398))</f>
        <v>3.82167590064319</v>
      </c>
    </row>
    <row r="399" customFormat="false" ht="15" hidden="false" customHeight="true" outlineLevel="0" collapsed="false">
      <c r="A399" s="14" t="s">
        <v>420</v>
      </c>
      <c r="B399" s="14" t="n">
        <v>1853.409</v>
      </c>
      <c r="C399" s="14" t="n">
        <f aca="false">IF(ISBLANK(B399),"",IF(ISBLANK(B398),"",LN(B399/B398)*100))</f>
        <v>-2.27511630710384</v>
      </c>
      <c r="D399" s="14" t="n">
        <f aca="false">IF(COUNTBLANK(C397:C399)&gt;0,"",STDEV(C397:C399))</f>
        <v>4.0553213351137</v>
      </c>
      <c r="E399" s="14" t="n">
        <f aca="false">IF(COUNTBLANK(C388:C399)&gt;0,"",STDEV(C388:C399))</f>
        <v>3.84611918717255</v>
      </c>
    </row>
    <row r="400" customFormat="false" ht="15" hidden="false" customHeight="true" outlineLevel="0" collapsed="false">
      <c r="A400" s="14" t="s">
        <v>421</v>
      </c>
      <c r="B400" s="14" t="n">
        <v>1913.64826086957</v>
      </c>
      <c r="C400" s="14" t="n">
        <f aca="false">IF(ISBLANK(B400),"",IF(ISBLANK(B399),"",LN(B400/B399)*100))</f>
        <v>3.19848582930816</v>
      </c>
      <c r="D400" s="14" t="n">
        <f aca="false">IF(COUNTBLANK(C398:C400)&gt;0,"",STDEV(C398:C400))</f>
        <v>3.92850736199859</v>
      </c>
      <c r="E400" s="14" t="n">
        <f aca="false">IF(COUNTBLANK(C389:C400)&gt;0,"",STDEV(C389:C400))</f>
        <v>3.68686563266323</v>
      </c>
    </row>
    <row r="401" customFormat="false" ht="15" hidden="false" customHeight="true" outlineLevel="0" collapsed="false">
      <c r="A401" s="14" t="s">
        <v>422</v>
      </c>
      <c r="B401" s="14" t="n">
        <v>1999.6685</v>
      </c>
      <c r="C401" s="14" t="n">
        <f aca="false">IF(ISBLANK(B401),"",IF(ISBLANK(B400),"",LN(B401/B400)*100))</f>
        <v>4.39699124297165</v>
      </c>
      <c r="D401" s="14" t="n">
        <f aca="false">IF(COUNTBLANK(C399:C401)&gt;0,"",STDEV(C399:C401))</f>
        <v>3.5570061084684</v>
      </c>
      <c r="E401" s="14" t="n">
        <f aca="false">IF(COUNTBLANK(C390:C401)&gt;0,"",STDEV(C390:C401))</f>
        <v>3.90419888241531</v>
      </c>
    </row>
    <row r="402" customFormat="false" ht="15" hidden="false" customHeight="true" outlineLevel="0" collapsed="false">
      <c r="A402" s="14" t="s">
        <v>423</v>
      </c>
      <c r="B402" s="14" t="n">
        <v>1989.82695652174</v>
      </c>
      <c r="C402" s="14" t="n">
        <f aca="false">IF(ISBLANK(B402),"",IF(ISBLANK(B401),"",LN(B402/B401)*100))</f>
        <v>-0.493373838817124</v>
      </c>
      <c r="D402" s="14" t="n">
        <f aca="false">IF(COUNTBLANK(C400:C402)&gt;0,"",STDEV(C400:C402))</f>
        <v>2.54891851801536</v>
      </c>
      <c r="E402" s="14" t="n">
        <f aca="false">IF(COUNTBLANK(C391:C402)&gt;0,"",STDEV(C391:C402))</f>
        <v>3.6264039790604</v>
      </c>
    </row>
    <row r="403" customFormat="false" ht="15" hidden="false" customHeight="true" outlineLevel="0" collapsed="false">
      <c r="A403" s="14" t="s">
        <v>424</v>
      </c>
      <c r="B403" s="14" t="n">
        <v>1944.72863636364</v>
      </c>
      <c r="C403" s="14" t="n">
        <f aca="false">IF(ISBLANK(B403),"",IF(ISBLANK(B402),"",LN(B403/B402)*100))</f>
        <v>-2.2925229676043</v>
      </c>
      <c r="D403" s="14" t="n">
        <f aca="false">IF(COUNTBLANK(C401:C403)&gt;0,"",STDEV(C401:C403))</f>
        <v>3.46174832019632</v>
      </c>
      <c r="E403" s="14" t="n">
        <f aca="false">IF(COUNTBLANK(C392:C403)&gt;0,"",STDEV(C392:C403))</f>
        <v>3.70707722849808</v>
      </c>
    </row>
    <row r="404" customFormat="false" ht="15" hidden="false" customHeight="true" outlineLevel="0" collapsed="false">
      <c r="A404" s="14" t="s">
        <v>425</v>
      </c>
      <c r="B404" s="14" t="n">
        <v>1950.27</v>
      </c>
      <c r="C404" s="14" t="n">
        <f aca="false">IF(ISBLANK(B404),"",IF(ISBLANK(B403),"",LN(B404/B403)*100))</f>
        <v>0.284537577152104</v>
      </c>
      <c r="D404" s="14" t="n">
        <f aca="false">IF(COUNTBLANK(C402:C404)&gt;0,"",STDEV(C402:C404))</f>
        <v>1.32182479991683</v>
      </c>
      <c r="E404" s="14" t="n">
        <f aca="false">IF(COUNTBLANK(C393:C404)&gt;0,"",STDEV(C393:C404))</f>
        <v>3.1864939386492</v>
      </c>
    </row>
    <row r="405" customFormat="false" ht="15" hidden="false" customHeight="true" outlineLevel="0" collapsed="false">
      <c r="A405" s="14" t="s">
        <v>426</v>
      </c>
      <c r="B405" s="14" t="n">
        <v>1919.30217391304</v>
      </c>
      <c r="C405" s="14" t="n">
        <f aca="false">IF(ISBLANK(B405),"",IF(ISBLANK(B404),"",LN(B405/B404)*100))</f>
        <v>-1.60061556408253</v>
      </c>
      <c r="D405" s="14" t="n">
        <f aca="false">IF(COUNTBLANK(C403:C405)&gt;0,"",STDEV(C403:C405))</f>
        <v>1.3337777971046</v>
      </c>
      <c r="E405" s="14" t="n">
        <f aca="false">IF(COUNTBLANK(C394:C405)&gt;0,"",STDEV(C394:C405))</f>
        <v>3.26315267294564</v>
      </c>
    </row>
    <row r="406" customFormat="false" ht="15" hidden="false" customHeight="true" outlineLevel="0" collapsed="false">
      <c r="A406" s="14" t="s">
        <v>427</v>
      </c>
      <c r="B406" s="14" t="n">
        <v>1915.43476190476</v>
      </c>
      <c r="C406" s="14" t="n">
        <f aca="false">IF(ISBLANK(B406),"",IF(ISBLANK(B405),"",LN(B406/B405)*100))</f>
        <v>-0.201704230783474</v>
      </c>
      <c r="D406" s="14" t="n">
        <f aca="false">IF(COUNTBLANK(C404:C406)&gt;0,"",STDEV(C404:C406))</f>
        <v>0.978705469836201</v>
      </c>
      <c r="E406" s="14" t="n">
        <f aca="false">IF(COUNTBLANK(C395:C406)&gt;0,"",STDEV(C395:C406))</f>
        <v>2.81429862970508</v>
      </c>
    </row>
    <row r="407" customFormat="false" ht="15" hidden="false" customHeight="true" outlineLevel="0" collapsed="false">
      <c r="A407" s="14" t="s">
        <v>428</v>
      </c>
      <c r="B407" s="14" t="n">
        <v>1913.98454545455</v>
      </c>
      <c r="C407" s="14" t="n">
        <f aca="false">IF(ISBLANK(B407),"",IF(ISBLANK(B406),"",LN(B407/B406)*100))</f>
        <v>-0.0757408057535744</v>
      </c>
      <c r="D407" s="14" t="n">
        <f aca="false">IF(COUNTBLANK(C405:C407)&gt;0,"",STDEV(C405:C407))</f>
        <v>0.846370952111286</v>
      </c>
      <c r="E407" s="14" t="n">
        <f aca="false">IF(COUNTBLANK(C396:C407)&gt;0,"",STDEV(C396:C407))</f>
        <v>2.76520052222705</v>
      </c>
    </row>
    <row r="408" customFormat="false" ht="15" hidden="false" customHeight="true" outlineLevel="0" collapsed="false">
      <c r="A408" s="14" t="s">
        <v>429</v>
      </c>
      <c r="B408" s="14" t="n">
        <v>1985.77772727273</v>
      </c>
      <c r="C408" s="14" t="n">
        <f aca="false">IF(ISBLANK(B408),"",IF(ISBLANK(B407),"",LN(B408/B407)*100))</f>
        <v>3.68234210342348</v>
      </c>
      <c r="D408" s="14" t="n">
        <f aca="false">IF(COUNTBLANK(C406:C408)&gt;0,"",STDEV(C406:C408))</f>
        <v>2.20699153687247</v>
      </c>
      <c r="E408" s="14" t="n">
        <f aca="false">IF(COUNTBLANK(C397:C408)&gt;0,"",STDEV(C397:C408))</f>
        <v>2.77108083373559</v>
      </c>
    </row>
    <row r="409" customFormat="false" ht="15" hidden="false" customHeight="true" outlineLevel="0" collapsed="false">
      <c r="A409" s="14" t="s">
        <v>430</v>
      </c>
      <c r="B409" s="14" t="n">
        <v>2034.70428571429</v>
      </c>
      <c r="C409" s="14" t="n">
        <f aca="false">IF(ISBLANK(B409),"",IF(ISBLANK(B408),"",LN(B409/B408)*100))</f>
        <v>2.43398546328813</v>
      </c>
      <c r="D409" s="14" t="n">
        <f aca="false">IF(COUNTBLANK(C407:C409)&gt;0,"",STDEV(C407:C409))</f>
        <v>1.91399701317847</v>
      </c>
      <c r="E409" s="14" t="n">
        <f aca="false">IF(COUNTBLANK(C398:C409)&gt;0,"",STDEV(C398:C409))</f>
        <v>2.66539973431388</v>
      </c>
    </row>
    <row r="410" customFormat="false" ht="15" hidden="false" customHeight="true" outlineLevel="0" collapsed="false">
      <c r="A410" s="14" t="s">
        <v>431</v>
      </c>
      <c r="B410" s="14" t="n">
        <v>2034.00608695652</v>
      </c>
      <c r="C410" s="14" t="n">
        <f aca="false">IF(ISBLANK(B410),"",IF(ISBLANK(B409),"",LN(B410/B409)*100))</f>
        <v>-0.0343203964240416</v>
      </c>
      <c r="D410" s="14" t="n">
        <f aca="false">IF(COUNTBLANK(C408:C410)&gt;0,"",STDEV(C408:C410))</f>
        <v>1.89140636634191</v>
      </c>
      <c r="E410" s="14" t="n">
        <f aca="false">IF(COUNTBLANK(C399:C410)&gt;0,"",STDEV(C399:C410))</f>
        <v>2.30223975275556</v>
      </c>
    </row>
    <row r="411" customFormat="false" ht="15" hidden="false" customHeight="true" outlineLevel="0" collapsed="false">
      <c r="A411" s="14" t="s">
        <v>432</v>
      </c>
      <c r="B411" s="14" t="n">
        <v>2024.44619047619</v>
      </c>
      <c r="C411" s="14" t="n">
        <f aca="false">IF(ISBLANK(B411),"",IF(ISBLANK(B410),"",LN(B411/B410)*100))</f>
        <v>-0.471111325614399</v>
      </c>
      <c r="D411" s="14" t="n">
        <f aca="false">IF(COUNTBLANK(C409:C411)&gt;0,"",STDEV(C409:C411))</f>
        <v>1.56646669747579</v>
      </c>
      <c r="E411" s="14" t="n">
        <f aca="false">IF(COUNTBLANK(C400:C411)&gt;0,"",STDEV(C400:C411))</f>
        <v>2.15251234358515</v>
      </c>
    </row>
    <row r="412" customFormat="false" ht="15" hidden="false" customHeight="true" outlineLevel="0" collapsed="false">
      <c r="A412" s="14" t="s">
        <v>433</v>
      </c>
      <c r="B412" s="14" t="n">
        <v>2162.34619047619</v>
      </c>
      <c r="C412" s="14" t="n">
        <f aca="false">IF(ISBLANK(B412),"",IF(ISBLANK(B411),"",LN(B412/B411)*100))</f>
        <v>6.58976545332425</v>
      </c>
      <c r="D412" s="14" t="n">
        <f aca="false">IF(COUNTBLANK(C410:C412)&gt;0,"",STDEV(C410:C412))</f>
        <v>3.95654058802243</v>
      </c>
      <c r="E412" s="14" t="n">
        <f aca="false">IF(COUNTBLANK(C401:C412)&gt;0,"",STDEV(C401:C412))</f>
        <v>2.66651954398996</v>
      </c>
    </row>
    <row r="413" customFormat="false" ht="15" hidden="false" customHeight="true" outlineLevel="0" collapsed="false">
      <c r="A413" s="14" t="s">
        <v>434</v>
      </c>
      <c r="B413" s="14" t="n">
        <v>2333.55045454545</v>
      </c>
      <c r="C413" s="14" t="n">
        <f aca="false">IF(ISBLANK(B413),"",IF(ISBLANK(B412),"",LN(B413/B412)*100))</f>
        <v>7.61970765032086</v>
      </c>
      <c r="D413" s="14" t="n">
        <f aca="false">IF(COUNTBLANK(C411:C413)&gt;0,"",STDEV(C411:C413))</f>
        <v>4.40412900049229</v>
      </c>
      <c r="E413" s="14" t="n">
        <f aca="false">IF(COUNTBLANK(C402:C413)&gt;0,"",STDEV(C402:C413))</f>
        <v>3.15525337345305</v>
      </c>
    </row>
    <row r="414" customFormat="false" ht="15" hidden="false" customHeight="true" outlineLevel="0" collapsed="false">
      <c r="A414" s="14" t="s">
        <v>435</v>
      </c>
      <c r="B414" s="14" t="n">
        <v>2350.59652173913</v>
      </c>
      <c r="C414" s="14" t="n">
        <f aca="false">IF(ISBLANK(B414),"",IF(ISBLANK(B413),"",LN(B414/B413)*100))</f>
        <v>0.727822697612787</v>
      </c>
      <c r="D414" s="14" t="n">
        <f aca="false">IF(COUNTBLANK(C412:C414)&gt;0,"",STDEV(C412:C414))</f>
        <v>3.71755367595762</v>
      </c>
      <c r="E414" s="14" t="n">
        <f aca="false">IF(COUNTBLANK(C403:C414)&gt;0,"",STDEV(C403:C414))</f>
        <v>3.11201710110206</v>
      </c>
    </row>
    <row r="415" customFormat="false" ht="15" hidden="false" customHeight="true" outlineLevel="0" collapsed="false">
      <c r="A415" s="14" t="s">
        <v>436</v>
      </c>
      <c r="B415" s="14" t="n">
        <v>2328.2625</v>
      </c>
      <c r="C415" s="14" t="n">
        <f aca="false">IF(ISBLANK(B415),"",IF(ISBLANK(B414),"",LN(B415/B414)*100))</f>
        <v>-0.95468537378427</v>
      </c>
      <c r="D415" s="14" t="n">
        <f aca="false">IF(COUNTBLANK(C413:C415)&gt;0,"",STDEV(C413:C415))</f>
        <v>4.54329409392757</v>
      </c>
      <c r="E415" s="14" t="n">
        <f aca="false">IF(COUNTBLANK(C404:C415)&gt;0,"",STDEV(C404:C415))</f>
        <v>2.98971812533075</v>
      </c>
    </row>
    <row r="416" customFormat="false" ht="15" hidden="false" customHeight="true" outlineLevel="0" collapsed="false">
      <c r="A416" s="14" t="s">
        <v>437</v>
      </c>
      <c r="B416" s="14" t="n">
        <v>2393.96217391304</v>
      </c>
      <c r="C416" s="14" t="n">
        <f aca="false">IF(ISBLANK(B416),"",IF(ISBLANK(B415),"",LN(B416/B415)*100))</f>
        <v>2.78275253959863</v>
      </c>
      <c r="D416" s="14" t="n">
        <f aca="false">IF(COUNTBLANK(C414:C416)&gt;0,"",STDEV(C414:C416))</f>
        <v>1.87180893888738</v>
      </c>
      <c r="E416" s="14" t="n">
        <f aca="false">IF(COUNTBLANK(C405:C416)&gt;0,"",STDEV(C405:C416))</f>
        <v>2.98436199175655</v>
      </c>
    </row>
    <row r="417" customFormat="false" ht="15" hidden="false" customHeight="true" outlineLevel="0" collapsed="false">
      <c r="A417" s="14" t="s">
        <v>438</v>
      </c>
      <c r="B417" s="14" t="n">
        <v>2468.32863636364</v>
      </c>
      <c r="C417" s="14" t="n">
        <f aca="false">IF(ISBLANK(B417),"",IF(ISBLANK(B416),"",LN(B417/B416)*100))</f>
        <v>3.05914495182151</v>
      </c>
      <c r="D417" s="14" t="n">
        <f aca="false">IF(COUNTBLANK(C415:C417)&gt;0,"",STDEV(C415:C417))</f>
        <v>2.24186190493077</v>
      </c>
      <c r="E417" s="14" t="n">
        <f aca="false">IF(COUNTBLANK(C406:C417)&gt;0,"",STDEV(C406:C417))</f>
        <v>2.81292605141191</v>
      </c>
    </row>
    <row r="418" customFormat="false" ht="15" hidden="false" customHeight="true" outlineLevel="0" collapsed="false">
      <c r="A418" s="14" t="s">
        <v>439</v>
      </c>
      <c r="B418" s="14" t="n">
        <v>2569.04904761905</v>
      </c>
      <c r="C418" s="14" t="n">
        <f aca="false">IF(ISBLANK(B418),"",IF(ISBLANK(B417),"",LN(B418/B417)*100))</f>
        <v>3.9994553892326</v>
      </c>
      <c r="D418" s="14" t="n">
        <f aca="false">IF(COUNTBLANK(C416:C418)&gt;0,"",STDEV(C416:C418))</f>
        <v>0.637827341912375</v>
      </c>
      <c r="E418" s="14" t="n">
        <f aca="false">IF(COUNTBLANK(C407:C418)&gt;0,"",STDEV(C407:C418))</f>
        <v>2.76186360432478</v>
      </c>
    </row>
    <row r="419" customFormat="false" ht="15" hidden="false" customHeight="true" outlineLevel="0" collapsed="false">
      <c r="A419" s="14" t="s">
        <v>440</v>
      </c>
      <c r="B419" s="14" t="n">
        <v>2689.12869565217</v>
      </c>
      <c r="C419" s="14" t="n">
        <f aca="false">IF(ISBLANK(B419),"",IF(ISBLANK(B418),"",LN(B419/B418)*100))</f>
        <v>4.56814261321841</v>
      </c>
      <c r="D419" s="14" t="n">
        <f aca="false">IF(COUNTBLANK(C417:C419)&gt;0,"",STDEV(C417:C419))</f>
        <v>0.76208735495898</v>
      </c>
      <c r="E419" s="14" t="n">
        <f aca="false">IF(COUNTBLANK(C408:C419)&gt;0,"",STDEV(C408:C419))</f>
        <v>2.70098402283228</v>
      </c>
    </row>
    <row r="420" customFormat="false" ht="15" hidden="false" customHeight="true" outlineLevel="0" collapsed="false">
      <c r="A420" s="14" t="s">
        <v>441</v>
      </c>
      <c r="B420" s="14" t="n">
        <v>2652.19952380952</v>
      </c>
      <c r="C420" s="14" t="n">
        <f aca="false">IF(ISBLANK(B420),"",IF(ISBLANK(B419),"",LN(B420/B419)*100))</f>
        <v>-1.38279314673054</v>
      </c>
      <c r="D420" s="14" t="n">
        <f aca="false">IF(COUNTBLANK(C418:C420)&gt;0,"",STDEV(C418:C420))</f>
        <v>3.28394175954856</v>
      </c>
      <c r="E420" s="14" t="n">
        <f aca="false">IF(COUNTBLANK(C409:C420)&gt;0,"",STDEV(C409:C420))</f>
        <v>2.94136542213279</v>
      </c>
    </row>
    <row r="421" customFormat="false" ht="15" hidden="false" customHeight="true" outlineLevel="0" collapsed="false">
      <c r="A421" s="14" t="s">
        <v>442</v>
      </c>
      <c r="B421" s="14" t="n">
        <v>2640.60545454546</v>
      </c>
      <c r="C421" s="14" t="n">
        <f aca="false">IF(ISBLANK(B421),"",IF(ISBLANK(B420),"",LN(B421/B420)*100))</f>
        <v>-0.438107500881164</v>
      </c>
      <c r="D421" s="14" t="n">
        <f aca="false">IF(COUNTBLANK(C419:C421)&gt;0,"",STDEV(C419:C421))</f>
        <v>3.19814028234731</v>
      </c>
      <c r="E421" s="14" t="n">
        <f aca="false">IF(COUNTBLANK(C410:C421)&gt;0,"",STDEV(C410:C421))</f>
        <v>3.05406167103512</v>
      </c>
    </row>
    <row r="422" customFormat="false" ht="15" hidden="false" customHeight="true" outlineLevel="0" collapsed="false">
      <c r="A422" s="14" t="s">
        <v>443</v>
      </c>
      <c r="B422" s="14" t="n">
        <v>2707.46739130435</v>
      </c>
      <c r="C422" s="14" t="n">
        <f aca="false">IF(ISBLANK(B422),"",IF(ISBLANK(B421),"",LN(B422/B421)*100))</f>
        <v>2.50054262738359</v>
      </c>
      <c r="D422" s="14" t="n">
        <f aca="false">IF(COUNTBLANK(C420:C422)&gt;0,"",STDEV(C420:C422))</f>
        <v>2.02519103133256</v>
      </c>
      <c r="E422" s="14" t="n">
        <f aca="false">IF(COUNTBLANK(C411:C422)&gt;0,"",STDEV(C411:C422))</f>
        <v>2.97419354993847</v>
      </c>
    </row>
    <row r="423" customFormat="false" ht="15" hidden="false" customHeight="true" outlineLevel="0" collapsed="false">
      <c r="A423" s="14" t="s">
        <v>444</v>
      </c>
      <c r="B423" s="14" t="n">
        <v>2894.38</v>
      </c>
      <c r="C423" s="14" t="n">
        <f aca="false">IF(ISBLANK(B423),"",IF(ISBLANK(B422),"",LN(B423/B422)*100))</f>
        <v>6.67572697591449</v>
      </c>
      <c r="D423" s="14" t="n">
        <f aca="false">IF(COUNTBLANK(C421:C423)&gt;0,"",STDEV(C421:C423))</f>
        <v>3.57478367373035</v>
      </c>
      <c r="E423" s="14" t="n">
        <f aca="false">IF(COUNTBLANK(C412:C423)&gt;0,"",STDEV(C412:C423))</f>
        <v>3.06481037739517</v>
      </c>
    </row>
    <row r="424" customFormat="false" ht="15" hidden="false" customHeight="true" outlineLevel="0" collapsed="false">
      <c r="A424" s="14" t="s">
        <v>445</v>
      </c>
      <c r="B424" s="14" t="n">
        <v>2986.25619047619</v>
      </c>
      <c r="C424" s="14" t="n">
        <f aca="false">IF(ISBLANK(B424),"",IF(ISBLANK(B423),"",LN(B424/B423)*100))</f>
        <v>3.12495669089656</v>
      </c>
      <c r="D424" s="14" t="n">
        <f aca="false">IF(COUNTBLANK(C422:C424)&gt;0,"",STDEV(C422:C424))</f>
        <v>2.25203711055481</v>
      </c>
      <c r="E424" s="14" t="n">
        <f aca="false">IF(COUNTBLANK(C413:C424)&gt;0,"",STDEV(C413:C424))</f>
        <v>2.84934847074094</v>
      </c>
    </row>
    <row r="425" customFormat="false" ht="15" hidden="false" customHeight="true" outlineLevel="0" collapsed="false">
      <c r="A425" s="14" t="s">
        <v>446</v>
      </c>
      <c r="B425" s="14" t="n">
        <v>3222.01181818182</v>
      </c>
      <c r="C425" s="14" t="n">
        <f aca="false">IF(ISBLANK(B425),"",IF(ISBLANK(B424),"",LN(B425/B424)*100))</f>
        <v>7.59854600636019</v>
      </c>
      <c r="D425" s="14" t="n">
        <f aca="false">IF(COUNTBLANK(C423:C425)&gt;0,"",STDEV(C423:C425))</f>
        <v>2.36194009038295</v>
      </c>
      <c r="E425" s="14" t="n">
        <f aca="false">IF(COUNTBLANK(C414:C425)&gt;0,"",STDEV(C414:C425))</f>
        <v>2.84602485533563</v>
      </c>
    </row>
    <row r="426" customFormat="false" ht="15" hidden="false" customHeight="true" outlineLevel="0" collapsed="false">
      <c r="A426" s="14" t="s">
        <v>447</v>
      </c>
      <c r="B426" s="14" t="n">
        <v>3288.00954545455</v>
      </c>
      <c r="C426" s="14" t="n">
        <f aca="false">IF(ISBLANK(B426),"",IF(ISBLANK(B425),"",LN(B426/B425)*100))</f>
        <v>2.02764275958818</v>
      </c>
      <c r="D426" s="14" t="n">
        <f aca="false">IF(COUNTBLANK(C424:C426)&gt;0,"",STDEV(C424:C426))</f>
        <v>2.9510467694297</v>
      </c>
      <c r="E426" s="14" t="n">
        <f aca="false">IF(COUNTBLANK(C415:C426)&gt;0,"",STDEV(C415:C426))</f>
        <v>2.78877982535785</v>
      </c>
    </row>
    <row r="427" customFormat="false" ht="15" hidden="false" customHeight="true" outlineLevel="0" collapsed="false">
      <c r="A427" s="14" t="s">
        <v>448</v>
      </c>
      <c r="B427" s="14" t="n">
        <v>3351.85857142857</v>
      </c>
      <c r="C427" s="14" t="n">
        <f aca="false">IF(ISBLANK(B427),"",IF(ISBLANK(B426),"",LN(B427/B426)*100))</f>
        <v>1.92326091266376</v>
      </c>
      <c r="D427" s="14" t="n">
        <f aca="false">IF(COUNTBLANK(C425:C427)&gt;0,"",STDEV(C425:C427))</f>
        <v>3.24691441858254</v>
      </c>
      <c r="E427" s="14" t="n">
        <f aca="false">IF(COUNTBLANK(C416:C427)&gt;0,"",STDEV(C416:C427))</f>
        <v>2.55039333233881</v>
      </c>
    </row>
    <row r="428" customFormat="false" ht="15" hidden="false" customHeight="true" outlineLevel="0" collapsed="false">
      <c r="A428" s="14" t="s">
        <v>449</v>
      </c>
      <c r="B428" s="14" t="n">
        <v>3341.64913043478</v>
      </c>
      <c r="C428" s="14" t="n">
        <f aca="false">IF(ISBLANK(B428),"",IF(ISBLANK(B427),"",LN(B428/B427)*100))</f>
        <v>-0.305055267457412</v>
      </c>
      <c r="D428" s="14" t="n">
        <f aca="false">IF(COUNTBLANK(C426:C428)&gt;0,"",STDEV(C426:C428))</f>
        <v>1.31768538568833</v>
      </c>
      <c r="E428" s="14" t="n">
        <f aca="false">IF(COUNTBLANK(C417:C428)&gt;0,"",STDEV(C417:C428))</f>
        <v>2.72792427021367</v>
      </c>
    </row>
    <row r="429" customFormat="false" ht="15" hidden="false" customHeight="true" outlineLevel="0" collapsed="false">
      <c r="A429" s="14" t="s">
        <v>450</v>
      </c>
      <c r="B429" s="14" t="n">
        <v>3367.25619047619</v>
      </c>
      <c r="C429" s="14" t="n">
        <f aca="false">IF(ISBLANK(B429),"",IF(ISBLANK(B428),"",LN(B429/B428)*100))</f>
        <v>0.763378917129707</v>
      </c>
      <c r="D429" s="14" t="n">
        <f aca="false">IF(COUNTBLANK(C427:C429)&gt;0,"",STDEV(C427:C429))</f>
        <v>1.11447078987804</v>
      </c>
      <c r="E429" s="14" t="n">
        <f aca="false">IF(COUNTBLANK(C418:C429)&gt;0,"",STDEV(C418:C429))</f>
        <v>2.78638963954439</v>
      </c>
    </row>
    <row r="430" customFormat="false" ht="15" hidden="false" customHeight="true" outlineLevel="0" collapsed="false">
      <c r="A430" s="14" t="s">
        <v>451</v>
      </c>
      <c r="B430" s="14" t="n">
        <v>3666.52363636364</v>
      </c>
      <c r="C430" s="14" t="n">
        <f aca="false">IF(ISBLANK(B430),"",IF(ISBLANK(B429),"",LN(B430/B429)*100))</f>
        <v>8.51457491730966</v>
      </c>
      <c r="D430" s="14" t="n">
        <f aca="false">IF(COUNTBLANK(C428:C430)&gt;0,"",STDEV(C428:C430))</f>
        <v>4.81332296229356</v>
      </c>
      <c r="E430" s="14" t="n">
        <f aca="false">IF(COUNTBLANK(C419:C430)&gt;0,"",STDEV(C419:C430))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15" t="n">
        <v>43100</v>
      </c>
      <c r="C10" s="16" t="n">
        <v>2314.1</v>
      </c>
      <c r="D10" s="16" t="n">
        <v>7315.3</v>
      </c>
      <c r="E10" s="17" t="n">
        <v>3039.26</v>
      </c>
      <c r="F10" s="18" t="n">
        <v>30997</v>
      </c>
      <c r="G10" s="17" t="n">
        <v>2176.49</v>
      </c>
      <c r="H10" s="17" t="n">
        <v>2803.26</v>
      </c>
      <c r="I10" s="17" t="n">
        <v>28076.87</v>
      </c>
      <c r="J10" s="17" t="n">
        <v>147973.78</v>
      </c>
      <c r="K10" s="17" t="n">
        <v>4629.67</v>
      </c>
      <c r="L10" s="17" t="n">
        <v>9961.9</v>
      </c>
      <c r="M10" s="17" t="n">
        <v>1015.84</v>
      </c>
      <c r="N10" s="16" t="n">
        <v>4461.7</v>
      </c>
      <c r="O10" s="17" t="n">
        <v>18822.26</v>
      </c>
      <c r="P10" s="18" t="n">
        <v>394358</v>
      </c>
    </row>
    <row r="11" customFormat="false" ht="12.75" hidden="false" customHeight="true" outlineLevel="0" collapsed="false">
      <c r="A11" s="1" t="s">
        <v>552</v>
      </c>
      <c r="B11" s="15" t="n">
        <v>43465</v>
      </c>
      <c r="C11" s="16" t="n">
        <v>2259.3</v>
      </c>
      <c r="D11" s="16" t="n">
        <v>7157.6</v>
      </c>
      <c r="E11" s="17" t="n">
        <v>3288.83</v>
      </c>
      <c r="F11" s="18" t="n">
        <v>30927</v>
      </c>
      <c r="G11" s="17" t="n">
        <v>2155.46</v>
      </c>
      <c r="H11" s="17" t="n">
        <v>2995.18</v>
      </c>
      <c r="I11" s="17" t="n">
        <v>27081.41</v>
      </c>
      <c r="J11" s="17" t="n">
        <v>142512.29</v>
      </c>
      <c r="K11" s="17" t="n">
        <v>4372.76</v>
      </c>
      <c r="L11" s="17" t="n">
        <v>11261.85</v>
      </c>
      <c r="M11" s="17" t="n">
        <v>1202.38</v>
      </c>
      <c r="N11" s="16" t="n">
        <v>5774.6</v>
      </c>
      <c r="O11" s="17" t="n">
        <v>19995.66</v>
      </c>
      <c r="P11" s="18" t="n">
        <v>439752</v>
      </c>
    </row>
    <row r="12" customFormat="false" ht="12.75" hidden="false" customHeight="true" outlineLevel="0" collapsed="false">
      <c r="A12" s="1" t="s">
        <v>553</v>
      </c>
      <c r="B12" s="15" t="n">
        <v>43830</v>
      </c>
      <c r="C12" s="16" t="n">
        <v>2849.7</v>
      </c>
      <c r="D12" s="16" t="n">
        <v>9393.5</v>
      </c>
      <c r="E12" s="17" t="n">
        <v>3505.85</v>
      </c>
      <c r="F12" s="18" t="n">
        <v>28958</v>
      </c>
      <c r="G12" s="17" t="n">
        <v>2424.11</v>
      </c>
      <c r="H12" s="17" t="n">
        <v>3059.63</v>
      </c>
      <c r="I12" s="17" t="n">
        <v>29172.14</v>
      </c>
      <c r="J12" s="17" t="n">
        <v>149855.13</v>
      </c>
      <c r="K12" s="17" t="n">
        <v>4478.45</v>
      </c>
      <c r="L12" s="17" t="n">
        <v>13378.48</v>
      </c>
      <c r="M12" s="17" t="n">
        <v>1529.22</v>
      </c>
      <c r="N12" s="16" t="n">
        <v>5082.4</v>
      </c>
      <c r="O12" s="17" t="n">
        <v>20775.42</v>
      </c>
      <c r="P12" s="18" t="n">
        <v>487644</v>
      </c>
    </row>
    <row r="13" customFormat="false" ht="12.75" hidden="false" customHeight="true" outlineLevel="0" collapsed="false">
      <c r="A13" s="1" t="s">
        <v>554</v>
      </c>
      <c r="B13" s="15" t="n">
        <v>44196</v>
      </c>
      <c r="C13" s="16" t="n">
        <v>2615.5</v>
      </c>
      <c r="D13" s="16" t="n">
        <v>7468.5</v>
      </c>
      <c r="E13" s="17" t="n">
        <v>3910.75</v>
      </c>
      <c r="F13" s="18" t="n">
        <v>35638</v>
      </c>
      <c r="G13" s="17" t="n">
        <v>2808.11</v>
      </c>
      <c r="H13" s="17" t="n">
        <v>3783.54</v>
      </c>
      <c r="I13" s="17" t="n">
        <v>34903.99</v>
      </c>
      <c r="J13" s="17" t="n">
        <v>166121.4</v>
      </c>
      <c r="K13" s="17" t="n">
        <v>5273.58</v>
      </c>
      <c r="L13" s="17" t="n">
        <v>13491.66</v>
      </c>
      <c r="M13" s="17" t="n">
        <v>2135.02</v>
      </c>
      <c r="N13" s="16" t="n">
        <v>4832.4</v>
      </c>
      <c r="O13" s="17" t="n">
        <v>23258.55</v>
      </c>
      <c r="P13" s="18" t="n">
        <v>579719</v>
      </c>
    </row>
    <row r="14" customFormat="false" ht="12.75" hidden="false" customHeight="true" outlineLevel="0" collapsed="false">
      <c r="A14" s="1" t="s">
        <v>555</v>
      </c>
      <c r="B14" s="15" t="n">
        <v>44561</v>
      </c>
      <c r="C14" s="16" t="n">
        <v>3229.9</v>
      </c>
      <c r="D14" s="16" t="n">
        <v>8425</v>
      </c>
      <c r="E14" s="17" t="n">
        <v>4272.55</v>
      </c>
      <c r="F14" s="18" t="n">
        <v>34378</v>
      </c>
      <c r="G14" s="17" t="n">
        <v>2977.56</v>
      </c>
      <c r="H14" s="17" t="n">
        <v>3901.88</v>
      </c>
      <c r="I14" s="17" t="n">
        <v>35139.18</v>
      </c>
      <c r="J14" s="17" t="n">
        <v>173613.03</v>
      </c>
      <c r="K14" s="17" t="n">
        <v>5486.97</v>
      </c>
      <c r="L14" s="17" t="n">
        <v>16454.51</v>
      </c>
      <c r="M14" s="17" t="n">
        <v>1982.13</v>
      </c>
      <c r="N14" s="16" t="n">
        <v>5576.8</v>
      </c>
      <c r="O14" s="17" t="n">
        <v>28311.94</v>
      </c>
      <c r="P14" s="18" t="n">
        <v>674162</v>
      </c>
    </row>
    <row r="15" customFormat="false" ht="12.75" hidden="false" customHeight="true" outlineLevel="0" collapsed="false">
      <c r="A15" s="1" t="s">
        <v>556</v>
      </c>
      <c r="B15" s="15" t="n">
        <v>44926</v>
      </c>
      <c r="C15" s="16" t="n">
        <v>4111.8</v>
      </c>
      <c r="D15" s="16" t="n">
        <v>7929.5</v>
      </c>
      <c r="E15" s="17" t="n">
        <v>4901.53</v>
      </c>
      <c r="F15" s="18" t="n">
        <v>35076</v>
      </c>
      <c r="G15" s="17" t="n">
        <v>2798.09</v>
      </c>
      <c r="H15" s="17" t="n">
        <v>4474.17</v>
      </c>
      <c r="I15" s="17" t="n">
        <v>35767.5</v>
      </c>
      <c r="J15" s="17" t="n">
        <v>139982.33</v>
      </c>
      <c r="K15" s="17" t="n">
        <v>4476.04</v>
      </c>
      <c r="L15" s="17" t="n">
        <v>19415.65</v>
      </c>
      <c r="M15" s="17" t="n">
        <v>2042.13</v>
      </c>
      <c r="N15" s="16" t="n">
        <v>5385.8</v>
      </c>
      <c r="O15" s="17" t="n">
        <v>29733.46</v>
      </c>
      <c r="P15" s="18" t="n">
        <v>733758</v>
      </c>
    </row>
    <row r="16" customFormat="false" ht="12.75" hidden="false" customHeight="true" outlineLevel="0" collapsed="false">
      <c r="A16" s="1" t="s">
        <v>557</v>
      </c>
      <c r="B16" s="15" t="n">
        <v>45291</v>
      </c>
      <c r="C16" s="16" t="n">
        <v>3607.6</v>
      </c>
      <c r="D16" s="16" t="n">
        <v>8127.4</v>
      </c>
      <c r="E16" s="17" t="n">
        <v>5009.6</v>
      </c>
      <c r="F16" s="18" t="n">
        <v>35944</v>
      </c>
      <c r="G16" s="17" t="n">
        <v>3236.48</v>
      </c>
      <c r="H16" s="17" t="n">
        <v>5453.14</v>
      </c>
      <c r="I16" s="17" t="n">
        <v>34564.65</v>
      </c>
      <c r="J16" s="17" t="n">
        <v>148378.86</v>
      </c>
      <c r="K16" s="17" t="n">
        <v>4963.52</v>
      </c>
      <c r="L16" s="17" t="n">
        <v>24909.1</v>
      </c>
      <c r="M16" s="17" t="n">
        <v>1574.6</v>
      </c>
      <c r="N16" s="16" t="n">
        <v>6197.5</v>
      </c>
      <c r="P16" s="18" t="n">
        <v>762651</v>
      </c>
    </row>
    <row r="17" customFormat="false" ht="12.75" hidden="false" customHeight="true" outlineLevel="0" collapsed="false">
      <c r="A17" s="1" t="s">
        <v>558</v>
      </c>
      <c r="B17" s="15" t="n">
        <v>45657</v>
      </c>
      <c r="C17" s="16" t="n">
        <v>3685.3</v>
      </c>
      <c r="D17" s="16" t="n">
        <v>8922.6</v>
      </c>
      <c r="E17" s="17" t="n">
        <v>4448.55</v>
      </c>
      <c r="F17" s="18" t="n">
        <v>45823</v>
      </c>
      <c r="G17" s="17" t="n">
        <v>5088.08</v>
      </c>
      <c r="H17" s="17" t="n">
        <v>5483.57</v>
      </c>
      <c r="I17" s="17" t="n">
        <v>41181.64</v>
      </c>
      <c r="J17" s="17" t="n">
        <v>146285.64</v>
      </c>
      <c r="K17" s="17" t="n">
        <v>5121.67</v>
      </c>
      <c r="L17" s="17" t="n">
        <v>29294.57</v>
      </c>
      <c r="M17" s="17" t="n">
        <v>1742.94</v>
      </c>
      <c r="N17" s="16" t="n">
        <v>7404.1</v>
      </c>
      <c r="P17" s="18" t="n">
        <v>915250</v>
      </c>
    </row>
    <row r="18" customFormat="false" ht="12.75" hidden="false" customHeight="true" outlineLevel="0" collapsed="false">
      <c r="A18" s="1" t="s">
        <v>559</v>
      </c>
      <c r="B18" s="15" t="n">
        <v>46022</v>
      </c>
      <c r="C18" s="16" t="n">
        <v>5086.3</v>
      </c>
      <c r="D18" s="16" t="n">
        <v>14425.9</v>
      </c>
      <c r="E18" s="17" t="n">
        <v>6158.7</v>
      </c>
      <c r="F18" s="18" t="n">
        <v>65727</v>
      </c>
      <c r="H18" s="17" t="n">
        <v>5999.34</v>
      </c>
      <c r="I18" s="17" t="n">
        <v>66311.75</v>
      </c>
      <c r="J18" s="17" t="n">
        <v>175830.49</v>
      </c>
      <c r="K18" s="17" t="n">
        <v>6076.9</v>
      </c>
      <c r="N18" s="16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15" t="n">
        <v>43100</v>
      </c>
      <c r="C10" s="16" t="n">
        <v>0</v>
      </c>
      <c r="D10" s="16" t="n">
        <v>1939.9</v>
      </c>
      <c r="E10" s="17" t="n">
        <v>65.8</v>
      </c>
      <c r="F10" s="18" t="n">
        <v>0</v>
      </c>
      <c r="G10" s="18" t="n">
        <v>12498</v>
      </c>
      <c r="H10" s="17" t="n">
        <v>289.61</v>
      </c>
      <c r="I10" s="17" t="n">
        <v>1689.71</v>
      </c>
      <c r="J10" s="17" t="n">
        <v>3.08</v>
      </c>
      <c r="K10" s="16" t="n">
        <v>76647</v>
      </c>
      <c r="L10" s="17" t="n">
        <v>1060.65</v>
      </c>
      <c r="M10" s="17" t="n">
        <v>14034.06</v>
      </c>
      <c r="N10" s="17" t="n">
        <v>393.44</v>
      </c>
      <c r="O10" s="17" t="n">
        <v>277.54</v>
      </c>
      <c r="P10" s="17" t="n">
        <v>675.1</v>
      </c>
      <c r="Q10" s="16" t="n">
        <v>243.4</v>
      </c>
      <c r="R10" s="18" t="n">
        <v>14942</v>
      </c>
    </row>
    <row r="11" customFormat="false" ht="12.75" hidden="false" customHeight="true" outlineLevel="0" collapsed="false">
      <c r="A11" s="1" t="s">
        <v>552</v>
      </c>
      <c r="B11" s="15" t="n">
        <v>43465</v>
      </c>
      <c r="C11" s="16" t="n">
        <v>0</v>
      </c>
      <c r="D11" s="16" t="n">
        <v>1934.7</v>
      </c>
      <c r="E11" s="17" t="n">
        <v>64.87</v>
      </c>
      <c r="F11" s="18" t="n">
        <v>0</v>
      </c>
      <c r="G11" s="18" t="n">
        <v>14391</v>
      </c>
      <c r="H11" s="17" t="n">
        <v>460.3</v>
      </c>
      <c r="I11" s="17" t="n">
        <v>1668.23</v>
      </c>
      <c r="J11" s="17" t="n">
        <v>3.01</v>
      </c>
      <c r="K11" s="16" t="n">
        <v>86902.8</v>
      </c>
      <c r="L11" s="17" t="n">
        <v>1002.22</v>
      </c>
      <c r="M11" s="17" t="n">
        <v>14640.75</v>
      </c>
      <c r="N11" s="17" t="n">
        <v>361.31</v>
      </c>
      <c r="O11" s="17" t="n">
        <v>274.02</v>
      </c>
      <c r="P11" s="17" t="n">
        <v>736.16</v>
      </c>
      <c r="Q11" s="16" t="n">
        <v>240.3</v>
      </c>
      <c r="R11" s="18" t="n">
        <v>19928</v>
      </c>
    </row>
    <row r="12" customFormat="false" ht="12.75" hidden="false" customHeight="true" outlineLevel="0" collapsed="false">
      <c r="A12" s="1" t="s">
        <v>553</v>
      </c>
      <c r="B12" s="15" t="n">
        <v>43830</v>
      </c>
      <c r="C12" s="16" t="n">
        <v>0</v>
      </c>
      <c r="D12" s="16" t="n">
        <v>2387.2</v>
      </c>
      <c r="E12" s="17" t="n">
        <v>133.56</v>
      </c>
      <c r="F12" s="18" t="n">
        <v>0</v>
      </c>
      <c r="G12" s="18" t="n">
        <v>18875</v>
      </c>
      <c r="H12" s="17" t="n">
        <v>701.19</v>
      </c>
      <c r="I12" s="17" t="n">
        <v>1984.51</v>
      </c>
      <c r="J12" s="17" t="n">
        <v>3.6</v>
      </c>
      <c r="K12" s="16" t="n">
        <v>110376</v>
      </c>
      <c r="L12" s="17" t="n">
        <v>1218.79</v>
      </c>
      <c r="M12" s="17" t="n">
        <v>16329.21</v>
      </c>
      <c r="N12" s="17" t="n">
        <v>390.82</v>
      </c>
      <c r="O12" s="17" t="n">
        <v>324.46</v>
      </c>
      <c r="P12" s="17" t="n">
        <v>1336.76</v>
      </c>
      <c r="Q12" s="16" t="n">
        <v>284.6</v>
      </c>
      <c r="R12" s="18" t="n">
        <v>42519</v>
      </c>
    </row>
    <row r="13" customFormat="false" ht="12.75" hidden="false" customHeight="true" outlineLevel="0" collapsed="false">
      <c r="A13" s="1" t="s">
        <v>554</v>
      </c>
      <c r="B13" s="15" t="n">
        <v>44196</v>
      </c>
      <c r="C13" s="16" t="n">
        <v>0</v>
      </c>
      <c r="D13" s="16" t="n">
        <v>3041.5</v>
      </c>
      <c r="E13" s="17" t="n">
        <v>167.09</v>
      </c>
      <c r="F13" s="18" t="n">
        <v>0</v>
      </c>
      <c r="G13" s="18" t="n">
        <v>23582</v>
      </c>
      <c r="H13" s="17" t="n">
        <v>1017.91</v>
      </c>
      <c r="I13" s="17" t="n">
        <v>2472.06</v>
      </c>
      <c r="J13" s="17" t="n">
        <v>4.47</v>
      </c>
      <c r="K13" s="16" t="n">
        <v>138754.4</v>
      </c>
      <c r="L13" s="17" t="n">
        <v>1583.87</v>
      </c>
      <c r="M13" s="17" t="n">
        <v>20216.74</v>
      </c>
      <c r="N13" s="17" t="n">
        <v>572.64</v>
      </c>
      <c r="O13" s="17" t="n">
        <v>403.59</v>
      </c>
      <c r="P13" s="17" t="n">
        <v>1760.15</v>
      </c>
      <c r="Q13" s="16" t="n">
        <v>353.4</v>
      </c>
      <c r="R13" s="18" t="n">
        <v>52253</v>
      </c>
    </row>
    <row r="14" customFormat="false" ht="12.75" hidden="false" customHeight="true" outlineLevel="0" collapsed="false">
      <c r="A14" s="1" t="s">
        <v>555</v>
      </c>
      <c r="B14" s="15" t="n">
        <v>44561</v>
      </c>
      <c r="C14" s="16" t="n">
        <v>0</v>
      </c>
      <c r="D14" s="16" t="n">
        <v>3123</v>
      </c>
      <c r="E14" s="17" t="n">
        <v>160.66</v>
      </c>
      <c r="F14" s="18" t="n">
        <v>0</v>
      </c>
      <c r="G14" s="18" t="n">
        <v>23546</v>
      </c>
      <c r="H14" s="17" t="n">
        <v>591.79</v>
      </c>
      <c r="I14" s="17" t="n">
        <v>2386.53</v>
      </c>
      <c r="J14" s="17" t="n">
        <v>4.28</v>
      </c>
      <c r="K14" s="16" t="n">
        <v>133069.8</v>
      </c>
      <c r="L14" s="17" t="n">
        <v>1557.76</v>
      </c>
      <c r="M14" s="17" t="n">
        <v>20949.71</v>
      </c>
      <c r="N14" s="17" t="n">
        <v>614.21</v>
      </c>
      <c r="O14" s="17" t="n">
        <v>389.34</v>
      </c>
      <c r="P14" s="17" t="n">
        <v>1931.4</v>
      </c>
      <c r="Q14" s="16" t="n">
        <v>341.4</v>
      </c>
      <c r="R14" s="18" t="n">
        <v>54844</v>
      </c>
    </row>
    <row r="15" customFormat="false" ht="12.75" hidden="false" customHeight="true" outlineLevel="0" collapsed="false">
      <c r="A15" s="1" t="s">
        <v>556</v>
      </c>
      <c r="B15" s="15" t="n">
        <v>44926</v>
      </c>
      <c r="C15" s="16" t="n">
        <v>0</v>
      </c>
      <c r="D15" s="16" t="n">
        <v>3141.4</v>
      </c>
      <c r="E15" s="17" t="n">
        <v>176.12</v>
      </c>
      <c r="F15" s="18" t="n">
        <v>0</v>
      </c>
      <c r="G15" s="18" t="n">
        <v>20491</v>
      </c>
      <c r="H15" s="17" t="n">
        <v>955.11</v>
      </c>
      <c r="I15" s="17" t="n">
        <v>2386.82</v>
      </c>
      <c r="J15" s="17" t="n">
        <v>4.3</v>
      </c>
      <c r="K15" s="16" t="n">
        <v>136077</v>
      </c>
      <c r="L15" s="17" t="n">
        <v>1565.27</v>
      </c>
      <c r="M15" s="17" t="n">
        <v>23064.77</v>
      </c>
      <c r="N15" s="17" t="n">
        <v>697.96</v>
      </c>
      <c r="O15" s="17" t="n">
        <v>390.48</v>
      </c>
      <c r="P15" s="17" t="n">
        <v>2104.6</v>
      </c>
      <c r="Q15" s="16" t="n">
        <v>342.1</v>
      </c>
      <c r="R15" s="18" t="n">
        <v>58650</v>
      </c>
    </row>
    <row r="16" customFormat="false" ht="12.75" hidden="false" customHeight="true" outlineLevel="0" collapsed="false">
      <c r="A16" s="1" t="s">
        <v>557</v>
      </c>
      <c r="B16" s="15" t="n">
        <v>45291</v>
      </c>
      <c r="C16" s="16" t="n">
        <v>0</v>
      </c>
      <c r="D16" s="16" t="n">
        <v>3582.2</v>
      </c>
      <c r="E16" s="17" t="n">
        <v>223.92</v>
      </c>
      <c r="F16" s="18" t="n">
        <v>0</v>
      </c>
      <c r="G16" s="18" t="n">
        <v>19510</v>
      </c>
      <c r="H16" s="17" t="n">
        <v>1430.24</v>
      </c>
      <c r="I16" s="17" t="n">
        <v>2711.06</v>
      </c>
      <c r="J16" s="17" t="n">
        <v>4.91</v>
      </c>
      <c r="K16" s="16" t="n">
        <v>155857.7</v>
      </c>
      <c r="L16" s="17" t="n">
        <v>1798.62</v>
      </c>
      <c r="M16" s="17" t="n">
        <v>24632.16</v>
      </c>
      <c r="N16" s="17" t="n">
        <v>2033.88</v>
      </c>
      <c r="O16" s="17" t="n">
        <v>441.37</v>
      </c>
      <c r="P16" s="17" t="n">
        <v>2393.24</v>
      </c>
      <c r="Q16" s="16" t="n">
        <v>387.3</v>
      </c>
      <c r="R16" s="18" t="n">
        <v>93591</v>
      </c>
    </row>
    <row r="17" customFormat="false" ht="12.75" hidden="false" customHeight="true" outlineLevel="0" collapsed="false">
      <c r="A17" s="1" t="s">
        <v>558</v>
      </c>
      <c r="B17" s="15" t="n">
        <v>45657</v>
      </c>
      <c r="C17" s="16" t="n">
        <v>0</v>
      </c>
      <c r="D17" s="16" t="n">
        <v>4522.9</v>
      </c>
      <c r="E17" s="17" t="n">
        <v>286</v>
      </c>
      <c r="F17" s="18" t="n">
        <v>599</v>
      </c>
      <c r="G17" s="18" t="n">
        <v>23844</v>
      </c>
      <c r="H17" s="17" t="n">
        <v>3198.41</v>
      </c>
      <c r="I17" s="17" t="n">
        <v>3411.66</v>
      </c>
      <c r="J17" s="17" t="n">
        <v>6.26</v>
      </c>
      <c r="K17" s="16" t="n">
        <v>195707.3</v>
      </c>
      <c r="L17" s="17" t="n">
        <v>2310.81</v>
      </c>
      <c r="M17" s="17" t="n">
        <v>32036.68</v>
      </c>
      <c r="N17" s="17" t="n">
        <v>4297.24</v>
      </c>
      <c r="O17" s="17" t="n">
        <v>555.85</v>
      </c>
      <c r="P17" s="17" t="n">
        <v>3883.65</v>
      </c>
      <c r="Q17" s="16" t="n">
        <v>487.1</v>
      </c>
      <c r="R17" s="18" t="n">
        <v>154308</v>
      </c>
    </row>
    <row r="18" customFormat="false" ht="12.75" hidden="false" customHeight="true" outlineLevel="0" collapsed="false">
      <c r="A18" s="1" t="s">
        <v>559</v>
      </c>
      <c r="B18" s="15" t="n">
        <v>46022</v>
      </c>
      <c r="D18" s="16" t="n">
        <v>7471</v>
      </c>
      <c r="F18" s="18" t="n">
        <v>1002</v>
      </c>
      <c r="J18" s="17" t="n">
        <v>10.71</v>
      </c>
      <c r="L18" s="17" t="n">
        <v>3877.64</v>
      </c>
      <c r="M18" s="17" t="n">
        <v>55092.42</v>
      </c>
      <c r="N18" s="17" t="n">
        <v>10121.89</v>
      </c>
      <c r="O18" s="17" t="n">
        <v>921.28</v>
      </c>
      <c r="Q18" s="16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15" t="n">
        <v>43100</v>
      </c>
      <c r="C10" s="17" t="n">
        <v>0.05</v>
      </c>
      <c r="D10" s="17" t="n">
        <v>223.38</v>
      </c>
      <c r="E10" s="16" t="n">
        <v>59.1</v>
      </c>
      <c r="F10" s="17" t="n">
        <v>10.82</v>
      </c>
      <c r="G10" s="17" t="n">
        <v>0.3</v>
      </c>
      <c r="H10" s="19" t="n">
        <v>1.019</v>
      </c>
      <c r="I10" s="17" t="n">
        <v>0.21</v>
      </c>
      <c r="J10" s="17" t="n">
        <v>0.62</v>
      </c>
      <c r="K10" s="19" t="n">
        <v>3.311</v>
      </c>
      <c r="L10" s="19" t="n">
        <v>3.334</v>
      </c>
    </row>
    <row r="11" customFormat="false" ht="12.75" hidden="false" customHeight="true" outlineLevel="0" collapsed="false">
      <c r="A11" s="1" t="s">
        <v>552</v>
      </c>
      <c r="B11" s="15" t="n">
        <v>43465</v>
      </c>
      <c r="C11" s="17" t="n">
        <v>0.05</v>
      </c>
      <c r="D11" s="17" t="n">
        <v>359.89</v>
      </c>
      <c r="E11" s="16" t="n">
        <v>67.9</v>
      </c>
      <c r="F11" s="17" t="n">
        <v>11.42</v>
      </c>
      <c r="G11" s="17" t="n">
        <v>0.28</v>
      </c>
      <c r="H11" s="19" t="n">
        <v>1.019</v>
      </c>
      <c r="I11" s="17" t="n">
        <v>0.21</v>
      </c>
      <c r="J11" s="17" t="n">
        <v>0.66</v>
      </c>
      <c r="K11" s="19" t="n">
        <v>4.136</v>
      </c>
      <c r="L11" s="19" t="n">
        <v>3.334</v>
      </c>
    </row>
    <row r="12" customFormat="false" ht="12.75" hidden="false" customHeight="true" outlineLevel="0" collapsed="false">
      <c r="A12" s="1" t="s">
        <v>553</v>
      </c>
      <c r="B12" s="15" t="n">
        <v>43830</v>
      </c>
      <c r="C12" s="17" t="n">
        <v>0.09</v>
      </c>
      <c r="D12" s="17" t="n">
        <v>462.91</v>
      </c>
      <c r="E12" s="16" t="n">
        <v>73</v>
      </c>
      <c r="F12" s="17" t="n">
        <v>10.8</v>
      </c>
      <c r="G12" s="17" t="n">
        <v>0.26</v>
      </c>
      <c r="H12" s="19" t="n">
        <v>1.019</v>
      </c>
      <c r="I12" s="17" t="n">
        <v>0.21</v>
      </c>
      <c r="J12" s="17" t="n">
        <v>0.98</v>
      </c>
      <c r="K12" s="19" t="n">
        <v>7.351</v>
      </c>
      <c r="L12" s="19" t="n">
        <v>3.33</v>
      </c>
    </row>
    <row r="13" customFormat="false" ht="12.75" hidden="false" customHeight="true" outlineLevel="0" collapsed="false">
      <c r="A13" s="1" t="s">
        <v>554</v>
      </c>
      <c r="B13" s="15" t="n">
        <v>44196</v>
      </c>
      <c r="C13" s="17" t="n">
        <v>0.09</v>
      </c>
      <c r="D13" s="17" t="n">
        <v>539.26</v>
      </c>
      <c r="E13" s="16" t="n">
        <v>73.9</v>
      </c>
      <c r="F13" s="17" t="n">
        <v>10.69</v>
      </c>
      <c r="G13" s="17" t="n">
        <v>0.3</v>
      </c>
      <c r="H13" s="19" t="n">
        <v>1.019</v>
      </c>
      <c r="I13" s="17" t="n">
        <v>0.21</v>
      </c>
      <c r="J13" s="17" t="n">
        <v>1.15</v>
      </c>
      <c r="K13" s="19" t="n">
        <v>7.352</v>
      </c>
      <c r="L13" s="19" t="n">
        <v>3.332</v>
      </c>
    </row>
    <row r="14" customFormat="false" ht="12.75" hidden="false" customHeight="true" outlineLevel="0" collapsed="false">
      <c r="A14" s="1" t="s">
        <v>555</v>
      </c>
      <c r="B14" s="15" t="n">
        <v>44561</v>
      </c>
      <c r="C14" s="17" t="n">
        <v>0.09</v>
      </c>
      <c r="D14" s="17" t="n">
        <v>327.71</v>
      </c>
      <c r="E14" s="16" t="n">
        <v>74</v>
      </c>
      <c r="F14" s="17" t="n">
        <v>11.64</v>
      </c>
      <c r="G14" s="17" t="n">
        <v>0.34</v>
      </c>
      <c r="H14" s="19" t="n">
        <v>1.019</v>
      </c>
      <c r="I14" s="17" t="n">
        <v>0.21</v>
      </c>
      <c r="J14" s="17" t="n">
        <v>1.2</v>
      </c>
      <c r="K14" s="19" t="n">
        <v>7.422</v>
      </c>
      <c r="L14" s="19" t="n">
        <v>3.332</v>
      </c>
    </row>
    <row r="15" customFormat="false" ht="12.75" hidden="false" customHeight="true" outlineLevel="0" collapsed="false">
      <c r="A15" s="1" t="s">
        <v>556</v>
      </c>
      <c r="B15" s="15" t="n">
        <v>44926</v>
      </c>
      <c r="C15" s="17" t="n">
        <v>0.1</v>
      </c>
      <c r="D15" s="17" t="n">
        <v>527</v>
      </c>
      <c r="E15" s="16" t="e">
        <f aca="false">#N/A</f>
        <v>#N/A</v>
      </c>
      <c r="F15" s="17" t="n">
        <v>12.73</v>
      </c>
      <c r="G15" s="17" t="n">
        <v>0.38</v>
      </c>
      <c r="H15" s="19" t="n">
        <v>1.019</v>
      </c>
      <c r="I15" s="17" t="n">
        <v>0.21</v>
      </c>
      <c r="J15" s="17" t="n">
        <v>1.24</v>
      </c>
      <c r="K15" s="19" t="n">
        <v>7.352</v>
      </c>
      <c r="L15" s="19" t="n">
        <v>3.332</v>
      </c>
    </row>
    <row r="16" customFormat="false" ht="12.75" hidden="false" customHeight="true" outlineLevel="0" collapsed="false">
      <c r="A16" s="1" t="s">
        <v>557</v>
      </c>
      <c r="B16" s="15" t="n">
        <v>45291</v>
      </c>
      <c r="C16" s="17" t="n">
        <v>0.11</v>
      </c>
      <c r="D16" s="17" t="n">
        <v>693.49</v>
      </c>
      <c r="E16" s="16" t="n">
        <v>75</v>
      </c>
      <c r="F16" s="17" t="n">
        <v>11.94</v>
      </c>
      <c r="G16" s="17" t="n">
        <v>0.99</v>
      </c>
      <c r="H16" s="19" t="n">
        <v>1.019</v>
      </c>
      <c r="I16" s="17" t="n">
        <v>0.21</v>
      </c>
      <c r="J16" s="17" t="n">
        <v>1.28</v>
      </c>
      <c r="K16" s="19" t="n">
        <v>11.532</v>
      </c>
      <c r="L16" s="19" t="n">
        <v>3.332</v>
      </c>
    </row>
    <row r="17" customFormat="false" ht="12.75" hidden="false" customHeight="true" outlineLevel="0" collapsed="false">
      <c r="A17" s="1" t="s">
        <v>558</v>
      </c>
      <c r="B17" s="15" t="n">
        <v>45657</v>
      </c>
      <c r="C17" s="17" t="n">
        <v>0.11</v>
      </c>
      <c r="D17" s="17" t="n">
        <v>1225.87</v>
      </c>
      <c r="E17" s="16" t="n">
        <v>75</v>
      </c>
      <c r="F17" s="17" t="n">
        <v>12.3</v>
      </c>
      <c r="G17" s="17" t="n">
        <v>1.65</v>
      </c>
      <c r="H17" s="19" t="n">
        <v>1.019</v>
      </c>
      <c r="I17" s="17" t="n">
        <v>0.21</v>
      </c>
      <c r="J17" s="17" t="n">
        <v>1.55</v>
      </c>
      <c r="K17" s="19" t="n">
        <v>14.411</v>
      </c>
      <c r="L17" s="19" t="n">
        <v>3.332</v>
      </c>
    </row>
    <row r="18" customFormat="false" ht="12.75" hidden="false" customHeight="true" outlineLevel="0" collapsed="false">
      <c r="A18" s="1" t="s">
        <v>559</v>
      </c>
      <c r="B18" s="15" t="n">
        <v>46022</v>
      </c>
      <c r="F18" s="17" t="n">
        <v>12.55</v>
      </c>
      <c r="G18" s="17" t="n">
        <v>2.3</v>
      </c>
      <c r="H18" s="19" t="n">
        <v>1.019</v>
      </c>
      <c r="I18" s="17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2026-01-29T04:02:09Z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