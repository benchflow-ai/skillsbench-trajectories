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<sst xmlns="http://schemas.openxmlformats.org/spreadsheetml/2006/main" count="876" uniqueCount="628">
  <si>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</si>
  <si>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</si>
  <si>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</si>
  <si>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</si>
  <si>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</si>
  <si>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</si>
  <si>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</si>
  <si>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</si>
  <si>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</si>
  <si>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</si>
  <si>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</si>
  <si>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</si>
  <si>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</si>
  <si>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</si>
  <si>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</si>
  <si>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</si>
  <si>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Poland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</si>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</sst>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136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D430</f>
        <v>0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0</v>
      </c>
    </row>
    <row r="6" customFormat="false" ht="12.75" hidden="false" customHeight="true" outlineLevel="0" collapsed="false">
      <c r="B6" s="1" t="s">
        <v>4</v>
      </c>
      <c r="C6" s="1" t="n">
        <f aca="false">E430</f>
        <v>0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  <c r="T11" s="1" t="s">
        <v>15</v>
      </c>
      <c r="U11" s="1" t="s">
        <v>16</v>
      </c>
    </row>
    <row r="12" customFormat="false" ht="23.25" hidden="false" customHeight="true" outlineLevel="0" collapsed="false">
      <c r="B12" s="2" t="s">
        <v>17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Volume!H18*3202.82360823556</f>
        <v>3263.67725679204</v>
      </c>
      <c r="T12" s="1" t="n">
        <f aca="false">Volume!G10*3202.82360823556</f>
        <v>960.847082470668</v>
      </c>
      <c r="U12" s="1" t="n">
        <f aca="false">Volume!J10*3202.82360823556</f>
        <v>1985.75063710605</v>
      </c>
    </row>
    <row r="13" customFormat="false" ht="12.75" hidden="false" customHeight="true" outlineLevel="0" collapsed="false">
      <c r="B13" s="1" t="s">
        <v>18</v>
      </c>
      <c r="C13" s="1" t="n">
        <f aca="false">$C$3*$C$4*E12</f>
        <v>0</v>
      </c>
      <c r="D13" s="1" t="n">
        <f aca="false">$C$3*$C$4*F12</f>
        <v>0</v>
      </c>
      <c r="E13" s="1" t="n">
        <f aca="false">$C$3*$C$4*G12</f>
        <v>0</v>
      </c>
      <c r="F13" s="1" t="n">
        <f aca="false">$C$3*$C$4*H12</f>
        <v>0</v>
      </c>
      <c r="G13" s="1" t="n">
        <f aca="false">$C$3*$C$4*I12</f>
        <v>0</v>
      </c>
      <c r="H13" s="1" t="n">
        <f aca="false">$C$3*$C$4*J12</f>
        <v>0</v>
      </c>
      <c r="I13" s="1" t="n">
        <f aca="false">$C$3*$C$4*K12</f>
        <v>0</v>
      </c>
      <c r="J13" s="1" t="n">
        <f aca="false">$C$3*$C$4*L12</f>
        <v>0</v>
      </c>
      <c r="K13" s="1" t="n">
        <f aca="false">$C$3*$C$4*M12</f>
        <v>0</v>
      </c>
      <c r="T13" s="1" t="n">
        <f aca="false">$C$3*$C$4*T12</f>
        <v>0</v>
      </c>
      <c r="U13" s="1" t="n">
        <f aca="false">$C$3*$C$4*U12</f>
        <v>0</v>
      </c>
    </row>
    <row r="16" customFormat="false" ht="12.75" hidden="false" customHeight="true" outlineLevel="0" collapsed="false">
      <c r="B16" s="1" t="s">
        <v>19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/>
      <c r="G20" s="1" t="s">
        <v>11</v>
      </c>
    </row>
    <row r="21" customFormat="false" ht="23.25" hidden="false" customHeight="true" outlineLevel="0" collapsed="false">
      <c r="B21" s="2" t="s">
        <v>17</v>
      </c>
      <c r="C21" s="3" t="n">
        <f aca="false">C12</f>
        <v>7471</v>
      </c>
      <c r="D21" s="4" t="n">
        <f aca="false">D12</f>
        <v>1002</v>
      </c>
      <c r="E21" s="5"/>
      <c r="F21" s="5"/>
      <c r="G21" s="5" t="n">
        <f aca="false">G12</f>
        <v>55092.42</v>
      </c>
      <c r="H21" s="3"/>
    </row>
    <row r="22" customFormat="false" ht="12.75" hidden="false" customHeight="true" outlineLevel="0" collapsed="false">
      <c r="B22" s="1" t="s">
        <v>18</v>
      </c>
      <c r="C22" s="1" t="n">
        <f aca="false">$C$4</f>
        <v>0</v>
      </c>
      <c r="D22" s="1" t="n">
        <f aca="false">$C$4</f>
        <v>0</v>
      </c>
      <c r="E22" s="1"/>
      <c r="G22" s="1" t="n">
        <f aca="false">$C$4</f>
        <v>0</v>
      </c>
    </row>
    <row r="23" customFormat="false" ht="12.75" hidden="false" customHeight="true" outlineLevel="0" collapsed="false">
      <c r="B23" s="1" t="s">
        <v>20</v>
      </c>
      <c r="C23" s="3" t="n">
        <f aca="false">'Total Reserves'!D18</f>
        <v>14425.9</v>
      </c>
      <c r="D23" s="5" t="n">
        <f aca="false">'Total Reserves'!E18</f>
        <v>6158.7</v>
      </c>
      <c r="E23" s="1"/>
      <c r="G23" s="5" t="n">
        <f aca="false">'Total Reserves'!I18</f>
        <v>66311.75</v>
      </c>
    </row>
    <row r="24" customFormat="false" ht="12.75" hidden="false" customHeight="true" outlineLevel="0" collapsed="false">
      <c r="B24" s="1" t="s">
        <v>21</v>
      </c>
      <c r="C24" s="1" t="n">
        <f aca="false">(C21/C23)*$C$3*$C$4</f>
        <v>0</v>
      </c>
      <c r="D24" s="1" t="n">
        <f aca="false">(D21/D23)*$C$3*$C$4</f>
        <v>0</v>
      </c>
      <c r="E24" s="1"/>
      <c r="G24" s="1" t="n">
        <f aca="false">(G21/G23)*$C$3*$C$4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1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22</v>
      </c>
      <c r="C1" s="6" t="s">
        <v>23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24</v>
      </c>
      <c r="B2" s="6" t="n">
        <v>409.819061279297</v>
      </c>
    </row>
    <row r="3" customFormat="false" ht="15" hidden="false" customHeight="true" outlineLevel="0" collapsed="false">
      <c r="A3" s="6" t="s">
        <v>25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26</v>
      </c>
      <c r="B4" s="6" t="n">
        <v>392.703338623047</v>
      </c>
      <c r="C4" s="6" t="n">
        <f aca="false">LN(B4/B3)*100</f>
        <v>-6.04658628397791</v>
      </c>
      <c r="D4" s="6" t="n">
        <f aca="false">STDEV(C2:C4)</f>
        <v>5.53455593172088</v>
      </c>
    </row>
    <row r="5" customFormat="false" ht="15" hidden="false" customHeight="true" outlineLevel="0" collapsed="false">
      <c r="A5" s="6" t="s">
        <v>27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28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29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30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31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32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33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34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35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36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37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38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39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40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41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42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43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44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45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46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47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48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49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50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51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52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53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54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55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56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57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58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59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60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61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62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63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64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65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66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67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68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69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70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71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72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73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74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75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76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77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78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79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80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81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82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83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84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85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86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87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88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89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90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91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92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93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94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95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96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97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98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99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100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101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102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103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104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105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106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107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108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109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110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111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112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113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114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115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116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117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118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119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120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121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122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123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124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125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126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127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128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129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130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131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132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133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134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135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136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137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138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139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140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141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142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143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144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145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146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147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148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149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150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151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152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153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154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155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156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157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158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159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160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161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162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163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164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165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166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167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168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169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170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171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172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173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174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175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176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177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178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179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180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181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182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183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184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185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186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187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188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189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190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191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192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193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194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195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196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197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198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199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200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201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202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203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204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205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206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207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208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209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210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211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212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213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214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215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216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217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218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219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220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221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222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223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224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225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226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227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228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229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230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231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232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233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234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235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236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237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238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239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240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241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242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243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244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245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246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247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248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249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250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251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252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253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254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255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256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257</v>
      </c>
      <c r="B235" s="6" t="n">
        <v>945.670454545454</v>
      </c>
      <c r="C235" s="6" t="n">
        <f aca="false">LN(B235/B234)*100</f>
        <v>1.81679005636465</v>
      </c>
      <c r="D235" s="6" t="n">
        <f aca="false">STDEV(C233:C235)</f>
        <v>4.09506145702125</v>
      </c>
      <c r="E235" s="6" t="n">
        <f aca="false">STDEV(C224:C235)</f>
        <v>6.04170449957323</v>
      </c>
    </row>
    <row r="236" customFormat="false" ht="15" hidden="false" customHeight="true" outlineLevel="0" collapsed="false">
      <c r="A236" s="6" t="s">
        <v>258</v>
      </c>
      <c r="B236" s="6" t="n">
        <v>934.228260869565</v>
      </c>
      <c r="C236" s="6" t="n">
        <f aca="false">LN(B236/B235)*100</f>
        <v>-1.21733526213521</v>
      </c>
      <c r="D236" s="6" t="n">
        <f aca="false">STDEV(C234:C236)</f>
        <v>2.72860386904058</v>
      </c>
      <c r="E236" s="6" t="n">
        <f aca="false">STDEV(C225:C236)</f>
        <v>5.84545652697406</v>
      </c>
    </row>
    <row r="237" customFormat="false" ht="15" hidden="false" customHeight="true" outlineLevel="0" collapsed="false">
      <c r="A237" s="6" t="s">
        <v>259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1.69477816108052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260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3.03790907889295</v>
      </c>
      <c r="E238" s="6" t="n">
        <f aca="false">STDEV(C227:C238)</f>
        <v>4.71318324804132</v>
      </c>
    </row>
    <row r="239" customFormat="false" ht="15" hidden="false" customHeight="true" outlineLevel="0" collapsed="false">
      <c r="A239" s="6" t="s">
        <v>261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4.57157393362892</v>
      </c>
    </row>
    <row r="240" customFormat="false" ht="15" hidden="false" customHeight="true" outlineLevel="0" collapsed="false">
      <c r="A240" s="6" t="s">
        <v>262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263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3.94880645265458</v>
      </c>
    </row>
    <row r="242" customFormat="false" ht="15" hidden="false" customHeight="true" outlineLevel="0" collapsed="false">
      <c r="A242" s="6" t="s">
        <v>264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4.04938637869816</v>
      </c>
    </row>
    <row r="243" customFormat="false" ht="15" hidden="false" customHeight="true" outlineLevel="0" collapsed="false">
      <c r="A243" s="6" t="s">
        <v>265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3.51410380741557</v>
      </c>
    </row>
    <row r="244" customFormat="false" ht="15" hidden="false" customHeight="true" outlineLevel="0" collapsed="false">
      <c r="A244" s="6" t="s">
        <v>266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267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2.93174727914245</v>
      </c>
    </row>
    <row r="246" customFormat="false" ht="15" hidden="false" customHeight="true" outlineLevel="0" collapsed="false">
      <c r="A246" s="6" t="s">
        <v>268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2.97518444328111</v>
      </c>
    </row>
    <row r="247" customFormat="false" ht="15" hidden="false" customHeight="true" outlineLevel="0" collapsed="false">
      <c r="A247" s="6" t="s">
        <v>269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2.97309070123593</v>
      </c>
    </row>
    <row r="248" customFormat="false" ht="15" hidden="false" customHeight="true" outlineLevel="0" collapsed="false">
      <c r="A248" s="6" t="s">
        <v>270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271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272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273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274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275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276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277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278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279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280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281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282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283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284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285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286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287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288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289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290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291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292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293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294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295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296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297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298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299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300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301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302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303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304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305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306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307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308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309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310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311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312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313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314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315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316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317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318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319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320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321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322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323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324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325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326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327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328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329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330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331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332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333</v>
      </c>
      <c r="B311" s="6" t="n">
        <v>1159.24545454545</v>
      </c>
      <c r="C311" s="6" t="n">
        <f aca="false">LN(B311/B310)*100</f>
        <v>3.04025358303498</v>
      </c>
      <c r="D311" s="6" t="n">
        <f aca="false">STDEV(C309:C311)</f>
        <v>2.08786038188594</v>
      </c>
      <c r="E311" s="6" t="n">
        <f aca="false">STDEV(C300:C311)</f>
        <v>2.8503776242446</v>
      </c>
    </row>
    <row r="312" customFormat="false" ht="15" hidden="false" customHeight="true" outlineLevel="0" collapsed="false">
      <c r="A312" s="6" t="s">
        <v>334</v>
      </c>
      <c r="B312" s="6" t="n">
        <v>1085.70238095238</v>
      </c>
      <c r="C312" s="6" t="n">
        <f aca="false">LN(B312/B311)*100</f>
        <v>-6.55421899867197</v>
      </c>
      <c r="D312" s="6" t="n">
        <f aca="false">STDEV(C310:C312)</f>
        <v>4.99118493074509</v>
      </c>
      <c r="E312" s="6" t="n">
        <f aca="false">STDEV(C301:C312)</f>
        <v>3.22621801968311</v>
      </c>
    </row>
    <row r="313" customFormat="false" ht="15" hidden="false" customHeight="true" outlineLevel="0" collapsed="false">
      <c r="A313" s="6" t="s">
        <v>335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4.7978854262564</v>
      </c>
      <c r="E313" s="6" t="n">
        <f aca="false">STDEV(C302:C313)</f>
        <v>3.10501574457538</v>
      </c>
    </row>
    <row r="314" customFormat="false" ht="15" hidden="false" customHeight="true" outlineLevel="0" collapsed="false">
      <c r="A314" s="6" t="s">
        <v>336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4.62545334533585</v>
      </c>
      <c r="E314" s="6" t="n">
        <f aca="false">STDEV(C303:C314)</f>
        <v>2.92578086886131</v>
      </c>
    </row>
    <row r="315" customFormat="false" ht="15" hidden="false" customHeight="true" outlineLevel="0" collapsed="false">
      <c r="A315" s="6" t="s">
        <v>337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4.09023837635894</v>
      </c>
    </row>
    <row r="316" customFormat="false" ht="15" hidden="false" customHeight="true" outlineLevel="0" collapsed="false">
      <c r="A316" s="6" t="s">
        <v>338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4.04478190199535</v>
      </c>
    </row>
    <row r="317" customFormat="false" ht="15" hidden="false" customHeight="true" outlineLevel="0" collapsed="false">
      <c r="A317" s="6" t="s">
        <v>339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4.03322510725002</v>
      </c>
    </row>
    <row r="318" customFormat="false" ht="15" hidden="false" customHeight="true" outlineLevel="0" collapsed="false">
      <c r="A318" s="6" t="s">
        <v>340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</v>
      </c>
    </row>
    <row r="319" customFormat="false" ht="15" hidden="false" customHeight="true" outlineLevel="0" collapsed="false">
      <c r="A319" s="6" t="s">
        <v>341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4.00632130407045</v>
      </c>
    </row>
    <row r="320" customFormat="false" ht="15" hidden="false" customHeight="true" outlineLevel="0" collapsed="false">
      <c r="A320" s="6" t="s">
        <v>342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3.8114043827253</v>
      </c>
    </row>
    <row r="321" customFormat="false" ht="15" hidden="false" customHeight="true" outlineLevel="0" collapsed="false">
      <c r="A321" s="6" t="s">
        <v>343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3.74814592984073</v>
      </c>
    </row>
    <row r="322" customFormat="false" ht="15" hidden="false" customHeight="true" outlineLevel="0" collapsed="false">
      <c r="A322" s="6" t="s">
        <v>344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3.81983661062044</v>
      </c>
    </row>
    <row r="323" customFormat="false" ht="15" hidden="false" customHeight="true" outlineLevel="0" collapsed="false">
      <c r="A323" s="6" t="s">
        <v>345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4.13864822048986</v>
      </c>
    </row>
    <row r="324" customFormat="false" ht="15" hidden="false" customHeight="true" outlineLevel="0" collapsed="false">
      <c r="A324" s="6" t="s">
        <v>346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347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348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349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350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351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352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353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354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355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356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357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358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359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360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361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362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363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364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365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366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367</v>
      </c>
      <c r="B345" s="6" t="n">
        <v>1201.24545454545</v>
      </c>
      <c r="C345" s="6" t="n">
        <f aca="false">LN(B345/B344)*100</f>
        <v>-3.05622580940513</v>
      </c>
      <c r="D345" s="6" t="n">
        <f aca="false">STDEV(C343:C345)</f>
        <v>0.927314286540229</v>
      </c>
      <c r="E345" s="6" t="n">
        <f aca="false">STDEV(C334:C345)</f>
        <v>2.57490332811113</v>
      </c>
    </row>
    <row r="346" customFormat="false" ht="15" hidden="false" customHeight="true" outlineLevel="0" collapsed="false">
      <c r="A346" s="6" t="s">
        <v>368</v>
      </c>
      <c r="B346" s="6" t="n">
        <v>1198.4725</v>
      </c>
      <c r="C346" s="6" t="n">
        <f aca="false">LN(B346/B345)*100</f>
        <v>-0.231106807731418</v>
      </c>
      <c r="D346" s="6" t="n">
        <f aca="false">STDEV(C344:C346)</f>
        <v>1.74431415839479</v>
      </c>
      <c r="E346" s="6" t="n">
        <f aca="false">STDEV(C335:C346)</f>
        <v>2.39393835302592</v>
      </c>
    </row>
    <row r="347" customFormat="false" ht="15" hidden="false" customHeight="true" outlineLevel="0" collapsed="false">
      <c r="A347" s="6" t="s">
        <v>369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2.25551797535238</v>
      </c>
      <c r="E347" s="6" t="n">
        <f aca="false">STDEV(C336:C347)</f>
        <v>2.38366864197267</v>
      </c>
    </row>
    <row r="348" customFormat="false" ht="15" hidden="false" customHeight="true" outlineLevel="0" collapsed="false">
      <c r="A348" s="6" t="s">
        <v>370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0.819981204337418</v>
      </c>
      <c r="E348" s="6" t="n">
        <f aca="false">STDEV(C337:C348)</f>
        <v>2.39054953230267</v>
      </c>
    </row>
    <row r="349" customFormat="false" ht="15" hidden="false" customHeight="true" outlineLevel="0" collapsed="false">
      <c r="A349" s="6" t="s">
        <v>371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2.46452475598163</v>
      </c>
    </row>
    <row r="350" customFormat="false" ht="15" hidden="false" customHeight="true" outlineLevel="0" collapsed="false">
      <c r="A350" s="6" t="s">
        <v>372</v>
      </c>
      <c r="B350" s="6" t="n">
        <v>1291.74545454545</v>
      </c>
      <c r="C350" s="6" t="n">
        <f aca="false">LN(B350/B349)*100</f>
        <v>3.45133757843236</v>
      </c>
      <c r="D350" s="6" t="n">
        <f aca="false">STDEV(C348:C350)</f>
        <v>1.50376361566038</v>
      </c>
      <c r="E350" s="6" t="n">
        <f aca="false">STDEV(C339:C350)</f>
        <v>2.10058307984058</v>
      </c>
    </row>
    <row r="351" customFormat="false" ht="15" hidden="false" customHeight="true" outlineLevel="0" collapsed="false">
      <c r="A351" s="6" t="s">
        <v>373</v>
      </c>
      <c r="B351" s="6" t="n">
        <v>1320.065</v>
      </c>
      <c r="C351" s="6" t="n">
        <f aca="false">LN(B351/B350)*100</f>
        <v>2.16866084657532</v>
      </c>
      <c r="D351" s="6" t="n">
        <f aca="false">STDEV(C349:C351)</f>
        <v>0.735727528734705</v>
      </c>
      <c r="E351" s="6" t="n">
        <f aca="false">STDEV(C340:C351)</f>
        <v>2.21461327801783</v>
      </c>
    </row>
    <row r="352" customFormat="false" ht="15" hidden="false" customHeight="true" outlineLevel="0" collapsed="false">
      <c r="A352" s="6" t="s">
        <v>374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2.54882031461817</v>
      </c>
      <c r="E352" s="6" t="n">
        <f aca="false">STDEV(C341:C352)</f>
        <v>2.24845066075907</v>
      </c>
    </row>
    <row r="353" customFormat="false" ht="15" hidden="false" customHeight="true" outlineLevel="0" collapsed="false">
      <c r="A353" s="6" t="s">
        <v>375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2.00426872016178</v>
      </c>
      <c r="E353" s="6" t="n">
        <f aca="false">STDEV(C342:C353)</f>
        <v>2.24469257611085</v>
      </c>
    </row>
    <row r="354" customFormat="false" ht="15" hidden="false" customHeight="true" outlineLevel="0" collapsed="false">
      <c r="A354" s="6" t="s">
        <v>376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2.145412741048</v>
      </c>
    </row>
    <row r="355" customFormat="false" ht="15" hidden="false" customHeight="true" outlineLevel="0" collapsed="false">
      <c r="A355" s="6" t="s">
        <v>377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2.65419550139494</v>
      </c>
    </row>
    <row r="356" customFormat="false" ht="15" hidden="false" customHeight="true" outlineLevel="0" collapsed="false">
      <c r="A356" s="6" t="s">
        <v>378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2.51122403772536</v>
      </c>
    </row>
    <row r="357" customFormat="false" ht="15" hidden="false" customHeight="true" outlineLevel="0" collapsed="false">
      <c r="A357" s="6" t="s">
        <v>379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2.49460221035285</v>
      </c>
    </row>
    <row r="358" customFormat="false" ht="15" hidden="false" customHeight="true" outlineLevel="0" collapsed="false">
      <c r="A358" s="6" t="s">
        <v>380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2.43231433949226</v>
      </c>
    </row>
    <row r="359" customFormat="false" ht="15" hidden="false" customHeight="true" outlineLevel="0" collapsed="false">
      <c r="A359" s="6" t="s">
        <v>381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2.58430169245562</v>
      </c>
    </row>
    <row r="360" customFormat="false" ht="15" hidden="false" customHeight="true" outlineLevel="0" collapsed="false">
      <c r="A360" s="6" t="s">
        <v>382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2.74710774706447</v>
      </c>
    </row>
    <row r="361" customFormat="false" ht="15" hidden="false" customHeight="true" outlineLevel="0" collapsed="false">
      <c r="A361" s="6" t="s">
        <v>383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2.75741529143559</v>
      </c>
    </row>
    <row r="362" customFormat="false" ht="15" hidden="false" customHeight="true" outlineLevel="0" collapsed="false">
      <c r="A362" s="6" t="s">
        <v>384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2.96170278985325</v>
      </c>
    </row>
    <row r="363" customFormat="false" ht="15" hidden="false" customHeight="true" outlineLevel="0" collapsed="false">
      <c r="A363" s="6" t="s">
        <v>385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386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387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388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389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390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391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392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393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394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395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396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397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398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399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400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401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402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403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404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405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406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407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408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409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410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411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412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413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414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415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416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417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418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419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420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421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422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423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424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425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426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427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428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429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430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431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432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433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434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435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436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437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438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439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440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441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442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443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444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445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446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447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448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449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450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451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452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  <row r="431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465</v>
      </c>
      <c r="O1" s="1" t="s">
        <v>466</v>
      </c>
      <c r="P1" s="1" t="s">
        <v>467</v>
      </c>
    </row>
    <row r="2" customFormat="false" ht="12.75" hidden="false" customHeight="true" outlineLevel="0" collapsed="false">
      <c r="A2" s="1" t="s">
        <v>468</v>
      </c>
      <c r="C2" s="1" t="s">
        <v>469</v>
      </c>
      <c r="D2" s="1" t="s">
        <v>470</v>
      </c>
      <c r="E2" s="1" t="s">
        <v>471</v>
      </c>
      <c r="F2" s="1" t="s">
        <v>472</v>
      </c>
      <c r="G2" s="1" t="s">
        <v>473</v>
      </c>
      <c r="H2" s="1" t="s">
        <v>474</v>
      </c>
      <c r="I2" s="1" t="s">
        <v>475</v>
      </c>
      <c r="J2" s="1" t="s">
        <v>476</v>
      </c>
      <c r="K2" s="1" t="s">
        <v>477</v>
      </c>
      <c r="L2" s="1" t="s">
        <v>478</v>
      </c>
      <c r="M2" s="1" t="s">
        <v>479</v>
      </c>
      <c r="N2" s="1" t="s">
        <v>480</v>
      </c>
      <c r="O2" s="1" t="s">
        <v>481</v>
      </c>
      <c r="P2" s="1" t="s">
        <v>469</v>
      </c>
    </row>
    <row r="3" customFormat="false" ht="12.75" hidden="false" customHeight="true" outlineLevel="0" collapsed="false">
      <c r="A3" s="1" t="s">
        <v>482</v>
      </c>
      <c r="C3" s="1" t="s">
        <v>483</v>
      </c>
      <c r="D3" s="1" t="s">
        <v>483</v>
      </c>
      <c r="E3" s="1" t="s">
        <v>483</v>
      </c>
      <c r="F3" s="1" t="s">
        <v>483</v>
      </c>
      <c r="G3" s="1" t="s">
        <v>484</v>
      </c>
      <c r="H3" s="1" t="s">
        <v>483</v>
      </c>
      <c r="I3" s="1" t="s">
        <v>483</v>
      </c>
      <c r="J3" s="1" t="s">
        <v>483</v>
      </c>
      <c r="K3" s="1" t="s">
        <v>483</v>
      </c>
      <c r="L3" s="1" t="s">
        <v>484</v>
      </c>
      <c r="M3" s="1" t="s">
        <v>484</v>
      </c>
      <c r="N3" s="1" t="s">
        <v>483</v>
      </c>
      <c r="O3" s="1" t="s">
        <v>485</v>
      </c>
      <c r="P3" s="1" t="s">
        <v>484</v>
      </c>
    </row>
    <row r="4" customFormat="false" ht="12.75" hidden="false" customHeight="true" outlineLevel="0" collapsed="false">
      <c r="A4" s="1" t="s">
        <v>486</v>
      </c>
      <c r="C4" s="1" t="s">
        <v>487</v>
      </c>
      <c r="D4" s="1" t="s">
        <v>488</v>
      </c>
      <c r="E4" s="1" t="s">
        <v>489</v>
      </c>
      <c r="F4" s="1" t="s">
        <v>490</v>
      </c>
      <c r="G4" s="1" t="s">
        <v>491</v>
      </c>
      <c r="H4" s="1" t="s">
        <v>492</v>
      </c>
      <c r="I4" s="1" t="s">
        <v>493</v>
      </c>
      <c r="J4" s="1" t="s">
        <v>494</v>
      </c>
      <c r="K4" s="1" t="s">
        <v>495</v>
      </c>
      <c r="L4" s="1" t="s">
        <v>496</v>
      </c>
      <c r="M4" s="1" t="s">
        <v>497</v>
      </c>
      <c r="N4" s="1" t="s">
        <v>498</v>
      </c>
      <c r="O4" s="1" t="s">
        <v>499</v>
      </c>
      <c r="P4" s="1" t="s">
        <v>500</v>
      </c>
    </row>
    <row r="5" customFormat="false" ht="12.75" hidden="false" customHeight="true" outlineLevel="0" collapsed="false">
      <c r="A5" s="1" t="s">
        <v>501</v>
      </c>
      <c r="C5" s="1" t="s">
        <v>502</v>
      </c>
      <c r="D5" s="1" t="s">
        <v>502</v>
      </c>
      <c r="E5" s="1" t="s">
        <v>502</v>
      </c>
      <c r="F5" s="1" t="s">
        <v>502</v>
      </c>
      <c r="G5" s="1" t="s">
        <v>502</v>
      </c>
      <c r="H5" s="1" t="s">
        <v>502</v>
      </c>
      <c r="I5" s="1" t="s">
        <v>502</v>
      </c>
      <c r="J5" s="1" t="s">
        <v>502</v>
      </c>
      <c r="K5" s="1" t="s">
        <v>502</v>
      </c>
      <c r="L5" s="1" t="s">
        <v>502</v>
      </c>
      <c r="M5" s="1" t="s">
        <v>502</v>
      </c>
      <c r="N5" s="1" t="s">
        <v>502</v>
      </c>
      <c r="O5" s="1" t="s">
        <v>502</v>
      </c>
      <c r="P5" s="1" t="s">
        <v>502</v>
      </c>
    </row>
    <row r="6" customFormat="false" ht="12.75" hidden="false" customHeight="true" outlineLevel="0" collapsed="false">
      <c r="A6" s="1" t="s">
        <v>503</v>
      </c>
      <c r="C6" s="1" t="s">
        <v>504</v>
      </c>
      <c r="D6" s="1" t="s">
        <v>505</v>
      </c>
      <c r="E6" s="1" t="s">
        <v>506</v>
      </c>
      <c r="F6" s="1" t="s">
        <v>507</v>
      </c>
      <c r="G6" s="1" t="s">
        <v>508</v>
      </c>
      <c r="H6" s="1" t="s">
        <v>509</v>
      </c>
      <c r="I6" s="1" t="s">
        <v>510</v>
      </c>
      <c r="J6" s="1" t="s">
        <v>511</v>
      </c>
      <c r="K6" s="1" t="s">
        <v>512</v>
      </c>
      <c r="L6" s="1" t="s">
        <v>513</v>
      </c>
      <c r="M6" s="1" t="s">
        <v>514</v>
      </c>
      <c r="N6" s="1" t="s">
        <v>515</v>
      </c>
      <c r="O6" s="1" t="s">
        <v>516</v>
      </c>
      <c r="P6" s="1" t="s">
        <v>517</v>
      </c>
    </row>
    <row r="7" customFormat="false" ht="12.75" hidden="false" customHeight="true" outlineLevel="0" collapsed="false">
      <c r="A7" s="1" t="s">
        <v>518</v>
      </c>
      <c r="C7" s="1" t="s">
        <v>519</v>
      </c>
      <c r="D7" s="1" t="s">
        <v>519</v>
      </c>
      <c r="E7" s="1" t="s">
        <v>519</v>
      </c>
      <c r="F7" s="1" t="s">
        <v>519</v>
      </c>
      <c r="G7" s="1" t="s">
        <v>519</v>
      </c>
      <c r="H7" s="1" t="s">
        <v>519</v>
      </c>
      <c r="I7" s="1" t="s">
        <v>519</v>
      </c>
      <c r="J7" s="1" t="s">
        <v>519</v>
      </c>
      <c r="K7" s="1" t="s">
        <v>519</v>
      </c>
      <c r="L7" s="1" t="s">
        <v>520</v>
      </c>
      <c r="M7" s="1" t="s">
        <v>519</v>
      </c>
      <c r="N7" s="1" t="s">
        <v>519</v>
      </c>
      <c r="O7" s="1" t="s">
        <v>519</v>
      </c>
      <c r="P7" s="1" t="s">
        <v>521</v>
      </c>
    </row>
    <row r="8" customFormat="false" ht="12.75" hidden="false" customHeight="true" outlineLevel="0" collapsed="false">
      <c r="A8" s="1" t="s">
        <v>522</v>
      </c>
      <c r="C8" s="1" t="s">
        <v>523</v>
      </c>
      <c r="D8" s="1" t="s">
        <v>524</v>
      </c>
      <c r="E8" s="1" t="s">
        <v>525</v>
      </c>
      <c r="F8" s="1" t="s">
        <v>526</v>
      </c>
      <c r="G8" s="1" t="s">
        <v>527</v>
      </c>
      <c r="H8" s="1" t="s">
        <v>528</v>
      </c>
      <c r="I8" s="1" t="s">
        <v>529</v>
      </c>
      <c r="J8" s="1" t="s">
        <v>530</v>
      </c>
      <c r="K8" s="1" t="s">
        <v>531</v>
      </c>
      <c r="L8" s="1" t="s">
        <v>532</v>
      </c>
      <c r="M8" s="1" t="s">
        <v>533</v>
      </c>
      <c r="N8" s="1" t="s">
        <v>534</v>
      </c>
      <c r="O8" s="1" t="s">
        <v>535</v>
      </c>
      <c r="P8" s="1" t="s">
        <v>536</v>
      </c>
    </row>
    <row r="9" customFormat="false" ht="12.75" hidden="false" customHeight="true" outlineLevel="0" collapsed="false">
      <c r="A9" s="1" t="s">
        <v>537</v>
      </c>
      <c r="C9" s="1" t="s">
        <v>538</v>
      </c>
      <c r="D9" s="1" t="s">
        <v>539</v>
      </c>
      <c r="E9" s="1" t="s">
        <v>540</v>
      </c>
      <c r="F9" s="1" t="s">
        <v>541</v>
      </c>
      <c r="G9" s="1" t="s">
        <v>542</v>
      </c>
      <c r="H9" s="1" t="s">
        <v>543</v>
      </c>
      <c r="I9" s="1" t="s">
        <v>544</v>
      </c>
      <c r="J9" s="1" t="s">
        <v>545</v>
      </c>
      <c r="K9" s="1" t="s">
        <v>546</v>
      </c>
      <c r="L9" s="1" t="s">
        <v>547</v>
      </c>
      <c r="M9" s="1" t="s">
        <v>548</v>
      </c>
      <c r="N9" s="1" t="s">
        <v>549</v>
      </c>
      <c r="O9" s="1" t="s">
        <v>550</v>
      </c>
      <c r="P9" s="1" t="s">
        <v>551</v>
      </c>
    </row>
    <row r="10" customFormat="false" ht="12.75" hidden="false" customHeight="true" outlineLevel="0" collapsed="false">
      <c r="A10" s="1" t="s">
        <v>552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553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554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555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556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557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558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559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560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453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  <c r="I1" s="1" t="s">
        <v>567</v>
      </c>
      <c r="J1" s="1" t="s">
        <v>568</v>
      </c>
      <c r="K1" s="1" t="s">
        <v>569</v>
      </c>
      <c r="L1" s="1" t="s">
        <v>570</v>
      </c>
      <c r="M1" s="1" t="s">
        <v>571</v>
      </c>
      <c r="N1" s="1" t="s">
        <v>572</v>
      </c>
      <c r="O1" s="1" t="s">
        <v>573</v>
      </c>
      <c r="P1" s="1" t="s">
        <v>574</v>
      </c>
      <c r="Q1" s="1" t="s">
        <v>575</v>
      </c>
      <c r="R1" s="1" t="s">
        <v>576</v>
      </c>
    </row>
    <row r="2" customFormat="false" ht="12.75" hidden="false" customHeight="true" outlineLevel="0" collapsed="false">
      <c r="A2" s="1" t="s">
        <v>468</v>
      </c>
      <c r="C2" s="1" t="s">
        <v>469</v>
      </c>
      <c r="D2" s="1" t="s">
        <v>470</v>
      </c>
      <c r="E2" s="1" t="s">
        <v>577</v>
      </c>
      <c r="F2" s="1" t="s">
        <v>471</v>
      </c>
      <c r="G2" s="1" t="s">
        <v>472</v>
      </c>
      <c r="H2" s="1" t="s">
        <v>578</v>
      </c>
      <c r="I2" s="1" t="s">
        <v>579</v>
      </c>
      <c r="J2" s="1" t="s">
        <v>474</v>
      </c>
      <c r="K2" s="1" t="s">
        <v>480</v>
      </c>
      <c r="L2" s="1" t="s">
        <v>469</v>
      </c>
      <c r="M2" s="1" t="s">
        <v>475</v>
      </c>
      <c r="N2" s="1" t="s">
        <v>476</v>
      </c>
      <c r="O2" s="1" t="s">
        <v>477</v>
      </c>
      <c r="P2" s="1" t="s">
        <v>580</v>
      </c>
      <c r="Q2" s="1" t="s">
        <v>581</v>
      </c>
      <c r="R2" s="1" t="s">
        <v>469</v>
      </c>
    </row>
    <row r="3" customFormat="false" ht="12.75" hidden="false" customHeight="true" outlineLevel="0" collapsed="false">
      <c r="A3" s="1" t="s">
        <v>482</v>
      </c>
      <c r="C3" s="1" t="s">
        <v>484</v>
      </c>
      <c r="D3" s="1" t="s">
        <v>483</v>
      </c>
      <c r="E3" s="1" t="s">
        <v>484</v>
      </c>
      <c r="F3" s="1" t="s">
        <v>483</v>
      </c>
      <c r="G3" s="1" t="s">
        <v>484</v>
      </c>
      <c r="H3" s="1" t="s">
        <v>484</v>
      </c>
      <c r="I3" s="1" t="s">
        <v>484</v>
      </c>
      <c r="J3" s="1" t="s">
        <v>483</v>
      </c>
      <c r="K3" s="1" t="s">
        <v>484</v>
      </c>
      <c r="L3" s="1" t="s">
        <v>483</v>
      </c>
      <c r="M3" s="1" t="s">
        <v>483</v>
      </c>
      <c r="N3" s="1" t="s">
        <v>483</v>
      </c>
      <c r="O3" s="1" t="s">
        <v>483</v>
      </c>
      <c r="P3" s="1" t="s">
        <v>484</v>
      </c>
      <c r="Q3" s="1" t="s">
        <v>483</v>
      </c>
      <c r="R3" s="1" t="s">
        <v>484</v>
      </c>
    </row>
    <row r="4" customFormat="false" ht="12.75" hidden="false" customHeight="true" outlineLevel="0" collapsed="false">
      <c r="A4" s="1" t="s">
        <v>486</v>
      </c>
      <c r="C4" s="1" t="s">
        <v>487</v>
      </c>
      <c r="D4" s="1" t="s">
        <v>488</v>
      </c>
      <c r="E4" s="1" t="s">
        <v>582</v>
      </c>
      <c r="F4" s="1" t="s">
        <v>489</v>
      </c>
      <c r="G4" s="1" t="s">
        <v>490</v>
      </c>
      <c r="H4" s="1" t="s">
        <v>491</v>
      </c>
      <c r="I4" s="1" t="s">
        <v>583</v>
      </c>
      <c r="J4" s="1" t="s">
        <v>492</v>
      </c>
      <c r="K4" s="1" t="s">
        <v>584</v>
      </c>
      <c r="L4" s="1" t="s">
        <v>585</v>
      </c>
      <c r="M4" s="1" t="s">
        <v>493</v>
      </c>
      <c r="N4" s="1" t="s">
        <v>494</v>
      </c>
      <c r="O4" s="1" t="s">
        <v>495</v>
      </c>
      <c r="P4" s="1" t="s">
        <v>496</v>
      </c>
      <c r="Q4" s="1" t="s">
        <v>498</v>
      </c>
      <c r="R4" s="1" t="s">
        <v>500</v>
      </c>
    </row>
    <row r="5" customFormat="false" ht="12.75" hidden="false" customHeight="true" outlineLevel="0" collapsed="false">
      <c r="A5" s="1" t="s">
        <v>501</v>
      </c>
      <c r="C5" s="1" t="s">
        <v>502</v>
      </c>
      <c r="D5" s="1" t="s">
        <v>502</v>
      </c>
      <c r="E5" s="1" t="s">
        <v>502</v>
      </c>
      <c r="F5" s="1" t="s">
        <v>502</v>
      </c>
      <c r="G5" s="1" t="s">
        <v>502</v>
      </c>
      <c r="H5" s="1" t="s">
        <v>502</v>
      </c>
      <c r="I5" s="1" t="s">
        <v>502</v>
      </c>
      <c r="J5" s="1" t="s">
        <v>502</v>
      </c>
      <c r="K5" s="1" t="s">
        <v>502</v>
      </c>
      <c r="L5" s="1" t="s">
        <v>502</v>
      </c>
      <c r="M5" s="1" t="s">
        <v>502</v>
      </c>
      <c r="N5" s="1" t="s">
        <v>502</v>
      </c>
      <c r="O5" s="1" t="s">
        <v>502</v>
      </c>
      <c r="P5" s="1" t="s">
        <v>502</v>
      </c>
      <c r="Q5" s="1" t="s">
        <v>502</v>
      </c>
      <c r="R5" s="1" t="s">
        <v>502</v>
      </c>
    </row>
    <row r="6" customFormat="false" ht="12.75" hidden="false" customHeight="true" outlineLevel="0" collapsed="false">
      <c r="A6" s="1" t="s">
        <v>503</v>
      </c>
      <c r="C6" s="1" t="s">
        <v>586</v>
      </c>
      <c r="D6" s="1" t="s">
        <v>505</v>
      </c>
      <c r="E6" s="1" t="s">
        <v>587</v>
      </c>
      <c r="F6" s="1" t="s">
        <v>506</v>
      </c>
      <c r="G6" s="1" t="s">
        <v>588</v>
      </c>
      <c r="H6" s="1" t="s">
        <v>589</v>
      </c>
      <c r="I6" s="1" t="s">
        <v>590</v>
      </c>
      <c r="J6" s="1" t="s">
        <v>509</v>
      </c>
      <c r="K6" s="1" t="s">
        <v>591</v>
      </c>
      <c r="L6" s="1" t="s">
        <v>592</v>
      </c>
      <c r="M6" s="1" t="s">
        <v>510</v>
      </c>
      <c r="N6" s="1" t="s">
        <v>511</v>
      </c>
      <c r="O6" s="1" t="s">
        <v>512</v>
      </c>
      <c r="P6" s="1" t="s">
        <v>513</v>
      </c>
      <c r="Q6" s="1" t="s">
        <v>515</v>
      </c>
      <c r="R6" s="1" t="s">
        <v>517</v>
      </c>
    </row>
    <row r="7" customFormat="false" ht="12.75" hidden="false" customHeight="true" outlineLevel="0" collapsed="false">
      <c r="A7" s="1" t="s">
        <v>518</v>
      </c>
      <c r="C7" s="1" t="s">
        <v>519</v>
      </c>
      <c r="D7" s="1" t="s">
        <v>519</v>
      </c>
      <c r="E7" s="1" t="s">
        <v>519</v>
      </c>
      <c r="F7" s="1" t="s">
        <v>519</v>
      </c>
      <c r="G7" s="1" t="s">
        <v>519</v>
      </c>
      <c r="H7" s="1" t="s">
        <v>519</v>
      </c>
      <c r="I7" s="1" t="s">
        <v>519</v>
      </c>
      <c r="J7" s="1" t="s">
        <v>519</v>
      </c>
      <c r="K7" s="1" t="s">
        <v>519</v>
      </c>
      <c r="L7" s="1" t="s">
        <v>519</v>
      </c>
      <c r="M7" s="1" t="s">
        <v>519</v>
      </c>
      <c r="N7" s="1" t="s">
        <v>519</v>
      </c>
      <c r="O7" s="1" t="s">
        <v>519</v>
      </c>
      <c r="P7" s="1" t="s">
        <v>520</v>
      </c>
      <c r="Q7" s="1" t="s">
        <v>519</v>
      </c>
      <c r="R7" s="1" t="s">
        <v>521</v>
      </c>
    </row>
    <row r="8" customFormat="false" ht="12.75" hidden="false" customHeight="true" outlineLevel="0" collapsed="false">
      <c r="A8" s="1" t="s">
        <v>522</v>
      </c>
      <c r="C8" s="1" t="s">
        <v>523</v>
      </c>
      <c r="D8" s="1" t="s">
        <v>524</v>
      </c>
      <c r="E8" s="1" t="s">
        <v>593</v>
      </c>
      <c r="F8" s="1" t="s">
        <v>525</v>
      </c>
      <c r="G8" s="1" t="s">
        <v>526</v>
      </c>
      <c r="H8" s="1" t="s">
        <v>594</v>
      </c>
      <c r="I8" s="1" t="s">
        <v>595</v>
      </c>
      <c r="J8" s="1" t="s">
        <v>528</v>
      </c>
      <c r="K8" s="1" t="s">
        <v>596</v>
      </c>
      <c r="L8" s="1" t="s">
        <v>597</v>
      </c>
      <c r="M8" s="1" t="s">
        <v>529</v>
      </c>
      <c r="N8" s="1" t="s">
        <v>530</v>
      </c>
      <c r="O8" s="1" t="s">
        <v>531</v>
      </c>
      <c r="P8" s="1" t="s">
        <v>532</v>
      </c>
      <c r="Q8" s="1" t="s">
        <v>534</v>
      </c>
      <c r="R8" s="1" t="s">
        <v>536</v>
      </c>
    </row>
    <row r="9" customFormat="false" ht="12.75" hidden="false" customHeight="true" outlineLevel="0" collapsed="false">
      <c r="A9" s="1" t="s">
        <v>537</v>
      </c>
      <c r="C9" s="1" t="s">
        <v>538</v>
      </c>
      <c r="D9" s="1" t="s">
        <v>539</v>
      </c>
      <c r="E9" s="1" t="s">
        <v>598</v>
      </c>
      <c r="F9" s="1" t="s">
        <v>540</v>
      </c>
      <c r="G9" s="1" t="s">
        <v>541</v>
      </c>
      <c r="H9" s="1" t="s">
        <v>542</v>
      </c>
      <c r="I9" s="1" t="s">
        <v>599</v>
      </c>
      <c r="J9" s="1" t="s">
        <v>543</v>
      </c>
      <c r="K9" s="1" t="s">
        <v>600</v>
      </c>
      <c r="L9" s="1" t="s">
        <v>601</v>
      </c>
      <c r="M9" s="1" t="s">
        <v>544</v>
      </c>
      <c r="N9" s="1" t="s">
        <v>545</v>
      </c>
      <c r="O9" s="1" t="s">
        <v>546</v>
      </c>
      <c r="P9" s="1" t="s">
        <v>547</v>
      </c>
      <c r="Q9" s="1" t="s">
        <v>549</v>
      </c>
      <c r="R9" s="1" t="s">
        <v>551</v>
      </c>
    </row>
    <row r="10" customFormat="false" ht="12.75" hidden="false" customHeight="true" outlineLevel="0" collapsed="false">
      <c r="A10" s="1" t="s">
        <v>552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553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554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555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556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557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558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559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560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453</v>
      </c>
      <c r="C1" s="1" t="s">
        <v>602</v>
      </c>
      <c r="D1" s="1" t="s">
        <v>603</v>
      </c>
      <c r="E1" s="1" t="s">
        <v>604</v>
      </c>
      <c r="F1" s="1" t="s">
        <v>605</v>
      </c>
      <c r="G1" s="1" t="s">
        <v>606</v>
      </c>
      <c r="H1" s="1" t="s">
        <v>607</v>
      </c>
      <c r="I1" s="1" t="s">
        <v>608</v>
      </c>
      <c r="J1" s="1" t="s">
        <v>609</v>
      </c>
      <c r="K1" s="1" t="s">
        <v>610</v>
      </c>
      <c r="L1" s="1" t="s">
        <v>611</v>
      </c>
    </row>
    <row r="2" customFormat="false" ht="12.75" hidden="false" customHeight="true" outlineLevel="0" collapsed="false">
      <c r="A2" s="1" t="s">
        <v>468</v>
      </c>
      <c r="C2" s="1" t="s">
        <v>612</v>
      </c>
      <c r="D2" s="1" t="s">
        <v>578</v>
      </c>
      <c r="E2" s="1" t="s">
        <v>613</v>
      </c>
      <c r="F2" s="1" t="s">
        <v>475</v>
      </c>
      <c r="G2" s="1" t="s">
        <v>614</v>
      </c>
      <c r="H2" s="1" t="s">
        <v>578</v>
      </c>
      <c r="I2" s="1" t="s">
        <v>615</v>
      </c>
      <c r="J2" s="1" t="s">
        <v>580</v>
      </c>
      <c r="K2" s="1" t="s">
        <v>469</v>
      </c>
      <c r="L2" s="1" t="s">
        <v>616</v>
      </c>
    </row>
    <row r="3" customFormat="false" ht="12.75" hidden="false" customHeight="true" outlineLevel="0" collapsed="false">
      <c r="A3" s="1" t="s">
        <v>482</v>
      </c>
      <c r="C3" s="1" t="s">
        <v>484</v>
      </c>
      <c r="D3" s="1" t="s">
        <v>484</v>
      </c>
      <c r="E3" s="1" t="s">
        <v>484</v>
      </c>
      <c r="F3" s="1" t="s">
        <v>483</v>
      </c>
      <c r="G3" s="1" t="s">
        <v>483</v>
      </c>
      <c r="H3" s="1" t="s">
        <v>483</v>
      </c>
      <c r="I3" s="1" t="s">
        <v>483</v>
      </c>
      <c r="J3" s="1" t="s">
        <v>484</v>
      </c>
      <c r="K3" s="1" t="s">
        <v>484</v>
      </c>
      <c r="L3" s="1" t="s">
        <v>484</v>
      </c>
    </row>
    <row r="4" customFormat="false" ht="12.75" hidden="false" customHeight="true" outlineLevel="0" collapsed="false">
      <c r="A4" s="1" t="s">
        <v>486</v>
      </c>
      <c r="C4" s="1" t="s">
        <v>582</v>
      </c>
      <c r="D4" s="1" t="s">
        <v>491</v>
      </c>
      <c r="E4" s="1" t="s">
        <v>584</v>
      </c>
      <c r="F4" s="1" t="s">
        <v>493</v>
      </c>
      <c r="G4" s="1" t="s">
        <v>494</v>
      </c>
      <c r="H4" s="1" t="s">
        <v>617</v>
      </c>
      <c r="I4" s="1" t="s">
        <v>495</v>
      </c>
      <c r="J4" s="1" t="s">
        <v>496</v>
      </c>
      <c r="K4" s="1" t="s">
        <v>500</v>
      </c>
      <c r="L4" s="1" t="s">
        <v>618</v>
      </c>
    </row>
    <row r="5" customFormat="false" ht="12.75" hidden="false" customHeight="true" outlineLevel="0" collapsed="false">
      <c r="A5" s="1" t="s">
        <v>501</v>
      </c>
      <c r="C5" s="1" t="s">
        <v>502</v>
      </c>
      <c r="D5" s="1" t="s">
        <v>502</v>
      </c>
      <c r="E5" s="1" t="s">
        <v>502</v>
      </c>
      <c r="F5" s="1" t="s">
        <v>502</v>
      </c>
      <c r="G5" s="1" t="s">
        <v>502</v>
      </c>
      <c r="H5" s="1" t="s">
        <v>502</v>
      </c>
      <c r="I5" s="1" t="s">
        <v>502</v>
      </c>
      <c r="J5" s="1" t="s">
        <v>502</v>
      </c>
      <c r="K5" s="1" t="s">
        <v>502</v>
      </c>
      <c r="L5" s="1" t="s">
        <v>502</v>
      </c>
    </row>
    <row r="6" customFormat="false" ht="12.75" hidden="false" customHeight="true" outlineLevel="0" collapsed="false">
      <c r="A6" s="1" t="s">
        <v>503</v>
      </c>
      <c r="C6" s="1" t="s">
        <v>587</v>
      </c>
      <c r="D6" s="1" t="s">
        <v>619</v>
      </c>
      <c r="E6" s="1" t="s">
        <v>591</v>
      </c>
      <c r="F6" s="1" t="s">
        <v>510</v>
      </c>
      <c r="G6" s="1" t="s">
        <v>511</v>
      </c>
      <c r="H6" s="1" t="s">
        <v>620</v>
      </c>
      <c r="I6" s="1" t="s">
        <v>621</v>
      </c>
      <c r="J6" s="1" t="s">
        <v>513</v>
      </c>
      <c r="K6" s="1" t="s">
        <v>517</v>
      </c>
      <c r="L6" s="1" t="s">
        <v>622</v>
      </c>
    </row>
    <row r="7" customFormat="false" ht="12.75" hidden="false" customHeight="true" outlineLevel="0" collapsed="false">
      <c r="A7" s="1" t="s">
        <v>518</v>
      </c>
      <c r="C7" s="1" t="s">
        <v>519</v>
      </c>
      <c r="D7" s="1" t="s">
        <v>623</v>
      </c>
      <c r="E7" s="1" t="s">
        <v>623</v>
      </c>
      <c r="F7" s="1" t="s">
        <v>623</v>
      </c>
      <c r="G7" s="1" t="s">
        <v>623</v>
      </c>
      <c r="H7" s="1" t="s">
        <v>623</v>
      </c>
      <c r="I7" s="1" t="s">
        <v>521</v>
      </c>
      <c r="J7" s="1" t="s">
        <v>623</v>
      </c>
      <c r="K7" s="1" t="s">
        <v>623</v>
      </c>
      <c r="L7" s="1" t="s">
        <v>623</v>
      </c>
    </row>
    <row r="8" customFormat="false" ht="12.75" hidden="false" customHeight="true" outlineLevel="0" collapsed="false">
      <c r="A8" s="1" t="s">
        <v>522</v>
      </c>
      <c r="C8" s="1" t="s">
        <v>593</v>
      </c>
      <c r="D8" s="1" t="s">
        <v>594</v>
      </c>
      <c r="E8" s="1" t="s">
        <v>596</v>
      </c>
      <c r="F8" s="1" t="s">
        <v>529</v>
      </c>
      <c r="G8" s="1" t="s">
        <v>530</v>
      </c>
      <c r="H8" s="1" t="s">
        <v>624</v>
      </c>
      <c r="I8" s="1" t="s">
        <v>531</v>
      </c>
      <c r="J8" s="1" t="s">
        <v>532</v>
      </c>
      <c r="K8" s="1" t="s">
        <v>536</v>
      </c>
      <c r="L8" s="1" t="s">
        <v>625</v>
      </c>
    </row>
    <row r="9" customFormat="false" ht="12.75" hidden="false" customHeight="true" outlineLevel="0" collapsed="false">
      <c r="A9" s="1" t="s">
        <v>537</v>
      </c>
      <c r="C9" s="1" t="s">
        <v>598</v>
      </c>
      <c r="D9" s="1" t="s">
        <v>542</v>
      </c>
      <c r="E9" s="1" t="s">
        <v>600</v>
      </c>
      <c r="F9" s="1" t="s">
        <v>544</v>
      </c>
      <c r="G9" s="1" t="s">
        <v>545</v>
      </c>
      <c r="H9" s="1" t="s">
        <v>626</v>
      </c>
      <c r="I9" s="1" t="s">
        <v>546</v>
      </c>
      <c r="J9" s="1" t="s">
        <v>547</v>
      </c>
      <c r="K9" s="1" t="s">
        <v>551</v>
      </c>
      <c r="L9" s="1" t="s">
        <v>627</v>
      </c>
    </row>
    <row r="10" customFormat="false" ht="12.75" hidden="false" customHeight="true" outlineLevel="0" collapsed="false">
      <c r="A10" s="1" t="s">
        <v>552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553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554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555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556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557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558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559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560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2026-01-29T03:43:35Z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