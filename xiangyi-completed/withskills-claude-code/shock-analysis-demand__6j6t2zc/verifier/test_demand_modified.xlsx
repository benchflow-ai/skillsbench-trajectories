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O_Data" sheetId="1" state="visible" r:id="rId3"/>
    <sheet name="SUPPLY" sheetId="2" state="visible" r:id="rId4"/>
    <sheet name="USE" sheetId="3" state="visible" r:id="rId5"/>
    <sheet name="SUT Calc" sheetId="4" state="visible" r:id="rId6"/>
    <sheet name="N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<sst xmlns="http://schemas.openxmlformats.org/spreadsheetml/2006/main" count="183" uniqueCount="116">
  <si>
    <t xml:space="preserve">Year</t>
  </si>
  <si>
    <t xml:space="preserve">Nominal GDP (USD bn)</t>
  </si>
  <si>
    <t xml:space="preserve">Real GDP Growth (%)</t>
  </si>
  <si>
    <t xml:space="preserve">GDP Deflator (%)</t>
  </si>
  <si>
    <t xml:space="preserve">Real GDP (USD bn)</t>
  </si>
  <si>
    <t xml:space="preserve">Product</t>
  </si>
  <si>
    <t xml:space="preserve">Domestic Production</t>
  </si>
  <si>
    <t xml:space="preserve">Imports</t>
  </si>
  <si>
    <t xml:space="preserve">Total Supply</t>
  </si>
  <si>
    <t xml:space="preserve">Agriculture, hunting and forestry</t>
  </si>
  <si>
    <t xml:space="preserve">Fishing</t>
  </si>
  <si>
    <t xml:space="preserve">Mining and quarrying</t>
  </si>
  <si>
    <t xml:space="preserve">Food and beverages</t>
  </si>
  <si>
    <t xml:space="preserve">Textiles and wearing apparel</t>
  </si>
  <si>
    <t xml:space="preserve">Wood and cork products</t>
  </si>
  <si>
    <t xml:space="preserve">Paper and printing</t>
  </si>
  <si>
    <t xml:space="preserve">Petroleum and chemical products</t>
  </si>
  <si>
    <t xml:space="preserve">Rubber and plastic products</t>
  </si>
  <si>
    <t xml:space="preserve">Non-metallic mineral products</t>
  </si>
  <si>
    <t xml:space="preserve">Basic metals</t>
  </si>
  <si>
    <t xml:space="preserve">Fabricated metal products</t>
  </si>
  <si>
    <t xml:space="preserve">Machinery and equipment</t>
  </si>
  <si>
    <t xml:space="preserve">Electrical machinery</t>
  </si>
  <si>
    <t xml:space="preserve">Transport equipment</t>
  </si>
  <si>
    <t xml:space="preserve">Other machinery</t>
  </si>
  <si>
    <t xml:space="preserve">Furniture and other products</t>
  </si>
  <si>
    <t xml:space="preserve">Electricity, gas and steam</t>
  </si>
  <si>
    <t xml:space="preserve">Water supply and waste</t>
  </si>
  <si>
    <t xml:space="preserve">Construction</t>
  </si>
  <si>
    <t xml:space="preserve">Wholesale and retail trade</t>
  </si>
  <si>
    <t xml:space="preserve">Land transport</t>
  </si>
  <si>
    <t xml:space="preserve">Water transport</t>
  </si>
  <si>
    <t xml:space="preserve">Air transport</t>
  </si>
  <si>
    <t xml:space="preserve">Transport support services</t>
  </si>
  <si>
    <t xml:space="preserve">Postal and courier services</t>
  </si>
  <si>
    <t xml:space="preserve">Accommodation and food service</t>
  </si>
  <si>
    <t xml:space="preserve">Publishing and media</t>
  </si>
  <si>
    <t xml:space="preserve">Telecommunications</t>
  </si>
  <si>
    <t xml:space="preserve">Financial and insurance</t>
  </si>
  <si>
    <t xml:space="preserve">Real estate services</t>
  </si>
  <si>
    <t xml:space="preserve">Professional and technical services</t>
  </si>
  <si>
    <t xml:space="preserve">Administrative services</t>
  </si>
  <si>
    <t xml:space="preserve">Public administration</t>
  </si>
  <si>
    <t xml:space="preserve">Education</t>
  </si>
  <si>
    <t xml:space="preserve">Human health and social services</t>
  </si>
  <si>
    <t xml:space="preserve">Arts and entertainment</t>
  </si>
  <si>
    <t xml:space="preserve">Other services</t>
  </si>
  <si>
    <t xml:space="preserve">CIF adjustments</t>
  </si>
  <si>
    <t xml:space="preserve">Ind_1</t>
  </si>
  <si>
    <t xml:space="preserve">Ind_2</t>
  </si>
  <si>
    <t xml:space="preserve">Ind_3</t>
  </si>
  <si>
    <t xml:space="preserve">Ind_4</t>
  </si>
  <si>
    <t xml:space="preserve">Ind_5</t>
  </si>
  <si>
    <t xml:space="preserve">Ind_6</t>
  </si>
  <si>
    <t xml:space="preserve">Ind_7</t>
  </si>
  <si>
    <t xml:space="preserve">Ind_8</t>
  </si>
  <si>
    <t xml:space="preserve">Ind_9</t>
  </si>
  <si>
    <t xml:space="preserve">Ind_10</t>
  </si>
  <si>
    <t xml:space="preserve">Ind_11</t>
  </si>
  <si>
    <t xml:space="preserve">Ind_12</t>
  </si>
  <si>
    <t xml:space="preserve">Ind_13</t>
  </si>
  <si>
    <t xml:space="preserve">Ind_14</t>
  </si>
  <si>
    <t xml:space="preserve">Ind_15</t>
  </si>
  <si>
    <t xml:space="preserve">Ind_16</t>
  </si>
  <si>
    <t xml:space="preserve">Ind_17</t>
  </si>
  <si>
    <t xml:space="preserve">Ind_18</t>
  </si>
  <si>
    <t xml:space="preserve">Ind_19</t>
  </si>
  <si>
    <t xml:space="preserve">Ind_20</t>
  </si>
  <si>
    <t xml:space="preserve">Ind_21</t>
  </si>
  <si>
    <t xml:space="preserve">Ind_22</t>
  </si>
  <si>
    <t xml:space="preserve">Ind_23</t>
  </si>
  <si>
    <t xml:space="preserve">Ind_24</t>
  </si>
  <si>
    <t xml:space="preserve">Ind_25</t>
  </si>
  <si>
    <t xml:space="preserve">Ind_26</t>
  </si>
  <si>
    <t xml:space="preserve">Ind_27</t>
  </si>
  <si>
    <t xml:space="preserve">Ind_28</t>
  </si>
  <si>
    <t xml:space="preserve">Ind_29</t>
  </si>
  <si>
    <t xml:space="preserve">Ind_30</t>
  </si>
  <si>
    <t xml:space="preserve">Ind_31</t>
  </si>
  <si>
    <t xml:space="preserve">Ind_32</t>
  </si>
  <si>
    <t xml:space="preserve">Ind_33</t>
  </si>
  <si>
    <t xml:space="preserve">Ind_34</t>
  </si>
  <si>
    <t xml:space="preserve">Ind_35</t>
  </si>
  <si>
    <t xml:space="preserve">Ind_36</t>
  </si>
  <si>
    <t xml:space="preserve">Ind_37</t>
  </si>
  <si>
    <t xml:space="preserve">Ind_38</t>
  </si>
  <si>
    <t xml:space="preserve">Consumption</t>
  </si>
  <si>
    <t xml:space="preserve">GFCF</t>
  </si>
  <si>
    <t xml:space="preserve">Exports</t>
  </si>
  <si>
    <t xml:space="preserve">Total Use</t>
  </si>
  <si>
    <t xml:space="preserve">Demand-Side Framework: Investment Shock Analysis</t>
  </si>
  <si>
    <t xml:space="preserve">SCENARIO 1: Base Case (Demand Multiplier = 0.8)</t>
  </si>
  <si>
    <t xml:space="preserve">Item</t>
  </si>
  <si>
    <t xml:space="preserve">Investment (USD mn)</t>
  </si>
  <si>
    <t xml:space="preserve">Investment (GEL mn) @ 2.746</t>
  </si>
  <si>
    <t xml:space="preserve">Investment Deflator (%)</t>
  </si>
  <si>
    <t xml:space="preserve">Real Investment (GEL mn, 2018 prices)</t>
  </si>
  <si>
    <t xml:space="preserve">Real GDP Growth Rate (WEO, %)</t>
  </si>
  <si>
    <t xml:space="preserve">Nominal GDP (USD bn, WEO)</t>
  </si>
  <si>
    <t xml:space="preserve">Real GDP (GEL mn, 2018 prices)</t>
  </si>
  <si>
    <t xml:space="preserve">Additional Output from Investment</t>
  </si>
  <si>
    <t xml:space="preserve">Total Real GDP (GEL mn, 2018 prices)</t>
  </si>
  <si>
    <t xml:space="preserve">Import Content of Investment</t>
  </si>
  <si>
    <t xml:space="preserve">Baseline Import Demand</t>
  </si>
  <si>
    <t xml:space="preserve">Total Import Demand (GEL mn)</t>
  </si>
  <si>
    <t xml:space="preserve">Additional Tax Revenue (2% of output)</t>
  </si>
  <si>
    <t xml:space="preserve">Net Fiscal Effect (GEL mn)</t>
  </si>
  <si>
    <t xml:space="preserve">SCENARIO ASSUMPTIONS</t>
  </si>
  <si>
    <t xml:space="preserve">Demand Multiplier</t>
  </si>
  <si>
    <t xml:space="preserve">Exchange Rate (GEL/USD)</t>
  </si>
  <si>
    <t xml:space="preserve">Import Content Share</t>
  </si>
  <si>
    <t xml:space="preserve">Baseline Import Intensity</t>
  </si>
  <si>
    <t xml:space="preserve">SCENARIO 2: Higher Demand Multiplier (Demand Multiplier = 1.0)</t>
  </si>
  <si>
    <t xml:space="preserve">SCENARIO 2 ASSUMPTIONS</t>
  </si>
  <si>
    <t xml:space="preserve">SCENARIO 3 ASSUMPTIONS</t>
  </si>
  <si>
    <t xml:space="preserve">Import Content Share (Modified)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</si>
</sst>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.0"/>
    <numFmt numFmtId="167" formatCode="0.0"/>
    <numFmt numFmtId="168" formatCode="#,##0"/>
    <numFmt numFmtId="169" formatCode="0.000"/>
    <numFmt numFmtId="170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D3D3D3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5" min="3" style="1" width="1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n">
        <v>2021</v>
      </c>
      <c r="B2" s="4" t="n">
        <v>18.849</v>
      </c>
      <c r="C2" s="5" t="n">
        <v>10.6</v>
      </c>
      <c r="D2" s="5" t="n">
        <v>5.2</v>
      </c>
    </row>
    <row r="3" customFormat="false" ht="15" hidden="false" customHeight="true" outlineLevel="0" collapsed="false">
      <c r="A3" s="3" t="n">
        <v>2022</v>
      </c>
      <c r="B3" s="4" t="n">
        <v>24.985</v>
      </c>
      <c r="C3" s="5" t="n">
        <v>11</v>
      </c>
      <c r="D3" s="5" t="n">
        <v>7.2</v>
      </c>
    </row>
    <row r="4" customFormat="false" ht="15" hidden="false" customHeight="true" outlineLevel="0" collapsed="false">
      <c r="A4" s="3" t="n">
        <v>2023</v>
      </c>
      <c r="B4" s="4" t="n">
        <v>30.778</v>
      </c>
      <c r="C4" s="5" t="n">
        <v>7.8</v>
      </c>
      <c r="D4" s="5" t="n">
        <v>10.3</v>
      </c>
    </row>
    <row r="5" customFormat="false" ht="15" hidden="false" customHeight="true" outlineLevel="0" collapsed="false">
      <c r="A5" s="3" t="n">
        <v>2024</v>
      </c>
      <c r="B5" s="4" t="n">
        <v>33.775</v>
      </c>
      <c r="C5" s="5" t="n">
        <v>9.4</v>
      </c>
      <c r="D5" s="5" t="n">
        <v>11.3</v>
      </c>
    </row>
    <row r="6" customFormat="false" ht="15" hidden="false" customHeight="true" outlineLevel="0" collapsed="false">
      <c r="A6" s="3" t="n">
        <v>2025</v>
      </c>
      <c r="B6" s="4" t="n">
        <v>37.403</v>
      </c>
      <c r="C6" s="5" t="n">
        <v>7.2</v>
      </c>
      <c r="D6" s="5" t="n">
        <v>10</v>
      </c>
    </row>
    <row r="7" customFormat="false" ht="15" hidden="false" customHeight="true" outlineLevel="0" collapsed="false">
      <c r="A7" s="3" t="n">
        <v>2026</v>
      </c>
      <c r="B7" s="4" t="n">
        <v>40.177</v>
      </c>
      <c r="C7" s="5" t="n">
        <v>5.3</v>
      </c>
      <c r="D7" s="6" t="n">
        <f aca="false">AVERAGE(D2:D5)</f>
        <v>8.5</v>
      </c>
    </row>
    <row r="8" customFormat="false" ht="15" hidden="false" customHeight="true" outlineLevel="0" collapsed="false">
      <c r="A8" s="3" t="n">
        <v>2027</v>
      </c>
      <c r="B8" s="4" t="n">
        <v>42.408</v>
      </c>
      <c r="C8" s="5" t="n">
        <v>5</v>
      </c>
      <c r="D8" s="6" t="n">
        <f aca="false">D7</f>
        <v>8.5</v>
      </c>
    </row>
    <row r="9" customFormat="false" ht="15" hidden="false" customHeight="true" outlineLevel="0" collapsed="false">
      <c r="A9" s="3" t="n">
        <v>2028</v>
      </c>
      <c r="B9" s="4" t="n">
        <v>44.723</v>
      </c>
      <c r="C9" s="5" t="n">
        <v>5</v>
      </c>
      <c r="D9" s="6" t="n">
        <f aca="false">D8</f>
        <v>8.5</v>
      </c>
    </row>
    <row r="10" customFormat="false" ht="15" hidden="false" customHeight="true" outlineLevel="0" collapsed="false">
      <c r="A10" s="3" t="n">
        <v>2029</v>
      </c>
      <c r="B10" s="4" t="n">
        <v>47.202</v>
      </c>
      <c r="C10" s="5" t="n">
        <v>5</v>
      </c>
      <c r="D10" s="6" t="n">
        <f aca="false">D9</f>
        <v>8.5</v>
      </c>
    </row>
    <row r="11" customFormat="false" ht="15" hidden="false" customHeight="true" outlineLevel="0" collapsed="false">
      <c r="A11" s="3" t="n">
        <v>2030</v>
      </c>
      <c r="B11" s="4" t="n">
        <v>49.802</v>
      </c>
      <c r="C11" s="5" t="n">
        <v>5</v>
      </c>
      <c r="D11" s="6" t="n">
        <f aca="false">D10</f>
        <v>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</cols>
  <sheetData>
    <row r="1" customFormat="false" ht="15" hidden="false" customHeight="true" outlineLevel="0" collapsed="false">
      <c r="A1" s="7" t="s">
        <v>5</v>
      </c>
      <c r="B1" s="7" t="s">
        <v>6</v>
      </c>
      <c r="C1" s="7" t="s">
        <v>7</v>
      </c>
      <c r="D1" s="7" t="s">
        <v>8</v>
      </c>
    </row>
    <row r="2" customFormat="false" ht="15" hidden="false" customHeight="true" outlineLevel="0" collapsed="false">
      <c r="A2" s="1" t="s">
        <v>9</v>
      </c>
      <c r="B2" s="8" t="n">
        <v>5400</v>
      </c>
      <c r="C2" s="8" t="n">
        <v>2200</v>
      </c>
      <c r="D2" s="8" t="n">
        <f aca="false">B2+C2</f>
        <v>7600</v>
      </c>
    </row>
    <row r="3" customFormat="false" ht="15" hidden="false" customHeight="true" outlineLevel="0" collapsed="false">
      <c r="A3" s="1" t="s">
        <v>10</v>
      </c>
      <c r="B3" s="8" t="n">
        <v>5600</v>
      </c>
      <c r="C3" s="8" t="n">
        <v>2300</v>
      </c>
      <c r="D3" s="8" t="n">
        <f aca="false">B3+C3</f>
        <v>7900</v>
      </c>
    </row>
    <row r="4" customFormat="false" ht="15" hidden="false" customHeight="true" outlineLevel="0" collapsed="false">
      <c r="A4" s="1" t="s">
        <v>11</v>
      </c>
      <c r="B4" s="8" t="n">
        <v>5800</v>
      </c>
      <c r="C4" s="8" t="n">
        <v>2400</v>
      </c>
      <c r="D4" s="8" t="n">
        <f aca="false">B4+C4</f>
        <v>8200</v>
      </c>
    </row>
    <row r="5" customFormat="false" ht="15" hidden="false" customHeight="true" outlineLevel="0" collapsed="false">
      <c r="A5" s="1" t="s">
        <v>12</v>
      </c>
      <c r="B5" s="8" t="n">
        <v>6000</v>
      </c>
      <c r="C5" s="8" t="n">
        <v>2500</v>
      </c>
      <c r="D5" s="8" t="n">
        <f aca="false">B5+C5</f>
        <v>8500</v>
      </c>
    </row>
    <row r="6" customFormat="false" ht="15" hidden="false" customHeight="true" outlineLevel="0" collapsed="false">
      <c r="A6" s="1" t="s">
        <v>13</v>
      </c>
      <c r="B6" s="8" t="n">
        <v>6200</v>
      </c>
      <c r="C6" s="8" t="n">
        <v>2600</v>
      </c>
      <c r="D6" s="8" t="n">
        <f aca="false">B6+C6</f>
        <v>8800</v>
      </c>
    </row>
    <row r="7" customFormat="false" ht="15" hidden="false" customHeight="true" outlineLevel="0" collapsed="false">
      <c r="A7" s="1" t="s">
        <v>14</v>
      </c>
      <c r="B7" s="8" t="n">
        <v>6400</v>
      </c>
      <c r="C7" s="8" t="n">
        <v>2700</v>
      </c>
      <c r="D7" s="8" t="n">
        <f aca="false">B7+C7</f>
        <v>9100</v>
      </c>
    </row>
    <row r="8" customFormat="false" ht="15" hidden="false" customHeight="true" outlineLevel="0" collapsed="false">
      <c r="A8" s="1" t="s">
        <v>15</v>
      </c>
      <c r="B8" s="8" t="n">
        <v>6600</v>
      </c>
      <c r="C8" s="8" t="n">
        <v>2800</v>
      </c>
      <c r="D8" s="8" t="n">
        <f aca="false">B8+C8</f>
        <v>9400</v>
      </c>
    </row>
    <row r="9" customFormat="false" ht="15" hidden="false" customHeight="true" outlineLevel="0" collapsed="false">
      <c r="A9" s="1" t="s">
        <v>16</v>
      </c>
      <c r="B9" s="8" t="n">
        <v>6800</v>
      </c>
      <c r="C9" s="8" t="n">
        <v>2900</v>
      </c>
      <c r="D9" s="8" t="n">
        <f aca="false">B9+C9</f>
        <v>9700</v>
      </c>
    </row>
    <row r="10" customFormat="false" ht="15" hidden="false" customHeight="true" outlineLevel="0" collapsed="false">
      <c r="A10" s="1" t="s">
        <v>17</v>
      </c>
      <c r="B10" s="8" t="n">
        <v>7000</v>
      </c>
      <c r="C10" s="8" t="n">
        <v>3000</v>
      </c>
      <c r="D10" s="8" t="n">
        <f aca="false">B10+C10</f>
        <v>10000</v>
      </c>
    </row>
    <row r="11" customFormat="false" ht="15" hidden="false" customHeight="true" outlineLevel="0" collapsed="false">
      <c r="A11" s="1" t="s">
        <v>18</v>
      </c>
      <c r="B11" s="8" t="n">
        <v>7200</v>
      </c>
      <c r="C11" s="8" t="n">
        <v>3100</v>
      </c>
      <c r="D11" s="8" t="n">
        <f aca="false">B11+C11</f>
        <v>10300</v>
      </c>
    </row>
    <row r="12" customFormat="false" ht="15" hidden="false" customHeight="true" outlineLevel="0" collapsed="false">
      <c r="A12" s="1" t="s">
        <v>19</v>
      </c>
      <c r="B12" s="8" t="n">
        <v>7400</v>
      </c>
      <c r="C12" s="8" t="n">
        <v>3200</v>
      </c>
      <c r="D12" s="8" t="n">
        <f aca="false">B12+C12</f>
        <v>10600</v>
      </c>
    </row>
    <row r="13" customFormat="false" ht="15" hidden="false" customHeight="true" outlineLevel="0" collapsed="false">
      <c r="A13" s="1" t="s">
        <v>20</v>
      </c>
      <c r="B13" s="8" t="n">
        <v>7600</v>
      </c>
      <c r="C13" s="8" t="n">
        <v>3300</v>
      </c>
      <c r="D13" s="8" t="n">
        <f aca="false">B13+C13</f>
        <v>10900</v>
      </c>
    </row>
    <row r="14" customFormat="false" ht="15" hidden="false" customHeight="true" outlineLevel="0" collapsed="false">
      <c r="A14" s="1" t="s">
        <v>21</v>
      </c>
      <c r="B14" s="8" t="n">
        <v>7800</v>
      </c>
      <c r="C14" s="8" t="n">
        <v>3400</v>
      </c>
      <c r="D14" s="8" t="n">
        <f aca="false">B14+C14</f>
        <v>11200</v>
      </c>
    </row>
    <row r="15" customFormat="false" ht="15" hidden="false" customHeight="true" outlineLevel="0" collapsed="false">
      <c r="A15" s="1" t="s">
        <v>22</v>
      </c>
      <c r="B15" s="8" t="n">
        <v>8000</v>
      </c>
      <c r="C15" s="8" t="n">
        <v>3500</v>
      </c>
      <c r="D15" s="8" t="n">
        <f aca="false">B15+C15</f>
        <v>11500</v>
      </c>
    </row>
    <row r="16" customFormat="false" ht="15" hidden="false" customHeight="true" outlineLevel="0" collapsed="false">
      <c r="A16" s="1" t="s">
        <v>23</v>
      </c>
      <c r="B16" s="8" t="n">
        <v>8200</v>
      </c>
      <c r="C16" s="8" t="n">
        <v>3600</v>
      </c>
      <c r="D16" s="8" t="n">
        <f aca="false">B16+C16</f>
        <v>11800</v>
      </c>
    </row>
    <row r="17" customFormat="false" ht="15" hidden="false" customHeight="true" outlineLevel="0" collapsed="false">
      <c r="A17" s="1" t="s">
        <v>24</v>
      </c>
      <c r="B17" s="8" t="n">
        <v>8400</v>
      </c>
      <c r="C17" s="8" t="n">
        <v>3700</v>
      </c>
      <c r="D17" s="8" t="n">
        <f aca="false">B17+C17</f>
        <v>12100</v>
      </c>
    </row>
    <row r="18" customFormat="false" ht="15" hidden="false" customHeight="true" outlineLevel="0" collapsed="false">
      <c r="A18" s="1" t="s">
        <v>25</v>
      </c>
      <c r="B18" s="8" t="n">
        <v>8600</v>
      </c>
      <c r="C18" s="8" t="n">
        <v>3800</v>
      </c>
      <c r="D18" s="8" t="n">
        <f aca="false">B18+C18</f>
        <v>12400</v>
      </c>
    </row>
    <row r="19" customFormat="false" ht="15" hidden="false" customHeight="true" outlineLevel="0" collapsed="false">
      <c r="A19" s="1" t="s">
        <v>26</v>
      </c>
      <c r="B19" s="8" t="n">
        <v>8800</v>
      </c>
      <c r="C19" s="8" t="n">
        <v>3900</v>
      </c>
      <c r="D19" s="8" t="n">
        <f aca="false">B19+C19</f>
        <v>12700</v>
      </c>
    </row>
    <row r="20" customFormat="false" ht="15" hidden="false" customHeight="true" outlineLevel="0" collapsed="false">
      <c r="A20" s="1" t="s">
        <v>27</v>
      </c>
      <c r="B20" s="8" t="n">
        <v>9000</v>
      </c>
      <c r="C20" s="8" t="n">
        <v>4000</v>
      </c>
      <c r="D20" s="8" t="n">
        <f aca="false">B20+C20</f>
        <v>13000</v>
      </c>
    </row>
    <row r="21" customFormat="false" ht="15" hidden="false" customHeight="true" outlineLevel="0" collapsed="false">
      <c r="A21" s="1" t="s">
        <v>28</v>
      </c>
      <c r="B21" s="8" t="n">
        <v>9200</v>
      </c>
      <c r="C21" s="8" t="n">
        <v>4100</v>
      </c>
      <c r="D21" s="8" t="n">
        <f aca="false">B21+C21</f>
        <v>13300</v>
      </c>
    </row>
    <row r="22" customFormat="false" ht="15" hidden="false" customHeight="true" outlineLevel="0" collapsed="false">
      <c r="A22" s="1" t="s">
        <v>29</v>
      </c>
      <c r="B22" s="8" t="n">
        <v>9400</v>
      </c>
      <c r="C22" s="8" t="n">
        <v>4200</v>
      </c>
      <c r="D22" s="8" t="n">
        <f aca="false">B22+C22</f>
        <v>13600</v>
      </c>
    </row>
    <row r="23" customFormat="false" ht="15" hidden="false" customHeight="true" outlineLevel="0" collapsed="false">
      <c r="A23" s="1" t="s">
        <v>30</v>
      </c>
      <c r="B23" s="8" t="n">
        <v>9600</v>
      </c>
      <c r="C23" s="8" t="n">
        <v>4300</v>
      </c>
      <c r="D23" s="8" t="n">
        <f aca="false">B23+C23</f>
        <v>13900</v>
      </c>
    </row>
    <row r="24" customFormat="false" ht="15" hidden="false" customHeight="true" outlineLevel="0" collapsed="false">
      <c r="A24" s="1" t="s">
        <v>31</v>
      </c>
      <c r="B24" s="8" t="n">
        <v>9800</v>
      </c>
      <c r="C24" s="8" t="n">
        <v>4400</v>
      </c>
      <c r="D24" s="8" t="n">
        <f aca="false">B24+C24</f>
        <v>14200</v>
      </c>
    </row>
    <row r="25" customFormat="false" ht="15" hidden="false" customHeight="true" outlineLevel="0" collapsed="false">
      <c r="A25" s="1" t="s">
        <v>32</v>
      </c>
      <c r="B25" s="8" t="n">
        <v>10000</v>
      </c>
      <c r="C25" s="8" t="n">
        <v>4500</v>
      </c>
      <c r="D25" s="8" t="n">
        <f aca="false">B25+C25</f>
        <v>14500</v>
      </c>
    </row>
    <row r="26" customFormat="false" ht="15" hidden="false" customHeight="true" outlineLevel="0" collapsed="false">
      <c r="A26" s="1" t="s">
        <v>33</v>
      </c>
      <c r="B26" s="8" t="n">
        <v>10200</v>
      </c>
      <c r="C26" s="8" t="n">
        <v>4600</v>
      </c>
      <c r="D26" s="8" t="n">
        <f aca="false">B26+C26</f>
        <v>14800</v>
      </c>
    </row>
    <row r="27" customFormat="false" ht="15" hidden="false" customHeight="true" outlineLevel="0" collapsed="false">
      <c r="A27" s="1" t="s">
        <v>34</v>
      </c>
      <c r="B27" s="8" t="n">
        <v>10400</v>
      </c>
      <c r="C27" s="8" t="n">
        <v>4700</v>
      </c>
      <c r="D27" s="8" t="n">
        <f aca="false">B27+C27</f>
        <v>15100</v>
      </c>
    </row>
    <row r="28" customFormat="false" ht="15" hidden="false" customHeight="true" outlineLevel="0" collapsed="false">
      <c r="A28" s="1" t="s">
        <v>35</v>
      </c>
      <c r="B28" s="8" t="n">
        <v>10600</v>
      </c>
      <c r="C28" s="8" t="n">
        <v>4800</v>
      </c>
      <c r="D28" s="8" t="n">
        <f aca="false">B28+C28</f>
        <v>15400</v>
      </c>
    </row>
    <row r="29" customFormat="false" ht="15" hidden="false" customHeight="true" outlineLevel="0" collapsed="false">
      <c r="A29" s="1" t="s">
        <v>36</v>
      </c>
      <c r="B29" s="8" t="n">
        <v>10800</v>
      </c>
      <c r="C29" s="8" t="n">
        <v>4900</v>
      </c>
      <c r="D29" s="8" t="n">
        <f aca="false">B29+C29</f>
        <v>15700</v>
      </c>
    </row>
    <row r="30" customFormat="false" ht="15" hidden="false" customHeight="true" outlineLevel="0" collapsed="false">
      <c r="A30" s="1" t="s">
        <v>37</v>
      </c>
      <c r="B30" s="8" t="n">
        <v>11000</v>
      </c>
      <c r="C30" s="8" t="n">
        <v>5000</v>
      </c>
      <c r="D30" s="8" t="n">
        <f aca="false">B30+C30</f>
        <v>16000</v>
      </c>
    </row>
    <row r="31" customFormat="false" ht="15" hidden="false" customHeight="true" outlineLevel="0" collapsed="false">
      <c r="A31" s="1" t="s">
        <v>38</v>
      </c>
      <c r="B31" s="8" t="n">
        <v>11200</v>
      </c>
      <c r="C31" s="8" t="n">
        <v>5100</v>
      </c>
      <c r="D31" s="8" t="n">
        <f aca="false">B31+C31</f>
        <v>16300</v>
      </c>
    </row>
    <row r="32" customFormat="false" ht="15" hidden="false" customHeight="true" outlineLevel="0" collapsed="false">
      <c r="A32" s="1" t="s">
        <v>39</v>
      </c>
      <c r="B32" s="8" t="n">
        <v>11400</v>
      </c>
      <c r="C32" s="8" t="n">
        <v>5200</v>
      </c>
      <c r="D32" s="8" t="n">
        <f aca="false">B32+C32</f>
        <v>16600</v>
      </c>
    </row>
    <row r="33" customFormat="false" ht="15" hidden="false" customHeight="true" outlineLevel="0" collapsed="false">
      <c r="A33" s="1" t="s">
        <v>40</v>
      </c>
      <c r="B33" s="8" t="n">
        <v>11600</v>
      </c>
      <c r="C33" s="8" t="n">
        <v>5300</v>
      </c>
      <c r="D33" s="8" t="n">
        <f aca="false">B33+C33</f>
        <v>16900</v>
      </c>
    </row>
    <row r="34" customFormat="false" ht="15" hidden="false" customHeight="true" outlineLevel="0" collapsed="false">
      <c r="A34" s="1" t="s">
        <v>41</v>
      </c>
      <c r="B34" s="8" t="n">
        <v>11800</v>
      </c>
      <c r="C34" s="8" t="n">
        <v>5400</v>
      </c>
      <c r="D34" s="8" t="n">
        <f aca="false">B34+C34</f>
        <v>17200</v>
      </c>
    </row>
    <row r="35" customFormat="false" ht="15" hidden="false" customHeight="true" outlineLevel="0" collapsed="false">
      <c r="A35" s="1" t="s">
        <v>42</v>
      </c>
      <c r="B35" s="8" t="n">
        <v>12000</v>
      </c>
      <c r="C35" s="8" t="n">
        <v>5500</v>
      </c>
      <c r="D35" s="8" t="n">
        <f aca="false">B35+C35</f>
        <v>17500</v>
      </c>
    </row>
    <row r="36" customFormat="false" ht="15" hidden="false" customHeight="true" outlineLevel="0" collapsed="false">
      <c r="A36" s="1" t="s">
        <v>43</v>
      </c>
      <c r="B36" s="8" t="n">
        <v>12200</v>
      </c>
      <c r="C36" s="8" t="n">
        <v>5600</v>
      </c>
      <c r="D36" s="8" t="n">
        <f aca="false">B36+C36</f>
        <v>17800</v>
      </c>
    </row>
    <row r="37" customFormat="false" ht="15" hidden="false" customHeight="true" outlineLevel="0" collapsed="false">
      <c r="A37" s="1" t="s">
        <v>44</v>
      </c>
      <c r="B37" s="8" t="n">
        <v>12400</v>
      </c>
      <c r="C37" s="8" t="n">
        <v>5700</v>
      </c>
      <c r="D37" s="8" t="n">
        <f aca="false">B37+C37</f>
        <v>18100</v>
      </c>
    </row>
    <row r="38" customFormat="false" ht="15" hidden="false" customHeight="true" outlineLevel="0" collapsed="false">
      <c r="A38" s="1" t="s">
        <v>45</v>
      </c>
      <c r="B38" s="8" t="n">
        <v>12600</v>
      </c>
      <c r="C38" s="8" t="n">
        <v>5800</v>
      </c>
      <c r="D38" s="8" t="n">
        <f aca="false">B38+C38</f>
        <v>18400</v>
      </c>
    </row>
    <row r="39" customFormat="false" ht="15" hidden="false" customHeight="true" outlineLevel="0" collapsed="false">
      <c r="A39" s="1" t="s">
        <v>46</v>
      </c>
      <c r="B39" s="8" t="n">
        <v>12800</v>
      </c>
      <c r="C39" s="8" t="n">
        <v>5900</v>
      </c>
      <c r="D39" s="8" t="n">
        <f aca="false">B39+C39</f>
        <v>18700</v>
      </c>
    </row>
    <row r="40" customFormat="false" ht="15" hidden="false" customHeight="true" outlineLevel="0" collapsed="false">
      <c r="A40" s="1" t="s">
        <v>47</v>
      </c>
      <c r="B40" s="8" t="n">
        <v>13000</v>
      </c>
      <c r="C40" s="8" t="n">
        <v>6000</v>
      </c>
      <c r="D40" s="8" t="n">
        <f aca="false">B40+C40</f>
        <v>19000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</cols>
  <sheetData>
    <row r="1" customFormat="false" ht="15" hidden="false" customHeight="true" outlineLevel="0" collapsed="false">
      <c r="A1" s="7" t="s">
        <v>5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  <c r="AN1" s="7" t="s">
        <v>86</v>
      </c>
      <c r="AO1" s="7" t="s">
        <v>87</v>
      </c>
      <c r="AP1" s="7" t="s">
        <v>88</v>
      </c>
      <c r="AQ1" s="7" t="s">
        <v>89</v>
      </c>
    </row>
    <row r="2" customFormat="false" ht="15" hidden="false" customHeight="true" outlineLevel="0" collapsed="false">
      <c r="A2" s="1" t="s">
        <v>9</v>
      </c>
      <c r="B2" s="8" t="n">
        <v>1120</v>
      </c>
      <c r="C2" s="8" t="n">
        <v>1140</v>
      </c>
      <c r="D2" s="8" t="n">
        <v>1160</v>
      </c>
      <c r="E2" s="8" t="n">
        <v>1180</v>
      </c>
      <c r="F2" s="8" t="n">
        <v>1200</v>
      </c>
      <c r="G2" s="8" t="n">
        <v>1220</v>
      </c>
      <c r="H2" s="8" t="n">
        <v>1240</v>
      </c>
      <c r="I2" s="8" t="n">
        <v>1260</v>
      </c>
      <c r="J2" s="8" t="n">
        <v>1280</v>
      </c>
      <c r="K2" s="8" t="n">
        <v>1300</v>
      </c>
      <c r="L2" s="8" t="n">
        <v>1320</v>
      </c>
      <c r="M2" s="8" t="n">
        <v>1340</v>
      </c>
      <c r="N2" s="8" t="n">
        <v>1360</v>
      </c>
      <c r="O2" s="8" t="n">
        <v>1380</v>
      </c>
      <c r="P2" s="8" t="n">
        <v>1400</v>
      </c>
      <c r="Q2" s="8" t="n">
        <v>1420</v>
      </c>
      <c r="R2" s="8" t="n">
        <v>1440</v>
      </c>
      <c r="S2" s="8" t="n">
        <v>1460</v>
      </c>
      <c r="T2" s="8" t="n">
        <v>1480</v>
      </c>
      <c r="U2" s="8" t="n">
        <v>1500</v>
      </c>
      <c r="V2" s="8" t="n">
        <v>1520</v>
      </c>
      <c r="W2" s="8" t="n">
        <v>1540</v>
      </c>
      <c r="X2" s="8" t="n">
        <v>1560</v>
      </c>
      <c r="Y2" s="8" t="n">
        <v>1580</v>
      </c>
      <c r="Z2" s="8" t="n">
        <v>1600</v>
      </c>
      <c r="AA2" s="8" t="n">
        <v>1620</v>
      </c>
      <c r="AB2" s="8" t="n">
        <v>1640</v>
      </c>
      <c r="AC2" s="8" t="n">
        <v>1660</v>
      </c>
      <c r="AD2" s="8" t="n">
        <v>1680</v>
      </c>
      <c r="AE2" s="8" t="n">
        <v>1700</v>
      </c>
      <c r="AF2" s="8" t="n">
        <v>1720</v>
      </c>
      <c r="AG2" s="8" t="n">
        <v>1740</v>
      </c>
      <c r="AH2" s="8" t="n">
        <v>1760</v>
      </c>
      <c r="AI2" s="8" t="n">
        <v>1780</v>
      </c>
      <c r="AJ2" s="8" t="n">
        <v>1800</v>
      </c>
      <c r="AK2" s="8" t="n">
        <v>1820</v>
      </c>
      <c r="AL2" s="8" t="n">
        <v>1840</v>
      </c>
      <c r="AM2" s="8" t="n">
        <v>1860</v>
      </c>
      <c r="AN2" s="8" t="n">
        <v>3200</v>
      </c>
      <c r="AO2" s="8" t="n">
        <v>2160</v>
      </c>
      <c r="AP2" s="8" t="n">
        <v>1620</v>
      </c>
      <c r="AQ2" s="8" t="n">
        <f aca="false">SUM(B2:AM2)+AN2+AO2+AP2</f>
        <v>63600</v>
      </c>
    </row>
    <row r="3" customFormat="false" ht="15" hidden="false" customHeight="true" outlineLevel="0" collapsed="false">
      <c r="A3" s="1" t="s">
        <v>10</v>
      </c>
      <c r="B3" s="8" t="n">
        <v>1170</v>
      </c>
      <c r="C3" s="8" t="n">
        <v>1190</v>
      </c>
      <c r="D3" s="8" t="n">
        <v>1210</v>
      </c>
      <c r="E3" s="8" t="n">
        <v>1230</v>
      </c>
      <c r="F3" s="8" t="n">
        <v>1250</v>
      </c>
      <c r="G3" s="8" t="n">
        <v>1270</v>
      </c>
      <c r="H3" s="8" t="n">
        <v>1290</v>
      </c>
      <c r="I3" s="8" t="n">
        <v>1310</v>
      </c>
      <c r="J3" s="8" t="n">
        <v>1330</v>
      </c>
      <c r="K3" s="8" t="n">
        <v>1350</v>
      </c>
      <c r="L3" s="8" t="n">
        <v>1370</v>
      </c>
      <c r="M3" s="8" t="n">
        <v>1390</v>
      </c>
      <c r="N3" s="8" t="n">
        <v>1410</v>
      </c>
      <c r="O3" s="8" t="n">
        <v>1430</v>
      </c>
      <c r="P3" s="8" t="n">
        <v>1450</v>
      </c>
      <c r="Q3" s="8" t="n">
        <v>1470</v>
      </c>
      <c r="R3" s="8" t="n">
        <v>1490</v>
      </c>
      <c r="S3" s="8" t="n">
        <v>1510</v>
      </c>
      <c r="T3" s="8" t="n">
        <v>1530</v>
      </c>
      <c r="U3" s="8" t="n">
        <v>1550</v>
      </c>
      <c r="V3" s="8" t="n">
        <v>1570</v>
      </c>
      <c r="W3" s="8" t="n">
        <v>1590</v>
      </c>
      <c r="X3" s="8" t="n">
        <v>1610</v>
      </c>
      <c r="Y3" s="8" t="n">
        <v>1630</v>
      </c>
      <c r="Z3" s="8" t="n">
        <v>1650</v>
      </c>
      <c r="AA3" s="8" t="n">
        <v>1670</v>
      </c>
      <c r="AB3" s="8" t="n">
        <v>1690</v>
      </c>
      <c r="AC3" s="8" t="n">
        <v>1710</v>
      </c>
      <c r="AD3" s="8" t="n">
        <v>1730</v>
      </c>
      <c r="AE3" s="8" t="n">
        <v>1750</v>
      </c>
      <c r="AF3" s="8" t="n">
        <v>1770</v>
      </c>
      <c r="AG3" s="8" t="n">
        <v>1790</v>
      </c>
      <c r="AH3" s="8" t="n">
        <v>1810</v>
      </c>
      <c r="AI3" s="8" t="n">
        <v>1830</v>
      </c>
      <c r="AJ3" s="8" t="n">
        <v>1850</v>
      </c>
      <c r="AK3" s="8" t="n">
        <v>1870</v>
      </c>
      <c r="AL3" s="8" t="n">
        <v>1890</v>
      </c>
      <c r="AM3" s="8" t="n">
        <v>1910</v>
      </c>
      <c r="AN3" s="8" t="n">
        <v>3300</v>
      </c>
      <c r="AO3" s="8" t="n">
        <v>2240</v>
      </c>
      <c r="AP3" s="8" t="n">
        <v>1680</v>
      </c>
      <c r="AQ3" s="8" t="n">
        <f aca="false">SUM(B3:AM3)+AN3+AO3+AP3</f>
        <v>65740</v>
      </c>
    </row>
    <row r="4" customFormat="false" ht="15" hidden="false" customHeight="true" outlineLevel="0" collapsed="false">
      <c r="A4" s="1" t="s">
        <v>11</v>
      </c>
      <c r="B4" s="8" t="n">
        <v>1220</v>
      </c>
      <c r="C4" s="8" t="n">
        <v>1240</v>
      </c>
      <c r="D4" s="8" t="n">
        <v>1260</v>
      </c>
      <c r="E4" s="8" t="n">
        <v>1280</v>
      </c>
      <c r="F4" s="8" t="n">
        <v>1300</v>
      </c>
      <c r="G4" s="8" t="n">
        <v>1320</v>
      </c>
      <c r="H4" s="8" t="n">
        <v>1340</v>
      </c>
      <c r="I4" s="8" t="n">
        <v>1360</v>
      </c>
      <c r="J4" s="8" t="n">
        <v>1380</v>
      </c>
      <c r="K4" s="8" t="n">
        <v>1400</v>
      </c>
      <c r="L4" s="8" t="n">
        <v>1420</v>
      </c>
      <c r="M4" s="8" t="n">
        <v>1440</v>
      </c>
      <c r="N4" s="8" t="n">
        <v>1460</v>
      </c>
      <c r="O4" s="8" t="n">
        <v>1480</v>
      </c>
      <c r="P4" s="8" t="n">
        <v>1500</v>
      </c>
      <c r="Q4" s="8" t="n">
        <v>1520</v>
      </c>
      <c r="R4" s="8" t="n">
        <v>1540</v>
      </c>
      <c r="S4" s="8" t="n">
        <v>1560</v>
      </c>
      <c r="T4" s="8" t="n">
        <v>1580</v>
      </c>
      <c r="U4" s="8" t="n">
        <v>1600</v>
      </c>
      <c r="V4" s="8" t="n">
        <v>1620</v>
      </c>
      <c r="W4" s="8" t="n">
        <v>1640</v>
      </c>
      <c r="X4" s="8" t="n">
        <v>1660</v>
      </c>
      <c r="Y4" s="8" t="n">
        <v>1680</v>
      </c>
      <c r="Z4" s="8" t="n">
        <v>1700</v>
      </c>
      <c r="AA4" s="8" t="n">
        <v>1720</v>
      </c>
      <c r="AB4" s="8" t="n">
        <v>1740</v>
      </c>
      <c r="AC4" s="8" t="n">
        <v>1760</v>
      </c>
      <c r="AD4" s="8" t="n">
        <v>1780</v>
      </c>
      <c r="AE4" s="8" t="n">
        <v>1800</v>
      </c>
      <c r="AF4" s="8" t="n">
        <v>1820</v>
      </c>
      <c r="AG4" s="8" t="n">
        <v>1840</v>
      </c>
      <c r="AH4" s="8" t="n">
        <v>1860</v>
      </c>
      <c r="AI4" s="8" t="n">
        <v>1880</v>
      </c>
      <c r="AJ4" s="8" t="n">
        <v>1900</v>
      </c>
      <c r="AK4" s="8" t="n">
        <v>1920</v>
      </c>
      <c r="AL4" s="8" t="n">
        <v>1940</v>
      </c>
      <c r="AM4" s="8" t="n">
        <v>1960</v>
      </c>
      <c r="AN4" s="8" t="n">
        <v>3400</v>
      </c>
      <c r="AO4" s="8" t="n">
        <v>2320</v>
      </c>
      <c r="AP4" s="8" t="n">
        <v>1740</v>
      </c>
      <c r="AQ4" s="8" t="n">
        <f aca="false">SUM(B4:AM4)+AN4+AO4+AP4</f>
        <v>67880</v>
      </c>
    </row>
    <row r="5" customFormat="false" ht="15" hidden="false" customHeight="true" outlineLevel="0" collapsed="false">
      <c r="A5" s="1" t="s">
        <v>12</v>
      </c>
      <c r="B5" s="8" t="n">
        <v>1270</v>
      </c>
      <c r="C5" s="8" t="n">
        <v>1290</v>
      </c>
      <c r="D5" s="8" t="n">
        <v>1310</v>
      </c>
      <c r="E5" s="8" t="n">
        <v>1330</v>
      </c>
      <c r="F5" s="8" t="n">
        <v>1350</v>
      </c>
      <c r="G5" s="8" t="n">
        <v>1370</v>
      </c>
      <c r="H5" s="8" t="n">
        <v>1390</v>
      </c>
      <c r="I5" s="8" t="n">
        <v>1410</v>
      </c>
      <c r="J5" s="8" t="n">
        <v>1430</v>
      </c>
      <c r="K5" s="8" t="n">
        <v>1450</v>
      </c>
      <c r="L5" s="8" t="n">
        <v>1470</v>
      </c>
      <c r="M5" s="8" t="n">
        <v>1490</v>
      </c>
      <c r="N5" s="8" t="n">
        <v>1510</v>
      </c>
      <c r="O5" s="8" t="n">
        <v>1530</v>
      </c>
      <c r="P5" s="8" t="n">
        <v>1550</v>
      </c>
      <c r="Q5" s="8" t="n">
        <v>1570</v>
      </c>
      <c r="R5" s="8" t="n">
        <v>1590</v>
      </c>
      <c r="S5" s="8" t="n">
        <v>1610</v>
      </c>
      <c r="T5" s="8" t="n">
        <v>1630</v>
      </c>
      <c r="U5" s="8" t="n">
        <v>1650</v>
      </c>
      <c r="V5" s="8" t="n">
        <v>1670</v>
      </c>
      <c r="W5" s="8" t="n">
        <v>1690</v>
      </c>
      <c r="X5" s="8" t="n">
        <v>1710</v>
      </c>
      <c r="Y5" s="8" t="n">
        <v>1730</v>
      </c>
      <c r="Z5" s="8" t="n">
        <v>1750</v>
      </c>
      <c r="AA5" s="8" t="n">
        <v>1770</v>
      </c>
      <c r="AB5" s="8" t="n">
        <v>1790</v>
      </c>
      <c r="AC5" s="8" t="n">
        <v>1810</v>
      </c>
      <c r="AD5" s="8" t="n">
        <v>1830</v>
      </c>
      <c r="AE5" s="8" t="n">
        <v>1850</v>
      </c>
      <c r="AF5" s="8" t="n">
        <v>1870</v>
      </c>
      <c r="AG5" s="8" t="n">
        <v>1890</v>
      </c>
      <c r="AH5" s="8" t="n">
        <v>1910</v>
      </c>
      <c r="AI5" s="8" t="n">
        <v>1930</v>
      </c>
      <c r="AJ5" s="8" t="n">
        <v>1950</v>
      </c>
      <c r="AK5" s="8" t="n">
        <v>1970</v>
      </c>
      <c r="AL5" s="8" t="n">
        <v>1990</v>
      </c>
      <c r="AM5" s="8" t="n">
        <v>2010</v>
      </c>
      <c r="AN5" s="8" t="n">
        <v>3500</v>
      </c>
      <c r="AO5" s="8" t="n">
        <v>2400</v>
      </c>
      <c r="AP5" s="8" t="n">
        <v>1800</v>
      </c>
      <c r="AQ5" s="8" t="n">
        <f aca="false">SUM(B5:AM5)+AN5+AO5+AP5</f>
        <v>70020</v>
      </c>
    </row>
    <row r="6" customFormat="false" ht="15" hidden="false" customHeight="true" outlineLevel="0" collapsed="false">
      <c r="A6" s="1" t="s">
        <v>13</v>
      </c>
      <c r="B6" s="8" t="n">
        <v>1320</v>
      </c>
      <c r="C6" s="8" t="n">
        <v>1340</v>
      </c>
      <c r="D6" s="8" t="n">
        <v>1360</v>
      </c>
      <c r="E6" s="8" t="n">
        <v>1380</v>
      </c>
      <c r="F6" s="8" t="n">
        <v>1400</v>
      </c>
      <c r="G6" s="8" t="n">
        <v>1420</v>
      </c>
      <c r="H6" s="8" t="n">
        <v>1440</v>
      </c>
      <c r="I6" s="8" t="n">
        <v>1460</v>
      </c>
      <c r="J6" s="8" t="n">
        <v>1480</v>
      </c>
      <c r="K6" s="8" t="n">
        <v>1500</v>
      </c>
      <c r="L6" s="8" t="n">
        <v>1520</v>
      </c>
      <c r="M6" s="8" t="n">
        <v>1540</v>
      </c>
      <c r="N6" s="8" t="n">
        <v>1560</v>
      </c>
      <c r="O6" s="8" t="n">
        <v>1580</v>
      </c>
      <c r="P6" s="8" t="n">
        <v>1600</v>
      </c>
      <c r="Q6" s="8" t="n">
        <v>1620</v>
      </c>
      <c r="R6" s="8" t="n">
        <v>1640</v>
      </c>
      <c r="S6" s="8" t="n">
        <v>1660</v>
      </c>
      <c r="T6" s="8" t="n">
        <v>1680</v>
      </c>
      <c r="U6" s="8" t="n">
        <v>1700</v>
      </c>
      <c r="V6" s="8" t="n">
        <v>1720</v>
      </c>
      <c r="W6" s="8" t="n">
        <v>1740</v>
      </c>
      <c r="X6" s="8" t="n">
        <v>1760</v>
      </c>
      <c r="Y6" s="8" t="n">
        <v>1780</v>
      </c>
      <c r="Z6" s="8" t="n">
        <v>1800</v>
      </c>
      <c r="AA6" s="8" t="n">
        <v>1820</v>
      </c>
      <c r="AB6" s="8" t="n">
        <v>1840</v>
      </c>
      <c r="AC6" s="8" t="n">
        <v>1860</v>
      </c>
      <c r="AD6" s="8" t="n">
        <v>1880</v>
      </c>
      <c r="AE6" s="8" t="n">
        <v>1900</v>
      </c>
      <c r="AF6" s="8" t="n">
        <v>1920</v>
      </c>
      <c r="AG6" s="8" t="n">
        <v>1940</v>
      </c>
      <c r="AH6" s="8" t="n">
        <v>1960</v>
      </c>
      <c r="AI6" s="8" t="n">
        <v>1980</v>
      </c>
      <c r="AJ6" s="8" t="n">
        <v>2000</v>
      </c>
      <c r="AK6" s="8" t="n">
        <v>2020</v>
      </c>
      <c r="AL6" s="8" t="n">
        <v>2040</v>
      </c>
      <c r="AM6" s="8" t="n">
        <v>2060</v>
      </c>
      <c r="AN6" s="8" t="n">
        <v>3600</v>
      </c>
      <c r="AO6" s="8" t="n">
        <v>2480</v>
      </c>
      <c r="AP6" s="8" t="n">
        <v>1860</v>
      </c>
      <c r="AQ6" s="8" t="n">
        <f aca="false">SUM(B6:AM6)+AN6+AO6+AP6</f>
        <v>72160</v>
      </c>
    </row>
    <row r="7" customFormat="false" ht="15" hidden="false" customHeight="true" outlineLevel="0" collapsed="false">
      <c r="A7" s="1" t="s">
        <v>14</v>
      </c>
      <c r="B7" s="8" t="n">
        <v>1370</v>
      </c>
      <c r="C7" s="8" t="n">
        <v>1390</v>
      </c>
      <c r="D7" s="8" t="n">
        <v>1410</v>
      </c>
      <c r="E7" s="8" t="n">
        <v>1430</v>
      </c>
      <c r="F7" s="8" t="n">
        <v>1450</v>
      </c>
      <c r="G7" s="8" t="n">
        <v>1470</v>
      </c>
      <c r="H7" s="8" t="n">
        <v>1490</v>
      </c>
      <c r="I7" s="8" t="n">
        <v>1510</v>
      </c>
      <c r="J7" s="8" t="n">
        <v>1530</v>
      </c>
      <c r="K7" s="8" t="n">
        <v>1550</v>
      </c>
      <c r="L7" s="8" t="n">
        <v>1570</v>
      </c>
      <c r="M7" s="8" t="n">
        <v>1590</v>
      </c>
      <c r="N7" s="8" t="n">
        <v>1610</v>
      </c>
      <c r="O7" s="8" t="n">
        <v>1630</v>
      </c>
      <c r="P7" s="8" t="n">
        <v>1650</v>
      </c>
      <c r="Q7" s="8" t="n">
        <v>1670</v>
      </c>
      <c r="R7" s="8" t="n">
        <v>1690</v>
      </c>
      <c r="S7" s="8" t="n">
        <v>1710</v>
      </c>
      <c r="T7" s="8" t="n">
        <v>1730</v>
      </c>
      <c r="U7" s="8" t="n">
        <v>1750</v>
      </c>
      <c r="V7" s="8" t="n">
        <v>1770</v>
      </c>
      <c r="W7" s="8" t="n">
        <v>1790</v>
      </c>
      <c r="X7" s="8" t="n">
        <v>1810</v>
      </c>
      <c r="Y7" s="8" t="n">
        <v>1830</v>
      </c>
      <c r="Z7" s="8" t="n">
        <v>1850</v>
      </c>
      <c r="AA7" s="8" t="n">
        <v>1870</v>
      </c>
      <c r="AB7" s="8" t="n">
        <v>1890</v>
      </c>
      <c r="AC7" s="8" t="n">
        <v>1910</v>
      </c>
      <c r="AD7" s="8" t="n">
        <v>1930</v>
      </c>
      <c r="AE7" s="8" t="n">
        <v>1950</v>
      </c>
      <c r="AF7" s="8" t="n">
        <v>1970</v>
      </c>
      <c r="AG7" s="8" t="n">
        <v>1990</v>
      </c>
      <c r="AH7" s="8" t="n">
        <v>2010</v>
      </c>
      <c r="AI7" s="8" t="n">
        <v>2030</v>
      </c>
      <c r="AJ7" s="8" t="n">
        <v>2050</v>
      </c>
      <c r="AK7" s="8" t="n">
        <v>2070</v>
      </c>
      <c r="AL7" s="8" t="n">
        <v>2090</v>
      </c>
      <c r="AM7" s="8" t="n">
        <v>2110</v>
      </c>
      <c r="AN7" s="8" t="n">
        <v>3700</v>
      </c>
      <c r="AO7" s="8" t="n">
        <v>2560</v>
      </c>
      <c r="AP7" s="8" t="n">
        <v>1920</v>
      </c>
      <c r="AQ7" s="8" t="n">
        <f aca="false">SUM(B7:AM7)+AN7+AO7+AP7</f>
        <v>74300</v>
      </c>
    </row>
    <row r="8" customFormat="false" ht="15" hidden="false" customHeight="true" outlineLevel="0" collapsed="false">
      <c r="A8" s="1" t="s">
        <v>15</v>
      </c>
      <c r="B8" s="8" t="n">
        <v>1420</v>
      </c>
      <c r="C8" s="8" t="n">
        <v>1440</v>
      </c>
      <c r="D8" s="8" t="n">
        <v>1460</v>
      </c>
      <c r="E8" s="8" t="n">
        <v>1480</v>
      </c>
      <c r="F8" s="8" t="n">
        <v>1500</v>
      </c>
      <c r="G8" s="8" t="n">
        <v>1520</v>
      </c>
      <c r="H8" s="8" t="n">
        <v>1540</v>
      </c>
      <c r="I8" s="8" t="n">
        <v>1560</v>
      </c>
      <c r="J8" s="8" t="n">
        <v>1580</v>
      </c>
      <c r="K8" s="8" t="n">
        <v>1600</v>
      </c>
      <c r="L8" s="8" t="n">
        <v>1620</v>
      </c>
      <c r="M8" s="8" t="n">
        <v>1640</v>
      </c>
      <c r="N8" s="8" t="n">
        <v>1660</v>
      </c>
      <c r="O8" s="8" t="n">
        <v>1680</v>
      </c>
      <c r="P8" s="8" t="n">
        <v>1700</v>
      </c>
      <c r="Q8" s="8" t="n">
        <v>1720</v>
      </c>
      <c r="R8" s="8" t="n">
        <v>1740</v>
      </c>
      <c r="S8" s="8" t="n">
        <v>1760</v>
      </c>
      <c r="T8" s="8" t="n">
        <v>1780</v>
      </c>
      <c r="U8" s="8" t="n">
        <v>1800</v>
      </c>
      <c r="V8" s="8" t="n">
        <v>1820</v>
      </c>
      <c r="W8" s="8" t="n">
        <v>1840</v>
      </c>
      <c r="X8" s="8" t="n">
        <v>1860</v>
      </c>
      <c r="Y8" s="8" t="n">
        <v>1880</v>
      </c>
      <c r="Z8" s="8" t="n">
        <v>1900</v>
      </c>
      <c r="AA8" s="8" t="n">
        <v>1920</v>
      </c>
      <c r="AB8" s="8" t="n">
        <v>1940</v>
      </c>
      <c r="AC8" s="8" t="n">
        <v>1960</v>
      </c>
      <c r="AD8" s="8" t="n">
        <v>1980</v>
      </c>
      <c r="AE8" s="8" t="n">
        <v>2000</v>
      </c>
      <c r="AF8" s="8" t="n">
        <v>2020</v>
      </c>
      <c r="AG8" s="8" t="n">
        <v>2040</v>
      </c>
      <c r="AH8" s="8" t="n">
        <v>2060</v>
      </c>
      <c r="AI8" s="8" t="n">
        <v>2080</v>
      </c>
      <c r="AJ8" s="8" t="n">
        <v>2100</v>
      </c>
      <c r="AK8" s="8" t="n">
        <v>2120</v>
      </c>
      <c r="AL8" s="8" t="n">
        <v>2140</v>
      </c>
      <c r="AM8" s="8" t="n">
        <v>2160</v>
      </c>
      <c r="AN8" s="8" t="n">
        <v>3800</v>
      </c>
      <c r="AO8" s="8" t="n">
        <v>2640</v>
      </c>
      <c r="AP8" s="8" t="n">
        <v>1980</v>
      </c>
      <c r="AQ8" s="8" t="n">
        <f aca="false">SUM(B8:AM8)+AN8+AO8+AP8</f>
        <v>76440</v>
      </c>
    </row>
    <row r="9" customFormat="false" ht="15" hidden="false" customHeight="true" outlineLevel="0" collapsed="false">
      <c r="A9" s="1" t="s">
        <v>16</v>
      </c>
      <c r="B9" s="8" t="n">
        <v>1470</v>
      </c>
      <c r="C9" s="8" t="n">
        <v>1490</v>
      </c>
      <c r="D9" s="8" t="n">
        <v>1510</v>
      </c>
      <c r="E9" s="8" t="n">
        <v>1530</v>
      </c>
      <c r="F9" s="8" t="n">
        <v>1550</v>
      </c>
      <c r="G9" s="8" t="n">
        <v>1570</v>
      </c>
      <c r="H9" s="8" t="n">
        <v>1590</v>
      </c>
      <c r="I9" s="8" t="n">
        <v>1610</v>
      </c>
      <c r="J9" s="8" t="n">
        <v>1630</v>
      </c>
      <c r="K9" s="8" t="n">
        <v>1650</v>
      </c>
      <c r="L9" s="8" t="n">
        <v>1670</v>
      </c>
      <c r="M9" s="8" t="n">
        <v>1690</v>
      </c>
      <c r="N9" s="8" t="n">
        <v>1710</v>
      </c>
      <c r="O9" s="8" t="n">
        <v>1730</v>
      </c>
      <c r="P9" s="8" t="n">
        <v>1750</v>
      </c>
      <c r="Q9" s="8" t="n">
        <v>1770</v>
      </c>
      <c r="R9" s="8" t="n">
        <v>1790</v>
      </c>
      <c r="S9" s="8" t="n">
        <v>1810</v>
      </c>
      <c r="T9" s="8" t="n">
        <v>1830</v>
      </c>
      <c r="U9" s="8" t="n">
        <v>1850</v>
      </c>
      <c r="V9" s="8" t="n">
        <v>1870</v>
      </c>
      <c r="W9" s="8" t="n">
        <v>1890</v>
      </c>
      <c r="X9" s="8" t="n">
        <v>1910</v>
      </c>
      <c r="Y9" s="8" t="n">
        <v>1930</v>
      </c>
      <c r="Z9" s="8" t="n">
        <v>1950</v>
      </c>
      <c r="AA9" s="8" t="n">
        <v>1970</v>
      </c>
      <c r="AB9" s="8" t="n">
        <v>1990</v>
      </c>
      <c r="AC9" s="8" t="n">
        <v>2010</v>
      </c>
      <c r="AD9" s="8" t="n">
        <v>2030</v>
      </c>
      <c r="AE9" s="8" t="n">
        <v>2050</v>
      </c>
      <c r="AF9" s="8" t="n">
        <v>2070</v>
      </c>
      <c r="AG9" s="8" t="n">
        <v>2090</v>
      </c>
      <c r="AH9" s="8" t="n">
        <v>2110</v>
      </c>
      <c r="AI9" s="8" t="n">
        <v>2130</v>
      </c>
      <c r="AJ9" s="8" t="n">
        <v>2150</v>
      </c>
      <c r="AK9" s="8" t="n">
        <v>2170</v>
      </c>
      <c r="AL9" s="8" t="n">
        <v>2190</v>
      </c>
      <c r="AM9" s="8" t="n">
        <v>2210</v>
      </c>
      <c r="AN9" s="8" t="n">
        <v>3900</v>
      </c>
      <c r="AO9" s="8" t="n">
        <v>2720</v>
      </c>
      <c r="AP9" s="8" t="n">
        <v>2040</v>
      </c>
      <c r="AQ9" s="8" t="n">
        <f aca="false">SUM(B9:AM9)+AN9+AO9+AP9</f>
        <v>78580</v>
      </c>
    </row>
    <row r="10" customFormat="false" ht="15" hidden="false" customHeight="true" outlineLevel="0" collapsed="false">
      <c r="A10" s="1" t="s">
        <v>17</v>
      </c>
      <c r="B10" s="8" t="n">
        <v>1520</v>
      </c>
      <c r="C10" s="8" t="n">
        <v>1540</v>
      </c>
      <c r="D10" s="8" t="n">
        <v>1560</v>
      </c>
      <c r="E10" s="8" t="n">
        <v>1580</v>
      </c>
      <c r="F10" s="8" t="n">
        <v>1600</v>
      </c>
      <c r="G10" s="8" t="n">
        <v>1620</v>
      </c>
      <c r="H10" s="8" t="n">
        <v>1640</v>
      </c>
      <c r="I10" s="8" t="n">
        <v>1660</v>
      </c>
      <c r="J10" s="8" t="n">
        <v>1680</v>
      </c>
      <c r="K10" s="8" t="n">
        <v>1700</v>
      </c>
      <c r="L10" s="8" t="n">
        <v>1720</v>
      </c>
      <c r="M10" s="8" t="n">
        <v>1740</v>
      </c>
      <c r="N10" s="8" t="n">
        <v>1760</v>
      </c>
      <c r="O10" s="8" t="n">
        <v>1780</v>
      </c>
      <c r="P10" s="8" t="n">
        <v>1800</v>
      </c>
      <c r="Q10" s="8" t="n">
        <v>1820</v>
      </c>
      <c r="R10" s="8" t="n">
        <v>1840</v>
      </c>
      <c r="S10" s="8" t="n">
        <v>1860</v>
      </c>
      <c r="T10" s="8" t="n">
        <v>1880</v>
      </c>
      <c r="U10" s="8" t="n">
        <v>1900</v>
      </c>
      <c r="V10" s="8" t="n">
        <v>1920</v>
      </c>
      <c r="W10" s="8" t="n">
        <v>1940</v>
      </c>
      <c r="X10" s="8" t="n">
        <v>1960</v>
      </c>
      <c r="Y10" s="8" t="n">
        <v>1980</v>
      </c>
      <c r="Z10" s="8" t="n">
        <v>2000</v>
      </c>
      <c r="AA10" s="8" t="n">
        <v>2020</v>
      </c>
      <c r="AB10" s="8" t="n">
        <v>2040</v>
      </c>
      <c r="AC10" s="8" t="n">
        <v>2060</v>
      </c>
      <c r="AD10" s="8" t="n">
        <v>2080</v>
      </c>
      <c r="AE10" s="8" t="n">
        <v>2100</v>
      </c>
      <c r="AF10" s="8" t="n">
        <v>2120</v>
      </c>
      <c r="AG10" s="8" t="n">
        <v>2140</v>
      </c>
      <c r="AH10" s="8" t="n">
        <v>2160</v>
      </c>
      <c r="AI10" s="8" t="n">
        <v>2180</v>
      </c>
      <c r="AJ10" s="8" t="n">
        <v>2200</v>
      </c>
      <c r="AK10" s="8" t="n">
        <v>2220</v>
      </c>
      <c r="AL10" s="8" t="n">
        <v>2240</v>
      </c>
      <c r="AM10" s="8" t="n">
        <v>2260</v>
      </c>
      <c r="AN10" s="8" t="n">
        <v>4000</v>
      </c>
      <c r="AO10" s="8" t="n">
        <v>2800</v>
      </c>
      <c r="AP10" s="8" t="n">
        <v>2100</v>
      </c>
      <c r="AQ10" s="8" t="n">
        <f aca="false">SUM(B10:AM10)+AN10+AO10+AP10</f>
        <v>80720</v>
      </c>
    </row>
    <row r="11" customFormat="false" ht="15" hidden="false" customHeight="true" outlineLevel="0" collapsed="false">
      <c r="A11" s="1" t="s">
        <v>18</v>
      </c>
      <c r="B11" s="8" t="n">
        <v>1570</v>
      </c>
      <c r="C11" s="8" t="n">
        <v>1590</v>
      </c>
      <c r="D11" s="8" t="n">
        <v>1610</v>
      </c>
      <c r="E11" s="8" t="n">
        <v>1630</v>
      </c>
      <c r="F11" s="8" t="n">
        <v>1650</v>
      </c>
      <c r="G11" s="8" t="n">
        <v>1670</v>
      </c>
      <c r="H11" s="8" t="n">
        <v>1690</v>
      </c>
      <c r="I11" s="8" t="n">
        <v>1710</v>
      </c>
      <c r="J11" s="8" t="n">
        <v>1730</v>
      </c>
      <c r="K11" s="8" t="n">
        <v>1750</v>
      </c>
      <c r="L11" s="8" t="n">
        <v>1770</v>
      </c>
      <c r="M11" s="8" t="n">
        <v>1790</v>
      </c>
      <c r="N11" s="8" t="n">
        <v>1810</v>
      </c>
      <c r="O11" s="8" t="n">
        <v>1830</v>
      </c>
      <c r="P11" s="8" t="n">
        <v>1850</v>
      </c>
      <c r="Q11" s="8" t="n">
        <v>1870</v>
      </c>
      <c r="R11" s="8" t="n">
        <v>1890</v>
      </c>
      <c r="S11" s="8" t="n">
        <v>1910</v>
      </c>
      <c r="T11" s="8" t="n">
        <v>1930</v>
      </c>
      <c r="U11" s="8" t="n">
        <v>1950</v>
      </c>
      <c r="V11" s="8" t="n">
        <v>1970</v>
      </c>
      <c r="W11" s="8" t="n">
        <v>1990</v>
      </c>
      <c r="X11" s="8" t="n">
        <v>2010</v>
      </c>
      <c r="Y11" s="8" t="n">
        <v>2030</v>
      </c>
      <c r="Z11" s="8" t="n">
        <v>2050</v>
      </c>
      <c r="AA11" s="8" t="n">
        <v>2070</v>
      </c>
      <c r="AB11" s="8" t="n">
        <v>2090</v>
      </c>
      <c r="AC11" s="8" t="n">
        <v>2110</v>
      </c>
      <c r="AD11" s="8" t="n">
        <v>2130</v>
      </c>
      <c r="AE11" s="8" t="n">
        <v>2150</v>
      </c>
      <c r="AF11" s="8" t="n">
        <v>2170</v>
      </c>
      <c r="AG11" s="8" t="n">
        <v>2190</v>
      </c>
      <c r="AH11" s="8" t="n">
        <v>2210</v>
      </c>
      <c r="AI11" s="8" t="n">
        <v>2230</v>
      </c>
      <c r="AJ11" s="8" t="n">
        <v>2250</v>
      </c>
      <c r="AK11" s="8" t="n">
        <v>2270</v>
      </c>
      <c r="AL11" s="8" t="n">
        <v>2290</v>
      </c>
      <c r="AM11" s="8" t="n">
        <v>2310</v>
      </c>
      <c r="AN11" s="8" t="n">
        <v>4100</v>
      </c>
      <c r="AO11" s="8" t="n">
        <v>2880</v>
      </c>
      <c r="AP11" s="8" t="n">
        <v>2160</v>
      </c>
      <c r="AQ11" s="8" t="n">
        <f aca="false">SUM(B11:AM11)+AN11+AO11+AP11</f>
        <v>82860</v>
      </c>
    </row>
    <row r="12" customFormat="false" ht="15" hidden="false" customHeight="true" outlineLevel="0" collapsed="false">
      <c r="A12" s="1" t="s">
        <v>19</v>
      </c>
      <c r="B12" s="8" t="n">
        <v>1620</v>
      </c>
      <c r="C12" s="8" t="n">
        <v>1640</v>
      </c>
      <c r="D12" s="8" t="n">
        <v>1660</v>
      </c>
      <c r="E12" s="8" t="n">
        <v>1680</v>
      </c>
      <c r="F12" s="8" t="n">
        <v>1700</v>
      </c>
      <c r="G12" s="8" t="n">
        <v>1720</v>
      </c>
      <c r="H12" s="8" t="n">
        <v>1740</v>
      </c>
      <c r="I12" s="8" t="n">
        <v>1760</v>
      </c>
      <c r="J12" s="8" t="n">
        <v>1780</v>
      </c>
      <c r="K12" s="8" t="n">
        <v>1800</v>
      </c>
      <c r="L12" s="8" t="n">
        <v>1820</v>
      </c>
      <c r="M12" s="8" t="n">
        <v>1840</v>
      </c>
      <c r="N12" s="8" t="n">
        <v>1860</v>
      </c>
      <c r="O12" s="8" t="n">
        <v>1880</v>
      </c>
      <c r="P12" s="8" t="n">
        <v>1900</v>
      </c>
      <c r="Q12" s="8" t="n">
        <v>1920</v>
      </c>
      <c r="R12" s="8" t="n">
        <v>1940</v>
      </c>
      <c r="S12" s="8" t="n">
        <v>1960</v>
      </c>
      <c r="T12" s="8" t="n">
        <v>1980</v>
      </c>
      <c r="U12" s="8" t="n">
        <v>2000</v>
      </c>
      <c r="V12" s="8" t="n">
        <v>2020</v>
      </c>
      <c r="W12" s="8" t="n">
        <v>2040</v>
      </c>
      <c r="X12" s="8" t="n">
        <v>2060</v>
      </c>
      <c r="Y12" s="8" t="n">
        <v>2080</v>
      </c>
      <c r="Z12" s="8" t="n">
        <v>2100</v>
      </c>
      <c r="AA12" s="8" t="n">
        <v>2120</v>
      </c>
      <c r="AB12" s="8" t="n">
        <v>2140</v>
      </c>
      <c r="AC12" s="8" t="n">
        <v>2160</v>
      </c>
      <c r="AD12" s="8" t="n">
        <v>2180</v>
      </c>
      <c r="AE12" s="8" t="n">
        <v>2200</v>
      </c>
      <c r="AF12" s="8" t="n">
        <v>2220</v>
      </c>
      <c r="AG12" s="8" t="n">
        <v>2240</v>
      </c>
      <c r="AH12" s="8" t="n">
        <v>2260</v>
      </c>
      <c r="AI12" s="8" t="n">
        <v>2280</v>
      </c>
      <c r="AJ12" s="8" t="n">
        <v>2300</v>
      </c>
      <c r="AK12" s="8" t="n">
        <v>2320</v>
      </c>
      <c r="AL12" s="8" t="n">
        <v>2340</v>
      </c>
      <c r="AM12" s="8" t="n">
        <v>2360</v>
      </c>
      <c r="AN12" s="8" t="n">
        <v>4200</v>
      </c>
      <c r="AO12" s="8" t="n">
        <v>2960</v>
      </c>
      <c r="AP12" s="8" t="n">
        <v>2220</v>
      </c>
      <c r="AQ12" s="8" t="n">
        <f aca="false">SUM(B12:AM12)+AN12+AO12+AP12</f>
        <v>85000</v>
      </c>
    </row>
    <row r="13" customFormat="false" ht="15" hidden="false" customHeight="true" outlineLevel="0" collapsed="false">
      <c r="A13" s="1" t="s">
        <v>20</v>
      </c>
      <c r="B13" s="8" t="n">
        <v>1670</v>
      </c>
      <c r="C13" s="8" t="n">
        <v>1690</v>
      </c>
      <c r="D13" s="8" t="n">
        <v>1710</v>
      </c>
      <c r="E13" s="8" t="n">
        <v>1730</v>
      </c>
      <c r="F13" s="8" t="n">
        <v>1750</v>
      </c>
      <c r="G13" s="8" t="n">
        <v>1770</v>
      </c>
      <c r="H13" s="8" t="n">
        <v>1790</v>
      </c>
      <c r="I13" s="8" t="n">
        <v>1810</v>
      </c>
      <c r="J13" s="8" t="n">
        <v>1830</v>
      </c>
      <c r="K13" s="8" t="n">
        <v>1850</v>
      </c>
      <c r="L13" s="8" t="n">
        <v>1870</v>
      </c>
      <c r="M13" s="8" t="n">
        <v>1890</v>
      </c>
      <c r="N13" s="8" t="n">
        <v>1910</v>
      </c>
      <c r="O13" s="8" t="n">
        <v>1930</v>
      </c>
      <c r="P13" s="8" t="n">
        <v>1950</v>
      </c>
      <c r="Q13" s="8" t="n">
        <v>1970</v>
      </c>
      <c r="R13" s="8" t="n">
        <v>1990</v>
      </c>
      <c r="S13" s="8" t="n">
        <v>2010</v>
      </c>
      <c r="T13" s="8" t="n">
        <v>2030</v>
      </c>
      <c r="U13" s="8" t="n">
        <v>2050</v>
      </c>
      <c r="V13" s="8" t="n">
        <v>2070</v>
      </c>
      <c r="W13" s="8" t="n">
        <v>2090</v>
      </c>
      <c r="X13" s="8" t="n">
        <v>2110</v>
      </c>
      <c r="Y13" s="8" t="n">
        <v>2130</v>
      </c>
      <c r="Z13" s="8" t="n">
        <v>2150</v>
      </c>
      <c r="AA13" s="8" t="n">
        <v>2170</v>
      </c>
      <c r="AB13" s="8" t="n">
        <v>2190</v>
      </c>
      <c r="AC13" s="8" t="n">
        <v>2210</v>
      </c>
      <c r="AD13" s="8" t="n">
        <v>2230</v>
      </c>
      <c r="AE13" s="8" t="n">
        <v>2250</v>
      </c>
      <c r="AF13" s="8" t="n">
        <v>2270</v>
      </c>
      <c r="AG13" s="8" t="n">
        <v>2290</v>
      </c>
      <c r="AH13" s="8" t="n">
        <v>2310</v>
      </c>
      <c r="AI13" s="8" t="n">
        <v>2330</v>
      </c>
      <c r="AJ13" s="8" t="n">
        <v>2350</v>
      </c>
      <c r="AK13" s="8" t="n">
        <v>2370</v>
      </c>
      <c r="AL13" s="8" t="n">
        <v>2390</v>
      </c>
      <c r="AM13" s="8" t="n">
        <v>2410</v>
      </c>
      <c r="AN13" s="8" t="n">
        <v>4300</v>
      </c>
      <c r="AO13" s="8" t="n">
        <v>3040</v>
      </c>
      <c r="AP13" s="8" t="n">
        <v>2280</v>
      </c>
      <c r="AQ13" s="8" t="n">
        <f aca="false">SUM(B13:AM13)+AN13+AO13+AP13</f>
        <v>87140</v>
      </c>
    </row>
    <row r="14" customFormat="false" ht="15" hidden="false" customHeight="true" outlineLevel="0" collapsed="false">
      <c r="A14" s="1" t="s">
        <v>21</v>
      </c>
      <c r="B14" s="8" t="n">
        <v>1720</v>
      </c>
      <c r="C14" s="8" t="n">
        <v>1740</v>
      </c>
      <c r="D14" s="8" t="n">
        <v>1760</v>
      </c>
      <c r="E14" s="8" t="n">
        <v>1780</v>
      </c>
      <c r="F14" s="8" t="n">
        <v>1800</v>
      </c>
      <c r="G14" s="8" t="n">
        <v>1820</v>
      </c>
      <c r="H14" s="8" t="n">
        <v>1840</v>
      </c>
      <c r="I14" s="8" t="n">
        <v>1860</v>
      </c>
      <c r="J14" s="8" t="n">
        <v>1880</v>
      </c>
      <c r="K14" s="8" t="n">
        <v>1900</v>
      </c>
      <c r="L14" s="8" t="n">
        <v>1920</v>
      </c>
      <c r="M14" s="8" t="n">
        <v>1940</v>
      </c>
      <c r="N14" s="8" t="n">
        <v>1960</v>
      </c>
      <c r="O14" s="8" t="n">
        <v>1980</v>
      </c>
      <c r="P14" s="8" t="n">
        <v>2000</v>
      </c>
      <c r="Q14" s="8" t="n">
        <v>2020</v>
      </c>
      <c r="R14" s="8" t="n">
        <v>2040</v>
      </c>
      <c r="S14" s="8" t="n">
        <v>2060</v>
      </c>
      <c r="T14" s="8" t="n">
        <v>2080</v>
      </c>
      <c r="U14" s="8" t="n">
        <v>2100</v>
      </c>
      <c r="V14" s="8" t="n">
        <v>2120</v>
      </c>
      <c r="W14" s="8" t="n">
        <v>2140</v>
      </c>
      <c r="X14" s="8" t="n">
        <v>2160</v>
      </c>
      <c r="Y14" s="8" t="n">
        <v>2180</v>
      </c>
      <c r="Z14" s="8" t="n">
        <v>2200</v>
      </c>
      <c r="AA14" s="8" t="n">
        <v>2220</v>
      </c>
      <c r="AB14" s="8" t="n">
        <v>2240</v>
      </c>
      <c r="AC14" s="8" t="n">
        <v>2260</v>
      </c>
      <c r="AD14" s="8" t="n">
        <v>2280</v>
      </c>
      <c r="AE14" s="8" t="n">
        <v>2300</v>
      </c>
      <c r="AF14" s="8" t="n">
        <v>2320</v>
      </c>
      <c r="AG14" s="8" t="n">
        <v>2340</v>
      </c>
      <c r="AH14" s="8" t="n">
        <v>2360</v>
      </c>
      <c r="AI14" s="8" t="n">
        <v>2380</v>
      </c>
      <c r="AJ14" s="8" t="n">
        <v>2400</v>
      </c>
      <c r="AK14" s="8" t="n">
        <v>2420</v>
      </c>
      <c r="AL14" s="8" t="n">
        <v>2440</v>
      </c>
      <c r="AM14" s="8" t="n">
        <v>2460</v>
      </c>
      <c r="AN14" s="8" t="n">
        <v>4400</v>
      </c>
      <c r="AO14" s="8" t="n">
        <v>3120</v>
      </c>
      <c r="AP14" s="8" t="n">
        <v>2340</v>
      </c>
      <c r="AQ14" s="8" t="n">
        <f aca="false">SUM(B14:AM14)+AN14+AO14+AP14</f>
        <v>89280</v>
      </c>
    </row>
    <row r="15" customFormat="false" ht="15" hidden="false" customHeight="true" outlineLevel="0" collapsed="false">
      <c r="A15" s="1" t="s">
        <v>22</v>
      </c>
      <c r="B15" s="8" t="n">
        <v>1770</v>
      </c>
      <c r="C15" s="8" t="n">
        <v>1790</v>
      </c>
      <c r="D15" s="8" t="n">
        <v>1810</v>
      </c>
      <c r="E15" s="8" t="n">
        <v>1830</v>
      </c>
      <c r="F15" s="8" t="n">
        <v>1850</v>
      </c>
      <c r="G15" s="8" t="n">
        <v>1870</v>
      </c>
      <c r="H15" s="8" t="n">
        <v>1890</v>
      </c>
      <c r="I15" s="8" t="n">
        <v>1910</v>
      </c>
      <c r="J15" s="8" t="n">
        <v>1930</v>
      </c>
      <c r="K15" s="8" t="n">
        <v>1950</v>
      </c>
      <c r="L15" s="8" t="n">
        <v>1970</v>
      </c>
      <c r="M15" s="8" t="n">
        <v>1990</v>
      </c>
      <c r="N15" s="8" t="n">
        <v>2010</v>
      </c>
      <c r="O15" s="8" t="n">
        <v>2030</v>
      </c>
      <c r="P15" s="8" t="n">
        <v>2050</v>
      </c>
      <c r="Q15" s="8" t="n">
        <v>2070</v>
      </c>
      <c r="R15" s="8" t="n">
        <v>2090</v>
      </c>
      <c r="S15" s="8" t="n">
        <v>2110</v>
      </c>
      <c r="T15" s="8" t="n">
        <v>2130</v>
      </c>
      <c r="U15" s="8" t="n">
        <v>2150</v>
      </c>
      <c r="V15" s="8" t="n">
        <v>2170</v>
      </c>
      <c r="W15" s="8" t="n">
        <v>2190</v>
      </c>
      <c r="X15" s="8" t="n">
        <v>2210</v>
      </c>
      <c r="Y15" s="8" t="n">
        <v>2230</v>
      </c>
      <c r="Z15" s="8" t="n">
        <v>2250</v>
      </c>
      <c r="AA15" s="8" t="n">
        <v>2270</v>
      </c>
      <c r="AB15" s="8" t="n">
        <v>2290</v>
      </c>
      <c r="AC15" s="8" t="n">
        <v>2310</v>
      </c>
      <c r="AD15" s="8" t="n">
        <v>2330</v>
      </c>
      <c r="AE15" s="8" t="n">
        <v>2350</v>
      </c>
      <c r="AF15" s="8" t="n">
        <v>2370</v>
      </c>
      <c r="AG15" s="8" t="n">
        <v>2390</v>
      </c>
      <c r="AH15" s="8" t="n">
        <v>2410</v>
      </c>
      <c r="AI15" s="8" t="n">
        <v>2430</v>
      </c>
      <c r="AJ15" s="8" t="n">
        <v>2450</v>
      </c>
      <c r="AK15" s="8" t="n">
        <v>2470</v>
      </c>
      <c r="AL15" s="8" t="n">
        <v>2490</v>
      </c>
      <c r="AM15" s="8" t="n">
        <v>2510</v>
      </c>
      <c r="AN15" s="8" t="n">
        <v>4500</v>
      </c>
      <c r="AO15" s="8" t="n">
        <v>3200</v>
      </c>
      <c r="AP15" s="8" t="n">
        <v>2400</v>
      </c>
      <c r="AQ15" s="8" t="n">
        <f aca="false">SUM(B15:AM15)+AN15+AO15+AP15</f>
        <v>91420</v>
      </c>
    </row>
    <row r="16" customFormat="false" ht="15" hidden="false" customHeight="true" outlineLevel="0" collapsed="false">
      <c r="A16" s="1" t="s">
        <v>23</v>
      </c>
      <c r="B16" s="8" t="n">
        <v>1820</v>
      </c>
      <c r="C16" s="8" t="n">
        <v>1840</v>
      </c>
      <c r="D16" s="8" t="n">
        <v>1860</v>
      </c>
      <c r="E16" s="8" t="n">
        <v>1880</v>
      </c>
      <c r="F16" s="8" t="n">
        <v>1900</v>
      </c>
      <c r="G16" s="8" t="n">
        <v>1920</v>
      </c>
      <c r="H16" s="8" t="n">
        <v>1940</v>
      </c>
      <c r="I16" s="8" t="n">
        <v>1960</v>
      </c>
      <c r="J16" s="8" t="n">
        <v>1980</v>
      </c>
      <c r="K16" s="8" t="n">
        <v>2000</v>
      </c>
      <c r="L16" s="8" t="n">
        <v>2020</v>
      </c>
      <c r="M16" s="8" t="n">
        <v>2040</v>
      </c>
      <c r="N16" s="8" t="n">
        <v>2060</v>
      </c>
      <c r="O16" s="8" t="n">
        <v>2080</v>
      </c>
      <c r="P16" s="8" t="n">
        <v>2100</v>
      </c>
      <c r="Q16" s="8" t="n">
        <v>2120</v>
      </c>
      <c r="R16" s="8" t="n">
        <v>2140</v>
      </c>
      <c r="S16" s="8" t="n">
        <v>2160</v>
      </c>
      <c r="T16" s="8" t="n">
        <v>2180</v>
      </c>
      <c r="U16" s="8" t="n">
        <v>2200</v>
      </c>
      <c r="V16" s="8" t="n">
        <v>2220</v>
      </c>
      <c r="W16" s="8" t="n">
        <v>2240</v>
      </c>
      <c r="X16" s="8" t="n">
        <v>2260</v>
      </c>
      <c r="Y16" s="8" t="n">
        <v>2280</v>
      </c>
      <c r="Z16" s="8" t="n">
        <v>2300</v>
      </c>
      <c r="AA16" s="8" t="n">
        <v>2320</v>
      </c>
      <c r="AB16" s="8" t="n">
        <v>2340</v>
      </c>
      <c r="AC16" s="8" t="n">
        <v>2360</v>
      </c>
      <c r="AD16" s="8" t="n">
        <v>2380</v>
      </c>
      <c r="AE16" s="8" t="n">
        <v>2400</v>
      </c>
      <c r="AF16" s="8" t="n">
        <v>2420</v>
      </c>
      <c r="AG16" s="8" t="n">
        <v>2440</v>
      </c>
      <c r="AH16" s="8" t="n">
        <v>2460</v>
      </c>
      <c r="AI16" s="8" t="n">
        <v>2480</v>
      </c>
      <c r="AJ16" s="8" t="n">
        <v>2500</v>
      </c>
      <c r="AK16" s="8" t="n">
        <v>2520</v>
      </c>
      <c r="AL16" s="8" t="n">
        <v>2540</v>
      </c>
      <c r="AM16" s="8" t="n">
        <v>2560</v>
      </c>
      <c r="AN16" s="8" t="n">
        <v>4600</v>
      </c>
      <c r="AO16" s="8" t="n">
        <v>3280</v>
      </c>
      <c r="AP16" s="8" t="n">
        <v>2460</v>
      </c>
      <c r="AQ16" s="8" t="n">
        <f aca="false">SUM(B16:AM16)+AN16+AO16+AP16</f>
        <v>93560</v>
      </c>
    </row>
    <row r="17" customFormat="false" ht="15" hidden="false" customHeight="true" outlineLevel="0" collapsed="false">
      <c r="A17" s="1" t="s">
        <v>24</v>
      </c>
      <c r="B17" s="8" t="n">
        <v>1870</v>
      </c>
      <c r="C17" s="8" t="n">
        <v>1890</v>
      </c>
      <c r="D17" s="8" t="n">
        <v>1910</v>
      </c>
      <c r="E17" s="8" t="n">
        <v>1930</v>
      </c>
      <c r="F17" s="8" t="n">
        <v>1950</v>
      </c>
      <c r="G17" s="8" t="n">
        <v>1970</v>
      </c>
      <c r="H17" s="8" t="n">
        <v>1990</v>
      </c>
      <c r="I17" s="8" t="n">
        <v>2010</v>
      </c>
      <c r="J17" s="8" t="n">
        <v>2030</v>
      </c>
      <c r="K17" s="8" t="n">
        <v>2050</v>
      </c>
      <c r="L17" s="8" t="n">
        <v>2070</v>
      </c>
      <c r="M17" s="8" t="n">
        <v>2090</v>
      </c>
      <c r="N17" s="8" t="n">
        <v>2110</v>
      </c>
      <c r="O17" s="8" t="n">
        <v>2130</v>
      </c>
      <c r="P17" s="8" t="n">
        <v>2150</v>
      </c>
      <c r="Q17" s="8" t="n">
        <v>2170</v>
      </c>
      <c r="R17" s="8" t="n">
        <v>2190</v>
      </c>
      <c r="S17" s="8" t="n">
        <v>2210</v>
      </c>
      <c r="T17" s="8" t="n">
        <v>2230</v>
      </c>
      <c r="U17" s="8" t="n">
        <v>2250</v>
      </c>
      <c r="V17" s="8" t="n">
        <v>2270</v>
      </c>
      <c r="W17" s="8" t="n">
        <v>2290</v>
      </c>
      <c r="X17" s="8" t="n">
        <v>2310</v>
      </c>
      <c r="Y17" s="8" t="n">
        <v>2330</v>
      </c>
      <c r="Z17" s="8" t="n">
        <v>2350</v>
      </c>
      <c r="AA17" s="8" t="n">
        <v>2370</v>
      </c>
      <c r="AB17" s="8" t="n">
        <v>2390</v>
      </c>
      <c r="AC17" s="8" t="n">
        <v>2410</v>
      </c>
      <c r="AD17" s="8" t="n">
        <v>2430</v>
      </c>
      <c r="AE17" s="8" t="n">
        <v>2450</v>
      </c>
      <c r="AF17" s="8" t="n">
        <v>2470</v>
      </c>
      <c r="AG17" s="8" t="n">
        <v>2490</v>
      </c>
      <c r="AH17" s="8" t="n">
        <v>2510</v>
      </c>
      <c r="AI17" s="8" t="n">
        <v>2530</v>
      </c>
      <c r="AJ17" s="8" t="n">
        <v>2550</v>
      </c>
      <c r="AK17" s="8" t="n">
        <v>2570</v>
      </c>
      <c r="AL17" s="8" t="n">
        <v>2590</v>
      </c>
      <c r="AM17" s="8" t="n">
        <v>2610</v>
      </c>
      <c r="AN17" s="8" t="n">
        <v>4700</v>
      </c>
      <c r="AO17" s="8" t="n">
        <v>3360</v>
      </c>
      <c r="AP17" s="8" t="n">
        <v>2520</v>
      </c>
      <c r="AQ17" s="8" t="n">
        <f aca="false">SUM(B17:AM17)+AN17+AO17+AP17</f>
        <v>95700</v>
      </c>
    </row>
    <row r="18" customFormat="false" ht="15" hidden="false" customHeight="true" outlineLevel="0" collapsed="false">
      <c r="A18" s="1" t="s">
        <v>25</v>
      </c>
      <c r="B18" s="8" t="n">
        <v>1920</v>
      </c>
      <c r="C18" s="8" t="n">
        <v>1940</v>
      </c>
      <c r="D18" s="8" t="n">
        <v>1960</v>
      </c>
      <c r="E18" s="8" t="n">
        <v>1980</v>
      </c>
      <c r="F18" s="8" t="n">
        <v>2000</v>
      </c>
      <c r="G18" s="8" t="n">
        <v>2020</v>
      </c>
      <c r="H18" s="8" t="n">
        <v>2040</v>
      </c>
      <c r="I18" s="8" t="n">
        <v>2060</v>
      </c>
      <c r="J18" s="8" t="n">
        <v>2080</v>
      </c>
      <c r="K18" s="8" t="n">
        <v>2100</v>
      </c>
      <c r="L18" s="8" t="n">
        <v>2120</v>
      </c>
      <c r="M18" s="8" t="n">
        <v>2140</v>
      </c>
      <c r="N18" s="8" t="n">
        <v>2160</v>
      </c>
      <c r="O18" s="8" t="n">
        <v>2180</v>
      </c>
      <c r="P18" s="8" t="n">
        <v>2200</v>
      </c>
      <c r="Q18" s="8" t="n">
        <v>2220</v>
      </c>
      <c r="R18" s="8" t="n">
        <v>2240</v>
      </c>
      <c r="S18" s="8" t="n">
        <v>2260</v>
      </c>
      <c r="T18" s="8" t="n">
        <v>2280</v>
      </c>
      <c r="U18" s="8" t="n">
        <v>2300</v>
      </c>
      <c r="V18" s="8" t="n">
        <v>2320</v>
      </c>
      <c r="W18" s="8" t="n">
        <v>2340</v>
      </c>
      <c r="X18" s="8" t="n">
        <v>2360</v>
      </c>
      <c r="Y18" s="8" t="n">
        <v>2380</v>
      </c>
      <c r="Z18" s="8" t="n">
        <v>2400</v>
      </c>
      <c r="AA18" s="8" t="n">
        <v>2420</v>
      </c>
      <c r="AB18" s="8" t="n">
        <v>2440</v>
      </c>
      <c r="AC18" s="8" t="n">
        <v>2460</v>
      </c>
      <c r="AD18" s="8" t="n">
        <v>2480</v>
      </c>
      <c r="AE18" s="8" t="n">
        <v>2500</v>
      </c>
      <c r="AF18" s="8" t="n">
        <v>2520</v>
      </c>
      <c r="AG18" s="8" t="n">
        <v>2540</v>
      </c>
      <c r="AH18" s="8" t="n">
        <v>2560</v>
      </c>
      <c r="AI18" s="8" t="n">
        <v>2580</v>
      </c>
      <c r="AJ18" s="8" t="n">
        <v>2600</v>
      </c>
      <c r="AK18" s="8" t="n">
        <v>2620</v>
      </c>
      <c r="AL18" s="8" t="n">
        <v>2640</v>
      </c>
      <c r="AM18" s="8" t="n">
        <v>2660</v>
      </c>
      <c r="AN18" s="8" t="n">
        <v>4800</v>
      </c>
      <c r="AO18" s="8" t="n">
        <v>3440</v>
      </c>
      <c r="AP18" s="8" t="n">
        <v>2580</v>
      </c>
      <c r="AQ18" s="8" t="n">
        <f aca="false">SUM(B18:AM18)+AN18+AO18+AP18</f>
        <v>97840</v>
      </c>
    </row>
    <row r="19" customFormat="false" ht="15" hidden="false" customHeight="true" outlineLevel="0" collapsed="false">
      <c r="A19" s="1" t="s">
        <v>26</v>
      </c>
      <c r="B19" s="8" t="n">
        <v>1970</v>
      </c>
      <c r="C19" s="8" t="n">
        <v>1990</v>
      </c>
      <c r="D19" s="8" t="n">
        <v>2010</v>
      </c>
      <c r="E19" s="8" t="n">
        <v>2030</v>
      </c>
      <c r="F19" s="8" t="n">
        <v>2050</v>
      </c>
      <c r="G19" s="8" t="n">
        <v>2070</v>
      </c>
      <c r="H19" s="8" t="n">
        <v>2090</v>
      </c>
      <c r="I19" s="8" t="n">
        <v>2110</v>
      </c>
      <c r="J19" s="8" t="n">
        <v>2130</v>
      </c>
      <c r="K19" s="8" t="n">
        <v>2150</v>
      </c>
      <c r="L19" s="8" t="n">
        <v>2170</v>
      </c>
      <c r="M19" s="8" t="n">
        <v>2190</v>
      </c>
      <c r="N19" s="8" t="n">
        <v>2210</v>
      </c>
      <c r="O19" s="8" t="n">
        <v>2230</v>
      </c>
      <c r="P19" s="8" t="n">
        <v>2250</v>
      </c>
      <c r="Q19" s="8" t="n">
        <v>2270</v>
      </c>
      <c r="R19" s="8" t="n">
        <v>2290</v>
      </c>
      <c r="S19" s="8" t="n">
        <v>2310</v>
      </c>
      <c r="T19" s="8" t="n">
        <v>2330</v>
      </c>
      <c r="U19" s="8" t="n">
        <v>2350</v>
      </c>
      <c r="V19" s="8" t="n">
        <v>2370</v>
      </c>
      <c r="W19" s="8" t="n">
        <v>2390</v>
      </c>
      <c r="X19" s="8" t="n">
        <v>2410</v>
      </c>
      <c r="Y19" s="8" t="n">
        <v>2430</v>
      </c>
      <c r="Z19" s="8" t="n">
        <v>2450</v>
      </c>
      <c r="AA19" s="8" t="n">
        <v>2470</v>
      </c>
      <c r="AB19" s="8" t="n">
        <v>2490</v>
      </c>
      <c r="AC19" s="8" t="n">
        <v>2510</v>
      </c>
      <c r="AD19" s="8" t="n">
        <v>2530</v>
      </c>
      <c r="AE19" s="8" t="n">
        <v>2550</v>
      </c>
      <c r="AF19" s="8" t="n">
        <v>2570</v>
      </c>
      <c r="AG19" s="8" t="n">
        <v>2590</v>
      </c>
      <c r="AH19" s="8" t="n">
        <v>2610</v>
      </c>
      <c r="AI19" s="8" t="n">
        <v>2630</v>
      </c>
      <c r="AJ19" s="8" t="n">
        <v>2650</v>
      </c>
      <c r="AK19" s="8" t="n">
        <v>2670</v>
      </c>
      <c r="AL19" s="8" t="n">
        <v>2690</v>
      </c>
      <c r="AM19" s="8" t="n">
        <v>2710</v>
      </c>
      <c r="AN19" s="8" t="n">
        <v>4900</v>
      </c>
      <c r="AO19" s="8" t="n">
        <v>3520</v>
      </c>
      <c r="AP19" s="8" t="n">
        <v>2640</v>
      </c>
      <c r="AQ19" s="8" t="n">
        <f aca="false">SUM(B19:AM19)+AN19+AO19+AP19</f>
        <v>99980</v>
      </c>
    </row>
    <row r="20" customFormat="false" ht="15" hidden="false" customHeight="true" outlineLevel="0" collapsed="false">
      <c r="A20" s="1" t="s">
        <v>27</v>
      </c>
      <c r="B20" s="8" t="n">
        <v>2020</v>
      </c>
      <c r="C20" s="8" t="n">
        <v>2040</v>
      </c>
      <c r="D20" s="8" t="n">
        <v>2060</v>
      </c>
      <c r="E20" s="8" t="n">
        <v>2080</v>
      </c>
      <c r="F20" s="8" t="n">
        <v>2100</v>
      </c>
      <c r="G20" s="8" t="n">
        <v>2120</v>
      </c>
      <c r="H20" s="8" t="n">
        <v>2140</v>
      </c>
      <c r="I20" s="8" t="n">
        <v>2160</v>
      </c>
      <c r="J20" s="8" t="n">
        <v>2180</v>
      </c>
      <c r="K20" s="8" t="n">
        <v>2200</v>
      </c>
      <c r="L20" s="8" t="n">
        <v>2220</v>
      </c>
      <c r="M20" s="8" t="n">
        <v>2240</v>
      </c>
      <c r="N20" s="8" t="n">
        <v>2260</v>
      </c>
      <c r="O20" s="8" t="n">
        <v>2280</v>
      </c>
      <c r="P20" s="8" t="n">
        <v>2300</v>
      </c>
      <c r="Q20" s="8" t="n">
        <v>2320</v>
      </c>
      <c r="R20" s="8" t="n">
        <v>2340</v>
      </c>
      <c r="S20" s="8" t="n">
        <v>2360</v>
      </c>
      <c r="T20" s="8" t="n">
        <v>2380</v>
      </c>
      <c r="U20" s="8" t="n">
        <v>2400</v>
      </c>
      <c r="V20" s="8" t="n">
        <v>2420</v>
      </c>
      <c r="W20" s="8" t="n">
        <v>2440</v>
      </c>
      <c r="X20" s="8" t="n">
        <v>2460</v>
      </c>
      <c r="Y20" s="8" t="n">
        <v>2480</v>
      </c>
      <c r="Z20" s="8" t="n">
        <v>2500</v>
      </c>
      <c r="AA20" s="8" t="n">
        <v>2520</v>
      </c>
      <c r="AB20" s="8" t="n">
        <v>2540</v>
      </c>
      <c r="AC20" s="8" t="n">
        <v>2560</v>
      </c>
      <c r="AD20" s="8" t="n">
        <v>2580</v>
      </c>
      <c r="AE20" s="8" t="n">
        <v>2600</v>
      </c>
      <c r="AF20" s="8" t="n">
        <v>2620</v>
      </c>
      <c r="AG20" s="8" t="n">
        <v>2640</v>
      </c>
      <c r="AH20" s="8" t="n">
        <v>2660</v>
      </c>
      <c r="AI20" s="8" t="n">
        <v>2680</v>
      </c>
      <c r="AJ20" s="8" t="n">
        <v>2700</v>
      </c>
      <c r="AK20" s="8" t="n">
        <v>2720</v>
      </c>
      <c r="AL20" s="8" t="n">
        <v>2740</v>
      </c>
      <c r="AM20" s="8" t="n">
        <v>2760</v>
      </c>
      <c r="AN20" s="8" t="n">
        <v>5000</v>
      </c>
      <c r="AO20" s="8" t="n">
        <v>3600</v>
      </c>
      <c r="AP20" s="8" t="n">
        <v>2700</v>
      </c>
      <c r="AQ20" s="8" t="n">
        <f aca="false">SUM(B20:AM20)+AN20+AO20+AP20</f>
        <v>102120</v>
      </c>
    </row>
    <row r="21" customFormat="false" ht="15" hidden="false" customHeight="true" outlineLevel="0" collapsed="false">
      <c r="A21" s="1" t="s">
        <v>28</v>
      </c>
      <c r="B21" s="8" t="n">
        <v>2070</v>
      </c>
      <c r="C21" s="8" t="n">
        <v>2090</v>
      </c>
      <c r="D21" s="8" t="n">
        <v>2110</v>
      </c>
      <c r="E21" s="8" t="n">
        <v>2130</v>
      </c>
      <c r="F21" s="8" t="n">
        <v>2150</v>
      </c>
      <c r="G21" s="8" t="n">
        <v>2170</v>
      </c>
      <c r="H21" s="8" t="n">
        <v>2190</v>
      </c>
      <c r="I21" s="8" t="n">
        <v>2210</v>
      </c>
      <c r="J21" s="8" t="n">
        <v>2230</v>
      </c>
      <c r="K21" s="8" t="n">
        <v>2250</v>
      </c>
      <c r="L21" s="8" t="n">
        <v>2270</v>
      </c>
      <c r="M21" s="8" t="n">
        <v>2290</v>
      </c>
      <c r="N21" s="8" t="n">
        <v>2310</v>
      </c>
      <c r="O21" s="8" t="n">
        <v>2330</v>
      </c>
      <c r="P21" s="8" t="n">
        <v>2350</v>
      </c>
      <c r="Q21" s="8" t="n">
        <v>2370</v>
      </c>
      <c r="R21" s="8" t="n">
        <v>2390</v>
      </c>
      <c r="S21" s="8" t="n">
        <v>2410</v>
      </c>
      <c r="T21" s="8" t="n">
        <v>2430</v>
      </c>
      <c r="U21" s="8" t="n">
        <v>2450</v>
      </c>
      <c r="V21" s="8" t="n">
        <v>2470</v>
      </c>
      <c r="W21" s="8" t="n">
        <v>2490</v>
      </c>
      <c r="X21" s="8" t="n">
        <v>2510</v>
      </c>
      <c r="Y21" s="8" t="n">
        <v>2530</v>
      </c>
      <c r="Z21" s="8" t="n">
        <v>2550</v>
      </c>
      <c r="AA21" s="8" t="n">
        <v>2570</v>
      </c>
      <c r="AB21" s="8" t="n">
        <v>2590</v>
      </c>
      <c r="AC21" s="8" t="n">
        <v>2610</v>
      </c>
      <c r="AD21" s="8" t="n">
        <v>2630</v>
      </c>
      <c r="AE21" s="8" t="n">
        <v>2650</v>
      </c>
      <c r="AF21" s="8" t="n">
        <v>2670</v>
      </c>
      <c r="AG21" s="8" t="n">
        <v>2690</v>
      </c>
      <c r="AH21" s="8" t="n">
        <v>2710</v>
      </c>
      <c r="AI21" s="8" t="n">
        <v>2730</v>
      </c>
      <c r="AJ21" s="8" t="n">
        <v>2750</v>
      </c>
      <c r="AK21" s="8" t="n">
        <v>2770</v>
      </c>
      <c r="AL21" s="8" t="n">
        <v>2790</v>
      </c>
      <c r="AM21" s="8" t="n">
        <v>2810</v>
      </c>
      <c r="AN21" s="8" t="n">
        <v>5100</v>
      </c>
      <c r="AO21" s="8" t="n">
        <v>3680</v>
      </c>
      <c r="AP21" s="8" t="n">
        <v>2760</v>
      </c>
      <c r="AQ21" s="8" t="n">
        <f aca="false">SUM(B21:AM21)+AN21+AO21+AP21</f>
        <v>104260</v>
      </c>
    </row>
    <row r="22" customFormat="false" ht="15" hidden="false" customHeight="true" outlineLevel="0" collapsed="false">
      <c r="A22" s="1" t="s">
        <v>29</v>
      </c>
      <c r="B22" s="8" t="n">
        <v>2120</v>
      </c>
      <c r="C22" s="8" t="n">
        <v>2140</v>
      </c>
      <c r="D22" s="8" t="n">
        <v>2160</v>
      </c>
      <c r="E22" s="8" t="n">
        <v>2180</v>
      </c>
      <c r="F22" s="8" t="n">
        <v>2200</v>
      </c>
      <c r="G22" s="8" t="n">
        <v>2220</v>
      </c>
      <c r="H22" s="8" t="n">
        <v>2240</v>
      </c>
      <c r="I22" s="8" t="n">
        <v>2260</v>
      </c>
      <c r="J22" s="8" t="n">
        <v>2280</v>
      </c>
      <c r="K22" s="8" t="n">
        <v>2300</v>
      </c>
      <c r="L22" s="8" t="n">
        <v>2320</v>
      </c>
      <c r="M22" s="8" t="n">
        <v>2340</v>
      </c>
      <c r="N22" s="8" t="n">
        <v>2360</v>
      </c>
      <c r="O22" s="8" t="n">
        <v>2380</v>
      </c>
      <c r="P22" s="8" t="n">
        <v>2400</v>
      </c>
      <c r="Q22" s="8" t="n">
        <v>2420</v>
      </c>
      <c r="R22" s="8" t="n">
        <v>2440</v>
      </c>
      <c r="S22" s="8" t="n">
        <v>2460</v>
      </c>
      <c r="T22" s="8" t="n">
        <v>2480</v>
      </c>
      <c r="U22" s="8" t="n">
        <v>2500</v>
      </c>
      <c r="V22" s="8" t="n">
        <v>2520</v>
      </c>
      <c r="W22" s="8" t="n">
        <v>2540</v>
      </c>
      <c r="X22" s="8" t="n">
        <v>2560</v>
      </c>
      <c r="Y22" s="8" t="n">
        <v>2580</v>
      </c>
      <c r="Z22" s="8" t="n">
        <v>2600</v>
      </c>
      <c r="AA22" s="8" t="n">
        <v>2620</v>
      </c>
      <c r="AB22" s="8" t="n">
        <v>2640</v>
      </c>
      <c r="AC22" s="8" t="n">
        <v>2660</v>
      </c>
      <c r="AD22" s="8" t="n">
        <v>2680</v>
      </c>
      <c r="AE22" s="8" t="n">
        <v>2700</v>
      </c>
      <c r="AF22" s="8" t="n">
        <v>2720</v>
      </c>
      <c r="AG22" s="8" t="n">
        <v>2740</v>
      </c>
      <c r="AH22" s="8" t="n">
        <v>2760</v>
      </c>
      <c r="AI22" s="8" t="n">
        <v>2780</v>
      </c>
      <c r="AJ22" s="8" t="n">
        <v>2800</v>
      </c>
      <c r="AK22" s="8" t="n">
        <v>2820</v>
      </c>
      <c r="AL22" s="8" t="n">
        <v>2840</v>
      </c>
      <c r="AM22" s="8" t="n">
        <v>2860</v>
      </c>
      <c r="AN22" s="8" t="n">
        <v>5200</v>
      </c>
      <c r="AO22" s="8" t="n">
        <v>3760</v>
      </c>
      <c r="AP22" s="8" t="n">
        <v>2820</v>
      </c>
      <c r="AQ22" s="8" t="n">
        <f aca="false">SUM(B22:AM22)+AN22+AO22+AP22</f>
        <v>106400</v>
      </c>
    </row>
    <row r="23" customFormat="false" ht="15" hidden="false" customHeight="true" outlineLevel="0" collapsed="false">
      <c r="A23" s="1" t="s">
        <v>30</v>
      </c>
      <c r="B23" s="8" t="n">
        <v>2170</v>
      </c>
      <c r="C23" s="8" t="n">
        <v>2190</v>
      </c>
      <c r="D23" s="8" t="n">
        <v>2210</v>
      </c>
      <c r="E23" s="8" t="n">
        <v>2230</v>
      </c>
      <c r="F23" s="8" t="n">
        <v>2250</v>
      </c>
      <c r="G23" s="8" t="n">
        <v>2270</v>
      </c>
      <c r="H23" s="8" t="n">
        <v>2290</v>
      </c>
      <c r="I23" s="8" t="n">
        <v>2310</v>
      </c>
      <c r="J23" s="8" t="n">
        <v>2330</v>
      </c>
      <c r="K23" s="8" t="n">
        <v>2350</v>
      </c>
      <c r="L23" s="8" t="n">
        <v>2370</v>
      </c>
      <c r="M23" s="8" t="n">
        <v>2390</v>
      </c>
      <c r="N23" s="8" t="n">
        <v>2410</v>
      </c>
      <c r="O23" s="8" t="n">
        <v>2430</v>
      </c>
      <c r="P23" s="8" t="n">
        <v>2450</v>
      </c>
      <c r="Q23" s="8" t="n">
        <v>2470</v>
      </c>
      <c r="R23" s="8" t="n">
        <v>2490</v>
      </c>
      <c r="S23" s="8" t="n">
        <v>2510</v>
      </c>
      <c r="T23" s="8" t="n">
        <v>2530</v>
      </c>
      <c r="U23" s="8" t="n">
        <v>2550</v>
      </c>
      <c r="V23" s="8" t="n">
        <v>2570</v>
      </c>
      <c r="W23" s="8" t="n">
        <v>2590</v>
      </c>
      <c r="X23" s="8" t="n">
        <v>2610</v>
      </c>
      <c r="Y23" s="8" t="n">
        <v>2630</v>
      </c>
      <c r="Z23" s="8" t="n">
        <v>2650</v>
      </c>
      <c r="AA23" s="8" t="n">
        <v>2670</v>
      </c>
      <c r="AB23" s="8" t="n">
        <v>2690</v>
      </c>
      <c r="AC23" s="8" t="n">
        <v>2710</v>
      </c>
      <c r="AD23" s="8" t="n">
        <v>2730</v>
      </c>
      <c r="AE23" s="8" t="n">
        <v>2750</v>
      </c>
      <c r="AF23" s="8" t="n">
        <v>2770</v>
      </c>
      <c r="AG23" s="8" t="n">
        <v>2790</v>
      </c>
      <c r="AH23" s="8" t="n">
        <v>2810</v>
      </c>
      <c r="AI23" s="8" t="n">
        <v>2830</v>
      </c>
      <c r="AJ23" s="8" t="n">
        <v>2850</v>
      </c>
      <c r="AK23" s="8" t="n">
        <v>2870</v>
      </c>
      <c r="AL23" s="8" t="n">
        <v>2890</v>
      </c>
      <c r="AM23" s="8" t="n">
        <v>2910</v>
      </c>
      <c r="AN23" s="8" t="n">
        <v>5300</v>
      </c>
      <c r="AO23" s="8" t="n">
        <v>3840</v>
      </c>
      <c r="AP23" s="8" t="n">
        <v>2880</v>
      </c>
      <c r="AQ23" s="8" t="n">
        <f aca="false">SUM(B23:AM23)+AN23+AO23+AP23</f>
        <v>108540</v>
      </c>
    </row>
    <row r="24" customFormat="false" ht="15" hidden="false" customHeight="true" outlineLevel="0" collapsed="false">
      <c r="A24" s="1" t="s">
        <v>31</v>
      </c>
      <c r="B24" s="8" t="n">
        <v>2220</v>
      </c>
      <c r="C24" s="8" t="n">
        <v>2240</v>
      </c>
      <c r="D24" s="8" t="n">
        <v>2260</v>
      </c>
      <c r="E24" s="8" t="n">
        <v>2280</v>
      </c>
      <c r="F24" s="8" t="n">
        <v>2300</v>
      </c>
      <c r="G24" s="8" t="n">
        <v>2320</v>
      </c>
      <c r="H24" s="8" t="n">
        <v>2340</v>
      </c>
      <c r="I24" s="8" t="n">
        <v>2360</v>
      </c>
      <c r="J24" s="8" t="n">
        <v>2380</v>
      </c>
      <c r="K24" s="8" t="n">
        <v>2400</v>
      </c>
      <c r="L24" s="8" t="n">
        <v>2420</v>
      </c>
      <c r="M24" s="8" t="n">
        <v>2440</v>
      </c>
      <c r="N24" s="8" t="n">
        <v>2460</v>
      </c>
      <c r="O24" s="8" t="n">
        <v>2480</v>
      </c>
      <c r="P24" s="8" t="n">
        <v>2500</v>
      </c>
      <c r="Q24" s="8" t="n">
        <v>2520</v>
      </c>
      <c r="R24" s="8" t="n">
        <v>2540</v>
      </c>
      <c r="S24" s="8" t="n">
        <v>2560</v>
      </c>
      <c r="T24" s="8" t="n">
        <v>2580</v>
      </c>
      <c r="U24" s="8" t="n">
        <v>2600</v>
      </c>
      <c r="V24" s="8" t="n">
        <v>2620</v>
      </c>
      <c r="W24" s="8" t="n">
        <v>2640</v>
      </c>
      <c r="X24" s="8" t="n">
        <v>2660</v>
      </c>
      <c r="Y24" s="8" t="n">
        <v>2680</v>
      </c>
      <c r="Z24" s="8" t="n">
        <v>2700</v>
      </c>
      <c r="AA24" s="8" t="n">
        <v>2720</v>
      </c>
      <c r="AB24" s="8" t="n">
        <v>2740</v>
      </c>
      <c r="AC24" s="8" t="n">
        <v>2760</v>
      </c>
      <c r="AD24" s="8" t="n">
        <v>2780</v>
      </c>
      <c r="AE24" s="8" t="n">
        <v>2800</v>
      </c>
      <c r="AF24" s="8" t="n">
        <v>2820</v>
      </c>
      <c r="AG24" s="8" t="n">
        <v>2840</v>
      </c>
      <c r="AH24" s="8" t="n">
        <v>2860</v>
      </c>
      <c r="AI24" s="8" t="n">
        <v>2880</v>
      </c>
      <c r="AJ24" s="8" t="n">
        <v>2900</v>
      </c>
      <c r="AK24" s="8" t="n">
        <v>2920</v>
      </c>
      <c r="AL24" s="8" t="n">
        <v>2940</v>
      </c>
      <c r="AM24" s="8" t="n">
        <v>2960</v>
      </c>
      <c r="AN24" s="8" t="n">
        <v>5400</v>
      </c>
      <c r="AO24" s="8" t="n">
        <v>3920</v>
      </c>
      <c r="AP24" s="8" t="n">
        <v>2940</v>
      </c>
      <c r="AQ24" s="8" t="n">
        <f aca="false">SUM(B24:AM24)+AN24+AO24+AP24</f>
        <v>110680</v>
      </c>
    </row>
    <row r="25" customFormat="false" ht="15" hidden="false" customHeight="true" outlineLevel="0" collapsed="false">
      <c r="A25" s="1" t="s">
        <v>32</v>
      </c>
      <c r="B25" s="8" t="n">
        <v>2270</v>
      </c>
      <c r="C25" s="8" t="n">
        <v>2290</v>
      </c>
      <c r="D25" s="8" t="n">
        <v>2310</v>
      </c>
      <c r="E25" s="8" t="n">
        <v>2330</v>
      </c>
      <c r="F25" s="8" t="n">
        <v>2350</v>
      </c>
      <c r="G25" s="8" t="n">
        <v>2370</v>
      </c>
      <c r="H25" s="8" t="n">
        <v>2390</v>
      </c>
      <c r="I25" s="8" t="n">
        <v>2410</v>
      </c>
      <c r="J25" s="8" t="n">
        <v>2430</v>
      </c>
      <c r="K25" s="8" t="n">
        <v>2450</v>
      </c>
      <c r="L25" s="8" t="n">
        <v>2470</v>
      </c>
      <c r="M25" s="8" t="n">
        <v>2490</v>
      </c>
      <c r="N25" s="8" t="n">
        <v>2510</v>
      </c>
      <c r="O25" s="8" t="n">
        <v>2530</v>
      </c>
      <c r="P25" s="8" t="n">
        <v>2550</v>
      </c>
      <c r="Q25" s="8" t="n">
        <v>2570</v>
      </c>
      <c r="R25" s="8" t="n">
        <v>2590</v>
      </c>
      <c r="S25" s="8" t="n">
        <v>2610</v>
      </c>
      <c r="T25" s="8" t="n">
        <v>2630</v>
      </c>
      <c r="U25" s="8" t="n">
        <v>2650</v>
      </c>
      <c r="V25" s="8" t="n">
        <v>2670</v>
      </c>
      <c r="W25" s="8" t="n">
        <v>2690</v>
      </c>
      <c r="X25" s="8" t="n">
        <v>2710</v>
      </c>
      <c r="Y25" s="8" t="n">
        <v>2730</v>
      </c>
      <c r="Z25" s="8" t="n">
        <v>2750</v>
      </c>
      <c r="AA25" s="8" t="n">
        <v>2770</v>
      </c>
      <c r="AB25" s="8" t="n">
        <v>2790</v>
      </c>
      <c r="AC25" s="8" t="n">
        <v>2810</v>
      </c>
      <c r="AD25" s="8" t="n">
        <v>2830</v>
      </c>
      <c r="AE25" s="8" t="n">
        <v>2850</v>
      </c>
      <c r="AF25" s="8" t="n">
        <v>2870</v>
      </c>
      <c r="AG25" s="8" t="n">
        <v>2890</v>
      </c>
      <c r="AH25" s="8" t="n">
        <v>2910</v>
      </c>
      <c r="AI25" s="8" t="n">
        <v>2930</v>
      </c>
      <c r="AJ25" s="8" t="n">
        <v>2950</v>
      </c>
      <c r="AK25" s="8" t="n">
        <v>2970</v>
      </c>
      <c r="AL25" s="8" t="n">
        <v>2990</v>
      </c>
      <c r="AM25" s="8" t="n">
        <v>3010</v>
      </c>
      <c r="AN25" s="8" t="n">
        <v>5500</v>
      </c>
      <c r="AO25" s="8" t="n">
        <v>4000</v>
      </c>
      <c r="AP25" s="8" t="n">
        <v>3000</v>
      </c>
      <c r="AQ25" s="8" t="n">
        <f aca="false">SUM(B25:AM25)+AN25+AO25+AP25</f>
        <v>112820</v>
      </c>
    </row>
    <row r="26" customFormat="false" ht="15" hidden="false" customHeight="true" outlineLevel="0" collapsed="false">
      <c r="A26" s="1" t="s">
        <v>33</v>
      </c>
      <c r="B26" s="8" t="n">
        <v>2320</v>
      </c>
      <c r="C26" s="8" t="n">
        <v>2340</v>
      </c>
      <c r="D26" s="8" t="n">
        <v>2360</v>
      </c>
      <c r="E26" s="8" t="n">
        <v>2380</v>
      </c>
      <c r="F26" s="8" t="n">
        <v>2400</v>
      </c>
      <c r="G26" s="8" t="n">
        <v>2420</v>
      </c>
      <c r="H26" s="8" t="n">
        <v>2440</v>
      </c>
      <c r="I26" s="8" t="n">
        <v>2460</v>
      </c>
      <c r="J26" s="8" t="n">
        <v>2480</v>
      </c>
      <c r="K26" s="8" t="n">
        <v>2500</v>
      </c>
      <c r="L26" s="8" t="n">
        <v>2520</v>
      </c>
      <c r="M26" s="8" t="n">
        <v>2540</v>
      </c>
      <c r="N26" s="8" t="n">
        <v>2560</v>
      </c>
      <c r="O26" s="8" t="n">
        <v>2580</v>
      </c>
      <c r="P26" s="8" t="n">
        <v>2600</v>
      </c>
      <c r="Q26" s="8" t="n">
        <v>2620</v>
      </c>
      <c r="R26" s="8" t="n">
        <v>2640</v>
      </c>
      <c r="S26" s="8" t="n">
        <v>2660</v>
      </c>
      <c r="T26" s="8" t="n">
        <v>2680</v>
      </c>
      <c r="U26" s="8" t="n">
        <v>2700</v>
      </c>
      <c r="V26" s="8" t="n">
        <v>2720</v>
      </c>
      <c r="W26" s="8" t="n">
        <v>2740</v>
      </c>
      <c r="X26" s="8" t="n">
        <v>2760</v>
      </c>
      <c r="Y26" s="8" t="n">
        <v>2780</v>
      </c>
      <c r="Z26" s="8" t="n">
        <v>2800</v>
      </c>
      <c r="AA26" s="8" t="n">
        <v>2820</v>
      </c>
      <c r="AB26" s="8" t="n">
        <v>2840</v>
      </c>
      <c r="AC26" s="8" t="n">
        <v>2860</v>
      </c>
      <c r="AD26" s="8" t="n">
        <v>2880</v>
      </c>
      <c r="AE26" s="8" t="n">
        <v>2900</v>
      </c>
      <c r="AF26" s="8" t="n">
        <v>2920</v>
      </c>
      <c r="AG26" s="8" t="n">
        <v>2940</v>
      </c>
      <c r="AH26" s="8" t="n">
        <v>2960</v>
      </c>
      <c r="AI26" s="8" t="n">
        <v>2980</v>
      </c>
      <c r="AJ26" s="8" t="n">
        <v>3000</v>
      </c>
      <c r="AK26" s="8" t="n">
        <v>3020</v>
      </c>
      <c r="AL26" s="8" t="n">
        <v>3040</v>
      </c>
      <c r="AM26" s="8" t="n">
        <v>3060</v>
      </c>
      <c r="AN26" s="8" t="n">
        <v>5600</v>
      </c>
      <c r="AO26" s="8" t="n">
        <v>4080</v>
      </c>
      <c r="AP26" s="8" t="n">
        <v>3060</v>
      </c>
      <c r="AQ26" s="8" t="n">
        <f aca="false">SUM(B26:AM26)+AN26+AO26+AP26</f>
        <v>114960</v>
      </c>
    </row>
    <row r="27" customFormat="false" ht="15" hidden="false" customHeight="true" outlineLevel="0" collapsed="false">
      <c r="A27" s="1" t="s">
        <v>34</v>
      </c>
      <c r="B27" s="8" t="n">
        <v>2370</v>
      </c>
      <c r="C27" s="8" t="n">
        <v>2390</v>
      </c>
      <c r="D27" s="8" t="n">
        <v>2410</v>
      </c>
      <c r="E27" s="8" t="n">
        <v>2430</v>
      </c>
      <c r="F27" s="8" t="n">
        <v>2450</v>
      </c>
      <c r="G27" s="8" t="n">
        <v>2470</v>
      </c>
      <c r="H27" s="8" t="n">
        <v>2490</v>
      </c>
      <c r="I27" s="8" t="n">
        <v>2510</v>
      </c>
      <c r="J27" s="8" t="n">
        <v>2530</v>
      </c>
      <c r="K27" s="8" t="n">
        <v>2550</v>
      </c>
      <c r="L27" s="8" t="n">
        <v>2570</v>
      </c>
      <c r="M27" s="8" t="n">
        <v>2590</v>
      </c>
      <c r="N27" s="8" t="n">
        <v>2610</v>
      </c>
      <c r="O27" s="8" t="n">
        <v>2630</v>
      </c>
      <c r="P27" s="8" t="n">
        <v>2650</v>
      </c>
      <c r="Q27" s="8" t="n">
        <v>2670</v>
      </c>
      <c r="R27" s="8" t="n">
        <v>2690</v>
      </c>
      <c r="S27" s="8" t="n">
        <v>2710</v>
      </c>
      <c r="T27" s="8" t="n">
        <v>2730</v>
      </c>
      <c r="U27" s="8" t="n">
        <v>2750</v>
      </c>
      <c r="V27" s="8" t="n">
        <v>2770</v>
      </c>
      <c r="W27" s="8" t="n">
        <v>2790</v>
      </c>
      <c r="X27" s="8" t="n">
        <v>2810</v>
      </c>
      <c r="Y27" s="8" t="n">
        <v>2830</v>
      </c>
      <c r="Z27" s="8" t="n">
        <v>2850</v>
      </c>
      <c r="AA27" s="8" t="n">
        <v>2870</v>
      </c>
      <c r="AB27" s="8" t="n">
        <v>2890</v>
      </c>
      <c r="AC27" s="8" t="n">
        <v>2910</v>
      </c>
      <c r="AD27" s="8" t="n">
        <v>2930</v>
      </c>
      <c r="AE27" s="8" t="n">
        <v>2950</v>
      </c>
      <c r="AF27" s="8" t="n">
        <v>2970</v>
      </c>
      <c r="AG27" s="8" t="n">
        <v>2990</v>
      </c>
      <c r="AH27" s="8" t="n">
        <v>3010</v>
      </c>
      <c r="AI27" s="8" t="n">
        <v>3030</v>
      </c>
      <c r="AJ27" s="8" t="n">
        <v>3050</v>
      </c>
      <c r="AK27" s="8" t="n">
        <v>3070</v>
      </c>
      <c r="AL27" s="8" t="n">
        <v>3090</v>
      </c>
      <c r="AM27" s="8" t="n">
        <v>3110</v>
      </c>
      <c r="AN27" s="8" t="n">
        <v>5700</v>
      </c>
      <c r="AO27" s="8" t="n">
        <v>4160</v>
      </c>
      <c r="AP27" s="8" t="n">
        <v>3120</v>
      </c>
      <c r="AQ27" s="8" t="n">
        <f aca="false">SUM(B27:AM27)+AN27+AO27+AP27</f>
        <v>117100</v>
      </c>
    </row>
    <row r="28" customFormat="false" ht="15" hidden="false" customHeight="true" outlineLevel="0" collapsed="false">
      <c r="A28" s="1" t="s">
        <v>35</v>
      </c>
      <c r="B28" s="8" t="n">
        <v>2420</v>
      </c>
      <c r="C28" s="8" t="n">
        <v>2440</v>
      </c>
      <c r="D28" s="8" t="n">
        <v>2460</v>
      </c>
      <c r="E28" s="8" t="n">
        <v>2480</v>
      </c>
      <c r="F28" s="8" t="n">
        <v>2500</v>
      </c>
      <c r="G28" s="8" t="n">
        <v>2520</v>
      </c>
      <c r="H28" s="8" t="n">
        <v>2540</v>
      </c>
      <c r="I28" s="8" t="n">
        <v>2560</v>
      </c>
      <c r="J28" s="8" t="n">
        <v>2580</v>
      </c>
      <c r="K28" s="8" t="n">
        <v>2600</v>
      </c>
      <c r="L28" s="8" t="n">
        <v>2620</v>
      </c>
      <c r="M28" s="8" t="n">
        <v>2640</v>
      </c>
      <c r="N28" s="8" t="n">
        <v>2660</v>
      </c>
      <c r="O28" s="8" t="n">
        <v>2680</v>
      </c>
      <c r="P28" s="8" t="n">
        <v>2700</v>
      </c>
      <c r="Q28" s="8" t="n">
        <v>2720</v>
      </c>
      <c r="R28" s="8" t="n">
        <v>2740</v>
      </c>
      <c r="S28" s="8" t="n">
        <v>2760</v>
      </c>
      <c r="T28" s="8" t="n">
        <v>2780</v>
      </c>
      <c r="U28" s="8" t="n">
        <v>2800</v>
      </c>
      <c r="V28" s="8" t="n">
        <v>2820</v>
      </c>
      <c r="W28" s="8" t="n">
        <v>2840</v>
      </c>
      <c r="X28" s="8" t="n">
        <v>2860</v>
      </c>
      <c r="Y28" s="8" t="n">
        <v>2880</v>
      </c>
      <c r="Z28" s="8" t="n">
        <v>2900</v>
      </c>
      <c r="AA28" s="8" t="n">
        <v>2920</v>
      </c>
      <c r="AB28" s="8" t="n">
        <v>2940</v>
      </c>
      <c r="AC28" s="8" t="n">
        <v>2960</v>
      </c>
      <c r="AD28" s="8" t="n">
        <v>2980</v>
      </c>
      <c r="AE28" s="8" t="n">
        <v>3000</v>
      </c>
      <c r="AF28" s="8" t="n">
        <v>3020</v>
      </c>
      <c r="AG28" s="8" t="n">
        <v>3040</v>
      </c>
      <c r="AH28" s="8" t="n">
        <v>3060</v>
      </c>
      <c r="AI28" s="8" t="n">
        <v>3080</v>
      </c>
      <c r="AJ28" s="8" t="n">
        <v>3100</v>
      </c>
      <c r="AK28" s="8" t="n">
        <v>3120</v>
      </c>
      <c r="AL28" s="8" t="n">
        <v>3140</v>
      </c>
      <c r="AM28" s="8" t="n">
        <v>3160</v>
      </c>
      <c r="AN28" s="8" t="n">
        <v>5800</v>
      </c>
      <c r="AO28" s="8" t="n">
        <v>4240</v>
      </c>
      <c r="AP28" s="8" t="n">
        <v>3180</v>
      </c>
      <c r="AQ28" s="8" t="n">
        <f aca="false">SUM(B28:AM28)+AN28+AO28+AP28</f>
        <v>119240</v>
      </c>
    </row>
    <row r="29" customFormat="false" ht="15" hidden="false" customHeight="true" outlineLevel="0" collapsed="false">
      <c r="A29" s="1" t="s">
        <v>36</v>
      </c>
      <c r="B29" s="8" t="n">
        <v>2470</v>
      </c>
      <c r="C29" s="8" t="n">
        <v>2490</v>
      </c>
      <c r="D29" s="8" t="n">
        <v>2510</v>
      </c>
      <c r="E29" s="8" t="n">
        <v>2530</v>
      </c>
      <c r="F29" s="8" t="n">
        <v>2550</v>
      </c>
      <c r="G29" s="8" t="n">
        <v>2570</v>
      </c>
      <c r="H29" s="8" t="n">
        <v>2590</v>
      </c>
      <c r="I29" s="8" t="n">
        <v>2610</v>
      </c>
      <c r="J29" s="8" t="n">
        <v>2630</v>
      </c>
      <c r="K29" s="8" t="n">
        <v>2650</v>
      </c>
      <c r="L29" s="8" t="n">
        <v>2670</v>
      </c>
      <c r="M29" s="8" t="n">
        <v>2690</v>
      </c>
      <c r="N29" s="8" t="n">
        <v>2710</v>
      </c>
      <c r="O29" s="8" t="n">
        <v>2730</v>
      </c>
      <c r="P29" s="8" t="n">
        <v>2750</v>
      </c>
      <c r="Q29" s="8" t="n">
        <v>2770</v>
      </c>
      <c r="R29" s="8" t="n">
        <v>2790</v>
      </c>
      <c r="S29" s="8" t="n">
        <v>2810</v>
      </c>
      <c r="T29" s="8" t="n">
        <v>2830</v>
      </c>
      <c r="U29" s="8" t="n">
        <v>2850</v>
      </c>
      <c r="V29" s="8" t="n">
        <v>2870</v>
      </c>
      <c r="W29" s="8" t="n">
        <v>2890</v>
      </c>
      <c r="X29" s="8" t="n">
        <v>2910</v>
      </c>
      <c r="Y29" s="8" t="n">
        <v>2930</v>
      </c>
      <c r="Z29" s="8" t="n">
        <v>2950</v>
      </c>
      <c r="AA29" s="8" t="n">
        <v>2970</v>
      </c>
      <c r="AB29" s="8" t="n">
        <v>2990</v>
      </c>
      <c r="AC29" s="8" t="n">
        <v>3010</v>
      </c>
      <c r="AD29" s="8" t="n">
        <v>3030</v>
      </c>
      <c r="AE29" s="8" t="n">
        <v>3050</v>
      </c>
      <c r="AF29" s="8" t="n">
        <v>3070</v>
      </c>
      <c r="AG29" s="8" t="n">
        <v>3090</v>
      </c>
      <c r="AH29" s="8" t="n">
        <v>3110</v>
      </c>
      <c r="AI29" s="8" t="n">
        <v>3130</v>
      </c>
      <c r="AJ29" s="8" t="n">
        <v>3150</v>
      </c>
      <c r="AK29" s="8" t="n">
        <v>3170</v>
      </c>
      <c r="AL29" s="8" t="n">
        <v>3190</v>
      </c>
      <c r="AM29" s="8" t="n">
        <v>3210</v>
      </c>
      <c r="AN29" s="8" t="n">
        <v>5900</v>
      </c>
      <c r="AO29" s="8" t="n">
        <v>4320</v>
      </c>
      <c r="AP29" s="8" t="n">
        <v>3240</v>
      </c>
      <c r="AQ29" s="8" t="n">
        <f aca="false">SUM(B29:AM29)+AN29+AO29+AP29</f>
        <v>121380</v>
      </c>
    </row>
    <row r="30" customFormat="false" ht="15" hidden="false" customHeight="true" outlineLevel="0" collapsed="false">
      <c r="A30" s="1" t="s">
        <v>37</v>
      </c>
      <c r="B30" s="8" t="n">
        <v>2520</v>
      </c>
      <c r="C30" s="8" t="n">
        <v>2540</v>
      </c>
      <c r="D30" s="8" t="n">
        <v>2560</v>
      </c>
      <c r="E30" s="8" t="n">
        <v>2580</v>
      </c>
      <c r="F30" s="8" t="n">
        <v>2600</v>
      </c>
      <c r="G30" s="8" t="n">
        <v>2620</v>
      </c>
      <c r="H30" s="8" t="n">
        <v>2640</v>
      </c>
      <c r="I30" s="8" t="n">
        <v>2660</v>
      </c>
      <c r="J30" s="8" t="n">
        <v>2680</v>
      </c>
      <c r="K30" s="8" t="n">
        <v>2700</v>
      </c>
      <c r="L30" s="8" t="n">
        <v>2720</v>
      </c>
      <c r="M30" s="8" t="n">
        <v>2740</v>
      </c>
      <c r="N30" s="8" t="n">
        <v>2760</v>
      </c>
      <c r="O30" s="8" t="n">
        <v>2780</v>
      </c>
      <c r="P30" s="8" t="n">
        <v>2800</v>
      </c>
      <c r="Q30" s="8" t="n">
        <v>2820</v>
      </c>
      <c r="R30" s="8" t="n">
        <v>2840</v>
      </c>
      <c r="S30" s="8" t="n">
        <v>2860</v>
      </c>
      <c r="T30" s="8" t="n">
        <v>2880</v>
      </c>
      <c r="U30" s="8" t="n">
        <v>2900</v>
      </c>
      <c r="V30" s="8" t="n">
        <v>2920</v>
      </c>
      <c r="W30" s="8" t="n">
        <v>2940</v>
      </c>
      <c r="X30" s="8" t="n">
        <v>2960</v>
      </c>
      <c r="Y30" s="8" t="n">
        <v>2980</v>
      </c>
      <c r="Z30" s="8" t="n">
        <v>3000</v>
      </c>
      <c r="AA30" s="8" t="n">
        <v>3020</v>
      </c>
      <c r="AB30" s="8" t="n">
        <v>3040</v>
      </c>
      <c r="AC30" s="8" t="n">
        <v>3060</v>
      </c>
      <c r="AD30" s="8" t="n">
        <v>3080</v>
      </c>
      <c r="AE30" s="8" t="n">
        <v>3100</v>
      </c>
      <c r="AF30" s="8" t="n">
        <v>3120</v>
      </c>
      <c r="AG30" s="8" t="n">
        <v>3140</v>
      </c>
      <c r="AH30" s="8" t="n">
        <v>3160</v>
      </c>
      <c r="AI30" s="8" t="n">
        <v>3180</v>
      </c>
      <c r="AJ30" s="8" t="n">
        <v>3200</v>
      </c>
      <c r="AK30" s="8" t="n">
        <v>3220</v>
      </c>
      <c r="AL30" s="8" t="n">
        <v>3240</v>
      </c>
      <c r="AM30" s="8" t="n">
        <v>3260</v>
      </c>
      <c r="AN30" s="8" t="n">
        <v>6000</v>
      </c>
      <c r="AO30" s="8" t="n">
        <v>4400</v>
      </c>
      <c r="AP30" s="8" t="n">
        <v>3300</v>
      </c>
      <c r="AQ30" s="8" t="n">
        <f aca="false">SUM(B30:AM30)+AN30+AO30+AP30</f>
        <v>123520</v>
      </c>
    </row>
    <row r="31" customFormat="false" ht="15" hidden="false" customHeight="true" outlineLevel="0" collapsed="false">
      <c r="A31" s="1" t="s">
        <v>38</v>
      </c>
      <c r="B31" s="8" t="n">
        <v>2570</v>
      </c>
      <c r="C31" s="8" t="n">
        <v>2590</v>
      </c>
      <c r="D31" s="8" t="n">
        <v>2610</v>
      </c>
      <c r="E31" s="8" t="n">
        <v>2630</v>
      </c>
      <c r="F31" s="8" t="n">
        <v>2650</v>
      </c>
      <c r="G31" s="8" t="n">
        <v>2670</v>
      </c>
      <c r="H31" s="8" t="n">
        <v>2690</v>
      </c>
      <c r="I31" s="8" t="n">
        <v>2710</v>
      </c>
      <c r="J31" s="8" t="n">
        <v>2730</v>
      </c>
      <c r="K31" s="8" t="n">
        <v>2750</v>
      </c>
      <c r="L31" s="8" t="n">
        <v>2770</v>
      </c>
      <c r="M31" s="8" t="n">
        <v>2790</v>
      </c>
      <c r="N31" s="8" t="n">
        <v>2810</v>
      </c>
      <c r="O31" s="8" t="n">
        <v>2830</v>
      </c>
      <c r="P31" s="8" t="n">
        <v>2850</v>
      </c>
      <c r="Q31" s="8" t="n">
        <v>2870</v>
      </c>
      <c r="R31" s="8" t="n">
        <v>2890</v>
      </c>
      <c r="S31" s="8" t="n">
        <v>2910</v>
      </c>
      <c r="T31" s="8" t="n">
        <v>2930</v>
      </c>
      <c r="U31" s="8" t="n">
        <v>2950</v>
      </c>
      <c r="V31" s="8" t="n">
        <v>2970</v>
      </c>
      <c r="W31" s="8" t="n">
        <v>2990</v>
      </c>
      <c r="X31" s="8" t="n">
        <v>3010</v>
      </c>
      <c r="Y31" s="8" t="n">
        <v>3030</v>
      </c>
      <c r="Z31" s="8" t="n">
        <v>3050</v>
      </c>
      <c r="AA31" s="8" t="n">
        <v>3070</v>
      </c>
      <c r="AB31" s="8" t="n">
        <v>3090</v>
      </c>
      <c r="AC31" s="8" t="n">
        <v>3110</v>
      </c>
      <c r="AD31" s="8" t="n">
        <v>3130</v>
      </c>
      <c r="AE31" s="8" t="n">
        <v>3150</v>
      </c>
      <c r="AF31" s="8" t="n">
        <v>3170</v>
      </c>
      <c r="AG31" s="8" t="n">
        <v>3190</v>
      </c>
      <c r="AH31" s="8" t="n">
        <v>3210</v>
      </c>
      <c r="AI31" s="8" t="n">
        <v>3230</v>
      </c>
      <c r="AJ31" s="8" t="n">
        <v>3250</v>
      </c>
      <c r="AK31" s="8" t="n">
        <v>3270</v>
      </c>
      <c r="AL31" s="8" t="n">
        <v>3290</v>
      </c>
      <c r="AM31" s="8" t="n">
        <v>3310</v>
      </c>
      <c r="AN31" s="8" t="n">
        <v>6100</v>
      </c>
      <c r="AO31" s="8" t="n">
        <v>4480</v>
      </c>
      <c r="AP31" s="8" t="n">
        <v>3360</v>
      </c>
      <c r="AQ31" s="8" t="n">
        <f aca="false">SUM(B31:AM31)+AN31+AO31+AP31</f>
        <v>125660</v>
      </c>
    </row>
    <row r="32" customFormat="false" ht="15" hidden="false" customHeight="true" outlineLevel="0" collapsed="false">
      <c r="A32" s="1" t="s">
        <v>39</v>
      </c>
      <c r="B32" s="8" t="n">
        <v>2620</v>
      </c>
      <c r="C32" s="8" t="n">
        <v>2640</v>
      </c>
      <c r="D32" s="8" t="n">
        <v>2660</v>
      </c>
      <c r="E32" s="8" t="n">
        <v>2680</v>
      </c>
      <c r="F32" s="8" t="n">
        <v>2700</v>
      </c>
      <c r="G32" s="8" t="n">
        <v>2720</v>
      </c>
      <c r="H32" s="8" t="n">
        <v>2740</v>
      </c>
      <c r="I32" s="8" t="n">
        <v>2760</v>
      </c>
      <c r="J32" s="8" t="n">
        <v>2780</v>
      </c>
      <c r="K32" s="8" t="n">
        <v>2800</v>
      </c>
      <c r="L32" s="8" t="n">
        <v>2820</v>
      </c>
      <c r="M32" s="8" t="n">
        <v>2840</v>
      </c>
      <c r="N32" s="8" t="n">
        <v>2860</v>
      </c>
      <c r="O32" s="8" t="n">
        <v>2880</v>
      </c>
      <c r="P32" s="8" t="n">
        <v>2900</v>
      </c>
      <c r="Q32" s="8" t="n">
        <v>2920</v>
      </c>
      <c r="R32" s="8" t="n">
        <v>2940</v>
      </c>
      <c r="S32" s="8" t="n">
        <v>2960</v>
      </c>
      <c r="T32" s="8" t="n">
        <v>2980</v>
      </c>
      <c r="U32" s="8" t="n">
        <v>3000</v>
      </c>
      <c r="V32" s="8" t="n">
        <v>3020</v>
      </c>
      <c r="W32" s="8" t="n">
        <v>3040</v>
      </c>
      <c r="X32" s="8" t="n">
        <v>3060</v>
      </c>
      <c r="Y32" s="8" t="n">
        <v>3080</v>
      </c>
      <c r="Z32" s="8" t="n">
        <v>3100</v>
      </c>
      <c r="AA32" s="8" t="n">
        <v>3120</v>
      </c>
      <c r="AB32" s="8" t="n">
        <v>3140</v>
      </c>
      <c r="AC32" s="8" t="n">
        <v>3160</v>
      </c>
      <c r="AD32" s="8" t="n">
        <v>3180</v>
      </c>
      <c r="AE32" s="8" t="n">
        <v>3200</v>
      </c>
      <c r="AF32" s="8" t="n">
        <v>3220</v>
      </c>
      <c r="AG32" s="8" t="n">
        <v>3240</v>
      </c>
      <c r="AH32" s="8" t="n">
        <v>3260</v>
      </c>
      <c r="AI32" s="8" t="n">
        <v>3280</v>
      </c>
      <c r="AJ32" s="8" t="n">
        <v>3300</v>
      </c>
      <c r="AK32" s="8" t="n">
        <v>3320</v>
      </c>
      <c r="AL32" s="8" t="n">
        <v>3340</v>
      </c>
      <c r="AM32" s="8" t="n">
        <v>3360</v>
      </c>
      <c r="AN32" s="8" t="n">
        <v>6200</v>
      </c>
      <c r="AO32" s="8" t="n">
        <v>4560</v>
      </c>
      <c r="AP32" s="8" t="n">
        <v>3420</v>
      </c>
      <c r="AQ32" s="8" t="n">
        <f aca="false">SUM(B32:AM32)+AN32+AO32+AP32</f>
        <v>127800</v>
      </c>
    </row>
    <row r="33" customFormat="false" ht="15" hidden="false" customHeight="true" outlineLevel="0" collapsed="false">
      <c r="A33" s="1" t="s">
        <v>40</v>
      </c>
      <c r="B33" s="8" t="n">
        <v>2670</v>
      </c>
      <c r="C33" s="8" t="n">
        <v>2690</v>
      </c>
      <c r="D33" s="8" t="n">
        <v>2710</v>
      </c>
      <c r="E33" s="8" t="n">
        <v>2730</v>
      </c>
      <c r="F33" s="8" t="n">
        <v>2750</v>
      </c>
      <c r="G33" s="8" t="n">
        <v>2770</v>
      </c>
      <c r="H33" s="8" t="n">
        <v>2790</v>
      </c>
      <c r="I33" s="8" t="n">
        <v>2810</v>
      </c>
      <c r="J33" s="8" t="n">
        <v>2830</v>
      </c>
      <c r="K33" s="8" t="n">
        <v>2850</v>
      </c>
      <c r="L33" s="8" t="n">
        <v>2870</v>
      </c>
      <c r="M33" s="8" t="n">
        <v>2890</v>
      </c>
      <c r="N33" s="8" t="n">
        <v>2910</v>
      </c>
      <c r="O33" s="8" t="n">
        <v>2930</v>
      </c>
      <c r="P33" s="8" t="n">
        <v>2950</v>
      </c>
      <c r="Q33" s="8" t="n">
        <v>2970</v>
      </c>
      <c r="R33" s="8" t="n">
        <v>2990</v>
      </c>
      <c r="S33" s="8" t="n">
        <v>3010</v>
      </c>
      <c r="T33" s="8" t="n">
        <v>3030</v>
      </c>
      <c r="U33" s="8" t="n">
        <v>3050</v>
      </c>
      <c r="V33" s="8" t="n">
        <v>3070</v>
      </c>
      <c r="W33" s="8" t="n">
        <v>3090</v>
      </c>
      <c r="X33" s="8" t="n">
        <v>3110</v>
      </c>
      <c r="Y33" s="8" t="n">
        <v>3130</v>
      </c>
      <c r="Z33" s="8" t="n">
        <v>3150</v>
      </c>
      <c r="AA33" s="8" t="n">
        <v>3170</v>
      </c>
      <c r="AB33" s="8" t="n">
        <v>3190</v>
      </c>
      <c r="AC33" s="8" t="n">
        <v>3210</v>
      </c>
      <c r="AD33" s="8" t="n">
        <v>3230</v>
      </c>
      <c r="AE33" s="8" t="n">
        <v>3250</v>
      </c>
      <c r="AF33" s="8" t="n">
        <v>3270</v>
      </c>
      <c r="AG33" s="8" t="n">
        <v>3290</v>
      </c>
      <c r="AH33" s="8" t="n">
        <v>3310</v>
      </c>
      <c r="AI33" s="8" t="n">
        <v>3330</v>
      </c>
      <c r="AJ33" s="8" t="n">
        <v>3350</v>
      </c>
      <c r="AK33" s="8" t="n">
        <v>3370</v>
      </c>
      <c r="AL33" s="8" t="n">
        <v>3390</v>
      </c>
      <c r="AM33" s="8" t="n">
        <v>3410</v>
      </c>
      <c r="AN33" s="8" t="n">
        <v>6300</v>
      </c>
      <c r="AO33" s="8" t="n">
        <v>4640</v>
      </c>
      <c r="AP33" s="8" t="n">
        <v>3480</v>
      </c>
      <c r="AQ33" s="8" t="n">
        <f aca="false">SUM(B33:AM33)+AN33+AO33+AP33</f>
        <v>129940</v>
      </c>
    </row>
    <row r="34" customFormat="false" ht="15" hidden="false" customHeight="true" outlineLevel="0" collapsed="false">
      <c r="A34" s="1" t="s">
        <v>41</v>
      </c>
      <c r="B34" s="8" t="n">
        <v>2720</v>
      </c>
      <c r="C34" s="8" t="n">
        <v>2740</v>
      </c>
      <c r="D34" s="8" t="n">
        <v>2760</v>
      </c>
      <c r="E34" s="8" t="n">
        <v>2780</v>
      </c>
      <c r="F34" s="8" t="n">
        <v>2800</v>
      </c>
      <c r="G34" s="8" t="n">
        <v>2820</v>
      </c>
      <c r="H34" s="8" t="n">
        <v>2840</v>
      </c>
      <c r="I34" s="8" t="n">
        <v>2860</v>
      </c>
      <c r="J34" s="8" t="n">
        <v>2880</v>
      </c>
      <c r="K34" s="8" t="n">
        <v>2900</v>
      </c>
      <c r="L34" s="8" t="n">
        <v>2920</v>
      </c>
      <c r="M34" s="8" t="n">
        <v>2940</v>
      </c>
      <c r="N34" s="8" t="n">
        <v>2960</v>
      </c>
      <c r="O34" s="8" t="n">
        <v>2980</v>
      </c>
      <c r="P34" s="8" t="n">
        <v>3000</v>
      </c>
      <c r="Q34" s="8" t="n">
        <v>3020</v>
      </c>
      <c r="R34" s="8" t="n">
        <v>3040</v>
      </c>
      <c r="S34" s="8" t="n">
        <v>3060</v>
      </c>
      <c r="T34" s="8" t="n">
        <v>3080</v>
      </c>
      <c r="U34" s="8" t="n">
        <v>3100</v>
      </c>
      <c r="V34" s="8" t="n">
        <v>3120</v>
      </c>
      <c r="W34" s="8" t="n">
        <v>3140</v>
      </c>
      <c r="X34" s="8" t="n">
        <v>3160</v>
      </c>
      <c r="Y34" s="8" t="n">
        <v>3180</v>
      </c>
      <c r="Z34" s="8" t="n">
        <v>3200</v>
      </c>
      <c r="AA34" s="8" t="n">
        <v>3220</v>
      </c>
      <c r="AB34" s="8" t="n">
        <v>3240</v>
      </c>
      <c r="AC34" s="8" t="n">
        <v>3260</v>
      </c>
      <c r="AD34" s="8" t="n">
        <v>3280</v>
      </c>
      <c r="AE34" s="8" t="n">
        <v>3300</v>
      </c>
      <c r="AF34" s="8" t="n">
        <v>3320</v>
      </c>
      <c r="AG34" s="8" t="n">
        <v>3340</v>
      </c>
      <c r="AH34" s="8" t="n">
        <v>3360</v>
      </c>
      <c r="AI34" s="8" t="n">
        <v>3380</v>
      </c>
      <c r="AJ34" s="8" t="n">
        <v>3400</v>
      </c>
      <c r="AK34" s="8" t="n">
        <v>3420</v>
      </c>
      <c r="AL34" s="8" t="n">
        <v>3440</v>
      </c>
      <c r="AM34" s="8" t="n">
        <v>3460</v>
      </c>
      <c r="AN34" s="8" t="n">
        <v>6400</v>
      </c>
      <c r="AO34" s="8" t="n">
        <v>4720</v>
      </c>
      <c r="AP34" s="8" t="n">
        <v>3540</v>
      </c>
      <c r="AQ34" s="8" t="n">
        <f aca="false">SUM(B34:AM34)+AN34+AO34+AP34</f>
        <v>132080</v>
      </c>
    </row>
    <row r="35" customFormat="false" ht="15" hidden="false" customHeight="true" outlineLevel="0" collapsed="false">
      <c r="A35" s="1" t="s">
        <v>42</v>
      </c>
      <c r="B35" s="8" t="n">
        <v>2770</v>
      </c>
      <c r="C35" s="8" t="n">
        <v>2790</v>
      </c>
      <c r="D35" s="8" t="n">
        <v>2810</v>
      </c>
      <c r="E35" s="8" t="n">
        <v>2830</v>
      </c>
      <c r="F35" s="8" t="n">
        <v>2850</v>
      </c>
      <c r="G35" s="8" t="n">
        <v>2870</v>
      </c>
      <c r="H35" s="8" t="n">
        <v>2890</v>
      </c>
      <c r="I35" s="8" t="n">
        <v>2910</v>
      </c>
      <c r="J35" s="8" t="n">
        <v>2930</v>
      </c>
      <c r="K35" s="8" t="n">
        <v>2950</v>
      </c>
      <c r="L35" s="8" t="n">
        <v>2970</v>
      </c>
      <c r="M35" s="8" t="n">
        <v>2990</v>
      </c>
      <c r="N35" s="8" t="n">
        <v>3010</v>
      </c>
      <c r="O35" s="8" t="n">
        <v>3030</v>
      </c>
      <c r="P35" s="8" t="n">
        <v>3050</v>
      </c>
      <c r="Q35" s="8" t="n">
        <v>3070</v>
      </c>
      <c r="R35" s="8" t="n">
        <v>3090</v>
      </c>
      <c r="S35" s="8" t="n">
        <v>3110</v>
      </c>
      <c r="T35" s="8" t="n">
        <v>3130</v>
      </c>
      <c r="U35" s="8" t="n">
        <v>3150</v>
      </c>
      <c r="V35" s="8" t="n">
        <v>3170</v>
      </c>
      <c r="W35" s="8" t="n">
        <v>3190</v>
      </c>
      <c r="X35" s="8" t="n">
        <v>3210</v>
      </c>
      <c r="Y35" s="8" t="n">
        <v>3230</v>
      </c>
      <c r="Z35" s="8" t="n">
        <v>3250</v>
      </c>
      <c r="AA35" s="8" t="n">
        <v>3270</v>
      </c>
      <c r="AB35" s="8" t="n">
        <v>3290</v>
      </c>
      <c r="AC35" s="8" t="n">
        <v>3310</v>
      </c>
      <c r="AD35" s="8" t="n">
        <v>3330</v>
      </c>
      <c r="AE35" s="8" t="n">
        <v>3350</v>
      </c>
      <c r="AF35" s="8" t="n">
        <v>3370</v>
      </c>
      <c r="AG35" s="8" t="n">
        <v>3390</v>
      </c>
      <c r="AH35" s="8" t="n">
        <v>3410</v>
      </c>
      <c r="AI35" s="8" t="n">
        <v>3430</v>
      </c>
      <c r="AJ35" s="8" t="n">
        <v>3450</v>
      </c>
      <c r="AK35" s="8" t="n">
        <v>3470</v>
      </c>
      <c r="AL35" s="8" t="n">
        <v>3490</v>
      </c>
      <c r="AM35" s="8" t="n">
        <v>3510</v>
      </c>
      <c r="AN35" s="8" t="n">
        <v>6500</v>
      </c>
      <c r="AO35" s="8" t="n">
        <v>4800</v>
      </c>
      <c r="AP35" s="8" t="n">
        <v>3600</v>
      </c>
      <c r="AQ35" s="8" t="n">
        <f aca="false">SUM(B35:AM35)+AN35+AO35+AP35</f>
        <v>134220</v>
      </c>
    </row>
    <row r="36" customFormat="false" ht="15" hidden="false" customHeight="true" outlineLevel="0" collapsed="false">
      <c r="A36" s="1" t="s">
        <v>43</v>
      </c>
      <c r="B36" s="8" t="n">
        <v>2820</v>
      </c>
      <c r="C36" s="8" t="n">
        <v>2840</v>
      </c>
      <c r="D36" s="8" t="n">
        <v>2860</v>
      </c>
      <c r="E36" s="8" t="n">
        <v>2880</v>
      </c>
      <c r="F36" s="8" t="n">
        <v>2900</v>
      </c>
      <c r="G36" s="8" t="n">
        <v>2920</v>
      </c>
      <c r="H36" s="8" t="n">
        <v>2940</v>
      </c>
      <c r="I36" s="8" t="n">
        <v>2960</v>
      </c>
      <c r="J36" s="8" t="n">
        <v>2980</v>
      </c>
      <c r="K36" s="8" t="n">
        <v>3000</v>
      </c>
      <c r="L36" s="8" t="n">
        <v>3020</v>
      </c>
      <c r="M36" s="8" t="n">
        <v>3040</v>
      </c>
      <c r="N36" s="8" t="n">
        <v>3060</v>
      </c>
      <c r="O36" s="8" t="n">
        <v>3080</v>
      </c>
      <c r="P36" s="8" t="n">
        <v>3100</v>
      </c>
      <c r="Q36" s="8" t="n">
        <v>3120</v>
      </c>
      <c r="R36" s="8" t="n">
        <v>3140</v>
      </c>
      <c r="S36" s="8" t="n">
        <v>3160</v>
      </c>
      <c r="T36" s="8" t="n">
        <v>3180</v>
      </c>
      <c r="U36" s="8" t="n">
        <v>3200</v>
      </c>
      <c r="V36" s="8" t="n">
        <v>3220</v>
      </c>
      <c r="W36" s="8" t="n">
        <v>3240</v>
      </c>
      <c r="X36" s="8" t="n">
        <v>3260</v>
      </c>
      <c r="Y36" s="8" t="n">
        <v>3280</v>
      </c>
      <c r="Z36" s="8" t="n">
        <v>3300</v>
      </c>
      <c r="AA36" s="8" t="n">
        <v>3320</v>
      </c>
      <c r="AB36" s="8" t="n">
        <v>3340</v>
      </c>
      <c r="AC36" s="8" t="n">
        <v>3360</v>
      </c>
      <c r="AD36" s="8" t="n">
        <v>3380</v>
      </c>
      <c r="AE36" s="8" t="n">
        <v>3400</v>
      </c>
      <c r="AF36" s="8" t="n">
        <v>3420</v>
      </c>
      <c r="AG36" s="8" t="n">
        <v>3440</v>
      </c>
      <c r="AH36" s="8" t="n">
        <v>3460</v>
      </c>
      <c r="AI36" s="8" t="n">
        <v>3480</v>
      </c>
      <c r="AJ36" s="8" t="n">
        <v>3500</v>
      </c>
      <c r="AK36" s="8" t="n">
        <v>3520</v>
      </c>
      <c r="AL36" s="8" t="n">
        <v>3540</v>
      </c>
      <c r="AM36" s="8" t="n">
        <v>3560</v>
      </c>
      <c r="AN36" s="8" t="n">
        <v>6600</v>
      </c>
      <c r="AO36" s="8" t="n">
        <v>4880</v>
      </c>
      <c r="AP36" s="8" t="n">
        <v>3660</v>
      </c>
      <c r="AQ36" s="8" t="n">
        <f aca="false">SUM(B36:AM36)+AN36+AO36+AP36</f>
        <v>136360</v>
      </c>
    </row>
    <row r="37" customFormat="false" ht="15" hidden="false" customHeight="true" outlineLevel="0" collapsed="false">
      <c r="A37" s="1" t="s">
        <v>44</v>
      </c>
      <c r="B37" s="8" t="n">
        <v>2870</v>
      </c>
      <c r="C37" s="8" t="n">
        <v>2890</v>
      </c>
      <c r="D37" s="8" t="n">
        <v>2910</v>
      </c>
      <c r="E37" s="8" t="n">
        <v>2930</v>
      </c>
      <c r="F37" s="8" t="n">
        <v>2950</v>
      </c>
      <c r="G37" s="8" t="n">
        <v>2970</v>
      </c>
      <c r="H37" s="8" t="n">
        <v>2990</v>
      </c>
      <c r="I37" s="8" t="n">
        <v>3010</v>
      </c>
      <c r="J37" s="8" t="n">
        <v>3030</v>
      </c>
      <c r="K37" s="8" t="n">
        <v>3050</v>
      </c>
      <c r="L37" s="8" t="n">
        <v>3070</v>
      </c>
      <c r="M37" s="8" t="n">
        <v>3090</v>
      </c>
      <c r="N37" s="8" t="n">
        <v>3110</v>
      </c>
      <c r="O37" s="8" t="n">
        <v>3130</v>
      </c>
      <c r="P37" s="8" t="n">
        <v>3150</v>
      </c>
      <c r="Q37" s="8" t="n">
        <v>3170</v>
      </c>
      <c r="R37" s="8" t="n">
        <v>3190</v>
      </c>
      <c r="S37" s="8" t="n">
        <v>3210</v>
      </c>
      <c r="T37" s="8" t="n">
        <v>3230</v>
      </c>
      <c r="U37" s="8" t="n">
        <v>3250</v>
      </c>
      <c r="V37" s="8" t="n">
        <v>3270</v>
      </c>
      <c r="W37" s="8" t="n">
        <v>3290</v>
      </c>
      <c r="X37" s="8" t="n">
        <v>3310</v>
      </c>
      <c r="Y37" s="8" t="n">
        <v>3330</v>
      </c>
      <c r="Z37" s="8" t="n">
        <v>3350</v>
      </c>
      <c r="AA37" s="8" t="n">
        <v>3370</v>
      </c>
      <c r="AB37" s="8" t="n">
        <v>3390</v>
      </c>
      <c r="AC37" s="8" t="n">
        <v>3410</v>
      </c>
      <c r="AD37" s="8" t="n">
        <v>3430</v>
      </c>
      <c r="AE37" s="8" t="n">
        <v>3450</v>
      </c>
      <c r="AF37" s="8" t="n">
        <v>3470</v>
      </c>
      <c r="AG37" s="8" t="n">
        <v>3490</v>
      </c>
      <c r="AH37" s="8" t="n">
        <v>3510</v>
      </c>
      <c r="AI37" s="8" t="n">
        <v>3530</v>
      </c>
      <c r="AJ37" s="8" t="n">
        <v>3550</v>
      </c>
      <c r="AK37" s="8" t="n">
        <v>3570</v>
      </c>
      <c r="AL37" s="8" t="n">
        <v>3590</v>
      </c>
      <c r="AM37" s="8" t="n">
        <v>3610</v>
      </c>
      <c r="AN37" s="8" t="n">
        <v>6700</v>
      </c>
      <c r="AO37" s="8" t="n">
        <v>4960</v>
      </c>
      <c r="AP37" s="8" t="n">
        <v>3720</v>
      </c>
      <c r="AQ37" s="8" t="n">
        <f aca="false">SUM(B37:AM37)+AN37+AO37+AP37</f>
        <v>138500</v>
      </c>
    </row>
    <row r="38" customFormat="false" ht="15" hidden="false" customHeight="true" outlineLevel="0" collapsed="false">
      <c r="A38" s="1" t="s">
        <v>45</v>
      </c>
      <c r="B38" s="8" t="n">
        <v>2920</v>
      </c>
      <c r="C38" s="8" t="n">
        <v>2940</v>
      </c>
      <c r="D38" s="8" t="n">
        <v>2960</v>
      </c>
      <c r="E38" s="8" t="n">
        <v>2980</v>
      </c>
      <c r="F38" s="8" t="n">
        <v>3000</v>
      </c>
      <c r="G38" s="8" t="n">
        <v>3020</v>
      </c>
      <c r="H38" s="8" t="n">
        <v>3040</v>
      </c>
      <c r="I38" s="8" t="n">
        <v>3060</v>
      </c>
      <c r="J38" s="8" t="n">
        <v>3080</v>
      </c>
      <c r="K38" s="8" t="n">
        <v>3100</v>
      </c>
      <c r="L38" s="8" t="n">
        <v>3120</v>
      </c>
      <c r="M38" s="8" t="n">
        <v>3140</v>
      </c>
      <c r="N38" s="8" t="n">
        <v>3160</v>
      </c>
      <c r="O38" s="8" t="n">
        <v>3180</v>
      </c>
      <c r="P38" s="8" t="n">
        <v>3200</v>
      </c>
      <c r="Q38" s="8" t="n">
        <v>3220</v>
      </c>
      <c r="R38" s="8" t="n">
        <v>3240</v>
      </c>
      <c r="S38" s="8" t="n">
        <v>3260</v>
      </c>
      <c r="T38" s="8" t="n">
        <v>3280</v>
      </c>
      <c r="U38" s="8" t="n">
        <v>3300</v>
      </c>
      <c r="V38" s="8" t="n">
        <v>3320</v>
      </c>
      <c r="W38" s="8" t="n">
        <v>3340</v>
      </c>
      <c r="X38" s="8" t="n">
        <v>3360</v>
      </c>
      <c r="Y38" s="8" t="n">
        <v>3380</v>
      </c>
      <c r="Z38" s="8" t="n">
        <v>3400</v>
      </c>
      <c r="AA38" s="8" t="n">
        <v>3420</v>
      </c>
      <c r="AB38" s="8" t="n">
        <v>3440</v>
      </c>
      <c r="AC38" s="8" t="n">
        <v>3460</v>
      </c>
      <c r="AD38" s="8" t="n">
        <v>3480</v>
      </c>
      <c r="AE38" s="8" t="n">
        <v>3500</v>
      </c>
      <c r="AF38" s="8" t="n">
        <v>3520</v>
      </c>
      <c r="AG38" s="8" t="n">
        <v>3540</v>
      </c>
      <c r="AH38" s="8" t="n">
        <v>3560</v>
      </c>
      <c r="AI38" s="8" t="n">
        <v>3580</v>
      </c>
      <c r="AJ38" s="8" t="n">
        <v>3600</v>
      </c>
      <c r="AK38" s="8" t="n">
        <v>3620</v>
      </c>
      <c r="AL38" s="8" t="n">
        <v>3640</v>
      </c>
      <c r="AM38" s="8" t="n">
        <v>3660</v>
      </c>
      <c r="AN38" s="8" t="n">
        <v>6800</v>
      </c>
      <c r="AO38" s="8" t="n">
        <v>5040</v>
      </c>
      <c r="AP38" s="8" t="n">
        <v>3780</v>
      </c>
      <c r="AQ38" s="8" t="n">
        <f aca="false">SUM(B38:AM38)+AN38+AO38+AP38</f>
        <v>140640</v>
      </c>
    </row>
    <row r="39" customFormat="false" ht="15" hidden="false" customHeight="true" outlineLevel="0" collapsed="false">
      <c r="A39" s="1" t="s">
        <v>46</v>
      </c>
      <c r="B39" s="8" t="n">
        <v>2970</v>
      </c>
      <c r="C39" s="8" t="n">
        <v>2990</v>
      </c>
      <c r="D39" s="8" t="n">
        <v>3010</v>
      </c>
      <c r="E39" s="8" t="n">
        <v>3030</v>
      </c>
      <c r="F39" s="8" t="n">
        <v>3050</v>
      </c>
      <c r="G39" s="8" t="n">
        <v>3070</v>
      </c>
      <c r="H39" s="8" t="n">
        <v>3090</v>
      </c>
      <c r="I39" s="8" t="n">
        <v>3110</v>
      </c>
      <c r="J39" s="8" t="n">
        <v>3130</v>
      </c>
      <c r="K39" s="8" t="n">
        <v>3150</v>
      </c>
      <c r="L39" s="8" t="n">
        <v>3170</v>
      </c>
      <c r="M39" s="8" t="n">
        <v>3190</v>
      </c>
      <c r="N39" s="8" t="n">
        <v>3210</v>
      </c>
      <c r="O39" s="8" t="n">
        <v>3230</v>
      </c>
      <c r="P39" s="8" t="n">
        <v>3250</v>
      </c>
      <c r="Q39" s="8" t="n">
        <v>3270</v>
      </c>
      <c r="R39" s="8" t="n">
        <v>3290</v>
      </c>
      <c r="S39" s="8" t="n">
        <v>3310</v>
      </c>
      <c r="T39" s="8" t="n">
        <v>3330</v>
      </c>
      <c r="U39" s="8" t="n">
        <v>3350</v>
      </c>
      <c r="V39" s="8" t="n">
        <v>3370</v>
      </c>
      <c r="W39" s="8" t="n">
        <v>3390</v>
      </c>
      <c r="X39" s="8" t="n">
        <v>3410</v>
      </c>
      <c r="Y39" s="8" t="n">
        <v>3430</v>
      </c>
      <c r="Z39" s="8" t="n">
        <v>3450</v>
      </c>
      <c r="AA39" s="8" t="n">
        <v>3470</v>
      </c>
      <c r="AB39" s="8" t="n">
        <v>3490</v>
      </c>
      <c r="AC39" s="8" t="n">
        <v>3510</v>
      </c>
      <c r="AD39" s="8" t="n">
        <v>3530</v>
      </c>
      <c r="AE39" s="8" t="n">
        <v>3550</v>
      </c>
      <c r="AF39" s="8" t="n">
        <v>3570</v>
      </c>
      <c r="AG39" s="8" t="n">
        <v>3590</v>
      </c>
      <c r="AH39" s="8" t="n">
        <v>3610</v>
      </c>
      <c r="AI39" s="8" t="n">
        <v>3630</v>
      </c>
      <c r="AJ39" s="8" t="n">
        <v>3650</v>
      </c>
      <c r="AK39" s="8" t="n">
        <v>3670</v>
      </c>
      <c r="AL39" s="8" t="n">
        <v>3690</v>
      </c>
      <c r="AM39" s="8" t="n">
        <v>3710</v>
      </c>
      <c r="AN39" s="8" t="n">
        <v>6900</v>
      </c>
      <c r="AO39" s="8" t="n">
        <v>5120</v>
      </c>
      <c r="AP39" s="8" t="n">
        <v>3840</v>
      </c>
      <c r="AQ39" s="8" t="n">
        <f aca="false">SUM(B39:AM39)+AN39+AO39+AP39</f>
        <v>142780</v>
      </c>
    </row>
    <row r="40" customFormat="false" ht="15" hidden="false" customHeight="true" outlineLevel="0" collapsed="false">
      <c r="A40" s="1" t="s">
        <v>47</v>
      </c>
      <c r="B40" s="8" t="n">
        <v>3020</v>
      </c>
      <c r="C40" s="8" t="n">
        <v>3040</v>
      </c>
      <c r="D40" s="8" t="n">
        <v>3060</v>
      </c>
      <c r="E40" s="8" t="n">
        <v>3080</v>
      </c>
      <c r="F40" s="8" t="n">
        <v>3100</v>
      </c>
      <c r="G40" s="8" t="n">
        <v>3120</v>
      </c>
      <c r="H40" s="8" t="n">
        <v>3140</v>
      </c>
      <c r="I40" s="8" t="n">
        <v>3160</v>
      </c>
      <c r="J40" s="8" t="n">
        <v>3180</v>
      </c>
      <c r="K40" s="8" t="n">
        <v>3200</v>
      </c>
      <c r="L40" s="8" t="n">
        <v>3220</v>
      </c>
      <c r="M40" s="8" t="n">
        <v>3240</v>
      </c>
      <c r="N40" s="8" t="n">
        <v>3260</v>
      </c>
      <c r="O40" s="8" t="n">
        <v>3280</v>
      </c>
      <c r="P40" s="8" t="n">
        <v>3300</v>
      </c>
      <c r="Q40" s="8" t="n">
        <v>3320</v>
      </c>
      <c r="R40" s="8" t="n">
        <v>3340</v>
      </c>
      <c r="S40" s="8" t="n">
        <v>3360</v>
      </c>
      <c r="T40" s="8" t="n">
        <v>3380</v>
      </c>
      <c r="U40" s="8" t="n">
        <v>3400</v>
      </c>
      <c r="V40" s="8" t="n">
        <v>3420</v>
      </c>
      <c r="W40" s="8" t="n">
        <v>3440</v>
      </c>
      <c r="X40" s="8" t="n">
        <v>3460</v>
      </c>
      <c r="Y40" s="8" t="n">
        <v>3480</v>
      </c>
      <c r="Z40" s="8" t="n">
        <v>3500</v>
      </c>
      <c r="AA40" s="8" t="n">
        <v>3520</v>
      </c>
      <c r="AB40" s="8" t="n">
        <v>3540</v>
      </c>
      <c r="AC40" s="8" t="n">
        <v>3560</v>
      </c>
      <c r="AD40" s="8" t="n">
        <v>3580</v>
      </c>
      <c r="AE40" s="8" t="n">
        <v>3600</v>
      </c>
      <c r="AF40" s="8" t="n">
        <v>3620</v>
      </c>
      <c r="AG40" s="8" t="n">
        <v>3640</v>
      </c>
      <c r="AH40" s="8" t="n">
        <v>3660</v>
      </c>
      <c r="AI40" s="8" t="n">
        <v>3680</v>
      </c>
      <c r="AJ40" s="8" t="n">
        <v>3700</v>
      </c>
      <c r="AK40" s="8" t="n">
        <v>3720</v>
      </c>
      <c r="AL40" s="8" t="n">
        <v>3740</v>
      </c>
      <c r="AM40" s="8" t="n">
        <v>3760</v>
      </c>
      <c r="AN40" s="8" t="n">
        <v>7000</v>
      </c>
      <c r="AO40" s="8" t="n">
        <v>5200</v>
      </c>
      <c r="AP40" s="8" t="n">
        <v>3900</v>
      </c>
      <c r="AQ40" s="8" t="n">
        <f aca="false">SUM(B40:AM40)+AN40+AO40+AP40</f>
        <v>144920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2" min="2" style="1" width="13"/>
  </cols>
  <sheetData>
    <row r="1" customFormat="false" ht="15" hidden="false" customHeight="true" outlineLevel="0" collapsed="false">
      <c r="A1" s="9" t="s">
        <v>90</v>
      </c>
    </row>
    <row r="3" customFormat="false" ht="15" hidden="false" customHeight="true" outlineLevel="0" collapsed="false">
      <c r="A3" s="10" t="s">
        <v>91</v>
      </c>
    </row>
    <row r="4" customFormat="false" ht="15" hidden="false" customHeight="true" outlineLevel="0" collapsed="false">
      <c r="A4" s="7" t="s">
        <v>92</v>
      </c>
      <c r="B4" s="7" t="n">
        <v>2026</v>
      </c>
      <c r="C4" s="7" t="n">
        <v>2027</v>
      </c>
      <c r="D4" s="7" t="n">
        <v>2028</v>
      </c>
      <c r="E4" s="7" t="n">
        <v>2029</v>
      </c>
      <c r="F4" s="7" t="n">
        <v>2030</v>
      </c>
      <c r="G4" s="7" t="n">
        <v>2031</v>
      </c>
      <c r="H4" s="7" t="n">
        <v>2032</v>
      </c>
      <c r="I4" s="7" t="n">
        <v>2033</v>
      </c>
    </row>
    <row r="5" customFormat="false" ht="15" hidden="false" customHeight="true" outlineLevel="0" collapsed="false">
      <c r="A5" s="1" t="s">
        <v>93</v>
      </c>
      <c r="B5" s="8" t="n">
        <v>81.25</v>
      </c>
      <c r="C5" s="8" t="n">
        <v>81.25</v>
      </c>
      <c r="D5" s="8" t="n">
        <v>121.875</v>
      </c>
      <c r="E5" s="8" t="n">
        <v>121.875</v>
      </c>
      <c r="F5" s="8" t="n">
        <v>121.875</v>
      </c>
      <c r="G5" s="8" t="n">
        <v>121.875</v>
      </c>
      <c r="H5" s="8" t="n">
        <v>81.25</v>
      </c>
      <c r="I5" s="8" t="n">
        <v>81.25</v>
      </c>
    </row>
    <row r="6" customFormat="false" ht="15" hidden="false" customHeight="true" outlineLevel="0" collapsed="false">
      <c r="A6" s="1" t="s">
        <v>94</v>
      </c>
      <c r="B6" s="8" t="n">
        <f aca="false">B5*$D$28</f>
        <v>223.1125</v>
      </c>
      <c r="C6" s="8" t="n">
        <f aca="false">C5*$D$28</f>
        <v>223.1125</v>
      </c>
      <c r="D6" s="8" t="n">
        <f aca="false">D5*$D$28</f>
        <v>334.66875</v>
      </c>
      <c r="E6" s="8" t="n">
        <f aca="false">E5*$D$28</f>
        <v>334.66875</v>
      </c>
      <c r="F6" s="8" t="n">
        <f aca="false">F5*$D$28</f>
        <v>334.66875</v>
      </c>
      <c r="G6" s="8" t="n">
        <f aca="false">G5*$D$28</f>
        <v>334.66875</v>
      </c>
      <c r="H6" s="8" t="n">
        <f aca="false">H5*$D$28</f>
        <v>223.1125</v>
      </c>
      <c r="I6" s="8" t="n">
        <f aca="false">I5*$D$28</f>
        <v>223.1125</v>
      </c>
    </row>
    <row r="7" customFormat="false" ht="15" hidden="false" customHeight="true" outlineLevel="0" collapsed="false">
      <c r="A7" s="1" t="s">
        <v>95</v>
      </c>
      <c r="B7" s="11" t="n">
        <f aca="false">WEO_Data!D7</f>
        <v>8.5</v>
      </c>
      <c r="C7" s="11" t="n">
        <f aca="false">WEO_Data!D8</f>
        <v>8.5</v>
      </c>
      <c r="D7" s="11" t="n">
        <f aca="false">WEO_Data!D9</f>
        <v>8.5</v>
      </c>
      <c r="E7" s="11" t="n">
        <f aca="false">WEO_Data!D10</f>
        <v>8.5</v>
      </c>
      <c r="F7" s="11" t="n">
        <f aca="false">WEO_Data!D11</f>
        <v>8.5</v>
      </c>
      <c r="G7" s="11" t="n">
        <f aca="false">WEO_Data!D11</f>
        <v>8.5</v>
      </c>
      <c r="H7" s="11" t="n">
        <f aca="false">WEO_Data!D11</f>
        <v>8.5</v>
      </c>
      <c r="I7" s="11" t="n">
        <f aca="false">WEO_Data!D11</f>
        <v>8.5</v>
      </c>
      <c r="J7" s="12"/>
    </row>
    <row r="8" customFormat="false" ht="15" hidden="false" customHeight="true" outlineLevel="0" collapsed="false">
      <c r="A8" s="1" t="s">
        <v>96</v>
      </c>
      <c r="B8" s="8" t="n">
        <f aca="false">B6/(1+B7/100)</f>
        <v>205.633640552995</v>
      </c>
      <c r="C8" s="8" t="n">
        <f aca="false">C6/(1+C7/100)</f>
        <v>205.633640552995</v>
      </c>
      <c r="D8" s="8" t="n">
        <f aca="false">D6/(1+D7/100)</f>
        <v>308.450460829493</v>
      </c>
      <c r="E8" s="8" t="n">
        <f aca="false">E6/(1+E7/100)</f>
        <v>308.450460829493</v>
      </c>
      <c r="F8" s="8" t="n">
        <f aca="false">F6/(1+F7/100)</f>
        <v>308.450460829493</v>
      </c>
      <c r="G8" s="8" t="n">
        <f aca="false">G6/(1+G7/100)</f>
        <v>308.450460829493</v>
      </c>
      <c r="H8" s="8" t="n">
        <f aca="false">H6/(1+H7/100)</f>
        <v>205.633640552995</v>
      </c>
      <c r="I8" s="8" t="n">
        <f aca="false">I6/(1+I7/100)</f>
        <v>205.633640552995</v>
      </c>
      <c r="J8" s="12"/>
    </row>
    <row r="10" customFormat="false" ht="15" hidden="false" customHeight="true" outlineLevel="0" collapsed="false">
      <c r="A10" s="1" t="s">
        <v>97</v>
      </c>
      <c r="B10" s="11" t="n">
        <f aca="false">WEO_Data!C7</f>
        <v>5.3</v>
      </c>
      <c r="C10" s="11" t="n">
        <f aca="false">WEO_Data!C8</f>
        <v>5</v>
      </c>
      <c r="D10" s="11" t="n">
        <f aca="false">WEO_Data!C9</f>
        <v>5</v>
      </c>
      <c r="E10" s="11" t="n">
        <f aca="false">WEO_Data!C10</f>
        <v>5</v>
      </c>
      <c r="F10" s="11" t="n">
        <f aca="false">WEO_Data!C11</f>
        <v>5</v>
      </c>
      <c r="G10" s="11" t="n">
        <f aca="false">WEO_Data!C11</f>
        <v>5</v>
      </c>
      <c r="H10" s="11" t="n">
        <f aca="false">WEO_Data!C11</f>
        <v>5</v>
      </c>
      <c r="I10" s="11" t="n">
        <f aca="false">WEO_Data!C11</f>
        <v>5</v>
      </c>
      <c r="J10" s="12"/>
    </row>
    <row r="11" customFormat="false" ht="15" hidden="false" customHeight="true" outlineLevel="0" collapsed="false">
      <c r="A11" s="1" t="s">
        <v>98</v>
      </c>
      <c r="B11" s="12" t="n">
        <f aca="false">WEO_Data!B7</f>
        <v>40.177</v>
      </c>
      <c r="C11" s="12" t="n">
        <f aca="false">WEO_Data!B8</f>
        <v>42.408</v>
      </c>
      <c r="D11" s="12" t="n">
        <f aca="false">WEO_Data!B9</f>
        <v>44.723</v>
      </c>
      <c r="E11" s="12" t="n">
        <f aca="false">WEO_Data!B10</f>
        <v>47.202</v>
      </c>
      <c r="F11" s="12" t="n">
        <f aca="false">WEO_Data!B11</f>
        <v>49.802</v>
      </c>
      <c r="G11" s="12" t="n">
        <f aca="false">WEO_Data!B11</f>
        <v>49.802</v>
      </c>
      <c r="H11" s="12" t="n">
        <f aca="false">WEO_Data!B11</f>
        <v>49.802</v>
      </c>
      <c r="I11" s="12" t="n">
        <f aca="false">WEO_Data!B11</f>
        <v>49.802</v>
      </c>
      <c r="J11" s="12"/>
    </row>
    <row r="12" customFormat="false" ht="15" hidden="false" customHeight="true" outlineLevel="0" collapsed="false">
      <c r="A12" s="1" t="s">
        <v>99</v>
      </c>
      <c r="B12" s="8" t="n">
        <f aca="false">B11*2.746*1000/(1+WEO_Data!D7/100)</f>
        <v>101682.988018433</v>
      </c>
      <c r="C12" s="8" t="n">
        <f aca="false">C11*2.746*1000/(1+WEO_Data!D8/100)</f>
        <v>107329.371428571</v>
      </c>
      <c r="D12" s="8" t="n">
        <f aca="false">D11*2.746*1000/(1+WEO_Data!D9/100)</f>
        <v>113188.348387097</v>
      </c>
      <c r="E12" s="8" t="n">
        <f aca="false">E11*2.746*1000/(1+WEO_Data!D10/100)</f>
        <v>119462.388940092</v>
      </c>
      <c r="F12" s="8" t="n">
        <f aca="false">F11*2.746*1000/(1+WEO_Data!D11/100)</f>
        <v>126042.665437788</v>
      </c>
      <c r="G12" s="8" t="n">
        <f aca="false">G11*2.746*1000/(1+WEO_Data!D11/100)</f>
        <v>126042.665437788</v>
      </c>
      <c r="H12" s="8" t="n">
        <f aca="false">H11*2.746*1000/(1+WEO_Data!D11/100)</f>
        <v>126042.665437788</v>
      </c>
      <c r="I12" s="8" t="n">
        <f aca="false">I11*2.746*1000/(1+WEO_Data!D11/100)</f>
        <v>126042.665437788</v>
      </c>
      <c r="J12" s="12"/>
    </row>
    <row r="13" customFormat="false" ht="15" hidden="false" customHeight="true" outlineLevel="0" collapsed="false">
      <c r="A13" s="1" t="s">
        <v>100</v>
      </c>
      <c r="B13" s="8" t="n">
        <f aca="false">B8*$D$31*(1-$D$32)</f>
        <v>106.929493087558</v>
      </c>
      <c r="C13" s="8" t="n">
        <f aca="false">C8*$D$31*(1-$D$32)</f>
        <v>106.929493087558</v>
      </c>
      <c r="D13" s="8" t="n">
        <f aca="false">D8*$D$31*(1-$D$32)</f>
        <v>160.394239631336</v>
      </c>
      <c r="E13" s="8" t="n">
        <f aca="false">E8*$D$31*(1-$D$32)</f>
        <v>160.394239631336</v>
      </c>
      <c r="F13" s="8" t="n">
        <f aca="false">F8*$D$31*(1-$D$32)</f>
        <v>160.394239631336</v>
      </c>
      <c r="G13" s="8" t="n">
        <f aca="false">G8*$D$31*(1-$D$32)</f>
        <v>160.394239631336</v>
      </c>
      <c r="H13" s="8" t="n">
        <f aca="false">H8*$D$31*(1-$D$32)</f>
        <v>106.929493087558</v>
      </c>
      <c r="I13" s="8" t="n">
        <f aca="false">I8*$D$31*(1-$D$32)</f>
        <v>106.929493087558</v>
      </c>
      <c r="J13" s="12"/>
    </row>
    <row r="14" customFormat="false" ht="15" hidden="false" customHeight="true" outlineLevel="0" collapsed="false">
      <c r="A14" s="1" t="s">
        <v>101</v>
      </c>
      <c r="B14" s="8" t="n">
        <f aca="false">B12+B13</f>
        <v>101789.917511521</v>
      </c>
      <c r="C14" s="8" t="n">
        <f aca="false">C12+C13</f>
        <v>107436.300921659</v>
      </c>
      <c r="D14" s="8" t="n">
        <f aca="false">D12+D13</f>
        <v>113348.742626728</v>
      </c>
      <c r="E14" s="8" t="n">
        <f aca="false">E12+E13</f>
        <v>119622.783179724</v>
      </c>
      <c r="F14" s="8" t="n">
        <f aca="false">F12+F13</f>
        <v>126203.059677419</v>
      </c>
      <c r="G14" s="8" t="n">
        <f aca="false">G12+G13</f>
        <v>126203.059677419</v>
      </c>
      <c r="H14" s="8" t="n">
        <f aca="false">H12+H13</f>
        <v>126149.594930876</v>
      </c>
      <c r="I14" s="8" t="n">
        <f aca="false">I12+I13</f>
        <v>126149.594930876</v>
      </c>
    </row>
    <row r="16" customFormat="false" ht="15" hidden="false" customHeight="true" outlineLevel="0" collapsed="false">
      <c r="A16" s="1" t="s">
        <v>102</v>
      </c>
      <c r="B16" s="8" t="n">
        <f aca="false">B8*$D$32</f>
        <v>71.9717741935484</v>
      </c>
      <c r="C16" s="8" t="n">
        <f aca="false">C8*$D$32</f>
        <v>71.9717741935484</v>
      </c>
      <c r="D16" s="8" t="n">
        <f aca="false">D8*$D$32</f>
        <v>107.957661290323</v>
      </c>
      <c r="E16" s="8" t="n">
        <f aca="false">E8*$D$32</f>
        <v>107.957661290323</v>
      </c>
      <c r="F16" s="8" t="n">
        <f aca="false">F8*$D$32</f>
        <v>107.957661290323</v>
      </c>
      <c r="G16" s="8" t="n">
        <f aca="false">G8*$D$32</f>
        <v>107.957661290323</v>
      </c>
      <c r="H16" s="8" t="n">
        <f aca="false">H8*$D$32</f>
        <v>71.9717741935484</v>
      </c>
      <c r="I16" s="8" t="n">
        <f aca="false">I8*$D$32</f>
        <v>71.9717741935484</v>
      </c>
    </row>
    <row r="17" customFormat="false" ht="15" hidden="false" customHeight="true" outlineLevel="0" collapsed="false">
      <c r="A17" s="1" t="s">
        <v>103</v>
      </c>
      <c r="B17" s="8" t="n">
        <f aca="false">B12*$D$33</f>
        <v>25420.7470046083</v>
      </c>
      <c r="C17" s="8" t="n">
        <f aca="false">C12*$D$33</f>
        <v>26832.3428571429</v>
      </c>
      <c r="D17" s="8" t="n">
        <f aca="false">D12*$D$33</f>
        <v>28297.0870967742</v>
      </c>
      <c r="E17" s="8" t="n">
        <f aca="false">E12*$D$33</f>
        <v>29865.597235023</v>
      </c>
      <c r="F17" s="8" t="n">
        <f aca="false">F12*$D$33</f>
        <v>31510.666359447</v>
      </c>
      <c r="G17" s="8" t="n">
        <f aca="false">G12*$D$33</f>
        <v>31510.666359447</v>
      </c>
      <c r="H17" s="8" t="n">
        <f aca="false">H12*$D$33</f>
        <v>31510.666359447</v>
      </c>
      <c r="I17" s="8" t="n">
        <f aca="false">I12*$D$33</f>
        <v>31510.666359447</v>
      </c>
    </row>
    <row r="18" customFormat="false" ht="15" hidden="false" customHeight="true" outlineLevel="0" collapsed="false">
      <c r="A18" s="1" t="s">
        <v>104</v>
      </c>
      <c r="B18" s="8" t="n">
        <f aca="false">B16+B17</f>
        <v>25492.7187788018</v>
      </c>
      <c r="C18" s="8" t="n">
        <f aca="false">C16+C17</f>
        <v>26904.3146313364</v>
      </c>
      <c r="D18" s="8" t="n">
        <f aca="false">D16+D17</f>
        <v>28405.0447580645</v>
      </c>
      <c r="E18" s="8" t="n">
        <f aca="false">E16+E17</f>
        <v>29973.5548963134</v>
      </c>
      <c r="F18" s="8" t="n">
        <f aca="false">F16+F17</f>
        <v>31618.6240207373</v>
      </c>
      <c r="G18" s="8" t="n">
        <f aca="false">G16+G17</f>
        <v>31618.6240207373</v>
      </c>
      <c r="H18" s="8" t="n">
        <f aca="false">H16+H17</f>
        <v>31582.6381336406</v>
      </c>
      <c r="I18" s="8" t="n">
        <f aca="false">I16+I17</f>
        <v>31582.6381336406</v>
      </c>
    </row>
    <row r="20" customFormat="false" ht="15" hidden="false" customHeight="true" outlineLevel="0" collapsed="false">
      <c r="A20" s="1" t="s">
        <v>105</v>
      </c>
      <c r="B20" s="8" t="n">
        <f aca="false">B13*0.02</f>
        <v>2.13858986175115</v>
      </c>
      <c r="C20" s="8" t="n">
        <f aca="false">C13*0.02</f>
        <v>2.13858986175115</v>
      </c>
      <c r="D20" s="8" t="n">
        <f aca="false">D13*0.02</f>
        <v>3.20788479262673</v>
      </c>
      <c r="E20" s="8" t="n">
        <f aca="false">E13*0.02</f>
        <v>3.20788479262673</v>
      </c>
      <c r="F20" s="8" t="n">
        <f aca="false">F13*0.02</f>
        <v>3.20788479262673</v>
      </c>
      <c r="G20" s="8" t="n">
        <f aca="false">G13*0.02</f>
        <v>3.20788479262673</v>
      </c>
      <c r="H20" s="8" t="n">
        <f aca="false">H13*0.02</f>
        <v>2.13858986175115</v>
      </c>
      <c r="I20" s="8" t="n">
        <f aca="false">I13*0.02</f>
        <v>2.13858986175115</v>
      </c>
    </row>
    <row r="21" customFormat="false" ht="15" hidden="false" customHeight="true" outlineLevel="0" collapsed="false">
      <c r="A21" s="1" t="s">
        <v>106</v>
      </c>
      <c r="B21" s="8" t="n">
        <f aca="false">B20-B6</f>
        <v>-220.973910138249</v>
      </c>
      <c r="C21" s="8" t="n">
        <f aca="false">C20-C6</f>
        <v>-220.973910138249</v>
      </c>
      <c r="D21" s="8" t="n">
        <f aca="false">D20-D6</f>
        <v>-331.460865207373</v>
      </c>
      <c r="E21" s="8" t="n">
        <f aca="false">E20-E6</f>
        <v>-331.460865207373</v>
      </c>
      <c r="F21" s="8" t="n">
        <f aca="false">F20-F6</f>
        <v>-331.460865207373</v>
      </c>
      <c r="G21" s="8" t="n">
        <f aca="false">G20-G6</f>
        <v>-331.460865207373</v>
      </c>
      <c r="H21" s="8" t="n">
        <f aca="false">H20-H6</f>
        <v>-220.973910138249</v>
      </c>
      <c r="I21" s="8" t="n">
        <f aca="false">I20-I6</f>
        <v>-220.973910138249</v>
      </c>
    </row>
    <row r="23" customFormat="false" ht="15" hidden="false" customHeight="true" outlineLevel="0" collapsed="false">
      <c r="A23" s="10" t="s">
        <v>107</v>
      </c>
    </row>
    <row r="24" customFormat="false" ht="15" hidden="false" customHeight="true" outlineLevel="0" collapsed="false">
      <c r="A24" s="1" t="s">
        <v>108</v>
      </c>
      <c r="D24" s="13" t="n">
        <v>0.8</v>
      </c>
    </row>
    <row r="25" customFormat="false" ht="15" hidden="false" customHeight="true" outlineLevel="0" collapsed="false">
      <c r="A25" s="1" t="s">
        <v>109</v>
      </c>
      <c r="D25" s="14" t="n">
        <v>2.746</v>
      </c>
    </row>
    <row r="26" customFormat="false" ht="15" hidden="false" customHeight="true" outlineLevel="0" collapsed="false">
      <c r="A26" s="1" t="s">
        <v>110</v>
      </c>
      <c r="D26" s="15" t="n">
        <v>0.35</v>
      </c>
    </row>
    <row r="27" customFormat="false" ht="15" hidden="false" customHeight="true" outlineLevel="0" collapsed="false">
      <c r="A27" s="1" t="s">
        <v>111</v>
      </c>
      <c r="D27" s="15" t="n">
        <v>0.25</v>
      </c>
    </row>
    <row r="28" customFormat="false" ht="15" hidden="false" customHeight="true" outlineLevel="0" collapsed="false">
      <c r="D28" s="16" t="n">
        <f aca="false">D25</f>
        <v>2.746</v>
      </c>
    </row>
    <row r="31" customFormat="false" ht="15" hidden="false" customHeight="true" outlineLevel="0" collapsed="false">
      <c r="A31" s="10" t="s">
        <v>112</v>
      </c>
      <c r="D31" s="11" t="n">
        <f aca="false">D24</f>
        <v>0.8</v>
      </c>
    </row>
    <row r="32" customFormat="false" ht="15" hidden="false" customHeight="true" outlineLevel="0" collapsed="false">
      <c r="A32" s="7" t="s">
        <v>92</v>
      </c>
      <c r="B32" s="7" t="n">
        <v>2026</v>
      </c>
      <c r="C32" s="7" t="n">
        <v>2027</v>
      </c>
      <c r="D32" s="17" t="n">
        <f aca="false">D26</f>
        <v>0.35</v>
      </c>
      <c r="E32" s="7" t="n">
        <v>2029</v>
      </c>
      <c r="F32" s="7" t="n">
        <v>2030</v>
      </c>
      <c r="G32" s="7" t="n">
        <v>2031</v>
      </c>
      <c r="H32" s="7" t="n">
        <v>2032</v>
      </c>
      <c r="I32" s="7" t="n">
        <v>2033</v>
      </c>
    </row>
    <row r="33" customFormat="false" ht="15" hidden="false" customHeight="true" outlineLevel="0" collapsed="false">
      <c r="A33" s="1" t="s">
        <v>93</v>
      </c>
      <c r="B33" s="8" t="n">
        <v>81.25</v>
      </c>
      <c r="C33" s="8" t="n">
        <v>81.25</v>
      </c>
      <c r="D33" s="8" t="n">
        <f aca="false">D27</f>
        <v>0.25</v>
      </c>
      <c r="E33" s="8" t="n">
        <v>121.875</v>
      </c>
      <c r="F33" s="8" t="n">
        <v>121.875</v>
      </c>
      <c r="G33" s="8" t="n">
        <v>121.875</v>
      </c>
      <c r="H33" s="8" t="n">
        <v>81.25</v>
      </c>
      <c r="I33" s="8" t="n">
        <v>81.25</v>
      </c>
    </row>
    <row r="34" customFormat="false" ht="15" hidden="false" customHeight="true" outlineLevel="0" collapsed="false">
      <c r="A34" s="1" t="s">
        <v>94</v>
      </c>
      <c r="B34" s="8" t="n">
        <f aca="false">B33*2.746</f>
        <v>223.1125</v>
      </c>
      <c r="C34" s="8" t="n">
        <f aca="false">C33*2.746</f>
        <v>223.1125</v>
      </c>
      <c r="D34" s="8" t="n">
        <f aca="false">D33*2.746</f>
        <v>0.6865</v>
      </c>
      <c r="E34" s="8" t="n">
        <f aca="false">E33*2.746</f>
        <v>334.66875</v>
      </c>
      <c r="F34" s="8" t="n">
        <f aca="false">F33*2.746</f>
        <v>334.66875</v>
      </c>
      <c r="G34" s="8" t="n">
        <f aca="false">G33*2.746</f>
        <v>334.66875</v>
      </c>
      <c r="H34" s="8" t="n">
        <f aca="false">H33*2.746</f>
        <v>223.1125</v>
      </c>
      <c r="I34" s="8" t="n">
        <f aca="false">I33*2.746</f>
        <v>223.1125</v>
      </c>
    </row>
    <row r="35" customFormat="false" ht="15" hidden="false" customHeight="true" outlineLevel="0" collapsed="false">
      <c r="A35" s="1" t="s">
        <v>95</v>
      </c>
      <c r="B35" s="11" t="n">
        <f aca="false">WEO_Data!D7</f>
        <v>8.5</v>
      </c>
      <c r="C35" s="11" t="n">
        <f aca="false">WEO_Data!D8</f>
        <v>8.5</v>
      </c>
      <c r="D35" s="11" t="n">
        <f aca="false">WEO_Data!D9</f>
        <v>8.5</v>
      </c>
      <c r="E35" s="11" t="n">
        <f aca="false">WEO_Data!D10</f>
        <v>8.5</v>
      </c>
      <c r="F35" s="11" t="n">
        <f aca="false">WEO_Data!D11</f>
        <v>8.5</v>
      </c>
      <c r="G35" s="11" t="n">
        <f aca="false">WEO_Data!D11</f>
        <v>8.5</v>
      </c>
      <c r="H35" s="11" t="n">
        <f aca="false">WEO_Data!D11</f>
        <v>8.5</v>
      </c>
      <c r="I35" s="11" t="n">
        <f aca="false">WEO_Data!D11</f>
        <v>8.5</v>
      </c>
    </row>
    <row r="36" customFormat="false" ht="15" hidden="false" customHeight="true" outlineLevel="0" collapsed="false">
      <c r="A36" s="1" t="s">
        <v>96</v>
      </c>
      <c r="B36" s="8" t="n">
        <f aca="false">B34/(1+B35/100)</f>
        <v>205.633640552995</v>
      </c>
      <c r="C36" s="8" t="n">
        <f aca="false">C34/(1+C35/100)</f>
        <v>205.633640552995</v>
      </c>
      <c r="D36" s="8" t="n">
        <f aca="false">D34/(1+D35/100)</f>
        <v>0.632718894009217</v>
      </c>
      <c r="E36" s="8" t="n">
        <f aca="false">E34/(1+E35/100)</f>
        <v>308.450460829493</v>
      </c>
      <c r="F36" s="8" t="n">
        <f aca="false">F34/(1+F35/100)</f>
        <v>308.450460829493</v>
      </c>
      <c r="G36" s="8" t="n">
        <f aca="false">G34/(1+G35/100)</f>
        <v>308.450460829493</v>
      </c>
      <c r="H36" s="8" t="n">
        <f aca="false">H34/(1+H35/100)</f>
        <v>205.633640552995</v>
      </c>
      <c r="I36" s="8" t="n">
        <f aca="false">I34/(1+I35/100)</f>
        <v>205.633640552995</v>
      </c>
    </row>
    <row r="38" customFormat="false" ht="15" hidden="false" customHeight="true" outlineLevel="0" collapsed="false">
      <c r="A38" s="1" t="s">
        <v>97</v>
      </c>
      <c r="B38" s="11" t="n">
        <f aca="false">WEO_Data!C7</f>
        <v>5.3</v>
      </c>
      <c r="C38" s="11" t="n">
        <f aca="false">WEO_Data!C8</f>
        <v>5</v>
      </c>
      <c r="D38" s="11" t="n">
        <f aca="false">WEO_Data!C9</f>
        <v>5</v>
      </c>
      <c r="E38" s="11" t="n">
        <f aca="false">WEO_Data!C10</f>
        <v>5</v>
      </c>
      <c r="F38" s="11" t="n">
        <f aca="false">WEO_Data!C11</f>
        <v>5</v>
      </c>
      <c r="G38" s="11" t="n">
        <f aca="false">WEO_Data!C11</f>
        <v>5</v>
      </c>
      <c r="H38" s="11" t="n">
        <f aca="false">WEO_Data!C11</f>
        <v>5</v>
      </c>
      <c r="I38" s="11" t="n">
        <f aca="false">WEO_Data!C11</f>
        <v>5</v>
      </c>
    </row>
    <row r="39" customFormat="false" ht="15" hidden="false" customHeight="true" outlineLevel="0" collapsed="false">
      <c r="A39" s="1" t="s">
        <v>98</v>
      </c>
      <c r="B39" s="12" t="n">
        <f aca="false">WEO_Data!B7</f>
        <v>40.177</v>
      </c>
      <c r="C39" s="12" t="n">
        <f aca="false">WEO_Data!B8</f>
        <v>42.408</v>
      </c>
      <c r="D39" s="12" t="n">
        <f aca="false">WEO_Data!B9</f>
        <v>44.723</v>
      </c>
      <c r="E39" s="12" t="n">
        <f aca="false">WEO_Data!B10</f>
        <v>47.202</v>
      </c>
      <c r="F39" s="12" t="n">
        <f aca="false">WEO_Data!B11</f>
        <v>49.802</v>
      </c>
      <c r="G39" s="12" t="n">
        <f aca="false">WEO_Data!B11</f>
        <v>49.802</v>
      </c>
      <c r="H39" s="12" t="n">
        <f aca="false">WEO_Data!B11</f>
        <v>49.802</v>
      </c>
      <c r="I39" s="12" t="n">
        <f aca="false">WEO_Data!B11</f>
        <v>49.802</v>
      </c>
    </row>
    <row r="40" customFormat="false" ht="15" hidden="false" customHeight="true" outlineLevel="0" collapsed="false">
      <c r="A40" s="1" t="s">
        <v>99</v>
      </c>
      <c r="B40" s="8" t="n">
        <f aca="false">B39*2.746*1000/(1+WEO_Data!D7/100)</f>
        <v>101682.988018433</v>
      </c>
      <c r="C40" s="8" t="n">
        <f aca="false">C39*2.746*1000/(1+WEO_Data!D8/100)</f>
        <v>107329.371428571</v>
      </c>
      <c r="D40" s="8" t="n">
        <f aca="false">D39*2.746*1000/(1+WEO_Data!D9/100)</f>
        <v>113188.348387097</v>
      </c>
      <c r="E40" s="8" t="n">
        <f aca="false">E39*2.746*1000/(1+WEO_Data!D10/100)</f>
        <v>119462.388940092</v>
      </c>
      <c r="F40" s="8" t="n">
        <f aca="false">F39*2.746*1000/(1+WEO_Data!D11/100)</f>
        <v>126042.665437788</v>
      </c>
      <c r="G40" s="8" t="n">
        <f aca="false">G39*2.746*1000/(1+WEO_Data!D11/100)</f>
        <v>126042.665437788</v>
      </c>
      <c r="H40" s="8" t="n">
        <f aca="false">H39*2.746*1000/(1+WEO_Data!D11/100)</f>
        <v>126042.665437788</v>
      </c>
      <c r="I40" s="8" t="n">
        <f aca="false">I39*2.746*1000/(1+WEO_Data!D11/100)</f>
        <v>126042.665437788</v>
      </c>
    </row>
    <row r="41" customFormat="false" ht="15" hidden="false" customHeight="true" outlineLevel="0" collapsed="false">
      <c r="A41" s="1" t="s">
        <v>100</v>
      </c>
      <c r="B41" s="8" t="n">
        <f aca="false">B36*1*(1-0.35)</f>
        <v>133.661866359447</v>
      </c>
      <c r="C41" s="8" t="n">
        <f aca="false">C36*1*(1-0.35)</f>
        <v>133.661866359447</v>
      </c>
      <c r="D41" s="8" t="n">
        <f aca="false">D36*1*(1-0.35)</f>
        <v>0.411267281105991</v>
      </c>
      <c r="E41" s="8" t="n">
        <f aca="false">E36*1*(1-0.35)</f>
        <v>200.492799539171</v>
      </c>
      <c r="F41" s="8" t="n">
        <f aca="false">F36*1*(1-0.35)</f>
        <v>200.492799539171</v>
      </c>
      <c r="G41" s="8" t="n">
        <f aca="false">G36*1*(1-0.35)</f>
        <v>200.492799539171</v>
      </c>
      <c r="H41" s="8" t="n">
        <f aca="false">H36*1*(1-0.35)</f>
        <v>133.661866359447</v>
      </c>
      <c r="I41" s="8" t="n">
        <f aca="false">I36*1*(1-0.35)</f>
        <v>133.661866359447</v>
      </c>
    </row>
    <row r="42" customFormat="false" ht="15" hidden="false" customHeight="true" outlineLevel="0" collapsed="false">
      <c r="A42" s="1" t="s">
        <v>101</v>
      </c>
      <c r="B42" s="8" t="n">
        <f aca="false">B40+B41</f>
        <v>101816.649884793</v>
      </c>
      <c r="C42" s="8" t="n">
        <f aca="false">C40+C41</f>
        <v>107463.033294931</v>
      </c>
      <c r="D42" s="8" t="n">
        <f aca="false">D40+D41</f>
        <v>113188.759654378</v>
      </c>
      <c r="E42" s="8" t="n">
        <f aca="false">E40+E41</f>
        <v>119662.881739631</v>
      </c>
      <c r="F42" s="8" t="n">
        <f aca="false">F40+F41</f>
        <v>126243.158237327</v>
      </c>
      <c r="G42" s="8" t="n">
        <f aca="false">G40+G41</f>
        <v>126243.158237327</v>
      </c>
      <c r="H42" s="8" t="n">
        <f aca="false">H40+H41</f>
        <v>126176.327304147</v>
      </c>
      <c r="I42" s="8" t="n">
        <f aca="false">I40+I41</f>
        <v>126176.327304147</v>
      </c>
    </row>
    <row r="44" customFormat="false" ht="15" hidden="false" customHeight="true" outlineLevel="0" collapsed="false">
      <c r="A44" s="10" t="s">
        <v>102</v>
      </c>
      <c r="B44" s="8" t="n">
        <f aca="false">B36*0.35</f>
        <v>71.9717741935484</v>
      </c>
      <c r="C44" s="8" t="n">
        <f aca="false">C36*0.35</f>
        <v>71.9717741935484</v>
      </c>
      <c r="D44" s="8" t="n">
        <f aca="false">D36*0.35</f>
        <v>0.221451612903226</v>
      </c>
      <c r="E44" s="8" t="n">
        <f aca="false">E36*0.35</f>
        <v>107.957661290323</v>
      </c>
      <c r="F44" s="8" t="n">
        <f aca="false">F36*0.35</f>
        <v>107.957661290323</v>
      </c>
      <c r="G44" s="8" t="n">
        <f aca="false">G36*0.35</f>
        <v>107.957661290323</v>
      </c>
      <c r="H44" s="8" t="n">
        <f aca="false">H36*0.35</f>
        <v>71.9717741935484</v>
      </c>
      <c r="I44" s="8" t="n">
        <f aca="false">I36*0.35</f>
        <v>71.9717741935484</v>
      </c>
    </row>
    <row r="45" customFormat="false" ht="15" hidden="false" customHeight="true" outlineLevel="0" collapsed="false">
      <c r="A45" s="7" t="s">
        <v>103</v>
      </c>
      <c r="B45" s="18" t="n">
        <f aca="false">B40*0.25</f>
        <v>25420.7470046083</v>
      </c>
      <c r="C45" s="18" t="n">
        <f aca="false">C40*0.25</f>
        <v>26832.3428571429</v>
      </c>
      <c r="D45" s="18" t="n">
        <f aca="false">D40*0.25</f>
        <v>28297.0870967742</v>
      </c>
      <c r="E45" s="18" t="n">
        <f aca="false">E40*0.25</f>
        <v>29865.597235023</v>
      </c>
      <c r="F45" s="18" t="n">
        <f aca="false">F40*0.25</f>
        <v>31510.666359447</v>
      </c>
      <c r="G45" s="18" t="n">
        <f aca="false">G40*0.25</f>
        <v>31510.666359447</v>
      </c>
      <c r="H45" s="18" t="n">
        <f aca="false">H40*0.25</f>
        <v>31510.666359447</v>
      </c>
      <c r="I45" s="18" t="n">
        <f aca="false">I40*0.25</f>
        <v>31510.666359447</v>
      </c>
    </row>
    <row r="46" customFormat="false" ht="15" hidden="false" customHeight="true" outlineLevel="0" collapsed="false">
      <c r="A46" s="7" t="s">
        <v>104</v>
      </c>
      <c r="B46" s="18" t="n">
        <f aca="false">B44+B45</f>
        <v>25492.7187788018</v>
      </c>
      <c r="C46" s="18" t="n">
        <f aca="false">C44+C45</f>
        <v>26904.3146313364</v>
      </c>
      <c r="D46" s="18" t="n">
        <f aca="false">D44+D45</f>
        <v>28297.3085483871</v>
      </c>
      <c r="E46" s="18" t="n">
        <f aca="false">E44+E45</f>
        <v>29973.5548963134</v>
      </c>
      <c r="F46" s="18" t="n">
        <f aca="false">F44+F45</f>
        <v>31618.6240207373</v>
      </c>
      <c r="G46" s="18" t="n">
        <f aca="false">G44+G45</f>
        <v>31618.6240207373</v>
      </c>
      <c r="H46" s="18" t="n">
        <f aca="false">H44+H45</f>
        <v>31582.6381336406</v>
      </c>
      <c r="I46" s="18" t="n">
        <f aca="false">I44+I45</f>
        <v>31582.6381336406</v>
      </c>
    </row>
    <row r="47" customFormat="false" ht="15" hidden="false" customHeight="true" outlineLevel="0" collapsed="false">
      <c r="B47" s="8" t="n">
        <f aca="false">B46*2.746</f>
        <v>70003.0057665899</v>
      </c>
      <c r="C47" s="8" t="n">
        <f aca="false">C46*2.746</f>
        <v>73879.2479776498</v>
      </c>
      <c r="D47" s="8" t="n">
        <f aca="false">D46*2.746</f>
        <v>77704.409273871</v>
      </c>
      <c r="E47" s="8" t="n">
        <f aca="false">E46*2.746</f>
        <v>82307.3817452765</v>
      </c>
      <c r="F47" s="8" t="n">
        <f aca="false">F46*2.746</f>
        <v>86824.7415609447</v>
      </c>
      <c r="G47" s="8" t="n">
        <f aca="false">G46*2.746</f>
        <v>86824.7415609447</v>
      </c>
      <c r="H47" s="8" t="n">
        <f aca="false">H46*2.746</f>
        <v>86725.924314977</v>
      </c>
      <c r="I47" s="8" t="n">
        <f aca="false">I46*2.746</f>
        <v>86725.924314977</v>
      </c>
    </row>
    <row r="48" customFormat="false" ht="15" hidden="false" customHeight="true" outlineLevel="0" collapsed="false">
      <c r="A48" s="1" t="s">
        <v>105</v>
      </c>
      <c r="B48" s="8" t="n">
        <f aca="false">B41*0.02</f>
        <v>2.67323732718894</v>
      </c>
      <c r="C48" s="8" t="n">
        <f aca="false">C41*0.02</f>
        <v>2.67323732718894</v>
      </c>
      <c r="D48" s="8" t="n">
        <f aca="false">D41*0.02</f>
        <v>0.00822534562211982</v>
      </c>
      <c r="E48" s="8" t="n">
        <f aca="false">E41*0.02</f>
        <v>4.00985599078341</v>
      </c>
      <c r="F48" s="8" t="n">
        <f aca="false">F41*0.02</f>
        <v>4.00985599078341</v>
      </c>
      <c r="G48" s="8" t="n">
        <f aca="false">G41*0.02</f>
        <v>4.00985599078341</v>
      </c>
      <c r="H48" s="8" t="n">
        <f aca="false">H41*0.02</f>
        <v>2.67323732718894</v>
      </c>
      <c r="I48" s="8" t="n">
        <f aca="false">I41*0.02</f>
        <v>2.67323732718894</v>
      </c>
    </row>
    <row r="49" customFormat="false" ht="15" hidden="false" customHeight="true" outlineLevel="0" collapsed="false">
      <c r="A49" s="1" t="s">
        <v>106</v>
      </c>
      <c r="B49" s="8" t="n">
        <f aca="false">B48-B34</f>
        <v>-220.439262672811</v>
      </c>
      <c r="C49" s="8" t="n">
        <f aca="false">C48-C34</f>
        <v>-220.439262672811</v>
      </c>
      <c r="D49" s="8" t="n">
        <f aca="false">D48-D34</f>
        <v>-0.67827465437788</v>
      </c>
      <c r="E49" s="8" t="n">
        <f aca="false">E48-E34</f>
        <v>-330.658894009217</v>
      </c>
      <c r="F49" s="8" t="n">
        <f aca="false">F48-F34</f>
        <v>-330.658894009217</v>
      </c>
      <c r="G49" s="8" t="n">
        <f aca="false">G48-G34</f>
        <v>-330.658894009217</v>
      </c>
      <c r="H49" s="8" t="n">
        <f aca="false">H48-H34</f>
        <v>-220.439262672811</v>
      </c>
      <c r="I49" s="8" t="n">
        <f aca="false">I48-I34</f>
        <v>-220.439262672811</v>
      </c>
    </row>
    <row r="50" customFormat="false" ht="15" hidden="false" customHeight="true" outlineLevel="0" collapsed="false">
      <c r="B50" s="8"/>
      <c r="C50" s="8"/>
      <c r="D50" s="8"/>
      <c r="E50" s="8"/>
      <c r="F50" s="8"/>
      <c r="G50" s="8"/>
      <c r="H50" s="8"/>
      <c r="I50" s="8"/>
    </row>
    <row r="51" customFormat="false" ht="15" hidden="false" customHeight="true" outlineLevel="0" collapsed="false">
      <c r="A51" s="10" t="s">
        <v>113</v>
      </c>
      <c r="B51" s="11" t="n">
        <f aca="false">WEO_Data!C7</f>
        <v>5.3</v>
      </c>
      <c r="C51" s="11" t="n">
        <f aca="false">WEO_Data!C8</f>
        <v>5</v>
      </c>
      <c r="D51" s="11" t="n">
        <f aca="false">WEO_Data!C9</f>
        <v>5</v>
      </c>
      <c r="E51" s="11" t="n">
        <f aca="false">WEO_Data!C10</f>
        <v>5</v>
      </c>
      <c r="F51" s="11" t="n">
        <f aca="false">WEO_Data!C11</f>
        <v>5</v>
      </c>
      <c r="G51" s="11" t="n">
        <f aca="false">WEO_Data!C11</f>
        <v>5</v>
      </c>
      <c r="H51" s="11" t="n">
        <f aca="false">WEO_Data!C11</f>
        <v>5</v>
      </c>
      <c r="I51" s="11" t="n">
        <f aca="false">WEO_Data!C11</f>
        <v>5</v>
      </c>
    </row>
    <row r="52" customFormat="false" ht="15" hidden="false" customHeight="true" outlineLevel="0" collapsed="false">
      <c r="A52" s="1" t="s">
        <v>108</v>
      </c>
      <c r="B52" s="12" t="n">
        <f aca="false">WEO_Data!B7</f>
        <v>40.177</v>
      </c>
      <c r="C52" s="12" t="n">
        <f aca="false">WEO_Data!B8</f>
        <v>42.408</v>
      </c>
      <c r="D52" s="13" t="n">
        <v>1</v>
      </c>
      <c r="E52" s="12" t="n">
        <f aca="false">WEO_Data!B10</f>
        <v>47.202</v>
      </c>
      <c r="F52" s="12" t="n">
        <f aca="false">WEO_Data!B11</f>
        <v>49.802</v>
      </c>
      <c r="G52" s="12" t="n">
        <f aca="false">WEO_Data!B11</f>
        <v>49.802</v>
      </c>
      <c r="H52" s="12" t="n">
        <f aca="false">WEO_Data!B11</f>
        <v>49.802</v>
      </c>
      <c r="I52" s="12" t="n">
        <f aca="false">WEO_Data!B11</f>
        <v>49.802</v>
      </c>
    </row>
    <row r="53" customFormat="false" ht="15" hidden="false" customHeight="true" outlineLevel="0" collapsed="false">
      <c r="A53" s="1" t="s">
        <v>109</v>
      </c>
      <c r="B53" s="8" t="n">
        <f aca="false">B52*2.746*1000/(1+WEO_Data!D7/100)</f>
        <v>101682.988018433</v>
      </c>
      <c r="C53" s="8" t="n">
        <f aca="false">C52*2.746*1000/(1+WEO_Data!D8/100)</f>
        <v>107329.371428571</v>
      </c>
      <c r="D53" s="14" t="n">
        <v>2.746</v>
      </c>
      <c r="E53" s="8" t="n">
        <f aca="false">E52*2.746*1000/(1+WEO_Data!D10/100)</f>
        <v>119462.388940092</v>
      </c>
      <c r="F53" s="8" t="n">
        <f aca="false">F52*2.746*1000/(1+WEO_Data!D11/100)</f>
        <v>126042.665437788</v>
      </c>
      <c r="G53" s="8" t="n">
        <f aca="false">G52*2.746*1000/(1+WEO_Data!D11/100)</f>
        <v>126042.665437788</v>
      </c>
      <c r="H53" s="8" t="n">
        <f aca="false">H52*2.746*1000/(1+WEO_Data!D11/100)</f>
        <v>126042.665437788</v>
      </c>
      <c r="I53" s="8" t="n">
        <f aca="false">I52*2.746*1000/(1+WEO_Data!D11/100)</f>
        <v>126042.665437788</v>
      </c>
    </row>
    <row r="54" customFormat="false" ht="15" hidden="false" customHeight="true" outlineLevel="0" collapsed="false">
      <c r="A54" s="1" t="s">
        <v>110</v>
      </c>
      <c r="B54" s="8" t="n">
        <f aca="false">B49*0.8*(1-0.5)</f>
        <v>-88.1757050691244</v>
      </c>
      <c r="C54" s="8" t="n">
        <f aca="false">C49*0.8*(1-0.5)</f>
        <v>-88.1757050691244</v>
      </c>
      <c r="D54" s="15" t="n">
        <v>0.35</v>
      </c>
      <c r="E54" s="8" t="n">
        <f aca="false">E49*0.8*(1-0.5)</f>
        <v>-132.263557603687</v>
      </c>
      <c r="F54" s="8" t="n">
        <f aca="false">F49*0.8*(1-0.5)</f>
        <v>-132.263557603687</v>
      </c>
      <c r="G54" s="8" t="n">
        <f aca="false">G49*0.8*(1-0.5)</f>
        <v>-132.263557603687</v>
      </c>
      <c r="H54" s="8" t="n">
        <f aca="false">H49*0.8*(1-0.5)</f>
        <v>-88.1757050691244</v>
      </c>
      <c r="I54" s="8" t="n">
        <f aca="false">I49*0.8*(1-0.5)</f>
        <v>-88.1757050691244</v>
      </c>
    </row>
    <row r="55" customFormat="false" ht="15" hidden="false" customHeight="true" outlineLevel="0" collapsed="false">
      <c r="A55" s="1" t="s">
        <v>111</v>
      </c>
      <c r="B55" s="8" t="n">
        <f aca="false">B53+B54</f>
        <v>101594.812313364</v>
      </c>
      <c r="C55" s="8" t="n">
        <f aca="false">C53+C54</f>
        <v>107241.195723502</v>
      </c>
      <c r="D55" s="15" t="n">
        <v>0.25</v>
      </c>
      <c r="E55" s="8" t="n">
        <f aca="false">E53+E54</f>
        <v>119330.125382488</v>
      </c>
      <c r="F55" s="8" t="n">
        <f aca="false">F53+F54</f>
        <v>125910.401880184</v>
      </c>
      <c r="G55" s="8" t="n">
        <f aca="false">G53+G54</f>
        <v>125910.401880184</v>
      </c>
      <c r="H55" s="8" t="n">
        <f aca="false">H53+H54</f>
        <v>125954.489732719</v>
      </c>
      <c r="I55" s="8" t="n">
        <f aca="false">I53+I54</f>
        <v>125954.489732719</v>
      </c>
    </row>
    <row r="56" customFormat="false" ht="15" hidden="false" customHeight="true" outlineLevel="0" collapsed="false">
      <c r="B56" s="8"/>
      <c r="C56" s="8"/>
      <c r="D56" s="8"/>
      <c r="E56" s="8"/>
      <c r="F56" s="8"/>
      <c r="G56" s="8"/>
      <c r="H56" s="8"/>
      <c r="I56" s="8"/>
    </row>
    <row r="57" customFormat="false" ht="15" hidden="false" customHeight="true" outlineLevel="0" collapsed="false">
      <c r="A57" s="1" t="s">
        <v>102</v>
      </c>
      <c r="B57" s="8" t="n">
        <f aca="false">B49*0.5</f>
        <v>-110.219631336406</v>
      </c>
      <c r="C57" s="8" t="n">
        <f aca="false">C49*0.5</f>
        <v>-110.219631336406</v>
      </c>
      <c r="D57" s="8" t="n">
        <f aca="false">D49*0.5</f>
        <v>-0.33913732718894</v>
      </c>
      <c r="E57" s="8" t="n">
        <f aca="false">E49*0.5</f>
        <v>-165.329447004608</v>
      </c>
      <c r="F57" s="8" t="n">
        <f aca="false">F49*0.5</f>
        <v>-165.329447004608</v>
      </c>
      <c r="G57" s="8" t="n">
        <f aca="false">G49*0.5</f>
        <v>-165.329447004608</v>
      </c>
      <c r="H57" s="8" t="n">
        <f aca="false">H49*0.5</f>
        <v>-110.219631336406</v>
      </c>
      <c r="I57" s="8" t="n">
        <f aca="false">I49*0.5</f>
        <v>-110.219631336406</v>
      </c>
    </row>
    <row r="58" customFormat="false" ht="15" hidden="false" customHeight="true" outlineLevel="0" collapsed="false">
      <c r="A58" s="1" t="s">
        <v>103</v>
      </c>
      <c r="B58" s="8" t="n">
        <f aca="false">B53*0.25</f>
        <v>25420.7470046083</v>
      </c>
      <c r="C58" s="8" t="n">
        <f aca="false">C53*0.25</f>
        <v>26832.3428571429</v>
      </c>
      <c r="D58" s="8" t="n">
        <f aca="false">D53*0.25</f>
        <v>0.6865</v>
      </c>
      <c r="E58" s="8" t="n">
        <f aca="false">E53*0.25</f>
        <v>29865.597235023</v>
      </c>
      <c r="F58" s="8" t="n">
        <f aca="false">F53*0.25</f>
        <v>31510.666359447</v>
      </c>
      <c r="G58" s="8" t="n">
        <f aca="false">G53*0.25</f>
        <v>31510.666359447</v>
      </c>
      <c r="H58" s="8" t="n">
        <f aca="false">H53*0.25</f>
        <v>31510.666359447</v>
      </c>
      <c r="I58" s="8" t="n">
        <f aca="false">I53*0.25</f>
        <v>31510.666359447</v>
      </c>
    </row>
    <row r="59" customFormat="false" ht="15" hidden="false" customHeight="true" outlineLevel="0" collapsed="false">
      <c r="A59" s="1" t="s">
        <v>104</v>
      </c>
      <c r="B59" s="8" t="n">
        <f aca="false">B57+B58</f>
        <v>25310.5273732719</v>
      </c>
      <c r="C59" s="8" t="n">
        <f aca="false">C57+C58</f>
        <v>26722.1232258065</v>
      </c>
      <c r="D59" s="8" t="n">
        <f aca="false">D57+D58</f>
        <v>0.34736267281106</v>
      </c>
      <c r="E59" s="8" t="n">
        <f aca="false">E57+E58</f>
        <v>29700.2677880184</v>
      </c>
      <c r="F59" s="8" t="n">
        <f aca="false">F57+F58</f>
        <v>31345.3369124424</v>
      </c>
      <c r="G59" s="8" t="n">
        <f aca="false">G57+G58</f>
        <v>31345.3369124424</v>
      </c>
      <c r="H59" s="8" t="n">
        <f aca="false">H57+H58</f>
        <v>31400.4467281106</v>
      </c>
      <c r="I59" s="8" t="n">
        <f aca="false">I57+I58</f>
        <v>31400.4467281106</v>
      </c>
    </row>
    <row r="60" customFormat="false" ht="15" hidden="false" customHeight="true" outlineLevel="0" collapsed="false">
      <c r="B60" s="8"/>
      <c r="C60" s="8"/>
      <c r="D60" s="8"/>
      <c r="E60" s="8"/>
      <c r="F60" s="8"/>
      <c r="G60" s="8"/>
      <c r="H60" s="8"/>
      <c r="I60" s="8"/>
    </row>
    <row r="61" customFormat="false" ht="15" hidden="false" customHeight="true" outlineLevel="0" collapsed="false">
      <c r="A61" s="1" t="s">
        <v>105</v>
      </c>
      <c r="B61" s="8" t="n">
        <f aca="false">B54*0.02</f>
        <v>-1.76351410138249</v>
      </c>
      <c r="C61" s="8" t="n">
        <f aca="false">C54*0.02</f>
        <v>-1.76351410138249</v>
      </c>
      <c r="D61" s="8" t="n">
        <f aca="false">D54*0.02</f>
        <v>0.007</v>
      </c>
      <c r="E61" s="8" t="n">
        <f aca="false">E54*0.02</f>
        <v>-2.64527115207373</v>
      </c>
      <c r="F61" s="8" t="n">
        <f aca="false">F54*0.02</f>
        <v>-2.64527115207373</v>
      </c>
      <c r="G61" s="8" t="n">
        <f aca="false">G54*0.02</f>
        <v>-2.64527115207373</v>
      </c>
      <c r="H61" s="8" t="n">
        <f aca="false">H54*0.02</f>
        <v>-1.76351410138249</v>
      </c>
      <c r="I61" s="8" t="n">
        <f aca="false">I54*0.02</f>
        <v>-1.76351410138249</v>
      </c>
    </row>
    <row r="62" customFormat="false" ht="15" hidden="false" customHeight="true" outlineLevel="0" collapsed="false">
      <c r="A62" s="1" t="s">
        <v>106</v>
      </c>
      <c r="B62" s="8" t="n">
        <f aca="false">B61-B47</f>
        <v>-70004.7692806913</v>
      </c>
      <c r="C62" s="8" t="n">
        <f aca="false">C61-C47</f>
        <v>-73881.0114917512</v>
      </c>
      <c r="D62" s="8" t="n">
        <f aca="false">D61-D47</f>
        <v>-77704.402273871</v>
      </c>
      <c r="E62" s="8" t="n">
        <f aca="false">E61-E47</f>
        <v>-82310.0270164286</v>
      </c>
      <c r="F62" s="8" t="n">
        <f aca="false">F61-F47</f>
        <v>-86827.3868320968</v>
      </c>
      <c r="G62" s="8" t="n">
        <f aca="false">G61-G47</f>
        <v>-86827.3868320968</v>
      </c>
      <c r="H62" s="8" t="n">
        <f aca="false">H61-H47</f>
        <v>-86727.6878290784</v>
      </c>
      <c r="I62" s="8" t="n">
        <f aca="false">I61-I47</f>
        <v>-86727.6878290784</v>
      </c>
    </row>
    <row r="63" customFormat="false" ht="15" hidden="false" customHeight="true" outlineLevel="0" collapsed="false">
      <c r="B63" s="8"/>
      <c r="C63" s="8"/>
      <c r="D63" s="8"/>
      <c r="E63" s="8"/>
      <c r="F63" s="8"/>
      <c r="G63" s="8"/>
      <c r="H63" s="8"/>
      <c r="I63" s="8"/>
    </row>
    <row r="64" customFormat="false" ht="15" hidden="false" customHeight="true" outlineLevel="0" collapsed="false">
      <c r="A64" s="10" t="s">
        <v>114</v>
      </c>
    </row>
    <row r="65" customFormat="false" ht="15" hidden="false" customHeight="true" outlineLevel="0" collapsed="false">
      <c r="A65" s="10" t="s">
        <v>108</v>
      </c>
      <c r="D65" s="13" t="n">
        <v>0.8</v>
      </c>
    </row>
    <row r="66" customFormat="false" ht="15" hidden="false" customHeight="true" outlineLevel="0" collapsed="false">
      <c r="A66" s="1" t="s">
        <v>109</v>
      </c>
      <c r="D66" s="14" t="n">
        <v>2.746</v>
      </c>
    </row>
    <row r="67" customFormat="false" ht="15" hidden="false" customHeight="true" outlineLevel="0" collapsed="false">
      <c r="A67" s="1" t="s">
        <v>115</v>
      </c>
      <c r="D67" s="15" t="n">
        <v>0.5</v>
      </c>
    </row>
    <row r="68" customFormat="false" ht="15" hidden="false" customHeight="true" outlineLevel="0" collapsed="false">
      <c r="A68" s="1" t="s">
        <v>111</v>
      </c>
      <c r="D68" s="15" t="n">
        <v>0.25</v>
      </c>
    </row>
    <row r="69" customFormat="false" ht="15" hidden="false" customHeight="true" outlineLevel="0" collapsed="false">
      <c r="D69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2026-01-29T03:08:11Z</dcterms:created>
  <dc:creator>openpyxl</dc:creator>
  <dc:description/>
  <dc:language>en-US</dc:language>
  <cp:lastModifiedBy/>
  <dcterms:modified xsi:type="dcterms:W3CDTF">2026-01-29T03:17:28Z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