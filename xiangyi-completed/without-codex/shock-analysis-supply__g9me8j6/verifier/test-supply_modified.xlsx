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AVERAGE(OFFSET('CFC data'!$E$2,COUNT('CFC data'!$E:$E)-8,0,8,1))</f>
        <v/>
      </c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K/Y anchor (avg 2011-2019)</t>
        </is>
      </c>
      <c r="B4">
        <f>AVERAGEIFS($D$36:$D$57,$C$36:$C$57,"&gt;=2011",$C$36:$C$57,"&lt;=2019")</f>
        <v/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SUMXMY2(K6:K27,L6:L27)+100*SUMSQ(M8:M27)</f>
        <v/>
      </c>
    </row>
    <row r="6">
      <c r="C6" t="n">
        <v>2002</v>
      </c>
      <c r="D6" s="19">
        <f>E36</f>
        <v/>
      </c>
      <c r="E6">
        <f>F36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 t="n">
        <v>0</v>
      </c>
      <c r="N6" s="5">
        <f>K6-L6</f>
        <v/>
      </c>
    </row>
    <row r="7">
      <c r="C7" t="n">
        <v>2003</v>
      </c>
      <c r="D7" s="19">
        <f>E37</f>
        <v/>
      </c>
      <c r="E7">
        <f>F37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 t="n">
        <v>0</v>
      </c>
      <c r="N7" s="5">
        <f>K7-L7</f>
        <v/>
      </c>
    </row>
    <row r="8">
      <c r="C8" t="n">
        <v>2004</v>
      </c>
      <c r="D8" s="19">
        <f>E38</f>
        <v/>
      </c>
      <c r="E8">
        <f>F38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E39</f>
        <v/>
      </c>
      <c r="E9">
        <f>F39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E40</f>
        <v/>
      </c>
      <c r="E10">
        <f>F40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E41</f>
        <v/>
      </c>
      <c r="E11">
        <f>F41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E42</f>
        <v/>
      </c>
      <c r="E12">
        <f>F42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E43</f>
        <v/>
      </c>
      <c r="E13">
        <f>F43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E44</f>
        <v/>
      </c>
      <c r="E14">
        <f>F44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E45</f>
        <v/>
      </c>
      <c r="E15">
        <f>F45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E46</f>
        <v/>
      </c>
      <c r="E16">
        <f>F46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E47</f>
        <v/>
      </c>
      <c r="E17">
        <f>F47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E48</f>
        <v/>
      </c>
      <c r="E18">
        <f>F48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E49</f>
        <v/>
      </c>
      <c r="E19">
        <f>F49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E50</f>
        <v/>
      </c>
      <c r="E20">
        <f>F50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E51</f>
        <v/>
      </c>
      <c r="E21">
        <f>F51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E52</f>
        <v/>
      </c>
      <c r="E22">
        <f>F52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E53</f>
        <v/>
      </c>
      <c r="E23">
        <f>F53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E54</f>
        <v/>
      </c>
      <c r="E24">
        <f>F54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E55</f>
        <v/>
      </c>
      <c r="E25">
        <f>F55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E56</f>
        <v/>
      </c>
      <c r="E26">
        <f>F56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E57</f>
        <v/>
      </c>
      <c r="E27">
        <f>F57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IFERROR(E36/F36,NA())</f>
        <v/>
      </c>
      <c r="E36" s="19">
        <f>IF(C36&lt;=2019,IFERROR(VLOOKUP(C36,PWT!$A:$C,3,FALSE),NA()),F36*$B$4)</f>
        <v/>
      </c>
      <c r="F36">
        <f>IFERROR(VLOOKUP(C36,WEO_Data!$B:$C,2,FALSE),NA())</f>
        <v/>
      </c>
      <c r="G36">
        <f>L6</f>
        <v/>
      </c>
      <c r="H36">
        <f>EXP(G36+$B$2*LN(E36))</f>
        <v/>
      </c>
      <c r="I36">
        <f>IFERROR(VLOOKUP(C36,Investment!$B:$C,2,FALSE),0)</f>
        <v/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  <c r="O36" t="inlineStr"/>
      <c r="P36">
        <f>IFERROR(VLOOKUP(C36,WEO_Data!$B:$D,3,FALSE),NA())</f>
        <v/>
      </c>
    </row>
    <row r="37">
      <c r="C37" t="n">
        <v>2003</v>
      </c>
      <c r="D37">
        <f>IFERROR(E37/F37,NA())</f>
        <v/>
      </c>
      <c r="E37" s="19">
        <f>IF(C37&lt;=2019,IFERROR(VLOOKUP(C37,PWT!$A:$C,3,FALSE),NA()),F37*$B$4)</f>
        <v/>
      </c>
      <c r="F37">
        <f>IFERROR(VLOOKUP(C37,WEO_Data!$B:$C,2,FALSE),NA())</f>
        <v/>
      </c>
      <c r="G37">
        <f>L7</f>
        <v/>
      </c>
      <c r="H37">
        <f>EXP(G37+$B$2*LN(E37))</f>
        <v/>
      </c>
      <c r="I37">
        <f>IFERROR(VLOOKUP(C37,Investment!$B:$C,2,FALSE),0)</f>
        <v/>
      </c>
      <c r="J37">
        <f>J36*(1-$B$3)+I37</f>
        <v/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(N37/N36-1)*100</f>
        <v/>
      </c>
      <c r="P37">
        <f>IFERROR(VLOOKUP(C37,WEO_Data!$B:$D,3,FALSE),NA())</f>
        <v/>
      </c>
    </row>
    <row r="38">
      <c r="C38" t="n">
        <v>2004</v>
      </c>
      <c r="D38">
        <f>IFERROR(E38/F38,NA())</f>
        <v/>
      </c>
      <c r="E38" s="19">
        <f>IF(C38&lt;=2019,IFERROR(VLOOKUP(C38,PWT!$A:$C,3,FALSE),NA()),F38*$B$4)</f>
        <v/>
      </c>
      <c r="F38">
        <f>IFERROR(VLOOKUP(C38,WEO_Data!$B:$C,2,FALSE),NA())</f>
        <v/>
      </c>
      <c r="G38">
        <f>L8</f>
        <v/>
      </c>
      <c r="H38">
        <f>EXP(G38+$B$2*LN(E38))</f>
        <v/>
      </c>
      <c r="I38">
        <f>IFERROR(VLOOKUP(C38,Investment!$B:$C,2,FALSE),0)</f>
        <v/>
      </c>
      <c r="J38">
        <f>J37*(1-$B$3)+I38</f>
        <v/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(N38/N37-1)*100</f>
        <v/>
      </c>
      <c r="P38">
        <f>IFERROR(VLOOKUP(C38,WEO_Data!$B:$D,3,FALSE),NA())</f>
        <v/>
      </c>
    </row>
    <row r="39">
      <c r="C39" t="n">
        <v>2005</v>
      </c>
      <c r="D39">
        <f>IFERROR(E39/F39,NA())</f>
        <v/>
      </c>
      <c r="E39" s="19">
        <f>IF(C39&lt;=2019,IFERROR(VLOOKUP(C39,PWT!$A:$C,3,FALSE),NA()),F39*$B$4)</f>
        <v/>
      </c>
      <c r="F39">
        <f>IFERROR(VLOOKUP(C39,WEO_Data!$B:$C,2,FALSE),NA())</f>
        <v/>
      </c>
      <c r="G39">
        <f>L9</f>
        <v/>
      </c>
      <c r="H39">
        <f>EXP(G39+$B$2*LN(E39))</f>
        <v/>
      </c>
      <c r="I39">
        <f>IFERROR(VLOOKUP(C39,Investment!$B:$C,2,FALSE),0)</f>
        <v/>
      </c>
      <c r="J39">
        <f>J38*(1-$B$3)+I39</f>
        <v/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(N39/N38-1)*100</f>
        <v/>
      </c>
      <c r="P39">
        <f>IFERROR(VLOOKUP(C39,WEO_Data!$B:$D,3,FALSE),NA())</f>
        <v/>
      </c>
    </row>
    <row r="40">
      <c r="C40" t="n">
        <v>2006</v>
      </c>
      <c r="D40">
        <f>IFERROR(E40/F40,NA())</f>
        <v/>
      </c>
      <c r="E40" s="19">
        <f>IF(C40&lt;=2019,IFERROR(VLOOKUP(C40,PWT!$A:$C,3,FALSE),NA()),F40*$B$4)</f>
        <v/>
      </c>
      <c r="F40">
        <f>IFERROR(VLOOKUP(C40,WEO_Data!$B:$C,2,FALSE),NA())</f>
        <v/>
      </c>
      <c r="G40">
        <f>L10</f>
        <v/>
      </c>
      <c r="H40">
        <f>EXP(G40+$B$2*LN(E40))</f>
        <v/>
      </c>
      <c r="I40">
        <f>IFERROR(VLOOKUP(C40,Investment!$B:$C,2,FALSE),0)</f>
        <v/>
      </c>
      <c r="J40">
        <f>J39*(1-$B$3)+I40</f>
        <v/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(N40/N39-1)*100</f>
        <v/>
      </c>
      <c r="P40">
        <f>IFERROR(VLOOKUP(C40,WEO_Data!$B:$D,3,FALSE),NA())</f>
        <v/>
      </c>
    </row>
    <row r="41">
      <c r="C41" t="n">
        <v>2007</v>
      </c>
      <c r="D41">
        <f>IFERROR(E41/F41,NA())</f>
        <v/>
      </c>
      <c r="E41" s="19">
        <f>IF(C41&lt;=2019,IFERROR(VLOOKUP(C41,PWT!$A:$C,3,FALSE),NA()),F41*$B$4)</f>
        <v/>
      </c>
      <c r="F41">
        <f>IFERROR(VLOOKUP(C41,WEO_Data!$B:$C,2,FALSE),NA())</f>
        <v/>
      </c>
      <c r="G41">
        <f>L11</f>
        <v/>
      </c>
      <c r="H41">
        <f>EXP(G41+$B$2*LN(E41))</f>
        <v/>
      </c>
      <c r="I41">
        <f>IFERROR(VLOOKUP(C41,Investment!$B:$C,2,FALSE),0)</f>
        <v/>
      </c>
      <c r="J41">
        <f>J40*(1-$B$3)+I41</f>
        <v/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(N41/N40-1)*100</f>
        <v/>
      </c>
      <c r="P41">
        <f>IFERROR(VLOOKUP(C41,WEO_Data!$B:$D,3,FALSE),NA())</f>
        <v/>
      </c>
    </row>
    <row r="42">
      <c r="C42" t="n">
        <v>2008</v>
      </c>
      <c r="D42">
        <f>IFERROR(E42/F42,NA())</f>
        <v/>
      </c>
      <c r="E42" s="19">
        <f>IF(C42&lt;=2019,IFERROR(VLOOKUP(C42,PWT!$A:$C,3,FALSE),NA()),F42*$B$4)</f>
        <v/>
      </c>
      <c r="F42">
        <f>IFERROR(VLOOKUP(C42,WEO_Data!$B:$C,2,FALSE),NA())</f>
        <v/>
      </c>
      <c r="G42">
        <f>L12</f>
        <v/>
      </c>
      <c r="H42">
        <f>EXP(G42+$B$2*LN(E42))</f>
        <v/>
      </c>
      <c r="I42">
        <f>IFERROR(VLOOKUP(C42,Investment!$B:$C,2,FALSE),0)</f>
        <v/>
      </c>
      <c r="J42">
        <f>J41*(1-$B$3)+I42</f>
        <v/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(N42/N41-1)*100</f>
        <v/>
      </c>
      <c r="P42">
        <f>IFERROR(VLOOKUP(C42,WEO_Data!$B:$D,3,FALSE),NA())</f>
        <v/>
      </c>
    </row>
    <row r="43">
      <c r="C43" t="n">
        <v>2009</v>
      </c>
      <c r="D43">
        <f>IFERROR(E43/F43,NA())</f>
        <v/>
      </c>
      <c r="E43" s="19">
        <f>IF(C43&lt;=2019,IFERROR(VLOOKUP(C43,PWT!$A:$C,3,FALSE),NA()),F43*$B$4)</f>
        <v/>
      </c>
      <c r="F43">
        <f>IFERROR(VLOOKUP(C43,WEO_Data!$B:$C,2,FALSE),NA())</f>
        <v/>
      </c>
      <c r="G43">
        <f>L13</f>
        <v/>
      </c>
      <c r="H43">
        <f>EXP(G43+$B$2*LN(E43))</f>
        <v/>
      </c>
      <c r="I43">
        <f>IFERROR(VLOOKUP(C43,Investment!$B:$C,2,FALSE),0)</f>
        <v/>
      </c>
      <c r="J43">
        <f>J42*(1-$B$3)+I43</f>
        <v/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(N43/N42-1)*100</f>
        <v/>
      </c>
      <c r="P43">
        <f>IFERROR(VLOOKUP(C43,WEO_Data!$B:$D,3,FALSE),NA())</f>
        <v/>
      </c>
    </row>
    <row r="44">
      <c r="C44" t="n">
        <v>2010</v>
      </c>
      <c r="D44">
        <f>IFERROR(E44/F44,NA())</f>
        <v/>
      </c>
      <c r="E44" s="19">
        <f>IF(C44&lt;=2019,IFERROR(VLOOKUP(C44,PWT!$A:$C,3,FALSE),NA()),F44*$B$4)</f>
        <v/>
      </c>
      <c r="F44">
        <f>IFERROR(VLOOKUP(C44,WEO_Data!$B:$C,2,FALSE),NA())</f>
        <v/>
      </c>
      <c r="G44">
        <f>L14</f>
        <v/>
      </c>
      <c r="H44">
        <f>EXP(G44+$B$2*LN(E44))</f>
        <v/>
      </c>
      <c r="I44">
        <f>IFERROR(VLOOKUP(C44,Investment!$B:$C,2,FALSE),0)</f>
        <v/>
      </c>
      <c r="J44">
        <f>J43*(1-$B$3)+I44</f>
        <v/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(N44/N43-1)*100</f>
        <v/>
      </c>
      <c r="P44">
        <f>IFERROR(VLOOKUP(C44,WEO_Data!$B:$D,3,FALSE),NA())</f>
        <v/>
      </c>
    </row>
    <row r="45">
      <c r="C45" t="n">
        <v>2011</v>
      </c>
      <c r="D45">
        <f>IFERROR(E45/F45,NA())</f>
        <v/>
      </c>
      <c r="E45" s="19">
        <f>IF(C45&lt;=2019,IFERROR(VLOOKUP(C45,PWT!$A:$C,3,FALSE),NA()),F45*$B$4)</f>
        <v/>
      </c>
      <c r="F45">
        <f>IFERROR(VLOOKUP(C45,WEO_Data!$B:$C,2,FALSE),NA())</f>
        <v/>
      </c>
      <c r="G45">
        <f>L15</f>
        <v/>
      </c>
      <c r="H45">
        <f>EXP(G45+$B$2*LN(E45))</f>
        <v/>
      </c>
      <c r="I45">
        <f>IFERROR(VLOOKUP(C45,Investment!$B:$C,2,FALSE),0)</f>
        <v/>
      </c>
      <c r="J45">
        <f>J44*(1-$B$3)+I45</f>
        <v/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(N45/N44-1)*100</f>
        <v/>
      </c>
      <c r="P45">
        <f>IFERROR(VLOOKUP(C45,WEO_Data!$B:$D,3,FALSE),NA())</f>
        <v/>
      </c>
    </row>
    <row r="46">
      <c r="C46" t="n">
        <v>2012</v>
      </c>
      <c r="D46">
        <f>IFERROR(E46/F46,NA())</f>
        <v/>
      </c>
      <c r="E46" s="19">
        <f>IF(C46&lt;=2019,IFERROR(VLOOKUP(C46,PWT!$A:$C,3,FALSE),NA()),F46*$B$4)</f>
        <v/>
      </c>
      <c r="F46">
        <f>IFERROR(VLOOKUP(C46,WEO_Data!$B:$C,2,FALSE),NA())</f>
        <v/>
      </c>
      <c r="G46">
        <f>L16</f>
        <v/>
      </c>
      <c r="H46">
        <f>EXP(G46+$B$2*LN(E46))</f>
        <v/>
      </c>
      <c r="I46">
        <f>IFERROR(VLOOKUP(C46,Investment!$B:$C,2,FALSE),0)</f>
        <v/>
      </c>
      <c r="J46">
        <f>J45*(1-$B$3)+I46</f>
        <v/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(N46/N45-1)*100</f>
        <v/>
      </c>
      <c r="P46">
        <f>IFERROR(VLOOKUP(C46,WEO_Data!$B:$D,3,FALSE),NA())</f>
        <v/>
      </c>
    </row>
    <row r="47">
      <c r="C47" t="n">
        <v>2013</v>
      </c>
      <c r="D47">
        <f>IFERROR(E47/F47,NA())</f>
        <v/>
      </c>
      <c r="E47" s="19">
        <f>IF(C47&lt;=2019,IFERROR(VLOOKUP(C47,PWT!$A:$C,3,FALSE),NA()),F47*$B$4)</f>
        <v/>
      </c>
      <c r="F47">
        <f>IFERROR(VLOOKUP(C47,WEO_Data!$B:$C,2,FALSE),NA())</f>
        <v/>
      </c>
      <c r="G47">
        <f>L17</f>
        <v/>
      </c>
      <c r="H47">
        <f>EXP(G47+$B$2*LN(E47))</f>
        <v/>
      </c>
      <c r="I47">
        <f>IFERROR(VLOOKUP(C47,Investment!$B:$C,2,FALSE),0)</f>
        <v/>
      </c>
      <c r="J47">
        <f>J46*(1-$B$3)+I47</f>
        <v/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(N47/N46-1)*100</f>
        <v/>
      </c>
      <c r="P47">
        <f>IFERROR(VLOOKUP(C47,WEO_Data!$B:$D,3,FALSE),NA())</f>
        <v/>
      </c>
    </row>
    <row r="48">
      <c r="C48" t="n">
        <v>2014</v>
      </c>
      <c r="D48">
        <f>IFERROR(E48/F48,NA())</f>
        <v/>
      </c>
      <c r="E48" s="19">
        <f>IF(C48&lt;=2019,IFERROR(VLOOKUP(C48,PWT!$A:$C,3,FALSE),NA()),F48*$B$4)</f>
        <v/>
      </c>
      <c r="F48">
        <f>IFERROR(VLOOKUP(C48,WEO_Data!$B:$C,2,FALSE),NA())</f>
        <v/>
      </c>
      <c r="G48">
        <f>L18</f>
        <v/>
      </c>
      <c r="H48">
        <f>EXP(G48+$B$2*LN(E48))</f>
        <v/>
      </c>
      <c r="I48">
        <f>IFERROR(VLOOKUP(C48,Investment!$B:$C,2,FALSE),0)</f>
        <v/>
      </c>
      <c r="J48">
        <f>J47*(1-$B$3)+I48</f>
        <v/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(N48/N47-1)*100</f>
        <v/>
      </c>
      <c r="P48">
        <f>IFERROR(VLOOKUP(C48,WEO_Data!$B:$D,3,FALSE),NA())</f>
        <v/>
      </c>
    </row>
    <row r="49">
      <c r="C49" t="n">
        <v>2015</v>
      </c>
      <c r="D49">
        <f>IFERROR(E49/F49,NA())</f>
        <v/>
      </c>
      <c r="E49" s="19">
        <f>IF(C49&lt;=2019,IFERROR(VLOOKUP(C49,PWT!$A:$C,3,FALSE),NA()),F49*$B$4)</f>
        <v/>
      </c>
      <c r="F49">
        <f>IFERROR(VLOOKUP(C49,WEO_Data!$B:$C,2,FALSE),NA())</f>
        <v/>
      </c>
      <c r="G49">
        <f>L19</f>
        <v/>
      </c>
      <c r="H49">
        <f>EXP(G49+$B$2*LN(E49))</f>
        <v/>
      </c>
      <c r="I49">
        <f>IFERROR(VLOOKUP(C49,Investment!$B:$C,2,FALSE),0)</f>
        <v/>
      </c>
      <c r="J49">
        <f>J48*(1-$B$3)+I49</f>
        <v/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(N49/N48-1)*100</f>
        <v/>
      </c>
      <c r="P49">
        <f>IFERROR(VLOOKUP(C49,WEO_Data!$B:$D,3,FALSE),NA())</f>
        <v/>
      </c>
    </row>
    <row r="50">
      <c r="C50" t="n">
        <v>2016</v>
      </c>
      <c r="D50">
        <f>IFERROR(E50/F50,NA())</f>
        <v/>
      </c>
      <c r="E50" s="19">
        <f>IF(C50&lt;=2019,IFERROR(VLOOKUP(C50,PWT!$A:$C,3,FALSE),NA()),F50*$B$4)</f>
        <v/>
      </c>
      <c r="F50">
        <f>IFERROR(VLOOKUP(C50,WEO_Data!$B:$C,2,FALSE),NA())</f>
        <v/>
      </c>
      <c r="G50">
        <f>L20</f>
        <v/>
      </c>
      <c r="H50">
        <f>EXP(G50+$B$2*LN(E50))</f>
        <v/>
      </c>
      <c r="I50">
        <f>IFERROR(VLOOKUP(C50,Investment!$B:$C,2,FALSE),0)</f>
        <v/>
      </c>
      <c r="J50">
        <f>J49*(1-$B$3)+I50</f>
        <v/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(N50/N49-1)*100</f>
        <v/>
      </c>
      <c r="P50">
        <f>IFERROR(VLOOKUP(C50,WEO_Data!$B:$D,3,FALSE),NA())</f>
        <v/>
      </c>
    </row>
    <row r="51">
      <c r="C51" t="n">
        <v>2017</v>
      </c>
      <c r="D51">
        <f>IFERROR(E51/F51,NA())</f>
        <v/>
      </c>
      <c r="E51" s="19">
        <f>IF(C51&lt;=2019,IFERROR(VLOOKUP(C51,PWT!$A:$C,3,FALSE),NA()),F51*$B$4)</f>
        <v/>
      </c>
      <c r="F51">
        <f>IFERROR(VLOOKUP(C51,WEO_Data!$B:$C,2,FALSE),NA())</f>
        <v/>
      </c>
      <c r="G51">
        <f>L21</f>
        <v/>
      </c>
      <c r="H51">
        <f>EXP(G51+$B$2*LN(E51))</f>
        <v/>
      </c>
      <c r="I51">
        <f>IFERROR(VLOOKUP(C51,Investment!$B:$C,2,FALSE),0)</f>
        <v/>
      </c>
      <c r="J51">
        <f>J50*(1-$B$3)+I51</f>
        <v/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(N51/N50-1)*100</f>
        <v/>
      </c>
      <c r="P51">
        <f>IFERROR(VLOOKUP(C51,WEO_Data!$B:$D,3,FALSE),NA())</f>
        <v/>
      </c>
    </row>
    <row r="52">
      <c r="C52" t="n">
        <v>2018</v>
      </c>
      <c r="D52">
        <f>IFERROR(E52/F52,NA())</f>
        <v/>
      </c>
      <c r="E52" s="19">
        <f>IF(C52&lt;=2019,IFERROR(VLOOKUP(C52,PWT!$A:$C,3,FALSE),NA()),F52*$B$4)</f>
        <v/>
      </c>
      <c r="F52">
        <f>IFERROR(VLOOKUP(C52,WEO_Data!$B:$C,2,FALSE),NA())</f>
        <v/>
      </c>
      <c r="G52">
        <f>L22</f>
        <v/>
      </c>
      <c r="H52">
        <f>EXP(G52+$B$2*LN(E52))</f>
        <v/>
      </c>
      <c r="I52">
        <f>IFERROR(VLOOKUP(C52,Investment!$B:$C,2,FALSE),0)</f>
        <v/>
      </c>
      <c r="J52">
        <f>J51*(1-$B$3)+I52</f>
        <v/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(N52/N51-1)*100</f>
        <v/>
      </c>
      <c r="P52">
        <f>IFERROR(VLOOKUP(C52,WEO_Data!$B:$D,3,FALSE),NA())</f>
        <v/>
      </c>
    </row>
    <row r="53">
      <c r="C53" t="n">
        <v>2019</v>
      </c>
      <c r="D53">
        <f>IFERROR(E53/F53,NA())</f>
        <v/>
      </c>
      <c r="E53" s="19">
        <f>IF(C53&lt;=2019,IFERROR(VLOOKUP(C53,PWT!$A:$C,3,FALSE),NA()),F53*$B$4)</f>
        <v/>
      </c>
      <c r="F53">
        <f>IFERROR(VLOOKUP(C53,WEO_Data!$B:$C,2,FALSE),NA())</f>
        <v/>
      </c>
      <c r="G53">
        <f>L23</f>
        <v/>
      </c>
      <c r="H53">
        <f>EXP(G53+$B$2*LN(E53))</f>
        <v/>
      </c>
      <c r="I53">
        <f>IFERROR(VLOOKUP(C53,Investment!$B:$C,2,FALSE),0)</f>
        <v/>
      </c>
      <c r="J53">
        <f>J52*(1-$B$3)+I53</f>
        <v/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(N53/N52-1)*100</f>
        <v/>
      </c>
      <c r="P53">
        <f>IFERROR(VLOOKUP(C53,WEO_Data!$B:$D,3,FALSE),NA())</f>
        <v/>
      </c>
    </row>
    <row r="54">
      <c r="C54" t="n">
        <v>2020</v>
      </c>
      <c r="D54">
        <f>IFERROR(E54/F54,NA())</f>
        <v/>
      </c>
      <c r="E54" s="19">
        <f>IF(C54&lt;=2019,IFERROR(VLOOKUP(C54,PWT!$A:$C,3,FALSE),NA()),F54*$B$4)</f>
        <v/>
      </c>
      <c r="F54">
        <f>IFERROR(VLOOKUP(C54,WEO_Data!$B:$C,2,FALSE),NA())</f>
        <v/>
      </c>
      <c r="G54">
        <f>L24</f>
        <v/>
      </c>
      <c r="H54">
        <f>EXP(G54+$B$2*LN(E54))</f>
        <v/>
      </c>
      <c r="I54">
        <f>IFERROR(VLOOKUP(C54,Investment!$B:$C,2,FALSE),0)</f>
        <v/>
      </c>
      <c r="J54">
        <f>J53*(1-$B$3)+I54</f>
        <v/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(N54/N53-1)*100</f>
        <v/>
      </c>
      <c r="P54">
        <f>IFERROR(VLOOKUP(C54,WEO_Data!$B:$D,3,FALSE),NA())</f>
        <v/>
      </c>
    </row>
    <row r="55">
      <c r="C55" t="n">
        <v>2021</v>
      </c>
      <c r="D55">
        <f>IFERROR(E55/F55,NA())</f>
        <v/>
      </c>
      <c r="E55" s="19">
        <f>IF(C55&lt;=2019,IFERROR(VLOOKUP(C55,PWT!$A:$C,3,FALSE),NA()),F55*$B$4)</f>
        <v/>
      </c>
      <c r="F55">
        <f>IFERROR(VLOOKUP(C55,WEO_Data!$B:$C,2,FALSE),NA())</f>
        <v/>
      </c>
      <c r="G55">
        <f>L25</f>
        <v/>
      </c>
      <c r="H55">
        <f>EXP(G55+$B$2*LN(E55))</f>
        <v/>
      </c>
      <c r="I55">
        <f>IFERROR(VLOOKUP(C55,Investment!$B:$C,2,FALSE),0)</f>
        <v/>
      </c>
      <c r="J55">
        <f>J54*(1-$B$3)+I55</f>
        <v/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(N55/N54-1)*100</f>
        <v/>
      </c>
      <c r="P55">
        <f>IFERROR(VLOOKUP(C55,WEO_Data!$B:$D,3,FALSE),NA())</f>
        <v/>
      </c>
    </row>
    <row r="56">
      <c r="C56" t="n">
        <v>2022</v>
      </c>
      <c r="D56">
        <f>IFERROR(E56/F56,NA())</f>
        <v/>
      </c>
      <c r="E56" s="19">
        <f>IF(C56&lt;=2019,IFERROR(VLOOKUP(C56,PWT!$A:$C,3,FALSE),NA()),F56*$B$4)</f>
        <v/>
      </c>
      <c r="F56">
        <f>IFERROR(VLOOKUP(C56,WEO_Data!$B:$C,2,FALSE),NA())</f>
        <v/>
      </c>
      <c r="G56">
        <f>L26</f>
        <v/>
      </c>
      <c r="H56">
        <f>EXP(G56+$B$2*LN(E56))</f>
        <v/>
      </c>
      <c r="I56">
        <f>IFERROR(VLOOKUP(C56,Investment!$B:$C,2,FALSE),0)</f>
        <v/>
      </c>
      <c r="J56">
        <f>J55*(1-$B$3)+I56</f>
        <v/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(N56/N55-1)*100</f>
        <v/>
      </c>
      <c r="P56">
        <f>IFERROR(VLOOKUP(C56,WEO_Data!$B:$D,3,FALSE),NA())</f>
        <v/>
      </c>
    </row>
    <row r="57">
      <c r="C57" t="n">
        <v>2023</v>
      </c>
      <c r="D57">
        <f>IFERROR(E57/F57,NA())</f>
        <v/>
      </c>
      <c r="E57" s="19">
        <f>IF(C57&lt;=2019,IFERROR(VLOOKUP(C57,PWT!$A:$C,3,FALSE),NA()),F57*$B$4)</f>
        <v/>
      </c>
      <c r="F57">
        <f>IFERROR(VLOOKUP(C57,WEO_Data!$B:$C,2,FALSE),NA())</f>
        <v/>
      </c>
      <c r="G57">
        <f>L27</f>
        <v/>
      </c>
      <c r="H57">
        <f>EXP(G57+$B$2*LN(E57))</f>
        <v/>
      </c>
      <c r="I57">
        <f>IFERROR(VLOOKUP(C57,Investment!$B:$C,2,FALSE),0)</f>
        <v/>
      </c>
      <c r="J57">
        <f>J56*(1-$B$3)+I57</f>
        <v/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(N57/N56-1)*100</f>
        <v/>
      </c>
      <c r="P57">
        <f>IFERROR(VLOOKUP(C57,WEO_Data!$B:$D,3,FALSE),NA())</f>
        <v/>
      </c>
    </row>
    <row r="58">
      <c r="C58" t="n">
        <v>2024</v>
      </c>
      <c r="D58">
        <f>IFERROR(E58/F58,NA())</f>
        <v/>
      </c>
      <c r="E58" s="21">
        <f>IF(C58&lt;=2019,IFERROR(VLOOKUP(C58,PWT!$A:$C,3,FALSE),NA()),F58*$B$4)</f>
        <v/>
      </c>
      <c r="F58">
        <f>IFERROR(VLOOKUP(C58,WEO_Data!$B:$C,2,FALSE),NA())</f>
        <v/>
      </c>
      <c r="G58" s="20">
        <f>TREND($G$36:$G$57,$C$36:$C$57,C58)</f>
        <v/>
      </c>
      <c r="H58">
        <f>EXP(G58+$B$2*LN(E58))</f>
        <v/>
      </c>
      <c r="I58">
        <f>IFERROR(VLOOKUP(C58,Investment!$B:$C,2,FALSE),0)</f>
        <v/>
      </c>
      <c r="J58">
        <f>J57*(1-$B$3)+I58</f>
        <v/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(N58/N57-1)*100</f>
        <v/>
      </c>
      <c r="P58">
        <f>IFERROR(VLOOKUP(C58,WEO_Data!$B:$D,3,FALSE),NA())</f>
        <v/>
      </c>
    </row>
    <row r="59">
      <c r="C59" t="n">
        <v>2025</v>
      </c>
      <c r="D59">
        <f>IFERROR(E59/F59,NA())</f>
        <v/>
      </c>
      <c r="E59" s="21">
        <f>IF(C59&lt;=2019,IFERROR(VLOOKUP(C59,PWT!$A:$C,3,FALSE),NA()),F59*$B$4)</f>
        <v/>
      </c>
      <c r="F59">
        <f>IFERROR(VLOOKUP(C59,WEO_Data!$B:$C,2,FALSE),NA())</f>
        <v/>
      </c>
      <c r="G59" s="20">
        <f>TREND($G$36:$G$57,$C$36:$C$57,C59)</f>
        <v/>
      </c>
      <c r="H59">
        <f>EXP(G59+$B$2*LN(E59))</f>
        <v/>
      </c>
      <c r="I59">
        <f>IFERROR(VLOOKUP(C59,Investment!$B:$C,2,FALSE),0)</f>
        <v/>
      </c>
      <c r="J59">
        <f>J58*(1-$B$3)+I59</f>
        <v/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(N59/N58-1)*100</f>
        <v/>
      </c>
      <c r="P59">
        <f>IFERROR(VLOOKUP(C59,WEO_Data!$B:$D,3,FALSE),NA())</f>
        <v/>
      </c>
    </row>
    <row r="60">
      <c r="C60" t="n">
        <v>2026</v>
      </c>
      <c r="D60">
        <f>IFERROR(E60/F60,NA())</f>
        <v/>
      </c>
      <c r="E60" s="21">
        <f>IF(C60&lt;=2019,IFERROR(VLOOKUP(C60,PWT!$A:$C,3,FALSE),NA()),F60*$B$4)</f>
        <v/>
      </c>
      <c r="F60" s="20">
        <f>IFERROR(VLOOKUP(C60,WEO_Data!$B:$C,2,FALSE),NA())</f>
        <v/>
      </c>
      <c r="G60" s="20">
        <f>TREND($G$36:$G$57,$C$36:$C$57,C60)</f>
        <v/>
      </c>
      <c r="H60">
        <f>EXP(G60+$B$2*LN(E60))</f>
        <v/>
      </c>
      <c r="I60" s="17">
        <f>IFERROR(VLOOKUP(C60,Investment!$B:$C,2,FALSE),0)</f>
        <v/>
      </c>
      <c r="J60">
        <f>J59*(1-$B$3)+I60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(N60/N59-1)*100</f>
        <v/>
      </c>
      <c r="P60">
        <f>IFERROR(VLOOKUP(C60,WEO_Data!$B:$D,3,FALSE),NA())</f>
        <v/>
      </c>
    </row>
    <row r="61">
      <c r="C61" t="n">
        <v>2027</v>
      </c>
      <c r="D61">
        <f>IFERROR(E61/F61,NA())</f>
        <v/>
      </c>
      <c r="E61" s="21">
        <f>IF(C61&lt;=2019,IFERROR(VLOOKUP(C61,PWT!$A:$C,3,FALSE),NA()),F61*$B$4)</f>
        <v/>
      </c>
      <c r="F61" s="20">
        <f>IFERROR(VLOOKUP(C61,WEO_Data!$B:$C,2,FALSE),NA())</f>
        <v/>
      </c>
      <c r="G61" s="20">
        <f>TREND($G$36:$G$57,$C$36:$C$57,C61)</f>
        <v/>
      </c>
      <c r="H61">
        <f>EXP(G61+$B$2*LN(E61))</f>
        <v/>
      </c>
      <c r="I61" s="17">
        <f>IFERROR(VLOOKUP(C61,Investment!$B:$C,2,FALSE),0)</f>
        <v/>
      </c>
      <c r="J61">
        <f>J60*(1-$B$3)+I61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(N61/N60-1)*100</f>
        <v/>
      </c>
      <c r="P61">
        <f>IFERROR(VLOOKUP(C61,WEO_Data!$B:$D,3,FALSE),NA())</f>
        <v/>
      </c>
    </row>
    <row r="62">
      <c r="C62" t="n">
        <v>2028</v>
      </c>
      <c r="D62">
        <f>IFERROR(E62/F62,NA())</f>
        <v/>
      </c>
      <c r="E62" s="21">
        <f>IF(C62&lt;=2019,IFERROR(VLOOKUP(C62,PWT!$A:$C,3,FALSE),NA()),F62*$B$4)</f>
        <v/>
      </c>
      <c r="F62" s="20">
        <f>IFERROR(VLOOKUP(C62,WEO_Data!$B:$C,2,FALSE),NA())</f>
        <v/>
      </c>
      <c r="G62" s="20">
        <f>TREND($G$36:$G$57,$C$36:$C$57,C62)</f>
        <v/>
      </c>
      <c r="H62">
        <f>EXP(G62+$B$2*LN(E62))</f>
        <v/>
      </c>
      <c r="I62" s="17">
        <f>IFERROR(VLOOKUP(C62,Investment!$B:$C,2,FALSE),0)</f>
        <v/>
      </c>
      <c r="J62">
        <f>J61*(1-$B$3)+I62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(N62/N61-1)*100</f>
        <v/>
      </c>
      <c r="P62">
        <f>IFERROR(VLOOKUP(C62,WEO_Data!$B:$D,3,FALSE),NA())</f>
        <v/>
      </c>
    </row>
    <row r="63">
      <c r="C63" t="n">
        <v>2029</v>
      </c>
      <c r="D63">
        <f>IFERROR(E63/F63,NA())</f>
        <v/>
      </c>
      <c r="E63" s="21">
        <f>IF(C63&lt;=2019,IFERROR(VLOOKUP(C63,PWT!$A:$C,3,FALSE),NA()),F63*$B$4)</f>
        <v/>
      </c>
      <c r="F63" s="20">
        <f>IFERROR(VLOOKUP(C63,WEO_Data!$B:$C,2,FALSE),NA())</f>
        <v/>
      </c>
      <c r="G63" s="20">
        <f>TREND($G$36:$G$57,$C$36:$C$57,C63)</f>
        <v/>
      </c>
      <c r="H63">
        <f>EXP(G63+$B$2*LN(E63))</f>
        <v/>
      </c>
      <c r="I63" s="17">
        <f>IFERROR(VLOOKUP(C63,Investment!$B:$C,2,FALSE),0)</f>
        <v/>
      </c>
      <c r="J63">
        <f>J62*(1-$B$3)+I63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(N63/N62-1)*100</f>
        <v/>
      </c>
      <c r="P63">
        <f>IFERROR(VLOOKUP(C63,WEO_Data!$B:$D,3,FALSE),NA())</f>
        <v/>
      </c>
    </row>
    <row r="64">
      <c r="C64" t="n">
        <v>2030</v>
      </c>
      <c r="D64">
        <f>IFERROR(E64/F64,NA())</f>
        <v/>
      </c>
      <c r="E64" s="21">
        <f>IF(C64&lt;=2019,IFERROR(VLOOKUP(C64,PWT!$A:$C,3,FALSE),NA()),F64*$B$4)</f>
        <v/>
      </c>
      <c r="F64" s="20">
        <f>IFERROR(VLOOKUP(C64,WEO_Data!$B:$C,2,FALSE),NA())</f>
        <v/>
      </c>
      <c r="G64" s="20">
        <f>TREND($G$36:$G$57,$C$36:$C$57,C64)</f>
        <v/>
      </c>
      <c r="H64">
        <f>EXP(G64+$B$2*LN(E64))</f>
        <v/>
      </c>
      <c r="I64" s="17">
        <f>IFERROR(VLOOKUP(C64,Investment!$B:$C,2,FALSE),0)</f>
        <v/>
      </c>
      <c r="J64">
        <f>J63*(1-$B$3)+I64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(N64/N63-1)*100</f>
        <v/>
      </c>
      <c r="P64">
        <f>IFERROR(VLOOKUP(C64,WEO_Data!$B:$D,3,FALSE),NA())</f>
        <v/>
      </c>
    </row>
    <row r="65">
      <c r="C65" t="n">
        <v>2031</v>
      </c>
      <c r="D65">
        <f>IFERROR(E65/F65,NA())</f>
        <v/>
      </c>
      <c r="E65" s="21">
        <f>IF(C65&lt;=2019,IFERROR(VLOOKUP(C65,PWT!$A:$C,3,FALSE),NA()),F65*$B$4)</f>
        <v/>
      </c>
      <c r="F65" s="20">
        <f>IFERROR(VLOOKUP(C65,WEO_Data!$B:$C,2,FALSE),NA())</f>
        <v/>
      </c>
      <c r="G65" s="20">
        <f>TREND($G$36:$G$57,$C$36:$C$57,C65)</f>
        <v/>
      </c>
      <c r="H65">
        <f>EXP(G65+$B$2*LN(E65))</f>
        <v/>
      </c>
      <c r="I65" s="17">
        <f>IFERROR(VLOOKUP(C65,Investment!$B:$C,2,FALSE),0)</f>
        <v/>
      </c>
      <c r="J65">
        <f>J64*(1-$B$3)+I65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(N65/N64-1)*100</f>
        <v/>
      </c>
      <c r="P65">
        <f>IFERROR(VLOOKUP(C65,WEO_Data!$B:$D,3,FALSE),NA())</f>
        <v/>
      </c>
    </row>
    <row r="66">
      <c r="C66" t="n">
        <v>2032</v>
      </c>
      <c r="D66">
        <f>IFERROR(E66/F66,NA())</f>
        <v/>
      </c>
      <c r="E66" s="21">
        <f>IF(C66&lt;=2019,IFERROR(VLOOKUP(C66,PWT!$A:$C,3,FALSE),NA()),F66*$B$4)</f>
        <v/>
      </c>
      <c r="F66" s="20">
        <f>IFERROR(VLOOKUP(C66,WEO_Data!$B:$C,2,FALSE),NA())</f>
        <v/>
      </c>
      <c r="G66" s="20">
        <f>TREND($G$36:$G$57,$C$36:$C$57,C66)</f>
        <v/>
      </c>
      <c r="H66">
        <f>EXP(G66+$B$2*LN(E66))</f>
        <v/>
      </c>
      <c r="I66" s="17">
        <f>IFERROR(VLOOKUP(C66,Investment!$B:$C,2,FALSE),0)</f>
        <v/>
      </c>
      <c r="J66">
        <f>J65*(1-$B$3)+I66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(N66/N65-1)*100</f>
        <v/>
      </c>
      <c r="P66">
        <f>IFERROR(VLOOKUP(C66,WEO_Data!$B:$D,3,FALSE),NA())</f>
        <v/>
      </c>
    </row>
    <row r="67">
      <c r="C67" t="n">
        <v>2033</v>
      </c>
      <c r="D67">
        <f>IFERROR(E67/F67,NA())</f>
        <v/>
      </c>
      <c r="E67" s="21">
        <f>IF(C67&lt;=2019,IFERROR(VLOOKUP(C67,PWT!$A:$C,3,FALSE),NA()),F67*$B$4)</f>
        <v/>
      </c>
      <c r="F67" s="20">
        <f>IFERROR(VLOOKUP(C67,WEO_Data!$B:$C,2,FALSE),NA())</f>
        <v/>
      </c>
      <c r="G67" s="20">
        <f>TREND($G$36:$G$57,$C$36:$C$57,C67)</f>
        <v/>
      </c>
      <c r="H67">
        <f>EXP(G67+$B$2*LN(E67))</f>
        <v/>
      </c>
      <c r="I67" s="17">
        <f>IFERROR(VLOOKUP(C67,Investment!$B:$C,2,FALSE),0)</f>
        <v/>
      </c>
      <c r="J67">
        <f>J66*(1-$B$3)+I67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(N67/N66-1)*100</f>
        <v/>
      </c>
      <c r="P67">
        <f>IFERROR(VLOOKUP(C67,WEO_Data!$B:$D,3,FALSE),NA())</f>
        <v/>
      </c>
    </row>
    <row r="68">
      <c r="C68" t="n">
        <v>2034</v>
      </c>
      <c r="D68">
        <f>IFERROR(E68/F68,NA())</f>
        <v/>
      </c>
      <c r="E68" s="21">
        <f>IF(C68&lt;=2019,IFERROR(VLOOKUP(C68,PWT!$A:$C,3,FALSE),NA()),F68*$B$4)</f>
        <v/>
      </c>
      <c r="F68" s="20">
        <f>IFERROR(VLOOKUP(C68,WEO_Data!$B:$C,2,FALSE),NA())</f>
        <v/>
      </c>
      <c r="G68" s="20">
        <f>TREND($G$36:$G$57,$C$36:$C$57,C68)</f>
        <v/>
      </c>
      <c r="H68">
        <f>EXP(G68+$B$2*LN(E68))</f>
        <v/>
      </c>
      <c r="I68">
        <f>IFERROR(VLOOKUP(C68,Investment!$B:$C,2,FALSE),0)</f>
        <v/>
      </c>
      <c r="J68">
        <f>J67*(1-$B$3)+I68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(N68/N67-1)*100</f>
        <v/>
      </c>
      <c r="P68">
        <f>IFERROR(VLOOKUP(C68,WEO_Data!$B:$D,3,FALSE),NA())</f>
        <v/>
      </c>
    </row>
    <row r="69">
      <c r="C69" t="n">
        <v>2035</v>
      </c>
      <c r="D69">
        <f>IFERROR(E69/F69,NA())</f>
        <v/>
      </c>
      <c r="E69" s="21">
        <f>IF(C69&lt;=2019,IFERROR(VLOOKUP(C69,PWT!$A:$C,3,FALSE),NA()),F69*$B$4)</f>
        <v/>
      </c>
      <c r="F69" s="20">
        <f>IFERROR(VLOOKUP(C69,WEO_Data!$B:$C,2,FALSE),NA())</f>
        <v/>
      </c>
      <c r="G69" s="20">
        <f>TREND($G$36:$G$57,$C$36:$C$57,C69)</f>
        <v/>
      </c>
      <c r="H69">
        <f>EXP(G69+$B$2*LN(E69))</f>
        <v/>
      </c>
      <c r="I69">
        <f>IFERROR(VLOOKUP(C69,Investment!$B:$C,2,FALSE),0)</f>
        <v/>
      </c>
      <c r="J69">
        <f>J68*(1-$B$3)+I69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(N69/N68-1)*100</f>
        <v/>
      </c>
      <c r="P69">
        <f>IFERROR(VLOOKUP(C69,WEO_Data!$B:$D,3,FALSE),NA())</f>
        <v/>
      </c>
    </row>
    <row r="70">
      <c r="C70" t="n">
        <v>2036</v>
      </c>
      <c r="D70">
        <f>IFERROR(E70/F70,NA())</f>
        <v/>
      </c>
      <c r="E70" s="21">
        <f>IF(C70&lt;=2019,IFERROR(VLOOKUP(C70,PWT!$A:$C,3,FALSE),NA()),F70*$B$4)</f>
        <v/>
      </c>
      <c r="F70" s="20">
        <f>IFERROR(VLOOKUP(C70,WEO_Data!$B:$C,2,FALSE),NA())</f>
        <v/>
      </c>
      <c r="G70" s="20">
        <f>TREND($G$36:$G$57,$C$36:$C$57,C70)</f>
        <v/>
      </c>
      <c r="H70">
        <f>EXP(G70+$B$2*LN(E70))</f>
        <v/>
      </c>
      <c r="I70">
        <f>IFERROR(VLOOKUP(C70,Investment!$B:$C,2,FALSE),0)</f>
        <v/>
      </c>
      <c r="J70">
        <f>J69*(1-$B$3)+I70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(N70/N69-1)*100</f>
        <v/>
      </c>
      <c r="P70">
        <f>IFERROR(VLOOKUP(C70,WEO_Data!$B:$D,3,FALSE),NA())</f>
        <v/>
      </c>
    </row>
    <row r="71">
      <c r="C71" t="n">
        <v>2037</v>
      </c>
      <c r="D71">
        <f>IFERROR(E71/F71,NA())</f>
        <v/>
      </c>
      <c r="E71" s="21">
        <f>IF(C71&lt;=2019,IFERROR(VLOOKUP(C71,PWT!$A:$C,3,FALSE),NA()),F71*$B$4)</f>
        <v/>
      </c>
      <c r="F71" s="20">
        <f>IFERROR(VLOOKUP(C71,WEO_Data!$B:$C,2,FALSE),NA())</f>
        <v/>
      </c>
      <c r="G71" s="20">
        <f>TREND($G$36:$G$57,$C$36:$C$57,C71)</f>
        <v/>
      </c>
      <c r="H71">
        <f>EXP(G71+$B$2*LN(E71))</f>
        <v/>
      </c>
      <c r="I71">
        <f>IFERROR(VLOOKUP(C71,Investment!$B:$C,2,FALSE),0)</f>
        <v/>
      </c>
      <c r="J71">
        <f>J70*(1-$B$3)+I71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(N71/N70-1)*100</f>
        <v/>
      </c>
      <c r="P71">
        <f>IFERROR(VLOOKUP(C71,WEO_Data!$B:$D,3,FALSE),NA())</f>
        <v/>
      </c>
    </row>
    <row r="72">
      <c r="C72" t="n">
        <v>2038</v>
      </c>
      <c r="D72">
        <f>IFERROR(E72/F72,NA())</f>
        <v/>
      </c>
      <c r="E72" s="21">
        <f>IF(C72&lt;=2019,IFERROR(VLOOKUP(C72,PWT!$A:$C,3,FALSE),NA()),F72*$B$4)</f>
        <v/>
      </c>
      <c r="F72" s="20">
        <f>IFERROR(VLOOKUP(C72,WEO_Data!$B:$C,2,FALSE),NA())</f>
        <v/>
      </c>
      <c r="G72" s="20">
        <f>TREND($G$36:$G$57,$C$36:$C$57,C72)</f>
        <v/>
      </c>
      <c r="H72">
        <f>EXP(G72+$B$2*LN(E72))</f>
        <v/>
      </c>
      <c r="I72">
        <f>IFERROR(VLOOKUP(C72,Investment!$B:$C,2,FALSE),0)</f>
        <v/>
      </c>
      <c r="J72">
        <f>J71*(1-$B$3)+I72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(N72/N71-1)*100</f>
        <v/>
      </c>
      <c r="P72">
        <f>IFERROR(VLOOKUP(C72,WEO_Data!$B:$D,3,FALSE),NA())</f>
        <v/>
      </c>
    </row>
    <row r="73">
      <c r="C73" t="n">
        <v>2039</v>
      </c>
      <c r="D73">
        <f>IFERROR(E73/F73,NA())</f>
        <v/>
      </c>
      <c r="E73" s="21">
        <f>IF(C73&lt;=2019,IFERROR(VLOOKUP(C73,PWT!$A:$C,3,FALSE),NA()),F73*$B$4)</f>
        <v/>
      </c>
      <c r="F73" s="20">
        <f>IFERROR(VLOOKUP(C73,WEO_Data!$B:$C,2,FALSE),NA())</f>
        <v/>
      </c>
      <c r="G73" s="20">
        <f>TREND($G$36:$G$57,$C$36:$C$57,C73)</f>
        <v/>
      </c>
      <c r="H73">
        <f>EXP(G73+$B$2*LN(E73))</f>
        <v/>
      </c>
      <c r="I73">
        <f>IFERROR(VLOOKUP(C73,Investment!$B:$C,2,FALSE),0)</f>
        <v/>
      </c>
      <c r="J73">
        <f>J72*(1-$B$3)+I73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(N73/N72-1)*100</f>
        <v/>
      </c>
      <c r="P73">
        <f>IFERROR(VLOOKUP(C73,WEO_Data!$B:$D,3,FALSE),NA())</f>
        <v/>
      </c>
    </row>
    <row r="74">
      <c r="C74" t="n">
        <v>2040</v>
      </c>
      <c r="D74">
        <f>IFERROR(E74/F74,NA())</f>
        <v/>
      </c>
      <c r="E74" s="21">
        <f>IF(C74&lt;=2019,IFERROR(VLOOKUP(C74,PWT!$A:$C,3,FALSE),NA()),F74*$B$4)</f>
        <v/>
      </c>
      <c r="F74" s="20">
        <f>IFERROR(VLOOKUP(C74,WEO_Data!$B:$C,2,FALSE),NA())</f>
        <v/>
      </c>
      <c r="G74" s="20">
        <f>TREND($G$36:$G$57,$C$36:$C$57,C74)</f>
        <v/>
      </c>
      <c r="H74">
        <f>EXP(G74+$B$2*LN(E74))</f>
        <v/>
      </c>
      <c r="I74">
        <f>IFERROR(VLOOKUP(C74,Investment!$B:$C,2,FALSE),0)</f>
        <v/>
      </c>
      <c r="J74">
        <f>J73*(1-$B$3)+I74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(N74/N73-1)*100</f>
        <v/>
      </c>
      <c r="P74">
        <f>IFERROR(VLOOKUP(C74,WEO_Data!$B:$D,3,FALSE),NA())</f>
        <v/>
      </c>
    </row>
    <row r="75">
      <c r="C75" t="n">
        <v>2041</v>
      </c>
      <c r="D75">
        <f>IFERROR(E75/F75,NA())</f>
        <v/>
      </c>
      <c r="E75" s="21">
        <f>IF(C75&lt;=2019,IFERROR(VLOOKUP(C75,PWT!$A:$C,3,FALSE),NA()),F75*$B$4)</f>
        <v/>
      </c>
      <c r="F75" s="20">
        <f>IFERROR(VLOOKUP(C75,WEO_Data!$B:$C,2,FALSE),NA())</f>
        <v/>
      </c>
      <c r="G75" s="20">
        <f>TREND($G$36:$G$57,$C$36:$C$57,C75)</f>
        <v/>
      </c>
      <c r="H75">
        <f>EXP(G75+$B$2*LN(E75))</f>
        <v/>
      </c>
      <c r="I75">
        <f>IFERROR(VLOOKUP(C75,Investment!$B:$C,2,FALSE),0)</f>
        <v/>
      </c>
      <c r="J75">
        <f>J74*(1-$B$3)+I75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(N75/N74-1)*100</f>
        <v/>
      </c>
      <c r="P75">
        <f>IFERROR(VLOOKUP(C75,WEO_Data!$B:$D,3,FALSE),NA())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IFERROR(VLOOKUP(B2,PWT!$A:$C,3,FALSE),NA())</f>
        <v/>
      </c>
      <c r="E2">
        <f>IFERROR(C2/D2,NA())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IFERROR(VLOOKUP(B3,PWT!$A:$C,3,FALSE),NA())</f>
        <v/>
      </c>
      <c r="E3">
        <f>IFERROR(C3/D3,NA())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IFERROR(VLOOKUP(B4,PWT!$A:$C,3,FALSE),NA())</f>
        <v/>
      </c>
      <c r="E4">
        <f>IFERROR(C4/D4,NA())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IFERROR(VLOOKUP(B5,PWT!$A:$C,3,FALSE),NA())</f>
        <v/>
      </c>
      <c r="E5">
        <f>IFERROR(C5/D5,NA())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IFERROR(VLOOKUP(B6,PWT!$A:$C,3,FALSE),NA())</f>
        <v/>
      </c>
      <c r="E6">
        <f>IFERROR(C6/D6,NA())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IFERROR(VLOOKUP(B7,PWT!$A:$C,3,FALSE),NA())</f>
        <v/>
      </c>
      <c r="E7">
        <f>IFERROR(C7/D7,NA())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IFERROR(VLOOKUP(B8,PWT!$A:$C,3,FALSE),NA())</f>
        <v/>
      </c>
      <c r="E8">
        <f>IFERROR(C8/D8,NA())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IFERROR(VLOOKUP(B9,PWT!$A:$C,3,FALSE),NA())</f>
        <v/>
      </c>
      <c r="E9">
        <f>IFERROR(C9/D9,NA())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IFERROR(VLOOKUP(B10,PWT!$A:$C,3,FALSE),NA())</f>
        <v/>
      </c>
      <c r="E10">
        <f>IFERROR(C10/D10,NA())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IFERROR(VLOOKUP(B11,PWT!$A:$C,3,FALSE),NA())</f>
        <v/>
      </c>
      <c r="E11">
        <f>IFERROR(C11/D11,NA())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IFERROR(VLOOKUP(B12,PWT!$A:$C,3,FALSE),NA())</f>
        <v/>
      </c>
      <c r="E12">
        <f>IFERROR(C12/D12,NA())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IFERROR(VLOOKUP(B13,PWT!$A:$C,3,FALSE),NA())</f>
        <v/>
      </c>
      <c r="E13">
        <f>IFERROR(C13/D13,NA())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IFERROR(VLOOKUP(B14,PWT!$A:$C,3,FALSE),NA())</f>
        <v/>
      </c>
      <c r="E14">
        <f>IFERROR(C14/D14,NA())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IFERROR(VLOOKUP(B15,PWT!$A:$C,3,FALSE),NA())</f>
        <v/>
      </c>
      <c r="E15">
        <f>IFERROR(C15/D15,NA())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IFERROR(VLOOKUP(B16,PWT!$A:$C,3,FALSE),NA())</f>
        <v/>
      </c>
      <c r="E16">
        <f>IFERROR(C16/D16,NA())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IFERROR(VLOOKUP(B17,PWT!$A:$C,3,FALSE),NA())</f>
        <v/>
      </c>
      <c r="E17">
        <f>IFERROR(C17/D17,NA())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IFERROR(VLOOKUP(B18,PWT!$A:$C,3,FALSE),NA())</f>
        <v/>
      </c>
      <c r="E18">
        <f>IFERROR(C18/D18,NA())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IFERROR(VLOOKUP(B19,PWT!$A:$C,3,FALSE),NA())</f>
        <v/>
      </c>
      <c r="E19">
        <f>IFERROR(C19/D19,NA())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IFERROR(VLOOKUP(B20,PWT!$A:$C,3,FALSE),NA())</f>
        <v/>
      </c>
      <c r="E20">
        <f>IFERROR(C20/D20,NA())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IFERROR(VLOOKUP(B21,PWT!$A:$C,3,FALSE),NA())</f>
        <v/>
      </c>
      <c r="E21">
        <f>IFERROR(C21/D21,NA())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IFERROR(VLOOKUP(B22,PWT!$A:$C,3,FALSE),NA())</f>
        <v/>
      </c>
      <c r="E22">
        <f>IFERROR(C22/D22,NA())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IFERROR(VLOOKUP(B23,PWT!$A:$C,3,FALSE),NA())</f>
        <v/>
      </c>
      <c r="E23">
        <f>IFERROR(C23/D23,NA())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IFERROR(VLOOKUP(B24,PWT!$A:$C,3,FALSE),NA())</f>
        <v/>
      </c>
      <c r="E24">
        <f>IFERROR(C24/D24,NA())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IFERROR(VLOOKUP(B25,PWT!$A:$C,3,FALSE),NA())</f>
        <v/>
      </c>
      <c r="E25">
        <f>IFERROR(C25/D25,NA())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IFERROR(VLOOKUP(B26,PWT!$A:$C,3,FALSE),NA())</f>
        <v/>
      </c>
      <c r="E26">
        <f>IFERROR(C26/D26,NA())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IFERROR(VLOOKUP(B27,PWT!$A:$C,3,FALSE),NA())</f>
        <v/>
      </c>
      <c r="E27">
        <f>IFERROR(C27/D27,NA())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IFERROR(VLOOKUP(B28,PWT!$A:$C,3,FALSE),NA())</f>
        <v/>
      </c>
      <c r="E28">
        <f>IFERROR(C28/D28,NA())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IFERROR(VLOOKUP(B29,PWT!$A:$C,3,FALSE),NA())</f>
        <v/>
      </c>
      <c r="E29">
        <f>IFERROR(C29/D29,NA())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217572.265625</v>
      </c>
    </row>
    <row r="3">
      <c r="A3" s="19" t="n">
        <v>1991</v>
      </c>
      <c r="B3" s="19" t="n">
        <v>219328.421875</v>
      </c>
    </row>
    <row r="4">
      <c r="A4" s="19" t="n">
        <v>1992</v>
      </c>
      <c r="B4" s="19" t="n">
        <v>215882.453125</v>
      </c>
    </row>
    <row r="5">
      <c r="A5" s="19" t="n">
        <v>1993</v>
      </c>
      <c r="B5" s="19" t="n">
        <v>207684.890625</v>
      </c>
    </row>
    <row r="6">
      <c r="A6" s="19" t="n">
        <v>1994</v>
      </c>
      <c r="B6" s="19" t="n">
        <v>202188.8125</v>
      </c>
      <c r="C6" t="n">
        <v>0.7602135539054871</v>
      </c>
    </row>
    <row r="7">
      <c r="A7" s="19" t="n">
        <v>1995</v>
      </c>
      <c r="B7" s="19" t="n">
        <v>198953.859375</v>
      </c>
      <c r="C7" t="n">
        <v>0.7268572449684143</v>
      </c>
    </row>
    <row r="8">
      <c r="A8" s="19" t="n">
        <v>1996</v>
      </c>
      <c r="B8" s="19" t="n">
        <v>196366.453125</v>
      </c>
      <c r="C8" t="n">
        <v>0.7085275650024414</v>
      </c>
    </row>
    <row r="9">
      <c r="A9" s="19" t="n">
        <v>1997</v>
      </c>
      <c r="B9" s="19" t="n">
        <v>194417.84375</v>
      </c>
      <c r="C9" t="n">
        <v>0.696666955947876</v>
      </c>
    </row>
    <row r="10">
      <c r="A10" s="19" t="n">
        <v>1998</v>
      </c>
      <c r="B10" s="19" t="n">
        <v>194516.296875</v>
      </c>
      <c r="C10" t="n">
        <v>0.6997866630554199</v>
      </c>
    </row>
    <row r="11">
      <c r="A11" s="19" t="n">
        <v>1999</v>
      </c>
      <c r="B11" s="19" t="n">
        <v>194964.5625</v>
      </c>
      <c r="C11" t="n">
        <v>0.7040711045265198</v>
      </c>
    </row>
    <row r="12">
      <c r="A12" s="19" t="n">
        <v>2000</v>
      </c>
      <c r="B12" s="19" t="n">
        <v>195327.078125</v>
      </c>
      <c r="C12" t="n">
        <v>0.7060662508010864</v>
      </c>
    </row>
    <row r="13">
      <c r="A13" s="19" t="n">
        <v>2001</v>
      </c>
      <c r="B13" s="19" t="n">
        <v>196512.453125</v>
      </c>
      <c r="C13" t="n">
        <v>0.7119103074073792</v>
      </c>
    </row>
    <row r="14">
      <c r="A14" s="19" t="n">
        <v>2002</v>
      </c>
      <c r="B14" s="19" t="n">
        <v>197317.59375</v>
      </c>
      <c r="C14" t="n">
        <v>0.7126988768577576</v>
      </c>
    </row>
    <row r="15">
      <c r="A15" s="19" t="n">
        <v>2003</v>
      </c>
      <c r="B15" s="19" t="n">
        <v>199678.921875</v>
      </c>
      <c r="C15" t="n">
        <v>0.7204451560974121</v>
      </c>
    </row>
    <row r="16">
      <c r="A16" s="19" t="n">
        <v>2004</v>
      </c>
      <c r="B16" s="19" t="n">
        <v>202658.8125</v>
      </c>
      <c r="C16" t="n">
        <v>0.7395504117012024</v>
      </c>
    </row>
    <row r="17">
      <c r="A17" s="19" t="n">
        <v>2005</v>
      </c>
      <c r="B17" s="19" t="n">
        <v>206400.5</v>
      </c>
      <c r="C17" t="n">
        <v>0.763181746006012</v>
      </c>
    </row>
    <row r="18">
      <c r="A18" s="19" t="n">
        <v>2006</v>
      </c>
      <c r="B18" s="19" t="n">
        <v>209660.25</v>
      </c>
      <c r="C18" t="n">
        <v>0.787469208240509</v>
      </c>
    </row>
    <row r="19">
      <c r="A19" s="19" t="n">
        <v>2007</v>
      </c>
      <c r="B19" s="19" t="n">
        <v>213821.375</v>
      </c>
      <c r="C19" t="n">
        <v>0.8151723742485046</v>
      </c>
    </row>
    <row r="20">
      <c r="A20" s="19" t="n">
        <v>2008</v>
      </c>
      <c r="B20" s="19" t="n">
        <v>215825.90625</v>
      </c>
      <c r="C20" t="n">
        <v>0.8304617404937744</v>
      </c>
    </row>
    <row r="21">
      <c r="A21" s="19" t="n">
        <v>2009</v>
      </c>
      <c r="B21" s="19" t="n">
        <v>214505.90625</v>
      </c>
      <c r="C21" t="n">
        <v>0.8225216269493103</v>
      </c>
    </row>
    <row r="22">
      <c r="A22" s="19" t="n">
        <v>2010</v>
      </c>
      <c r="B22" s="19" t="n">
        <v>215740.28125</v>
      </c>
      <c r="C22" t="n">
        <v>0.8290011286735535</v>
      </c>
    </row>
    <row r="23">
      <c r="A23" s="19" t="n">
        <v>2011</v>
      </c>
      <c r="B23" s="19" t="n">
        <v>218333.703125</v>
      </c>
      <c r="C23" t="n">
        <v>0.8412725925445557</v>
      </c>
    </row>
    <row r="24">
      <c r="A24" s="19" t="n">
        <v>2012</v>
      </c>
      <c r="B24" s="19" t="n">
        <v>221570.09375</v>
      </c>
      <c r="C24" t="n">
        <v>0.8565868735313416</v>
      </c>
    </row>
    <row r="25">
      <c r="A25" s="19" t="n">
        <v>2013</v>
      </c>
      <c r="B25" s="19" t="n">
        <v>223431.875</v>
      </c>
      <c r="C25" t="n">
        <v>0.8665607571601868</v>
      </c>
    </row>
    <row r="26">
      <c r="A26" s="19" t="n">
        <v>2014</v>
      </c>
      <c r="B26" s="19" t="n">
        <v>227911.96875</v>
      </c>
      <c r="C26" t="n">
        <v>0.8898752927780151</v>
      </c>
    </row>
    <row r="27">
      <c r="A27" s="19" t="n">
        <v>2015</v>
      </c>
      <c r="B27" s="19" t="n">
        <v>234164.859375</v>
      </c>
      <c r="C27" t="n">
        <v>0.9230954051017761</v>
      </c>
    </row>
    <row r="28">
      <c r="A28" s="19" t="n">
        <v>2016</v>
      </c>
      <c r="B28" s="19" t="n">
        <v>241138.375</v>
      </c>
      <c r="C28" t="n">
        <v>0.9608765244483948</v>
      </c>
    </row>
    <row r="29">
      <c r="A29" s="19" t="n">
        <v>2017</v>
      </c>
      <c r="B29" s="19" t="n">
        <v>248033.09375</v>
      </c>
      <c r="C29" t="n">
        <v>1</v>
      </c>
    </row>
    <row r="30">
      <c r="A30" s="19" t="n">
        <v>2018</v>
      </c>
      <c r="B30" s="19" t="n">
        <v>254809.796875</v>
      </c>
      <c r="C30" t="n">
        <v>1.032231450080872</v>
      </c>
    </row>
    <row r="31">
      <c r="A31" s="19" t="n">
        <v>2019</v>
      </c>
      <c r="B31" s="19" t="n">
        <v>264125.5625</v>
      </c>
      <c r="C31" t="n">
        <v>1.078908801078796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2026-01-29T05:07:52Z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