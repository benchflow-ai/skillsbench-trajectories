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NA" sheetId="2" state="visible" r:id="rId2"/>
    <sheet name="SUPPLY" sheetId="3" state="visible" r:id="rId3"/>
    <sheet name="USE" sheetId="4" state="visible" r:id="rId4"/>
    <sheet name="SUT 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Nominal GDP (mil GEL)</t>
        </is>
      </c>
      <c r="C1" s="1" t="inlineStr">
        <is>
          <t>Real GDP Growth (%)</t>
        </is>
      </c>
      <c r="D1" s="1" t="inlineStr">
        <is>
          <t>GDP Deflator Index</t>
        </is>
      </c>
      <c r="E1" s="1" t="inlineStr">
        <is>
          <t>GDP Deflator Growth (%)</t>
        </is>
      </c>
      <c r="F1" s="1" t="inlineStr">
        <is>
          <t>Nominal GDP (mil USD)</t>
        </is>
      </c>
      <c r="G1" s="1" t="inlineStr">
        <is>
          <t>Real GDP (mil GEL, 2015 prices)</t>
        </is>
      </c>
      <c r="H1" s="1" t="inlineStr">
        <is>
          <t>Avg Deflator Growth (4yr)</t>
        </is>
      </c>
    </row>
    <row r="2">
      <c r="A2" t="n">
        <v>2020</v>
      </c>
      <c r="B2" t="n">
        <v>49788.54</v>
      </c>
      <c r="C2" t="n">
        <v>-6.29</v>
      </c>
      <c r="D2" t="n">
        <v>125</v>
      </c>
      <c r="E2" t="n">
        <v>6.85</v>
      </c>
      <c r="F2">
        <f>B2/2.746</f>
        <v/>
      </c>
      <c r="G2">
        <f>B2/(D2/100)</f>
        <v/>
      </c>
      <c r="H2">
        <f>AVERAGE(E4:E7)</f>
        <v/>
      </c>
    </row>
    <row r="3">
      <c r="A3" t="n">
        <v>2021</v>
      </c>
      <c r="B3" t="n">
        <v>60724.14</v>
      </c>
      <c r="C3" t="n">
        <v>10.64</v>
      </c>
      <c r="D3">
        <f>D2*(1+E3/100)</f>
        <v/>
      </c>
      <c r="E3" t="n">
        <v>10.23</v>
      </c>
      <c r="F3">
        <f>B3/2.746</f>
        <v/>
      </c>
      <c r="G3">
        <f>B3/(D3/100)</f>
        <v/>
      </c>
    </row>
    <row r="4">
      <c r="A4" t="n">
        <v>2022</v>
      </c>
      <c r="B4" t="n">
        <v>72860.06</v>
      </c>
      <c r="C4" t="n">
        <v>10.96</v>
      </c>
      <c r="D4">
        <f>D3*(1+E4/100)</f>
        <v/>
      </c>
      <c r="E4" t="n">
        <v>8.130000000000001</v>
      </c>
      <c r="F4">
        <f>B4/2.746</f>
        <v/>
      </c>
      <c r="G4">
        <f>B4/(D4/100)</f>
        <v/>
      </c>
    </row>
    <row r="5">
      <c r="A5" t="n">
        <v>2023</v>
      </c>
      <c r="B5" t="n">
        <v>80882.75999999999</v>
      </c>
      <c r="C5" t="n">
        <v>7.83</v>
      </c>
      <c r="D5">
        <f>D4*(1+E5/100)</f>
        <v/>
      </c>
      <c r="E5" t="n">
        <v>2.95</v>
      </c>
      <c r="F5">
        <f>B5/2.746</f>
        <v/>
      </c>
      <c r="G5">
        <f>B5/(D5/100)</f>
        <v/>
      </c>
    </row>
    <row r="6">
      <c r="A6" t="n">
        <v>2024</v>
      </c>
      <c r="B6" t="n">
        <v>93022.28</v>
      </c>
      <c r="C6" t="n">
        <v>9.68</v>
      </c>
      <c r="D6">
        <f>D5*(1+E6/100)</f>
        <v/>
      </c>
      <c r="E6" t="n">
        <v>4.86</v>
      </c>
      <c r="F6">
        <f>B6/2.746</f>
        <v/>
      </c>
      <c r="G6">
        <f>B6/(D6/100)</f>
        <v/>
      </c>
    </row>
    <row r="7">
      <c r="A7" t="n">
        <v>2025</v>
      </c>
      <c r="B7">
        <f>B6*(1+C7/100)*(1+E7/100)</f>
        <v/>
      </c>
      <c r="C7" t="n">
        <v>5.5</v>
      </c>
      <c r="D7">
        <f>D6*(1+E7/100)</f>
        <v/>
      </c>
      <c r="E7">
        <f>$H$2</f>
        <v/>
      </c>
      <c r="F7">
        <f>B7/2.746</f>
        <v/>
      </c>
      <c r="G7">
        <f>B7/(D7/100)</f>
        <v/>
      </c>
    </row>
    <row r="8">
      <c r="A8" t="n">
        <v>2026</v>
      </c>
      <c r="B8">
        <f>B7*(1+C8/100)*(1+E8/100)</f>
        <v/>
      </c>
      <c r="C8" t="n">
        <v>5.2</v>
      </c>
      <c r="D8">
        <f>D7*(1+E8/100)</f>
        <v/>
      </c>
      <c r="E8">
        <f>$H$2</f>
        <v/>
      </c>
      <c r="F8">
        <f>B8/2.746</f>
        <v/>
      </c>
      <c r="G8">
        <f>B8/(D8/100)</f>
        <v/>
      </c>
    </row>
    <row r="9">
      <c r="A9" t="n">
        <v>2027</v>
      </c>
      <c r="B9">
        <f>B8*(1+C9/100)*(1+E9/100)</f>
        <v/>
      </c>
      <c r="C9" t="n">
        <v>5</v>
      </c>
      <c r="D9">
        <f>D8*(1+E9/100)</f>
        <v/>
      </c>
      <c r="E9">
        <f>$H$2</f>
        <v/>
      </c>
      <c r="F9">
        <f>B9/2.746</f>
        <v/>
      </c>
      <c r="G9">
        <f>B9/(D9/100)</f>
        <v/>
      </c>
    </row>
    <row r="10">
      <c r="A10" t="n">
        <v>2028</v>
      </c>
      <c r="B10">
        <f>B9*(1+C10/100)*(1+E10/100)</f>
        <v/>
      </c>
      <c r="C10">
        <f>$C$9</f>
        <v/>
      </c>
      <c r="D10">
        <f>D9*(1+E10/100)</f>
        <v/>
      </c>
      <c r="E10">
        <f>$H$2</f>
        <v/>
      </c>
      <c r="F10">
        <f>B10/2.746</f>
        <v/>
      </c>
      <c r="G10">
        <f>B10/(D10/100)</f>
        <v/>
      </c>
    </row>
    <row r="11">
      <c r="A11" t="n">
        <v>2029</v>
      </c>
      <c r="B11">
        <f>B10*(1+C11/100)*(1+E11/100)</f>
        <v/>
      </c>
      <c r="C11">
        <f>$C$9</f>
        <v/>
      </c>
      <c r="D11">
        <f>D10*(1+E11/100)</f>
        <v/>
      </c>
      <c r="E11">
        <f>$H$2</f>
        <v/>
      </c>
      <c r="F11">
        <f>B11/2.746</f>
        <v/>
      </c>
      <c r="G11">
        <f>B11/(D11/100)</f>
        <v/>
      </c>
    </row>
    <row r="12">
      <c r="A12" t="n">
        <v>2030</v>
      </c>
      <c r="B12">
        <f>B11*(1+C12/100)*(1+E12/100)</f>
        <v/>
      </c>
      <c r="C12">
        <f>$C$9</f>
        <v/>
      </c>
      <c r="D12">
        <f>D11*(1+E12/100)</f>
        <v/>
      </c>
      <c r="E12">
        <f>$H$2</f>
        <v/>
      </c>
      <c r="F12">
        <f>B12/2.746</f>
        <v/>
      </c>
      <c r="G12">
        <f>B12/(D12/100)</f>
        <v/>
      </c>
    </row>
    <row r="13">
      <c r="A13" t="n">
        <v>2031</v>
      </c>
      <c r="B13">
        <f>B12*(1+C13/100)*(1+E13/100)</f>
        <v/>
      </c>
      <c r="C13">
        <f>$C$9</f>
        <v/>
      </c>
      <c r="D13">
        <f>D12*(1+E13/100)</f>
        <v/>
      </c>
      <c r="E13">
        <f>$H$2</f>
        <v/>
      </c>
      <c r="F13">
        <f>B13/2.746</f>
        <v/>
      </c>
      <c r="G13">
        <f>B13/(D13/100)</f>
        <v/>
      </c>
    </row>
    <row r="14">
      <c r="A14" t="n">
        <v>2032</v>
      </c>
      <c r="B14">
        <f>B13*(1+C14/100)*(1+E14/100)</f>
        <v/>
      </c>
      <c r="C14">
        <f>$C$9</f>
        <v/>
      </c>
      <c r="D14">
        <f>D13*(1+E14/100)</f>
        <v/>
      </c>
      <c r="E14">
        <f>$H$2</f>
        <v/>
      </c>
      <c r="F14">
        <f>B14/2.746</f>
        <v/>
      </c>
      <c r="G14">
        <f>B14/(D14/100)</f>
        <v/>
      </c>
    </row>
    <row r="15">
      <c r="A15" t="n">
        <v>2033</v>
      </c>
      <c r="B15">
        <f>B14*(1+C15/100)*(1+E15/100)</f>
        <v/>
      </c>
      <c r="C15">
        <f>$C$9</f>
        <v/>
      </c>
      <c r="D15">
        <f>D14*(1+E15/100)</f>
        <v/>
      </c>
      <c r="E15">
        <f>$H$2</f>
        <v/>
      </c>
      <c r="F15">
        <f>B15/2.746</f>
        <v/>
      </c>
      <c r="G15">
        <f>B15/(D15/100)</f>
        <v/>
      </c>
    </row>
    <row r="16">
      <c r="A16" t="n">
        <v>2034</v>
      </c>
      <c r="B16">
        <f>B15*(1+C16/100)*(1+E16/100)</f>
        <v/>
      </c>
      <c r="C16">
        <f>$C$9</f>
        <v/>
      </c>
      <c r="D16">
        <f>D15*(1+E16/100)</f>
        <v/>
      </c>
      <c r="E16">
        <f>$H$2</f>
        <v/>
      </c>
      <c r="F16">
        <f>B16/2.746</f>
        <v/>
      </c>
      <c r="G16">
        <f>B16/(D16/100)</f>
        <v/>
      </c>
    </row>
    <row r="17">
      <c r="A17" t="n">
        <v>2035</v>
      </c>
      <c r="B17">
        <f>B16*(1+C17/100)*(1+E17/100)</f>
        <v/>
      </c>
      <c r="C17">
        <f>$C$9</f>
        <v/>
      </c>
      <c r="D17">
        <f>D16*(1+E17/100)</f>
        <v/>
      </c>
      <c r="E17">
        <f>$H$2</f>
        <v/>
      </c>
      <c r="F17">
        <f>B17/2.746</f>
        <v/>
      </c>
      <c r="G17">
        <f>B17/(D17/100)</f>
        <v/>
      </c>
    </row>
    <row r="18">
      <c r="A18" t="n">
        <v>2036</v>
      </c>
      <c r="B18">
        <f>B17*(1+C18/100)*(1+E18/100)</f>
        <v/>
      </c>
      <c r="C18">
        <f>$C$9</f>
        <v/>
      </c>
      <c r="D18">
        <f>D17*(1+E18/100)</f>
        <v/>
      </c>
      <c r="E18">
        <f>$H$2</f>
        <v/>
      </c>
      <c r="F18">
        <f>B18/2.746</f>
        <v/>
      </c>
      <c r="G18">
        <f>B18/(D18/100)</f>
        <v/>
      </c>
    </row>
    <row r="19">
      <c r="A19" t="n">
        <v>2037</v>
      </c>
      <c r="B19">
        <f>B18*(1+C19/100)*(1+E19/100)</f>
        <v/>
      </c>
      <c r="C19">
        <f>$C$9</f>
        <v/>
      </c>
      <c r="D19">
        <f>D18*(1+E19/100)</f>
        <v/>
      </c>
      <c r="E19">
        <f>$H$2</f>
        <v/>
      </c>
      <c r="F19">
        <f>B19/2.746</f>
        <v/>
      </c>
      <c r="G19">
        <f>B19/(D19/100)</f>
        <v/>
      </c>
    </row>
    <row r="20">
      <c r="A20" t="n">
        <v>2038</v>
      </c>
      <c r="B20">
        <f>B19*(1+C20/100)*(1+E20/100)</f>
        <v/>
      </c>
      <c r="C20">
        <f>$C$9</f>
        <v/>
      </c>
      <c r="D20">
        <f>D19*(1+E20/100)</f>
        <v/>
      </c>
      <c r="E20">
        <f>$H$2</f>
        <v/>
      </c>
      <c r="F20">
        <f>B20/2.746</f>
        <v/>
      </c>
      <c r="G20">
        <f>B20/(D20/100)</f>
        <v/>
      </c>
    </row>
    <row r="21">
      <c r="A21" t="n">
        <v>2039</v>
      </c>
      <c r="B21">
        <f>B20*(1+C21/100)*(1+E21/100)</f>
        <v/>
      </c>
      <c r="C21">
        <f>$C$9</f>
        <v/>
      </c>
      <c r="D21">
        <f>D20*(1+E21/100)</f>
        <v/>
      </c>
      <c r="E21">
        <f>$H$2</f>
        <v/>
      </c>
      <c r="F21">
        <f>B21/2.746</f>
        <v/>
      </c>
      <c r="G21">
        <f>B21/(D21/100)</f>
        <v/>
      </c>
    </row>
    <row r="22">
      <c r="A22" t="n">
        <v>2040</v>
      </c>
      <c r="B22">
        <f>B21*(1+C22/100)*(1+E22/100)</f>
        <v/>
      </c>
      <c r="C22">
        <f>$C$9</f>
        <v/>
      </c>
      <c r="D22">
        <f>D21*(1+E22/100)</f>
        <v/>
      </c>
      <c r="E22">
        <f>$H$2</f>
        <v/>
      </c>
      <c r="F22">
        <f>B22/2.746</f>
        <v/>
      </c>
      <c r="G22">
        <f>B22/(D22/100)</f>
        <v/>
      </c>
    </row>
    <row r="23">
      <c r="A23" t="n">
        <v>2041</v>
      </c>
      <c r="B23">
        <f>B22*(1+C23/100)*(1+E23/100)</f>
        <v/>
      </c>
      <c r="C23">
        <f>$C$9</f>
        <v/>
      </c>
      <c r="D23">
        <f>D22*(1+E23/100)</f>
        <v/>
      </c>
      <c r="E23">
        <f>$H$2</f>
        <v/>
      </c>
      <c r="F23">
        <f>B23/2.746</f>
        <v/>
      </c>
      <c r="G23">
        <f>B23/(D23/100)</f>
        <v/>
      </c>
    </row>
    <row r="24">
      <c r="A24" t="n">
        <v>2042</v>
      </c>
      <c r="B24">
        <f>B23*(1+C24/100)*(1+E24/100)</f>
        <v/>
      </c>
      <c r="C24">
        <f>$C$9</f>
        <v/>
      </c>
      <c r="D24">
        <f>D23*(1+E24/100)</f>
        <v/>
      </c>
      <c r="E24">
        <f>$H$2</f>
        <v/>
      </c>
      <c r="F24">
        <f>B24/2.746</f>
        <v/>
      </c>
      <c r="G24">
        <f>B24/(D24/100)</f>
        <v/>
      </c>
    </row>
    <row r="25">
      <c r="A25" t="n">
        <v>2043</v>
      </c>
      <c r="B25">
        <f>B24*(1+C25/100)*(1+E25/100)</f>
        <v/>
      </c>
      <c r="C25">
        <f>$C$9</f>
        <v/>
      </c>
      <c r="D25">
        <f>D24*(1+E25/100)</f>
        <v/>
      </c>
      <c r="E25">
        <f>$H$2</f>
        <v/>
      </c>
      <c r="F25">
        <f>B25/2.746</f>
        <v/>
      </c>
      <c r="G25">
        <f>B25/(D25/100)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Year</t>
        </is>
      </c>
      <c r="C1" s="1" t="inlineStr">
        <is>
          <t>Real GDP</t>
        </is>
      </c>
      <c r="D1" s="1" t="inlineStr">
        <is>
          <t>Project Allocation (%)</t>
        </is>
      </c>
      <c r="E1" s="1" t="inlineStr">
        <is>
          <t>Project Investment</t>
        </is>
      </c>
      <c r="F1" s="1" t="inlineStr">
        <is>
          <t>Imports</t>
        </is>
      </c>
      <c r="G1" s="1" t="inlineStr">
        <is>
          <t>GDP impact</t>
        </is>
      </c>
      <c r="H1" s="1" t="inlineStr"/>
      <c r="I1" s="1" t="inlineStr"/>
      <c r="J1" s="1" t="inlineStr">
        <is>
          <t>Baseline GDP Growth</t>
        </is>
      </c>
      <c r="K1" s="1" t="inlineStr">
        <is>
          <t>Projected Growth</t>
        </is>
      </c>
    </row>
    <row r="2">
      <c r="G2" t="inlineStr">
        <is>
          <t>I-M</t>
        </is>
      </c>
      <c r="H2" t="inlineStr">
        <is>
          <t>Multiplier</t>
        </is>
      </c>
      <c r="I2" t="inlineStr">
        <is>
          <t>% of GDP</t>
        </is>
      </c>
    </row>
    <row r="3">
      <c r="B3" t="n">
        <v>2020</v>
      </c>
      <c r="C3">
        <f>WEO_Data!G2</f>
        <v/>
      </c>
      <c r="D3" t="n">
        <v>0</v>
      </c>
      <c r="E3">
        <f>$D$30*D3*2.746</f>
        <v/>
      </c>
      <c r="F3">
        <f>E3*$D$31</f>
        <v/>
      </c>
      <c r="G3">
        <f>E3-F3</f>
        <v/>
      </c>
      <c r="H3">
        <f>G3*$D$32</f>
        <v/>
      </c>
      <c r="I3">
        <f>IF(C3=0,0,H3*1000/C3*100)</f>
        <v/>
      </c>
      <c r="J3">
        <f>WEO_Data!C2</f>
        <v/>
      </c>
      <c r="K3">
        <f>J3+I3</f>
        <v/>
      </c>
    </row>
    <row r="4">
      <c r="B4" t="n">
        <v>2021</v>
      </c>
      <c r="C4">
        <f>WEO_Data!G3</f>
        <v/>
      </c>
      <c r="D4" t="n">
        <v>0</v>
      </c>
      <c r="E4">
        <f>$D$30*D4*2.746</f>
        <v/>
      </c>
      <c r="F4">
        <f>E4*$D$31</f>
        <v/>
      </c>
      <c r="G4">
        <f>E4-F4</f>
        <v/>
      </c>
      <c r="H4">
        <f>G4*$D$32</f>
        <v/>
      </c>
      <c r="I4">
        <f>IF(C4=0,0,H4*1000/C4*100)</f>
        <v/>
      </c>
      <c r="J4">
        <f>WEO_Data!C3</f>
        <v/>
      </c>
      <c r="K4">
        <f>J4+I4</f>
        <v/>
      </c>
    </row>
    <row r="5">
      <c r="B5" t="n">
        <v>2022</v>
      </c>
      <c r="C5">
        <f>WEO_Data!G4</f>
        <v/>
      </c>
      <c r="D5" t="n">
        <v>0</v>
      </c>
      <c r="E5">
        <f>$D$30*D5*2.746</f>
        <v/>
      </c>
      <c r="F5">
        <f>E5*$D$31</f>
        <v/>
      </c>
      <c r="G5">
        <f>E5-F5</f>
        <v/>
      </c>
      <c r="H5">
        <f>G5*$D$32</f>
        <v/>
      </c>
      <c r="I5">
        <f>IF(C5=0,0,H5*1000/C5*100)</f>
        <v/>
      </c>
      <c r="J5">
        <f>WEO_Data!C4</f>
        <v/>
      </c>
      <c r="K5">
        <f>J5+I5</f>
        <v/>
      </c>
    </row>
    <row r="6">
      <c r="B6" t="n">
        <v>2023</v>
      </c>
      <c r="C6">
        <f>WEO_Data!G5</f>
        <v/>
      </c>
      <c r="D6" t="n">
        <v>0</v>
      </c>
      <c r="E6">
        <f>$D$30*D6*2.746</f>
        <v/>
      </c>
      <c r="F6">
        <f>E6*$D$31</f>
        <v/>
      </c>
      <c r="G6">
        <f>E6-F6</f>
        <v/>
      </c>
      <c r="H6">
        <f>G6*$D$32</f>
        <v/>
      </c>
      <c r="I6">
        <f>IF(C6=0,0,H6*1000/C6*100)</f>
        <v/>
      </c>
      <c r="J6">
        <f>WEO_Data!C5</f>
        <v/>
      </c>
      <c r="K6">
        <f>J6+I6</f>
        <v/>
      </c>
    </row>
    <row r="7">
      <c r="B7" t="n">
        <v>2024</v>
      </c>
      <c r="C7">
        <f>WEO_Data!G6</f>
        <v/>
      </c>
      <c r="D7" t="n">
        <v>0</v>
      </c>
      <c r="E7">
        <f>$D$30*D7*2.746</f>
        <v/>
      </c>
      <c r="F7">
        <f>E7*$D$31</f>
        <v/>
      </c>
      <c r="G7">
        <f>E7-F7</f>
        <v/>
      </c>
      <c r="H7">
        <f>G7*$D$32</f>
        <v/>
      </c>
      <c r="I7">
        <f>IF(C7=0,0,H7*1000/C7*100)</f>
        <v/>
      </c>
      <c r="J7">
        <f>WEO_Data!C6</f>
        <v/>
      </c>
      <c r="K7">
        <f>J7+I7</f>
        <v/>
      </c>
    </row>
    <row r="8">
      <c r="B8" t="n">
        <v>2025</v>
      </c>
      <c r="C8">
        <f>WEO_Data!G7</f>
        <v/>
      </c>
      <c r="D8" t="n">
        <v>0</v>
      </c>
      <c r="E8">
        <f>$D$30*D8*2.746</f>
        <v/>
      </c>
      <c r="F8">
        <f>E8*$D$31</f>
        <v/>
      </c>
      <c r="G8">
        <f>E8-F8</f>
        <v/>
      </c>
      <c r="H8">
        <f>G8*$D$32</f>
        <v/>
      </c>
      <c r="I8">
        <f>IF(C8=0,0,H8*1000/C8*100)</f>
        <v/>
      </c>
      <c r="J8">
        <f>WEO_Data!C7</f>
        <v/>
      </c>
      <c r="K8">
        <f>J8+I8</f>
        <v/>
      </c>
    </row>
    <row r="9">
      <c r="B9" t="n">
        <v>2026</v>
      </c>
      <c r="C9">
        <f>WEO_Data!G8</f>
        <v/>
      </c>
      <c r="D9">
        <f>$D$34</f>
        <v/>
      </c>
      <c r="E9">
        <f>$D$30*D9*2.746</f>
        <v/>
      </c>
      <c r="F9">
        <f>E9*$D$31</f>
        <v/>
      </c>
      <c r="G9">
        <f>E9-F9</f>
        <v/>
      </c>
      <c r="H9">
        <f>G9*$D$32</f>
        <v/>
      </c>
      <c r="I9">
        <f>IF(C9=0,0,H9*1000/C9*100)</f>
        <v/>
      </c>
      <c r="J9">
        <f>WEO_Data!C8</f>
        <v/>
      </c>
      <c r="K9">
        <f>J9+I9</f>
        <v/>
      </c>
    </row>
    <row r="10">
      <c r="B10" t="n">
        <v>2027</v>
      </c>
      <c r="C10">
        <f>WEO_Data!G9</f>
        <v/>
      </c>
      <c r="D10">
        <f>$E$34</f>
        <v/>
      </c>
      <c r="E10">
        <f>$D$30*D10*2.746</f>
        <v/>
      </c>
      <c r="F10">
        <f>E10*$D$31</f>
        <v/>
      </c>
      <c r="G10">
        <f>E10-F10</f>
        <v/>
      </c>
      <c r="H10">
        <f>G10*$D$32</f>
        <v/>
      </c>
      <c r="I10">
        <f>IF(C10=0,0,H10*1000/C10*100)</f>
        <v/>
      </c>
      <c r="J10">
        <f>WEO_Data!C9</f>
        <v/>
      </c>
      <c r="K10">
        <f>J10+I10</f>
        <v/>
      </c>
    </row>
    <row r="11">
      <c r="B11" t="n">
        <v>2028</v>
      </c>
      <c r="C11">
        <f>WEO_Data!G10</f>
        <v/>
      </c>
      <c r="D11">
        <f>$F$34</f>
        <v/>
      </c>
      <c r="E11">
        <f>$D$30*D11*2.746</f>
        <v/>
      </c>
      <c r="F11">
        <f>E11*$D$31</f>
        <v/>
      </c>
      <c r="G11">
        <f>E11-F11</f>
        <v/>
      </c>
      <c r="H11">
        <f>G11*$D$32</f>
        <v/>
      </c>
      <c r="I11">
        <f>IF(C11=0,0,H11*1000/C11*100)</f>
        <v/>
      </c>
      <c r="J11">
        <f>WEO_Data!C10</f>
        <v/>
      </c>
      <c r="K11">
        <f>J11+I11</f>
        <v/>
      </c>
    </row>
    <row r="12">
      <c r="B12" t="n">
        <v>2029</v>
      </c>
      <c r="C12">
        <f>WEO_Data!G11</f>
        <v/>
      </c>
      <c r="D12">
        <f>$G$34</f>
        <v/>
      </c>
      <c r="E12">
        <f>$D$30*D12*2.746</f>
        <v/>
      </c>
      <c r="F12">
        <f>E12*$D$31</f>
        <v/>
      </c>
      <c r="G12">
        <f>E12-F12</f>
        <v/>
      </c>
      <c r="H12">
        <f>G12*$D$32</f>
        <v/>
      </c>
      <c r="I12">
        <f>IF(C12=0,0,H12*1000/C12*100)</f>
        <v/>
      </c>
      <c r="J12">
        <f>WEO_Data!C11</f>
        <v/>
      </c>
      <c r="K12">
        <f>J12+I12</f>
        <v/>
      </c>
    </row>
    <row r="13">
      <c r="B13" t="n">
        <v>2030</v>
      </c>
      <c r="C13">
        <f>WEO_Data!G12</f>
        <v/>
      </c>
      <c r="D13">
        <f>$H$34</f>
        <v/>
      </c>
      <c r="E13">
        <f>$D$30*D13*2.746</f>
        <v/>
      </c>
      <c r="F13">
        <f>E13*$D$31</f>
        <v/>
      </c>
      <c r="G13">
        <f>E13-F13</f>
        <v/>
      </c>
      <c r="H13">
        <f>G13*$D$32</f>
        <v/>
      </c>
      <c r="I13">
        <f>IF(C13=0,0,H13*1000/C13*100)</f>
        <v/>
      </c>
      <c r="J13">
        <f>WEO_Data!C12</f>
        <v/>
      </c>
      <c r="K13">
        <f>J13+I13</f>
        <v/>
      </c>
    </row>
    <row r="14">
      <c r="B14" t="n">
        <v>2031</v>
      </c>
      <c r="C14">
        <f>WEO_Data!G13</f>
        <v/>
      </c>
      <c r="D14">
        <f>$I$34</f>
        <v/>
      </c>
      <c r="E14">
        <f>$D$30*D14*2.746</f>
        <v/>
      </c>
      <c r="F14">
        <f>E14*$D$31</f>
        <v/>
      </c>
      <c r="G14">
        <f>E14-F14</f>
        <v/>
      </c>
      <c r="H14">
        <f>G14*$D$32</f>
        <v/>
      </c>
      <c r="I14">
        <f>IF(C14=0,0,H14*1000/C14*100)</f>
        <v/>
      </c>
      <c r="J14">
        <f>WEO_Data!C13</f>
        <v/>
      </c>
      <c r="K14">
        <f>J14+I14</f>
        <v/>
      </c>
    </row>
    <row r="15">
      <c r="B15" t="n">
        <v>2032</v>
      </c>
      <c r="C15">
        <f>WEO_Data!G14</f>
        <v/>
      </c>
      <c r="D15">
        <f>$J$34</f>
        <v/>
      </c>
      <c r="E15">
        <f>$D$30*D15*2.746</f>
        <v/>
      </c>
      <c r="F15">
        <f>E15*$D$31</f>
        <v/>
      </c>
      <c r="G15">
        <f>E15-F15</f>
        <v/>
      </c>
      <c r="H15">
        <f>G15*$D$32</f>
        <v/>
      </c>
      <c r="I15">
        <f>IF(C15=0,0,H15*1000/C15*100)</f>
        <v/>
      </c>
      <c r="J15">
        <f>WEO_Data!C14</f>
        <v/>
      </c>
      <c r="K15">
        <f>J15+I15</f>
        <v/>
      </c>
    </row>
    <row r="16">
      <c r="B16" t="n">
        <v>2033</v>
      </c>
      <c r="C16">
        <f>WEO_Data!G15</f>
        <v/>
      </c>
      <c r="D16">
        <f>$K$34</f>
        <v/>
      </c>
      <c r="E16">
        <f>$D$30*D16*2.746</f>
        <v/>
      </c>
      <c r="F16">
        <f>E16*$D$31</f>
        <v/>
      </c>
      <c r="G16">
        <f>E16-F16</f>
        <v/>
      </c>
      <c r="H16">
        <f>G16*$D$32</f>
        <v/>
      </c>
      <c r="I16">
        <f>IF(C16=0,0,H16*1000/C16*100)</f>
        <v/>
      </c>
      <c r="J16">
        <f>WEO_Data!C15</f>
        <v/>
      </c>
      <c r="K16">
        <f>J16+I16</f>
        <v/>
      </c>
    </row>
    <row r="17">
      <c r="B17" t="n">
        <v>2034</v>
      </c>
      <c r="C17">
        <f>WEO_Data!G16</f>
        <v/>
      </c>
      <c r="D17" t="n">
        <v>0</v>
      </c>
      <c r="E17">
        <f>$D$30*D17*2.746</f>
        <v/>
      </c>
      <c r="F17">
        <f>E17*$D$31</f>
        <v/>
      </c>
      <c r="G17">
        <f>E17-F17</f>
        <v/>
      </c>
      <c r="H17">
        <f>G17*$D$32</f>
        <v/>
      </c>
      <c r="I17">
        <f>IF(C17=0,0,H17*1000/C17*100)</f>
        <v/>
      </c>
      <c r="J17">
        <f>WEO_Data!C16</f>
        <v/>
      </c>
      <c r="K17">
        <f>J17+I17</f>
        <v/>
      </c>
    </row>
    <row r="18">
      <c r="B18" t="n">
        <v>2035</v>
      </c>
      <c r="C18">
        <f>WEO_Data!G17</f>
        <v/>
      </c>
      <c r="D18" t="n">
        <v>0</v>
      </c>
      <c r="E18">
        <f>$D$30*D18*2.746</f>
        <v/>
      </c>
      <c r="F18">
        <f>E18*$D$31</f>
        <v/>
      </c>
      <c r="G18">
        <f>E18-F18</f>
        <v/>
      </c>
      <c r="H18">
        <f>G18*$D$32</f>
        <v/>
      </c>
      <c r="I18">
        <f>IF(C18=0,0,H18*1000/C18*100)</f>
        <v/>
      </c>
      <c r="J18">
        <f>WEO_Data!C17</f>
        <v/>
      </c>
      <c r="K18">
        <f>J18+I18</f>
        <v/>
      </c>
    </row>
    <row r="19">
      <c r="B19" t="n">
        <v>2036</v>
      </c>
      <c r="C19">
        <f>WEO_Data!G18</f>
        <v/>
      </c>
      <c r="D19" t="n">
        <v>0</v>
      </c>
      <c r="E19">
        <f>$D$30*D19*2.746</f>
        <v/>
      </c>
      <c r="F19">
        <f>E19*$D$31</f>
        <v/>
      </c>
      <c r="G19">
        <f>E19-F19</f>
        <v/>
      </c>
      <c r="H19">
        <f>G19*$D$32</f>
        <v/>
      </c>
      <c r="I19">
        <f>IF(C19=0,0,H19*1000/C19*100)</f>
        <v/>
      </c>
      <c r="J19">
        <f>WEO_Data!C18</f>
        <v/>
      </c>
      <c r="K19">
        <f>J19+I19</f>
        <v/>
      </c>
    </row>
    <row r="20">
      <c r="B20" t="n">
        <v>2037</v>
      </c>
      <c r="C20">
        <f>WEO_Data!G19</f>
        <v/>
      </c>
      <c r="D20" t="n">
        <v>0</v>
      </c>
      <c r="E20">
        <f>$D$30*D20*2.746</f>
        <v/>
      </c>
      <c r="F20">
        <f>E20*$D$31</f>
        <v/>
      </c>
      <c r="G20">
        <f>E20-F20</f>
        <v/>
      </c>
      <c r="H20">
        <f>G20*$D$32</f>
        <v/>
      </c>
      <c r="I20">
        <f>IF(C20=0,0,H20*1000/C20*100)</f>
        <v/>
      </c>
      <c r="J20">
        <f>WEO_Data!C19</f>
        <v/>
      </c>
      <c r="K20">
        <f>J20+I20</f>
        <v/>
      </c>
    </row>
    <row r="21">
      <c r="B21" t="n">
        <v>2038</v>
      </c>
      <c r="C21">
        <f>WEO_Data!G20</f>
        <v/>
      </c>
      <c r="D21" t="n">
        <v>0</v>
      </c>
      <c r="E21">
        <f>$D$30*D21*2.746</f>
        <v/>
      </c>
      <c r="F21">
        <f>E21*$D$31</f>
        <v/>
      </c>
      <c r="G21">
        <f>E21-F21</f>
        <v/>
      </c>
      <c r="H21">
        <f>G21*$D$32</f>
        <v/>
      </c>
      <c r="I21">
        <f>IF(C21=0,0,H21*1000/C21*100)</f>
        <v/>
      </c>
      <c r="J21">
        <f>WEO_Data!C20</f>
        <v/>
      </c>
      <c r="K21">
        <f>J21+I21</f>
        <v/>
      </c>
    </row>
    <row r="22">
      <c r="B22" t="n">
        <v>2039</v>
      </c>
      <c r="C22">
        <f>WEO_Data!G21</f>
        <v/>
      </c>
      <c r="D22" t="n">
        <v>0</v>
      </c>
      <c r="E22">
        <f>$D$30*D22*2.746</f>
        <v/>
      </c>
      <c r="F22">
        <f>E22*$D$31</f>
        <v/>
      </c>
      <c r="G22">
        <f>E22-F22</f>
        <v/>
      </c>
      <c r="H22">
        <f>G22*$D$32</f>
        <v/>
      </c>
      <c r="I22">
        <f>IF(C22=0,0,H22*1000/C22*100)</f>
        <v/>
      </c>
      <c r="J22">
        <f>WEO_Data!C21</f>
        <v/>
      </c>
      <c r="K22">
        <f>J22+I22</f>
        <v/>
      </c>
    </row>
    <row r="23">
      <c r="B23" t="n">
        <v>2040</v>
      </c>
      <c r="C23">
        <f>WEO_Data!G22</f>
        <v/>
      </c>
      <c r="D23" t="n">
        <v>0</v>
      </c>
      <c r="E23">
        <f>$D$30*D23*2.746</f>
        <v/>
      </c>
      <c r="F23">
        <f>E23*$D$31</f>
        <v/>
      </c>
      <c r="G23">
        <f>E23-F23</f>
        <v/>
      </c>
      <c r="H23">
        <f>G23*$D$32</f>
        <v/>
      </c>
      <c r="I23">
        <f>IF(C23=0,0,H23*1000/C23*100)</f>
        <v/>
      </c>
      <c r="J23">
        <f>WEO_Data!C22</f>
        <v/>
      </c>
      <c r="K23">
        <f>J23+I23</f>
        <v/>
      </c>
    </row>
    <row r="24">
      <c r="B24" t="n">
        <v>2041</v>
      </c>
      <c r="C24">
        <f>WEO_Data!G23</f>
        <v/>
      </c>
      <c r="D24" t="n">
        <v>0</v>
      </c>
      <c r="E24">
        <f>$D$30*D24*2.746</f>
        <v/>
      </c>
      <c r="F24">
        <f>E24*$D$31</f>
        <v/>
      </c>
      <c r="G24">
        <f>E24-F24</f>
        <v/>
      </c>
      <c r="H24">
        <f>G24*$D$32</f>
        <v/>
      </c>
      <c r="I24">
        <f>IF(C24=0,0,H24*1000/C24*100)</f>
        <v/>
      </c>
      <c r="J24">
        <f>WEO_Data!C23</f>
        <v/>
      </c>
      <c r="K24">
        <f>J24+I24</f>
        <v/>
      </c>
    </row>
    <row r="25">
      <c r="B25" t="n">
        <v>2042</v>
      </c>
      <c r="C25">
        <f>WEO_Data!G24</f>
        <v/>
      </c>
      <c r="D25" t="n">
        <v>0</v>
      </c>
      <c r="E25">
        <f>$D$30*D25*2.746</f>
        <v/>
      </c>
      <c r="F25">
        <f>E25*$D$31</f>
        <v/>
      </c>
      <c r="G25">
        <f>E25-F25</f>
        <v/>
      </c>
      <c r="H25">
        <f>G25*$D$32</f>
        <v/>
      </c>
      <c r="I25">
        <f>IF(C25=0,0,H25*1000/C25*100)</f>
        <v/>
      </c>
      <c r="J25">
        <f>WEO_Data!C24</f>
        <v/>
      </c>
      <c r="K25">
        <f>J25+I25</f>
        <v/>
      </c>
    </row>
    <row r="28">
      <c r="C28" s="1" t="inlineStr">
        <is>
          <t>Assumptions</t>
        </is>
      </c>
    </row>
    <row r="30">
      <c r="C30" t="inlineStr">
        <is>
          <t>total investment</t>
        </is>
      </c>
      <c r="D30" t="n">
        <v>6.5</v>
      </c>
    </row>
    <row r="31">
      <c r="C31" t="inlineStr">
        <is>
          <t>import content share</t>
        </is>
      </c>
      <c r="D31">
        <f>'SUT Calc'!C46</f>
        <v/>
      </c>
    </row>
    <row r="32">
      <c r="C32" t="inlineStr">
        <is>
          <t>demand multiplier</t>
        </is>
      </c>
      <c r="D32" t="n">
        <v>0.8</v>
      </c>
    </row>
    <row r="33">
      <c r="C33" t="inlineStr">
        <is>
          <t>Project allocation</t>
        </is>
      </c>
      <c r="D33" t="inlineStr">
        <is>
          <t>Bell shape: 5%,10%,15%,20%,20%,15%,10%,5%</t>
        </is>
      </c>
    </row>
    <row r="34">
      <c r="C34" t="inlineStr">
        <is>
          <t>Allocation %:</t>
        </is>
      </c>
      <c r="D34" t="n">
        <v>0.05</v>
      </c>
      <c r="E34" t="n">
        <v>0.1</v>
      </c>
      <c r="F34" t="n">
        <v>0.15</v>
      </c>
      <c r="G34" t="n">
        <v>0.2</v>
      </c>
      <c r="H34" t="n">
        <v>0.2</v>
      </c>
      <c r="I34" t="n">
        <v>0.15</v>
      </c>
      <c r="J34" t="n">
        <v>0.1</v>
      </c>
      <c r="K34" t="n">
        <v>0.05</v>
      </c>
    </row>
    <row r="38">
      <c r="B38" s="2" t="inlineStr">
        <is>
          <t>SCENARIO 2: Demand Multiplier = 1</t>
        </is>
      </c>
    </row>
    <row r="40">
      <c r="A40" s="1" t="inlineStr"/>
      <c r="B40" s="1" t="inlineStr">
        <is>
          <t>Year</t>
        </is>
      </c>
      <c r="C40" s="1" t="inlineStr">
        <is>
          <t>Real GDP</t>
        </is>
      </c>
      <c r="D40" s="1" t="inlineStr">
        <is>
          <t>Project Allocation (%)</t>
        </is>
      </c>
      <c r="E40" s="1" t="inlineStr">
        <is>
          <t>Project Investment</t>
        </is>
      </c>
      <c r="F40" s="1" t="inlineStr">
        <is>
          <t>Imports</t>
        </is>
      </c>
      <c r="G40" s="1" t="inlineStr">
        <is>
          <t>GDP impact</t>
        </is>
      </c>
      <c r="H40" s="1" t="inlineStr"/>
      <c r="I40" s="1" t="inlineStr"/>
      <c r="J40" s="1" t="inlineStr">
        <is>
          <t>Baseline GDP Growth</t>
        </is>
      </c>
      <c r="K40" s="1" t="inlineStr">
        <is>
          <t>Projected Growth</t>
        </is>
      </c>
    </row>
    <row r="41">
      <c r="G41" t="inlineStr">
        <is>
          <t>I-M</t>
        </is>
      </c>
      <c r="H41" t="inlineStr">
        <is>
          <t>Multiplier</t>
        </is>
      </c>
      <c r="I41" t="inlineStr">
        <is>
          <t>% of GDP</t>
        </is>
      </c>
    </row>
    <row r="42">
      <c r="B42" t="n">
        <v>2020</v>
      </c>
      <c r="C42">
        <f>WEO_Data!G2</f>
        <v/>
      </c>
      <c r="D42" t="n">
        <v>0</v>
      </c>
      <c r="E42">
        <f>$D$30*D42*2.746</f>
        <v/>
      </c>
      <c r="F42">
        <f>E42*$D$31</f>
        <v/>
      </c>
      <c r="G42">
        <f>E42-F42</f>
        <v/>
      </c>
      <c r="H42">
        <f>G42*1</f>
        <v/>
      </c>
      <c r="I42">
        <f>IF(C42=0,0,H42*1000/C42*100)</f>
        <v/>
      </c>
      <c r="J42">
        <f>WEO_Data!C2</f>
        <v/>
      </c>
      <c r="K42">
        <f>J42+I42</f>
        <v/>
      </c>
    </row>
    <row r="43">
      <c r="B43" t="n">
        <v>2021</v>
      </c>
      <c r="C43">
        <f>WEO_Data!G3</f>
        <v/>
      </c>
      <c r="D43" t="n">
        <v>0</v>
      </c>
      <c r="E43">
        <f>$D$30*D43*2.746</f>
        <v/>
      </c>
      <c r="F43">
        <f>E43*$D$31</f>
        <v/>
      </c>
      <c r="G43">
        <f>E43-F43</f>
        <v/>
      </c>
      <c r="H43">
        <f>G43*1</f>
        <v/>
      </c>
      <c r="I43">
        <f>IF(C43=0,0,H43*1000/C43*100)</f>
        <v/>
      </c>
      <c r="J43">
        <f>WEO_Data!C3</f>
        <v/>
      </c>
      <c r="K43">
        <f>J43+I43</f>
        <v/>
      </c>
    </row>
    <row r="44">
      <c r="B44" t="n">
        <v>2022</v>
      </c>
      <c r="C44">
        <f>WEO_Data!G4</f>
        <v/>
      </c>
      <c r="D44" t="n">
        <v>0</v>
      </c>
      <c r="E44">
        <f>$D$30*D44*2.746</f>
        <v/>
      </c>
      <c r="F44">
        <f>E44*$D$31</f>
        <v/>
      </c>
      <c r="G44">
        <f>E44-F44</f>
        <v/>
      </c>
      <c r="H44">
        <f>G44*1</f>
        <v/>
      </c>
      <c r="I44">
        <f>IF(C44=0,0,H44*1000/C44*100)</f>
        <v/>
      </c>
      <c r="J44">
        <f>WEO_Data!C4</f>
        <v/>
      </c>
      <c r="K44">
        <f>J44+I44</f>
        <v/>
      </c>
    </row>
    <row r="45">
      <c r="B45" t="n">
        <v>2023</v>
      </c>
      <c r="C45">
        <f>WEO_Data!G5</f>
        <v/>
      </c>
      <c r="D45" t="n">
        <v>0</v>
      </c>
      <c r="E45">
        <f>$D$30*D45*2.746</f>
        <v/>
      </c>
      <c r="F45">
        <f>E45*$D$31</f>
        <v/>
      </c>
      <c r="G45">
        <f>E45-F45</f>
        <v/>
      </c>
      <c r="H45">
        <f>G45*1</f>
        <v/>
      </c>
      <c r="I45">
        <f>IF(C45=0,0,H45*1000/C45*100)</f>
        <v/>
      </c>
      <c r="J45">
        <f>WEO_Data!C5</f>
        <v/>
      </c>
      <c r="K45">
        <f>J45+I45</f>
        <v/>
      </c>
    </row>
    <row r="46">
      <c r="B46" t="n">
        <v>2024</v>
      </c>
      <c r="C46">
        <f>WEO_Data!G6</f>
        <v/>
      </c>
      <c r="D46" t="n">
        <v>0</v>
      </c>
      <c r="E46">
        <f>$D$30*D46*2.746</f>
        <v/>
      </c>
      <c r="F46">
        <f>E46*$D$31</f>
        <v/>
      </c>
      <c r="G46">
        <f>E46-F46</f>
        <v/>
      </c>
      <c r="H46">
        <f>G46*1</f>
        <v/>
      </c>
      <c r="I46">
        <f>IF(C46=0,0,H46*1000/C46*100)</f>
        <v/>
      </c>
      <c r="J46">
        <f>WEO_Data!C6</f>
        <v/>
      </c>
      <c r="K46">
        <f>J46+I46</f>
        <v/>
      </c>
    </row>
    <row r="47">
      <c r="B47" t="n">
        <v>2025</v>
      </c>
      <c r="C47">
        <f>WEO_Data!G7</f>
        <v/>
      </c>
      <c r="D47" t="n">
        <v>0</v>
      </c>
      <c r="E47">
        <f>$D$30*D47*2.746</f>
        <v/>
      </c>
      <c r="F47">
        <f>E47*$D$31</f>
        <v/>
      </c>
      <c r="G47">
        <f>E47-F47</f>
        <v/>
      </c>
      <c r="H47">
        <f>G47*1</f>
        <v/>
      </c>
      <c r="I47">
        <f>IF(C47=0,0,H47*1000/C47*100)</f>
        <v/>
      </c>
      <c r="J47">
        <f>WEO_Data!C7</f>
        <v/>
      </c>
      <c r="K47">
        <f>J47+I47</f>
        <v/>
      </c>
    </row>
    <row r="48">
      <c r="B48" t="n">
        <v>2026</v>
      </c>
      <c r="C48">
        <f>WEO_Data!G8</f>
        <v/>
      </c>
      <c r="D48">
        <f>$D$34</f>
        <v/>
      </c>
      <c r="E48">
        <f>$D$30*D48*2.746</f>
        <v/>
      </c>
      <c r="F48">
        <f>E48*$D$31</f>
        <v/>
      </c>
      <c r="G48">
        <f>E48-F48</f>
        <v/>
      </c>
      <c r="H48">
        <f>G48*1</f>
        <v/>
      </c>
      <c r="I48">
        <f>IF(C48=0,0,H48*1000/C48*100)</f>
        <v/>
      </c>
      <c r="J48">
        <f>WEO_Data!C8</f>
        <v/>
      </c>
      <c r="K48">
        <f>J48+I48</f>
        <v/>
      </c>
    </row>
    <row r="49">
      <c r="B49" t="n">
        <v>2027</v>
      </c>
      <c r="C49">
        <f>WEO_Data!G9</f>
        <v/>
      </c>
      <c r="D49">
        <f>$E$34</f>
        <v/>
      </c>
      <c r="E49">
        <f>$D$30*D49*2.746</f>
        <v/>
      </c>
      <c r="F49">
        <f>E49*$D$31</f>
        <v/>
      </c>
      <c r="G49">
        <f>E49-F49</f>
        <v/>
      </c>
      <c r="H49">
        <f>G49*1</f>
        <v/>
      </c>
      <c r="I49">
        <f>IF(C49=0,0,H49*1000/C49*100)</f>
        <v/>
      </c>
      <c r="J49">
        <f>WEO_Data!C9</f>
        <v/>
      </c>
      <c r="K49">
        <f>J49+I49</f>
        <v/>
      </c>
    </row>
    <row r="50">
      <c r="B50" t="n">
        <v>2028</v>
      </c>
      <c r="C50">
        <f>WEO_Data!G10</f>
        <v/>
      </c>
      <c r="D50">
        <f>$F$34</f>
        <v/>
      </c>
      <c r="E50">
        <f>$D$30*D50*2.746</f>
        <v/>
      </c>
      <c r="F50">
        <f>E50*$D$31</f>
        <v/>
      </c>
      <c r="G50">
        <f>E50-F50</f>
        <v/>
      </c>
      <c r="H50">
        <f>G50*1</f>
        <v/>
      </c>
      <c r="I50">
        <f>IF(C50=0,0,H50*1000/C50*100)</f>
        <v/>
      </c>
      <c r="J50">
        <f>WEO_Data!C10</f>
        <v/>
      </c>
      <c r="K50">
        <f>J50+I50</f>
        <v/>
      </c>
    </row>
    <row r="51">
      <c r="B51" t="n">
        <v>2029</v>
      </c>
      <c r="C51">
        <f>WEO_Data!G11</f>
        <v/>
      </c>
      <c r="D51">
        <f>$G$34</f>
        <v/>
      </c>
      <c r="E51">
        <f>$D$30*D51*2.746</f>
        <v/>
      </c>
      <c r="F51">
        <f>E51*$D$31</f>
        <v/>
      </c>
      <c r="G51">
        <f>E51-F51</f>
        <v/>
      </c>
      <c r="H51">
        <f>G51*1</f>
        <v/>
      </c>
      <c r="I51">
        <f>IF(C51=0,0,H51*1000/C51*100)</f>
        <v/>
      </c>
      <c r="J51">
        <f>WEO_Data!C11</f>
        <v/>
      </c>
      <c r="K51">
        <f>J51+I51</f>
        <v/>
      </c>
    </row>
    <row r="52">
      <c r="B52" t="n">
        <v>2030</v>
      </c>
      <c r="C52">
        <f>WEO_Data!G12</f>
        <v/>
      </c>
      <c r="D52">
        <f>$H$34</f>
        <v/>
      </c>
      <c r="E52">
        <f>$D$30*D52*2.746</f>
        <v/>
      </c>
      <c r="F52">
        <f>E52*$D$31</f>
        <v/>
      </c>
      <c r="G52">
        <f>E52-F52</f>
        <v/>
      </c>
      <c r="H52">
        <f>G52*1</f>
        <v/>
      </c>
      <c r="I52">
        <f>IF(C52=0,0,H52*1000/C52*100)</f>
        <v/>
      </c>
      <c r="J52">
        <f>WEO_Data!C12</f>
        <v/>
      </c>
      <c r="K52">
        <f>J52+I52</f>
        <v/>
      </c>
    </row>
    <row r="53">
      <c r="B53" t="n">
        <v>2031</v>
      </c>
      <c r="C53">
        <f>WEO_Data!G13</f>
        <v/>
      </c>
      <c r="D53">
        <f>$I$34</f>
        <v/>
      </c>
      <c r="E53">
        <f>$D$30*D53*2.746</f>
        <v/>
      </c>
      <c r="F53">
        <f>E53*$D$31</f>
        <v/>
      </c>
      <c r="G53">
        <f>E53-F53</f>
        <v/>
      </c>
      <c r="H53">
        <f>G53*1</f>
        <v/>
      </c>
      <c r="I53">
        <f>IF(C53=0,0,H53*1000/C53*100)</f>
        <v/>
      </c>
      <c r="J53">
        <f>WEO_Data!C13</f>
        <v/>
      </c>
      <c r="K53">
        <f>J53+I53</f>
        <v/>
      </c>
    </row>
    <row r="54">
      <c r="B54" t="n">
        <v>2032</v>
      </c>
      <c r="C54">
        <f>WEO_Data!G14</f>
        <v/>
      </c>
      <c r="D54">
        <f>$J$34</f>
        <v/>
      </c>
      <c r="E54">
        <f>$D$30*D54*2.746</f>
        <v/>
      </c>
      <c r="F54">
        <f>E54*$D$31</f>
        <v/>
      </c>
      <c r="G54">
        <f>E54-F54</f>
        <v/>
      </c>
      <c r="H54">
        <f>G54*1</f>
        <v/>
      </c>
      <c r="I54">
        <f>IF(C54=0,0,H54*1000/C54*100)</f>
        <v/>
      </c>
      <c r="J54">
        <f>WEO_Data!C14</f>
        <v/>
      </c>
      <c r="K54">
        <f>J54+I54</f>
        <v/>
      </c>
    </row>
    <row r="55">
      <c r="B55" t="n">
        <v>2033</v>
      </c>
      <c r="C55">
        <f>WEO_Data!G15</f>
        <v/>
      </c>
      <c r="D55">
        <f>$K$34</f>
        <v/>
      </c>
      <c r="E55">
        <f>$D$30*D55*2.746</f>
        <v/>
      </c>
      <c r="F55">
        <f>E55*$D$31</f>
        <v/>
      </c>
      <c r="G55">
        <f>E55-F55</f>
        <v/>
      </c>
      <c r="H55">
        <f>G55*1</f>
        <v/>
      </c>
      <c r="I55">
        <f>IF(C55=0,0,H55*1000/C55*100)</f>
        <v/>
      </c>
      <c r="J55">
        <f>WEO_Data!C15</f>
        <v/>
      </c>
      <c r="K55">
        <f>J55+I55</f>
        <v/>
      </c>
    </row>
    <row r="56">
      <c r="B56" t="n">
        <v>2034</v>
      </c>
      <c r="C56">
        <f>WEO_Data!G16</f>
        <v/>
      </c>
      <c r="D56" t="n">
        <v>0</v>
      </c>
      <c r="E56">
        <f>$D$30*D56*2.746</f>
        <v/>
      </c>
      <c r="F56">
        <f>E56*$D$31</f>
        <v/>
      </c>
      <c r="G56">
        <f>E56-F56</f>
        <v/>
      </c>
      <c r="H56">
        <f>G56*1</f>
        <v/>
      </c>
      <c r="I56">
        <f>IF(C56=0,0,H56*1000/C56*100)</f>
        <v/>
      </c>
      <c r="J56">
        <f>WEO_Data!C16</f>
        <v/>
      </c>
      <c r="K56">
        <f>J56+I56</f>
        <v/>
      </c>
    </row>
    <row r="57">
      <c r="B57" t="n">
        <v>2035</v>
      </c>
      <c r="C57">
        <f>WEO_Data!G17</f>
        <v/>
      </c>
      <c r="D57" t="n">
        <v>0</v>
      </c>
      <c r="E57">
        <f>$D$30*D57*2.746</f>
        <v/>
      </c>
      <c r="F57">
        <f>E57*$D$31</f>
        <v/>
      </c>
      <c r="G57">
        <f>E57-F57</f>
        <v/>
      </c>
      <c r="H57">
        <f>G57*1</f>
        <v/>
      </c>
      <c r="I57">
        <f>IF(C57=0,0,H57*1000/C57*100)</f>
        <v/>
      </c>
      <c r="J57">
        <f>WEO_Data!C17</f>
        <v/>
      </c>
      <c r="K57">
        <f>J57+I57</f>
        <v/>
      </c>
    </row>
    <row r="58">
      <c r="B58" t="n">
        <v>2036</v>
      </c>
      <c r="C58">
        <f>WEO_Data!G18</f>
        <v/>
      </c>
      <c r="D58" t="n">
        <v>0</v>
      </c>
      <c r="E58">
        <f>$D$30*D58*2.746</f>
        <v/>
      </c>
      <c r="F58">
        <f>E58*$D$31</f>
        <v/>
      </c>
      <c r="G58">
        <f>E58-F58</f>
        <v/>
      </c>
      <c r="H58">
        <f>G58*1</f>
        <v/>
      </c>
      <c r="I58">
        <f>IF(C58=0,0,H58*1000/C58*100)</f>
        <v/>
      </c>
      <c r="J58">
        <f>WEO_Data!C18</f>
        <v/>
      </c>
      <c r="K58">
        <f>J58+I58</f>
        <v/>
      </c>
    </row>
    <row r="59">
      <c r="B59" t="n">
        <v>2037</v>
      </c>
      <c r="C59">
        <f>WEO_Data!G19</f>
        <v/>
      </c>
      <c r="D59" t="n">
        <v>0</v>
      </c>
      <c r="E59">
        <f>$D$30*D59*2.746</f>
        <v/>
      </c>
      <c r="F59">
        <f>E59*$D$31</f>
        <v/>
      </c>
      <c r="G59">
        <f>E59-F59</f>
        <v/>
      </c>
      <c r="H59">
        <f>G59*1</f>
        <v/>
      </c>
      <c r="I59">
        <f>IF(C59=0,0,H59*1000/C59*100)</f>
        <v/>
      </c>
      <c r="J59">
        <f>WEO_Data!C19</f>
        <v/>
      </c>
      <c r="K59">
        <f>J59+I59</f>
        <v/>
      </c>
    </row>
    <row r="60">
      <c r="B60" t="n">
        <v>2038</v>
      </c>
      <c r="C60">
        <f>WEO_Data!G20</f>
        <v/>
      </c>
      <c r="D60" t="n">
        <v>0</v>
      </c>
      <c r="E60">
        <f>$D$30*D60*2.746</f>
        <v/>
      </c>
      <c r="F60">
        <f>E60*$D$31</f>
        <v/>
      </c>
      <c r="G60">
        <f>E60-F60</f>
        <v/>
      </c>
      <c r="H60">
        <f>G60*1</f>
        <v/>
      </c>
      <c r="I60">
        <f>IF(C60=0,0,H60*1000/C60*100)</f>
        <v/>
      </c>
      <c r="J60">
        <f>WEO_Data!C20</f>
        <v/>
      </c>
      <c r="K60">
        <f>J60+I60</f>
        <v/>
      </c>
    </row>
    <row r="61">
      <c r="B61" t="n">
        <v>2039</v>
      </c>
      <c r="C61">
        <f>WEO_Data!G21</f>
        <v/>
      </c>
      <c r="D61" t="n">
        <v>0</v>
      </c>
      <c r="E61">
        <f>$D$30*D61*2.746</f>
        <v/>
      </c>
      <c r="F61">
        <f>E61*$D$31</f>
        <v/>
      </c>
      <c r="G61">
        <f>E61-F61</f>
        <v/>
      </c>
      <c r="H61">
        <f>G61*1</f>
        <v/>
      </c>
      <c r="I61">
        <f>IF(C61=0,0,H61*1000/C61*100)</f>
        <v/>
      </c>
      <c r="J61">
        <f>WEO_Data!C21</f>
        <v/>
      </c>
      <c r="K61">
        <f>J61+I61</f>
        <v/>
      </c>
    </row>
    <row r="62">
      <c r="B62" t="n">
        <v>2040</v>
      </c>
      <c r="C62">
        <f>WEO_Data!G22</f>
        <v/>
      </c>
      <c r="D62" t="n">
        <v>0</v>
      </c>
      <c r="E62">
        <f>$D$30*D62*2.746</f>
        <v/>
      </c>
      <c r="F62">
        <f>E62*$D$31</f>
        <v/>
      </c>
      <c r="G62">
        <f>E62-F62</f>
        <v/>
      </c>
      <c r="H62">
        <f>G62*1</f>
        <v/>
      </c>
      <c r="I62">
        <f>IF(C62=0,0,H62*1000/C62*100)</f>
        <v/>
      </c>
      <c r="J62">
        <f>WEO_Data!C22</f>
        <v/>
      </c>
      <c r="K62">
        <f>J62+I62</f>
        <v/>
      </c>
    </row>
    <row r="63">
      <c r="B63" t="n">
        <v>2041</v>
      </c>
      <c r="C63">
        <f>WEO_Data!G23</f>
        <v/>
      </c>
      <c r="D63" t="n">
        <v>0</v>
      </c>
      <c r="E63">
        <f>$D$30*D63*2.746</f>
        <v/>
      </c>
      <c r="F63">
        <f>E63*$D$31</f>
        <v/>
      </c>
      <c r="G63">
        <f>E63-F63</f>
        <v/>
      </c>
      <c r="H63">
        <f>G63*1</f>
        <v/>
      </c>
      <c r="I63">
        <f>IF(C63=0,0,H63*1000/C63*100)</f>
        <v/>
      </c>
      <c r="J63">
        <f>WEO_Data!C23</f>
        <v/>
      </c>
      <c r="K63">
        <f>J63+I63</f>
        <v/>
      </c>
    </row>
    <row r="64">
      <c r="B64" t="n">
        <v>2042</v>
      </c>
      <c r="C64">
        <f>WEO_Data!G24</f>
        <v/>
      </c>
      <c r="D64" t="n">
        <v>0</v>
      </c>
      <c r="E64">
        <f>$D$30*D64*2.746</f>
        <v/>
      </c>
      <c r="F64">
        <f>E64*$D$31</f>
        <v/>
      </c>
      <c r="G64">
        <f>E64-F64</f>
        <v/>
      </c>
      <c r="H64">
        <f>G64*1</f>
        <v/>
      </c>
      <c r="I64">
        <f>IF(C64=0,0,H64*1000/C64*100)</f>
        <v/>
      </c>
      <c r="J64">
        <f>WEO_Data!C24</f>
        <v/>
      </c>
      <c r="K64">
        <f>J64+I64</f>
        <v/>
      </c>
    </row>
    <row r="70">
      <c r="B70" s="2" t="inlineStr">
        <is>
          <t>SCENARIO 3: Import Content Share = 0.5</t>
        </is>
      </c>
    </row>
    <row r="72">
      <c r="A72" s="1" t="inlineStr"/>
      <c r="B72" s="1" t="inlineStr">
        <is>
          <t>Year</t>
        </is>
      </c>
      <c r="C72" s="1" t="inlineStr">
        <is>
          <t>Real GDP</t>
        </is>
      </c>
      <c r="D72" s="1" t="inlineStr">
        <is>
          <t>Project Allocation (%)</t>
        </is>
      </c>
      <c r="E72" s="1" t="inlineStr">
        <is>
          <t>Project Investment</t>
        </is>
      </c>
      <c r="F72" s="1" t="inlineStr">
        <is>
          <t>Imports</t>
        </is>
      </c>
      <c r="G72" s="1" t="inlineStr">
        <is>
          <t>GDP impact</t>
        </is>
      </c>
      <c r="H72" s="1" t="inlineStr"/>
      <c r="I72" s="1" t="inlineStr"/>
      <c r="J72" s="1" t="inlineStr">
        <is>
          <t>Baseline GDP Growth</t>
        </is>
      </c>
      <c r="K72" s="1" t="inlineStr">
        <is>
          <t>Projected Growth</t>
        </is>
      </c>
    </row>
    <row r="73">
      <c r="G73" t="inlineStr">
        <is>
          <t>I-M</t>
        </is>
      </c>
      <c r="H73" t="inlineStr">
        <is>
          <t>Multiplier</t>
        </is>
      </c>
      <c r="I73" t="inlineStr">
        <is>
          <t>% of GDP</t>
        </is>
      </c>
    </row>
    <row r="74">
      <c r="B74" t="n">
        <v>2020</v>
      </c>
      <c r="C74">
        <f>WEO_Data!G2</f>
        <v/>
      </c>
      <c r="D74" t="n">
        <v>0</v>
      </c>
      <c r="E74">
        <f>$D$30*D74*2.746</f>
        <v/>
      </c>
      <c r="F74">
        <f>E74*0.5</f>
        <v/>
      </c>
      <c r="G74">
        <f>E74-F74</f>
        <v/>
      </c>
      <c r="H74">
        <f>G74*$D$32</f>
        <v/>
      </c>
      <c r="I74">
        <f>IF(C74=0,0,H74*1000/C74*100)</f>
        <v/>
      </c>
      <c r="J74">
        <f>WEO_Data!C2</f>
        <v/>
      </c>
      <c r="K74">
        <f>J74+I74</f>
        <v/>
      </c>
    </row>
    <row r="75">
      <c r="B75" t="n">
        <v>2021</v>
      </c>
      <c r="C75">
        <f>WEO_Data!G3</f>
        <v/>
      </c>
      <c r="D75" t="n">
        <v>0</v>
      </c>
      <c r="E75">
        <f>$D$30*D75*2.746</f>
        <v/>
      </c>
      <c r="F75">
        <f>E75*0.5</f>
        <v/>
      </c>
      <c r="G75">
        <f>E75-F75</f>
        <v/>
      </c>
      <c r="H75">
        <f>G75*$D$32</f>
        <v/>
      </c>
      <c r="I75">
        <f>IF(C75=0,0,H75*1000/C75*100)</f>
        <v/>
      </c>
      <c r="J75">
        <f>WEO_Data!C3</f>
        <v/>
      </c>
      <c r="K75">
        <f>J75+I75</f>
        <v/>
      </c>
    </row>
    <row r="76">
      <c r="B76" t="n">
        <v>2022</v>
      </c>
      <c r="C76">
        <f>WEO_Data!G4</f>
        <v/>
      </c>
      <c r="D76" t="n">
        <v>0</v>
      </c>
      <c r="E76">
        <f>$D$30*D76*2.746</f>
        <v/>
      </c>
      <c r="F76">
        <f>E76*0.5</f>
        <v/>
      </c>
      <c r="G76">
        <f>E76-F76</f>
        <v/>
      </c>
      <c r="H76">
        <f>G76*$D$32</f>
        <v/>
      </c>
      <c r="I76">
        <f>IF(C76=0,0,H76*1000/C76*100)</f>
        <v/>
      </c>
      <c r="J76">
        <f>WEO_Data!C4</f>
        <v/>
      </c>
      <c r="K76">
        <f>J76+I76</f>
        <v/>
      </c>
    </row>
    <row r="77">
      <c r="B77" t="n">
        <v>2023</v>
      </c>
      <c r="C77">
        <f>WEO_Data!G5</f>
        <v/>
      </c>
      <c r="D77" t="n">
        <v>0</v>
      </c>
      <c r="E77">
        <f>$D$30*D77*2.746</f>
        <v/>
      </c>
      <c r="F77">
        <f>E77*0.5</f>
        <v/>
      </c>
      <c r="G77">
        <f>E77-F77</f>
        <v/>
      </c>
      <c r="H77">
        <f>G77*$D$32</f>
        <v/>
      </c>
      <c r="I77">
        <f>IF(C77=0,0,H77*1000/C77*100)</f>
        <v/>
      </c>
      <c r="J77">
        <f>WEO_Data!C5</f>
        <v/>
      </c>
      <c r="K77">
        <f>J77+I77</f>
        <v/>
      </c>
    </row>
    <row r="78">
      <c r="B78" t="n">
        <v>2024</v>
      </c>
      <c r="C78">
        <f>WEO_Data!G6</f>
        <v/>
      </c>
      <c r="D78" t="n">
        <v>0</v>
      </c>
      <c r="E78">
        <f>$D$30*D78*2.746</f>
        <v/>
      </c>
      <c r="F78">
        <f>E78*0.5</f>
        <v/>
      </c>
      <c r="G78">
        <f>E78-F78</f>
        <v/>
      </c>
      <c r="H78">
        <f>G78*$D$32</f>
        <v/>
      </c>
      <c r="I78">
        <f>IF(C78=0,0,H78*1000/C78*100)</f>
        <v/>
      </c>
      <c r="J78">
        <f>WEO_Data!C6</f>
        <v/>
      </c>
      <c r="K78">
        <f>J78+I78</f>
        <v/>
      </c>
    </row>
    <row r="79">
      <c r="B79" t="n">
        <v>2025</v>
      </c>
      <c r="C79">
        <f>WEO_Data!G7</f>
        <v/>
      </c>
      <c r="D79" t="n">
        <v>0</v>
      </c>
      <c r="E79">
        <f>$D$30*D79*2.746</f>
        <v/>
      </c>
      <c r="F79">
        <f>E79*0.5</f>
        <v/>
      </c>
      <c r="G79">
        <f>E79-F79</f>
        <v/>
      </c>
      <c r="H79">
        <f>G79*$D$32</f>
        <v/>
      </c>
      <c r="I79">
        <f>IF(C79=0,0,H79*1000/C79*100)</f>
        <v/>
      </c>
      <c r="J79">
        <f>WEO_Data!C7</f>
        <v/>
      </c>
      <c r="K79">
        <f>J79+I79</f>
        <v/>
      </c>
    </row>
    <row r="80">
      <c r="B80" t="n">
        <v>2026</v>
      </c>
      <c r="C80">
        <f>WEO_Data!G8</f>
        <v/>
      </c>
      <c r="D80">
        <f>$D$34</f>
        <v/>
      </c>
      <c r="E80">
        <f>$D$30*D80*2.746</f>
        <v/>
      </c>
      <c r="F80">
        <f>E80*0.5</f>
        <v/>
      </c>
      <c r="G80">
        <f>E80-F80</f>
        <v/>
      </c>
      <c r="H80">
        <f>G80*$D$32</f>
        <v/>
      </c>
      <c r="I80">
        <f>IF(C80=0,0,H80*1000/C80*100)</f>
        <v/>
      </c>
      <c r="J80">
        <f>WEO_Data!C8</f>
        <v/>
      </c>
      <c r="K80">
        <f>J80+I80</f>
        <v/>
      </c>
    </row>
    <row r="81">
      <c r="B81" t="n">
        <v>2027</v>
      </c>
      <c r="C81">
        <f>WEO_Data!G9</f>
        <v/>
      </c>
      <c r="D81">
        <f>$E$34</f>
        <v/>
      </c>
      <c r="E81">
        <f>$D$30*D81*2.746</f>
        <v/>
      </c>
      <c r="F81">
        <f>E81*0.5</f>
        <v/>
      </c>
      <c r="G81">
        <f>E81-F81</f>
        <v/>
      </c>
      <c r="H81">
        <f>G81*$D$32</f>
        <v/>
      </c>
      <c r="I81">
        <f>IF(C81=0,0,H81*1000/C81*100)</f>
        <v/>
      </c>
      <c r="J81">
        <f>WEO_Data!C9</f>
        <v/>
      </c>
      <c r="K81">
        <f>J81+I81</f>
        <v/>
      </c>
    </row>
    <row r="82">
      <c r="B82" t="n">
        <v>2028</v>
      </c>
      <c r="C82">
        <f>WEO_Data!G10</f>
        <v/>
      </c>
      <c r="D82">
        <f>$F$34</f>
        <v/>
      </c>
      <c r="E82">
        <f>$D$30*D82*2.746</f>
        <v/>
      </c>
      <c r="F82">
        <f>E82*0.5</f>
        <v/>
      </c>
      <c r="G82">
        <f>E82-F82</f>
        <v/>
      </c>
      <c r="H82">
        <f>G82*$D$32</f>
        <v/>
      </c>
      <c r="I82">
        <f>IF(C82=0,0,H82*1000/C82*100)</f>
        <v/>
      </c>
      <c r="J82">
        <f>WEO_Data!C10</f>
        <v/>
      </c>
      <c r="K82">
        <f>J82+I82</f>
        <v/>
      </c>
    </row>
    <row r="83">
      <c r="B83" t="n">
        <v>2029</v>
      </c>
      <c r="C83">
        <f>WEO_Data!G11</f>
        <v/>
      </c>
      <c r="D83">
        <f>$G$34</f>
        <v/>
      </c>
      <c r="E83">
        <f>$D$30*D83*2.746</f>
        <v/>
      </c>
      <c r="F83">
        <f>E83*0.5</f>
        <v/>
      </c>
      <c r="G83">
        <f>E83-F83</f>
        <v/>
      </c>
      <c r="H83">
        <f>G83*$D$32</f>
        <v/>
      </c>
      <c r="I83">
        <f>IF(C83=0,0,H83*1000/C83*100)</f>
        <v/>
      </c>
      <c r="J83">
        <f>WEO_Data!C11</f>
        <v/>
      </c>
      <c r="K83">
        <f>J83+I83</f>
        <v/>
      </c>
    </row>
    <row r="84">
      <c r="B84" t="n">
        <v>2030</v>
      </c>
      <c r="C84">
        <f>WEO_Data!G12</f>
        <v/>
      </c>
      <c r="D84">
        <f>$H$34</f>
        <v/>
      </c>
      <c r="E84">
        <f>$D$30*D84*2.746</f>
        <v/>
      </c>
      <c r="F84">
        <f>E84*0.5</f>
        <v/>
      </c>
      <c r="G84">
        <f>E84-F84</f>
        <v/>
      </c>
      <c r="H84">
        <f>G84*$D$32</f>
        <v/>
      </c>
      <c r="I84">
        <f>IF(C84=0,0,H84*1000/C84*100)</f>
        <v/>
      </c>
      <c r="J84">
        <f>WEO_Data!C12</f>
        <v/>
      </c>
      <c r="K84">
        <f>J84+I84</f>
        <v/>
      </c>
    </row>
    <row r="85">
      <c r="B85" t="n">
        <v>2031</v>
      </c>
      <c r="C85">
        <f>WEO_Data!G13</f>
        <v/>
      </c>
      <c r="D85">
        <f>$I$34</f>
        <v/>
      </c>
      <c r="E85">
        <f>$D$30*D85*2.746</f>
        <v/>
      </c>
      <c r="F85">
        <f>E85*0.5</f>
        <v/>
      </c>
      <c r="G85">
        <f>E85-F85</f>
        <v/>
      </c>
      <c r="H85">
        <f>G85*$D$32</f>
        <v/>
      </c>
      <c r="I85">
        <f>IF(C85=0,0,H85*1000/C85*100)</f>
        <v/>
      </c>
      <c r="J85">
        <f>WEO_Data!C13</f>
        <v/>
      </c>
      <c r="K85">
        <f>J85+I85</f>
        <v/>
      </c>
    </row>
    <row r="86">
      <c r="B86" t="n">
        <v>2032</v>
      </c>
      <c r="C86">
        <f>WEO_Data!G14</f>
        <v/>
      </c>
      <c r="D86">
        <f>$J$34</f>
        <v/>
      </c>
      <c r="E86">
        <f>$D$30*D86*2.746</f>
        <v/>
      </c>
      <c r="F86">
        <f>E86*0.5</f>
        <v/>
      </c>
      <c r="G86">
        <f>E86-F86</f>
        <v/>
      </c>
      <c r="H86">
        <f>G86*$D$32</f>
        <v/>
      </c>
      <c r="I86">
        <f>IF(C86=0,0,H86*1000/C86*100)</f>
        <v/>
      </c>
      <c r="J86">
        <f>WEO_Data!C14</f>
        <v/>
      </c>
      <c r="K86">
        <f>J86+I86</f>
        <v/>
      </c>
    </row>
    <row r="87">
      <c r="B87" t="n">
        <v>2033</v>
      </c>
      <c r="C87">
        <f>WEO_Data!G15</f>
        <v/>
      </c>
      <c r="D87">
        <f>$K$34</f>
        <v/>
      </c>
      <c r="E87">
        <f>$D$30*D87*2.746</f>
        <v/>
      </c>
      <c r="F87">
        <f>E87*0.5</f>
        <v/>
      </c>
      <c r="G87">
        <f>E87-F87</f>
        <v/>
      </c>
      <c r="H87">
        <f>G87*$D$32</f>
        <v/>
      </c>
      <c r="I87">
        <f>IF(C87=0,0,H87*1000/C87*100)</f>
        <v/>
      </c>
      <c r="J87">
        <f>WEO_Data!C15</f>
        <v/>
      </c>
      <c r="K87">
        <f>J87+I87</f>
        <v/>
      </c>
    </row>
    <row r="88">
      <c r="B88" t="n">
        <v>2034</v>
      </c>
      <c r="C88">
        <f>WEO_Data!G16</f>
        <v/>
      </c>
      <c r="D88" t="n">
        <v>0</v>
      </c>
      <c r="E88">
        <f>$D$30*D88*2.746</f>
        <v/>
      </c>
      <c r="F88">
        <f>E88*0.5</f>
        <v/>
      </c>
      <c r="G88">
        <f>E88-F88</f>
        <v/>
      </c>
      <c r="H88">
        <f>G88*$D$32</f>
        <v/>
      </c>
      <c r="I88">
        <f>IF(C88=0,0,H88*1000/C88*100)</f>
        <v/>
      </c>
      <c r="J88">
        <f>WEO_Data!C16</f>
        <v/>
      </c>
      <c r="K88">
        <f>J88+I88</f>
        <v/>
      </c>
    </row>
    <row r="89">
      <c r="B89" t="n">
        <v>2035</v>
      </c>
      <c r="C89">
        <f>WEO_Data!G17</f>
        <v/>
      </c>
      <c r="D89" t="n">
        <v>0</v>
      </c>
      <c r="E89">
        <f>$D$30*D89*2.746</f>
        <v/>
      </c>
      <c r="F89">
        <f>E89*0.5</f>
        <v/>
      </c>
      <c r="G89">
        <f>E89-F89</f>
        <v/>
      </c>
      <c r="H89">
        <f>G89*$D$32</f>
        <v/>
      </c>
      <c r="I89">
        <f>IF(C89=0,0,H89*1000/C89*100)</f>
        <v/>
      </c>
      <c r="J89">
        <f>WEO_Data!C17</f>
        <v/>
      </c>
      <c r="K89">
        <f>J89+I89</f>
        <v/>
      </c>
    </row>
    <row r="90">
      <c r="B90" t="n">
        <v>2036</v>
      </c>
      <c r="C90">
        <f>WEO_Data!G18</f>
        <v/>
      </c>
      <c r="D90" t="n">
        <v>0</v>
      </c>
      <c r="E90">
        <f>$D$30*D90*2.746</f>
        <v/>
      </c>
      <c r="F90">
        <f>E90*0.5</f>
        <v/>
      </c>
      <c r="G90">
        <f>E90-F90</f>
        <v/>
      </c>
      <c r="H90">
        <f>G90*$D$32</f>
        <v/>
      </c>
      <c r="I90">
        <f>IF(C90=0,0,H90*1000/C90*100)</f>
        <v/>
      </c>
      <c r="J90">
        <f>WEO_Data!C18</f>
        <v/>
      </c>
      <c r="K90">
        <f>J90+I90</f>
        <v/>
      </c>
    </row>
    <row r="91">
      <c r="B91" t="n">
        <v>2037</v>
      </c>
      <c r="C91">
        <f>WEO_Data!G19</f>
        <v/>
      </c>
      <c r="D91" t="n">
        <v>0</v>
      </c>
      <c r="E91">
        <f>$D$30*D91*2.746</f>
        <v/>
      </c>
      <c r="F91">
        <f>E91*0.5</f>
        <v/>
      </c>
      <c r="G91">
        <f>E91-F91</f>
        <v/>
      </c>
      <c r="H91">
        <f>G91*$D$32</f>
        <v/>
      </c>
      <c r="I91">
        <f>IF(C91=0,0,H91*1000/C91*100)</f>
        <v/>
      </c>
      <c r="J91">
        <f>WEO_Data!C19</f>
        <v/>
      </c>
      <c r="K91">
        <f>J91+I91</f>
        <v/>
      </c>
    </row>
    <row r="92">
      <c r="B92" t="n">
        <v>2038</v>
      </c>
      <c r="C92">
        <f>WEO_Data!G20</f>
        <v/>
      </c>
      <c r="D92" t="n">
        <v>0</v>
      </c>
      <c r="E92">
        <f>$D$30*D92*2.746</f>
        <v/>
      </c>
      <c r="F92">
        <f>E92*0.5</f>
        <v/>
      </c>
      <c r="G92">
        <f>E92-F92</f>
        <v/>
      </c>
      <c r="H92">
        <f>G92*$D$32</f>
        <v/>
      </c>
      <c r="I92">
        <f>IF(C92=0,0,H92*1000/C92*100)</f>
        <v/>
      </c>
      <c r="J92">
        <f>WEO_Data!C20</f>
        <v/>
      </c>
      <c r="K92">
        <f>J92+I92</f>
        <v/>
      </c>
    </row>
    <row r="93">
      <c r="B93" t="n">
        <v>2039</v>
      </c>
      <c r="C93">
        <f>WEO_Data!G21</f>
        <v/>
      </c>
      <c r="D93" t="n">
        <v>0</v>
      </c>
      <c r="E93">
        <f>$D$30*D93*2.746</f>
        <v/>
      </c>
      <c r="F93">
        <f>E93*0.5</f>
        <v/>
      </c>
      <c r="G93">
        <f>E93-F93</f>
        <v/>
      </c>
      <c r="H93">
        <f>G93*$D$32</f>
        <v/>
      </c>
      <c r="I93">
        <f>IF(C93=0,0,H93*1000/C93*100)</f>
        <v/>
      </c>
      <c r="J93">
        <f>WEO_Data!C21</f>
        <v/>
      </c>
      <c r="K93">
        <f>J93+I93</f>
        <v/>
      </c>
    </row>
    <row r="94">
      <c r="B94" t="n">
        <v>2040</v>
      </c>
      <c r="C94">
        <f>WEO_Data!G22</f>
        <v/>
      </c>
      <c r="D94" t="n">
        <v>0</v>
      </c>
      <c r="E94">
        <f>$D$30*D94*2.746</f>
        <v/>
      </c>
      <c r="F94">
        <f>E94*0.5</f>
        <v/>
      </c>
      <c r="G94">
        <f>E94-F94</f>
        <v/>
      </c>
      <c r="H94">
        <f>G94*$D$32</f>
        <v/>
      </c>
      <c r="I94">
        <f>IF(C94=0,0,H94*1000/C94*100)</f>
        <v/>
      </c>
      <c r="J94">
        <f>WEO_Data!C22</f>
        <v/>
      </c>
      <c r="K94">
        <f>J94+I94</f>
        <v/>
      </c>
    </row>
    <row r="95">
      <c r="B95" t="n">
        <v>2041</v>
      </c>
      <c r="C95">
        <f>WEO_Data!G23</f>
        <v/>
      </c>
      <c r="D95" t="n">
        <v>0</v>
      </c>
      <c r="E95">
        <f>$D$30*D95*2.746</f>
        <v/>
      </c>
      <c r="F95">
        <f>E95*0.5</f>
        <v/>
      </c>
      <c r="G95">
        <f>E95-F95</f>
        <v/>
      </c>
      <c r="H95">
        <f>G95*$D$32</f>
        <v/>
      </c>
      <c r="I95">
        <f>IF(C95=0,0,H95*1000/C95*100)</f>
        <v/>
      </c>
      <c r="J95">
        <f>WEO_Data!C23</f>
        <v/>
      </c>
      <c r="K95">
        <f>J95+I95</f>
        <v/>
      </c>
    </row>
    <row r="96">
      <c r="B96" t="n">
        <v>2042</v>
      </c>
      <c r="C96">
        <f>WEO_Data!G24</f>
        <v/>
      </c>
      <c r="D96" t="n">
        <v>0</v>
      </c>
      <c r="E96">
        <f>$D$30*D96*2.746</f>
        <v/>
      </c>
      <c r="F96">
        <f>E96*0.5</f>
        <v/>
      </c>
      <c r="G96">
        <f>E96-F96</f>
        <v/>
      </c>
      <c r="H96">
        <f>G96*$D$32</f>
        <v/>
      </c>
      <c r="I96">
        <f>IF(C96=0,0,H96*1000/C96*100)</f>
        <v/>
      </c>
      <c r="J96">
        <f>WEO_Data!C24</f>
        <v/>
      </c>
      <c r="K96">
        <f>J96+I96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GROSS OUTPUT
(at current prices  mil. GEL)</t>
        </is>
      </c>
    </row>
    <row r="2">
      <c r="A2" t="inlineStr">
        <is>
          <t xml:space="preserve">NACE 
Rev. 2 </t>
        </is>
      </c>
      <c r="B2" t="inlineStr">
        <is>
          <t>Economic Activities</t>
        </is>
      </c>
      <c r="C2" t="inlineStr">
        <is>
          <t>I 10</t>
        </is>
      </c>
      <c r="D2" t="inlineStr">
        <is>
          <t>II 10</t>
        </is>
      </c>
      <c r="E2" t="inlineStr">
        <is>
          <t>III 10</t>
        </is>
      </c>
      <c r="F2" t="inlineStr">
        <is>
          <t>IV 10</t>
        </is>
      </c>
      <c r="G2" t="n">
        <v>2010</v>
      </c>
      <c r="H2" t="inlineStr">
        <is>
          <t>I 11</t>
        </is>
      </c>
      <c r="I2" t="inlineStr">
        <is>
          <t>II 11</t>
        </is>
      </c>
      <c r="J2" t="inlineStr">
        <is>
          <t>III 11</t>
        </is>
      </c>
      <c r="K2" t="inlineStr">
        <is>
          <t>IV 11</t>
        </is>
      </c>
      <c r="L2" t="n">
        <v>2011</v>
      </c>
      <c r="M2" t="inlineStr">
        <is>
          <t>I 12</t>
        </is>
      </c>
      <c r="N2" t="inlineStr">
        <is>
          <t>II 12</t>
        </is>
      </c>
      <c r="O2" t="inlineStr">
        <is>
          <t>III 12</t>
        </is>
      </c>
      <c r="P2" t="inlineStr">
        <is>
          <t>IV 12</t>
        </is>
      </c>
      <c r="Q2" t="n">
        <v>2012</v>
      </c>
      <c r="R2" t="inlineStr">
        <is>
          <t>I 13</t>
        </is>
      </c>
      <c r="S2" t="inlineStr">
        <is>
          <t>II 13</t>
        </is>
      </c>
      <c r="T2" t="inlineStr">
        <is>
          <t>III 13</t>
        </is>
      </c>
      <c r="U2" t="inlineStr">
        <is>
          <t>IV 13</t>
        </is>
      </c>
      <c r="V2" t="n">
        <v>2013</v>
      </c>
      <c r="W2" t="inlineStr">
        <is>
          <t>I 14</t>
        </is>
      </c>
      <c r="X2" t="inlineStr">
        <is>
          <t>II 14</t>
        </is>
      </c>
      <c r="Y2" t="inlineStr">
        <is>
          <t>III 14</t>
        </is>
      </c>
      <c r="Z2" t="inlineStr">
        <is>
          <t>IV 14</t>
        </is>
      </c>
      <c r="AA2" t="n">
        <v>2014</v>
      </c>
      <c r="AB2" t="inlineStr">
        <is>
          <t>I 15</t>
        </is>
      </c>
      <c r="AC2" t="inlineStr">
        <is>
          <t>II 15</t>
        </is>
      </c>
      <c r="AD2" t="inlineStr">
        <is>
          <t>III 15</t>
        </is>
      </c>
      <c r="AE2" t="inlineStr">
        <is>
          <t>IV 15</t>
        </is>
      </c>
      <c r="AF2" t="n">
        <v>2015</v>
      </c>
      <c r="AG2" t="inlineStr">
        <is>
          <t>I 16</t>
        </is>
      </c>
      <c r="AH2" t="inlineStr">
        <is>
          <t>II 16</t>
        </is>
      </c>
      <c r="AI2" t="inlineStr">
        <is>
          <t>III 16</t>
        </is>
      </c>
      <c r="AJ2" t="inlineStr">
        <is>
          <t>IV 16</t>
        </is>
      </c>
      <c r="AK2" t="n">
        <v>2016</v>
      </c>
      <c r="AL2" t="inlineStr">
        <is>
          <t>I 17</t>
        </is>
      </c>
      <c r="AM2" t="inlineStr">
        <is>
          <t>II 17</t>
        </is>
      </c>
      <c r="AN2" t="inlineStr">
        <is>
          <t>III 17</t>
        </is>
      </c>
      <c r="AO2" t="inlineStr">
        <is>
          <t>IV 17</t>
        </is>
      </c>
      <c r="AP2" t="n">
        <v>2017</v>
      </c>
      <c r="AQ2" t="inlineStr">
        <is>
          <t>I 18</t>
        </is>
      </c>
      <c r="AR2" t="inlineStr">
        <is>
          <t>II 18</t>
        </is>
      </c>
      <c r="AS2" t="inlineStr">
        <is>
          <t>III 18</t>
        </is>
      </c>
      <c r="AT2" t="inlineStr">
        <is>
          <t>IV 18</t>
        </is>
      </c>
      <c r="AU2" t="n">
        <v>2018</v>
      </c>
      <c r="AV2" t="inlineStr">
        <is>
          <t>I 19</t>
        </is>
      </c>
      <c r="AW2" t="inlineStr">
        <is>
          <t>II 19</t>
        </is>
      </c>
      <c r="AX2" t="inlineStr">
        <is>
          <t>III 19</t>
        </is>
      </c>
      <c r="AY2" t="inlineStr">
        <is>
          <t>IV 19</t>
        </is>
      </c>
      <c r="AZ2" t="n">
        <v>2019</v>
      </c>
      <c r="BA2" t="inlineStr">
        <is>
          <t>I 20</t>
        </is>
      </c>
      <c r="BB2" t="inlineStr">
        <is>
          <t>II 20</t>
        </is>
      </c>
      <c r="BC2" t="inlineStr">
        <is>
          <t>III 20</t>
        </is>
      </c>
      <c r="BD2" t="inlineStr">
        <is>
          <t>IV 20</t>
        </is>
      </c>
      <c r="BE2" t="n">
        <v>2020</v>
      </c>
      <c r="BF2" t="inlineStr">
        <is>
          <t>I 21</t>
        </is>
      </c>
      <c r="BG2" t="inlineStr">
        <is>
          <t>II 21</t>
        </is>
      </c>
      <c r="BH2" t="inlineStr">
        <is>
          <t>III 21</t>
        </is>
      </c>
      <c r="BI2" t="inlineStr">
        <is>
          <t>IV 21</t>
        </is>
      </c>
      <c r="BJ2" t="n">
        <v>2021</v>
      </c>
      <c r="BK2" t="inlineStr">
        <is>
          <t>I 22</t>
        </is>
      </c>
      <c r="BL2" t="inlineStr">
        <is>
          <t>II 22</t>
        </is>
      </c>
      <c r="BM2" t="inlineStr">
        <is>
          <t>III 22</t>
        </is>
      </c>
      <c r="BN2" t="inlineStr">
        <is>
          <t>IV 22</t>
        </is>
      </c>
      <c r="BO2" t="n">
        <v>2022</v>
      </c>
      <c r="BP2" t="inlineStr">
        <is>
          <t>I  23</t>
        </is>
      </c>
      <c r="BQ2" t="inlineStr">
        <is>
          <t>II  23</t>
        </is>
      </c>
      <c r="BR2" t="inlineStr">
        <is>
          <t>III  23</t>
        </is>
      </c>
      <c r="BS2" t="inlineStr">
        <is>
          <t>IV  23</t>
        </is>
      </c>
      <c r="BT2" t="n">
        <v>2023</v>
      </c>
      <c r="BU2" t="inlineStr">
        <is>
          <t>I  24</t>
        </is>
      </c>
      <c r="BV2" t="inlineStr">
        <is>
          <t>II  24</t>
        </is>
      </c>
      <c r="BW2" t="inlineStr">
        <is>
          <t>III  24</t>
        </is>
      </c>
      <c r="BX2" t="inlineStr">
        <is>
          <t>IV  24</t>
        </is>
      </c>
      <c r="BY2" t="n">
        <v>2024</v>
      </c>
      <c r="BZ2" t="inlineStr">
        <is>
          <t>I 25*</t>
        </is>
      </c>
      <c r="CA2" t="inlineStr">
        <is>
          <t>II 25*</t>
        </is>
      </c>
      <c r="CB2" t="inlineStr">
        <is>
          <t>III 25*</t>
        </is>
      </c>
    </row>
    <row r="3">
      <c r="A3" t="inlineStr">
        <is>
          <t>A</t>
        </is>
      </c>
      <c r="B3" t="inlineStr">
        <is>
          <t>Agriculture  forestry and fishing</t>
        </is>
      </c>
      <c r="C3" t="n">
        <v>643.5003542721657</v>
      </c>
      <c r="D3" t="n">
        <v>834.3254327087938</v>
      </c>
      <c r="E3" t="n">
        <v>891.2313462100084</v>
      </c>
      <c r="F3" t="n">
        <v>795.8148439598336</v>
      </c>
      <c r="G3" t="n">
        <v>3164.871977150801</v>
      </c>
      <c r="H3" t="n">
        <v>764.9470337155217</v>
      </c>
      <c r="I3" t="n">
        <v>1088.953587385208</v>
      </c>
      <c r="J3" t="n">
        <v>1144.865607178677</v>
      </c>
      <c r="K3" t="n">
        <v>1011.568291734177</v>
      </c>
      <c r="L3" t="n">
        <v>4010.334520013584</v>
      </c>
      <c r="M3" t="n">
        <v>754.7155897548354</v>
      </c>
      <c r="N3" t="n">
        <v>1024.949571821623</v>
      </c>
      <c r="O3" t="n">
        <v>1033.719957060596</v>
      </c>
      <c r="P3" t="n">
        <v>996.3650090830098</v>
      </c>
      <c r="Q3" t="n">
        <v>3809.750127720064</v>
      </c>
      <c r="R3" t="n">
        <v>812.2605441967431</v>
      </c>
      <c r="S3" t="n">
        <v>1149.862963552468</v>
      </c>
      <c r="T3" t="n">
        <v>1198.723001529713</v>
      </c>
      <c r="U3" t="n">
        <v>1053.675609679927</v>
      </c>
      <c r="V3" t="n">
        <v>4214.52211895885</v>
      </c>
      <c r="W3" t="n">
        <v>853.8777079556197</v>
      </c>
      <c r="X3" t="n">
        <v>1245.126362717842</v>
      </c>
      <c r="Y3" t="n">
        <v>1314.361475610161</v>
      </c>
      <c r="Z3" t="n">
        <v>1146.676626632993</v>
      </c>
      <c r="AA3" t="n">
        <v>4560.042172916616</v>
      </c>
      <c r="AB3" t="n">
        <v>844.2534187702691</v>
      </c>
      <c r="AC3" t="n">
        <v>1285.250929370173</v>
      </c>
      <c r="AD3" t="n">
        <v>1369.241957127535</v>
      </c>
      <c r="AE3" t="n">
        <v>1090.890190505108</v>
      </c>
      <c r="AF3" t="n">
        <v>4589.636495773086</v>
      </c>
      <c r="AG3" t="n">
        <v>827.2911880261386</v>
      </c>
      <c r="AH3" t="n">
        <v>1252.713988028936</v>
      </c>
      <c r="AI3" t="n">
        <v>1387.930189033505</v>
      </c>
      <c r="AJ3" t="n">
        <v>1067.046413397203</v>
      </c>
      <c r="AK3" t="n">
        <v>4534.981778485782</v>
      </c>
      <c r="AL3" t="n">
        <v>937.7265066611388</v>
      </c>
      <c r="AM3" t="n">
        <v>1268.359669552815</v>
      </c>
      <c r="AN3" t="n">
        <v>1251.420464922724</v>
      </c>
      <c r="AO3" t="n">
        <v>1018.0444120348</v>
      </c>
      <c r="AP3" t="n">
        <v>4475.551053171479</v>
      </c>
      <c r="AQ3" t="n">
        <v>1023.987509874683</v>
      </c>
      <c r="AR3" t="n">
        <v>1497.949639867883</v>
      </c>
      <c r="AS3" t="n">
        <v>1570.370852831546</v>
      </c>
      <c r="AT3" t="n">
        <v>1221.99163272066</v>
      </c>
      <c r="AU3" t="n">
        <v>5314.299635294773</v>
      </c>
      <c r="AV3" t="n">
        <v>1035.757750372937</v>
      </c>
      <c r="AW3" t="n">
        <v>1648.598742722373</v>
      </c>
      <c r="AX3" t="n">
        <v>1644.981206617821</v>
      </c>
      <c r="AY3" t="n">
        <v>1314.929974594954</v>
      </c>
      <c r="AZ3" t="n">
        <v>5644.267674308085</v>
      </c>
      <c r="BA3" t="n">
        <v>1074.542661979513</v>
      </c>
      <c r="BB3" t="n">
        <v>1847.79401247512</v>
      </c>
      <c r="BC3" t="n">
        <v>1972.079269490256</v>
      </c>
      <c r="BD3" t="n">
        <v>1463.685917966004</v>
      </c>
      <c r="BE3" t="n">
        <v>6358.101861910893</v>
      </c>
      <c r="BF3" t="n">
        <v>1130.820781106114</v>
      </c>
      <c r="BG3" t="n">
        <v>1956.965141478967</v>
      </c>
      <c r="BH3" t="n">
        <v>2139.516662726977</v>
      </c>
      <c r="BI3" t="n">
        <v>1518.400160210475</v>
      </c>
      <c r="BJ3" t="n">
        <v>6745.702745522533</v>
      </c>
      <c r="BK3" t="n">
        <v>1296.814167608515</v>
      </c>
      <c r="BL3" t="n">
        <v>2173.746818118583</v>
      </c>
      <c r="BM3" t="n">
        <v>2291.87808618724</v>
      </c>
      <c r="BN3" t="n">
        <v>1668.639538019586</v>
      </c>
      <c r="BO3" t="n">
        <v>7431.078609933924</v>
      </c>
      <c r="BP3" t="n">
        <v>1380.582750130287</v>
      </c>
      <c r="BQ3" t="n">
        <v>2234.399006032462</v>
      </c>
      <c r="BR3" t="n">
        <v>2453.663077498979</v>
      </c>
      <c r="BS3" t="n">
        <v>1755.268912293049</v>
      </c>
      <c r="BT3" t="n">
        <v>7823.913745954776</v>
      </c>
      <c r="BU3" t="n">
        <v>1381.008558581563</v>
      </c>
      <c r="BV3" t="n">
        <v>2281.081695064713</v>
      </c>
      <c r="BW3" t="n">
        <v>2634.495562703472</v>
      </c>
      <c r="BX3" t="n">
        <v>1785.642381807779</v>
      </c>
      <c r="BY3" t="n">
        <v>8082.228198157527</v>
      </c>
      <c r="BZ3" t="n">
        <v>1460.55597622633</v>
      </c>
      <c r="CA3" t="n">
        <v>2400.542388489581</v>
      </c>
      <c r="CB3" t="n">
        <v>2814.040379557529</v>
      </c>
    </row>
    <row r="4">
      <c r="A4" t="inlineStr">
        <is>
          <t>B</t>
        </is>
      </c>
      <c r="B4" t="inlineStr">
        <is>
          <t>Mining and quarrying</t>
        </is>
      </c>
      <c r="C4" t="n">
        <v>61.43576715754426</v>
      </c>
      <c r="D4" t="n">
        <v>73.05639821488001</v>
      </c>
      <c r="E4" t="n">
        <v>79.98175271003635</v>
      </c>
      <c r="F4" t="n">
        <v>69.04015489084331</v>
      </c>
      <c r="G4" t="n">
        <v>283.5140729733039</v>
      </c>
      <c r="H4" t="n">
        <v>85.41138563939454</v>
      </c>
      <c r="I4" t="n">
        <v>84.35648074235084</v>
      </c>
      <c r="J4" t="n">
        <v>106.6608050163467</v>
      </c>
      <c r="K4" t="n">
        <v>85.63437982615503</v>
      </c>
      <c r="L4" t="n">
        <v>362.0630512242471</v>
      </c>
      <c r="M4" t="n">
        <v>108.8428835189824</v>
      </c>
      <c r="N4" t="n">
        <v>91.29564550792563</v>
      </c>
      <c r="O4" t="n">
        <v>119.2476603255194</v>
      </c>
      <c r="P4" t="n">
        <v>81.21154736661161</v>
      </c>
      <c r="Q4" t="n">
        <v>400.5977367190391</v>
      </c>
      <c r="R4" t="n">
        <v>82.70067686998355</v>
      </c>
      <c r="S4" t="n">
        <v>100.3749006630739</v>
      </c>
      <c r="T4" t="n">
        <v>94.36871770425746</v>
      </c>
      <c r="U4" t="n">
        <v>80.34496402791497</v>
      </c>
      <c r="V4" t="n">
        <v>357.7892592652299</v>
      </c>
      <c r="W4" t="n">
        <v>82.80050474112782</v>
      </c>
      <c r="X4" t="n">
        <v>105.3231031075022</v>
      </c>
      <c r="Y4" t="n">
        <v>134.3447081775667</v>
      </c>
      <c r="Z4" t="n">
        <v>150.6767705567325</v>
      </c>
      <c r="AA4" t="n">
        <v>473.1450865829291</v>
      </c>
      <c r="AB4" t="n">
        <v>134.604057099676</v>
      </c>
      <c r="AC4" t="n">
        <v>179.0515393506132</v>
      </c>
      <c r="AD4" t="n">
        <v>226.9058895678293</v>
      </c>
      <c r="AE4" t="n">
        <v>213.9480185873408</v>
      </c>
      <c r="AF4" t="n">
        <v>754.5095046054591</v>
      </c>
      <c r="AG4" t="n">
        <v>170.9063445776756</v>
      </c>
      <c r="AH4" t="n">
        <v>193.1592469643384</v>
      </c>
      <c r="AI4" t="n">
        <v>196.2092191986024</v>
      </c>
      <c r="AJ4" t="n">
        <v>170.7065153899981</v>
      </c>
      <c r="AK4" t="n">
        <v>730.9813261306144</v>
      </c>
      <c r="AL4" t="n">
        <v>173.2459884873297</v>
      </c>
      <c r="AM4" t="n">
        <v>179.9421004096403</v>
      </c>
      <c r="AN4" t="n">
        <v>218.289711138179</v>
      </c>
      <c r="AO4" t="n">
        <v>222.3594501649441</v>
      </c>
      <c r="AP4" t="n">
        <v>793.837250200093</v>
      </c>
      <c r="AQ4" t="n">
        <v>203.4450872301129</v>
      </c>
      <c r="AR4" t="n">
        <v>238.3393450398178</v>
      </c>
      <c r="AS4" t="n">
        <v>237.179303742873</v>
      </c>
      <c r="AT4" t="n">
        <v>225.3478789563744</v>
      </c>
      <c r="AU4" t="n">
        <v>904.3116149691782</v>
      </c>
      <c r="AV4" t="n">
        <v>215.9113546010911</v>
      </c>
      <c r="AW4" t="n">
        <v>261.0084175429594</v>
      </c>
      <c r="AX4" t="n">
        <v>293.3632734751151</v>
      </c>
      <c r="AY4" t="n">
        <v>353.0049049011511</v>
      </c>
      <c r="AZ4" t="n">
        <v>1123.287950520317</v>
      </c>
      <c r="BA4" t="n">
        <v>291.1402101410168</v>
      </c>
      <c r="BB4" t="n">
        <v>384.3250957166043</v>
      </c>
      <c r="BC4" t="n">
        <v>428.3820218419362</v>
      </c>
      <c r="BD4" t="n">
        <v>408.341347945333</v>
      </c>
      <c r="BE4" t="n">
        <v>1512.18867564489</v>
      </c>
      <c r="BF4" t="n">
        <v>348.9641710272239</v>
      </c>
      <c r="BG4" t="n">
        <v>368.8663163199444</v>
      </c>
      <c r="BH4" t="n">
        <v>351.4825182580882</v>
      </c>
      <c r="BI4" t="n">
        <v>366.736679770013</v>
      </c>
      <c r="BJ4" t="n">
        <v>1436.04968537527</v>
      </c>
      <c r="BK4" t="n">
        <v>409.5715389955855</v>
      </c>
      <c r="BL4" t="n">
        <v>420.0196299496641</v>
      </c>
      <c r="BM4" t="n">
        <v>440.809252630921</v>
      </c>
      <c r="BN4" t="n">
        <v>410.3606573211965</v>
      </c>
      <c r="BO4" t="n">
        <v>1680.761078897367</v>
      </c>
      <c r="BP4" t="n">
        <v>395.7567663019059</v>
      </c>
      <c r="BQ4" t="n">
        <v>461.2740635668418</v>
      </c>
      <c r="BR4" t="n">
        <v>518.9748389679</v>
      </c>
      <c r="BS4" t="n">
        <v>496.2118828123511</v>
      </c>
      <c r="BT4" t="n">
        <v>1872.217551648999</v>
      </c>
      <c r="BU4" t="n">
        <v>429.3040796950796</v>
      </c>
      <c r="BV4" t="n">
        <v>569.8209299402563</v>
      </c>
      <c r="BW4" t="n">
        <v>644.9522308155294</v>
      </c>
      <c r="BX4" t="n">
        <v>670.3768087629725</v>
      </c>
      <c r="BY4" t="n">
        <v>2314.454049213838</v>
      </c>
      <c r="BZ4" t="n">
        <v>616.8768779839502</v>
      </c>
      <c r="CA4" t="n">
        <v>740.7591817120847</v>
      </c>
      <c r="CB4" t="n">
        <v>739.6188842256128</v>
      </c>
    </row>
    <row r="5">
      <c r="A5" t="inlineStr">
        <is>
          <t>C</t>
        </is>
      </c>
      <c r="B5" t="inlineStr">
        <is>
          <t>Manufacturing</t>
        </is>
      </c>
      <c r="C5" t="n">
        <v>1299.49346328467</v>
      </c>
      <c r="D5" t="n">
        <v>1540.228743795048</v>
      </c>
      <c r="E5" t="n">
        <v>1908.378229184999</v>
      </c>
      <c r="F5" t="n">
        <v>1774.703155004328</v>
      </c>
      <c r="G5" t="n">
        <v>6522.803591269045</v>
      </c>
      <c r="H5" t="n">
        <v>1709.07561465482</v>
      </c>
      <c r="I5" t="n">
        <v>2026.190580678207</v>
      </c>
      <c r="J5" t="n">
        <v>2462.702198934276</v>
      </c>
      <c r="K5" t="n">
        <v>2165.734194901097</v>
      </c>
      <c r="L5" t="n">
        <v>8363.702589168399</v>
      </c>
      <c r="M5" t="n">
        <v>1781.122825277831</v>
      </c>
      <c r="N5" t="n">
        <v>2190.187236449738</v>
      </c>
      <c r="O5" t="n">
        <v>2561.139305645555</v>
      </c>
      <c r="P5" t="n">
        <v>2121.049382883921</v>
      </c>
      <c r="Q5" t="n">
        <v>8653.498750257046</v>
      </c>
      <c r="R5" t="n">
        <v>1865.670380251824</v>
      </c>
      <c r="S5" t="n">
        <v>2258.135246615091</v>
      </c>
      <c r="T5" t="n">
        <v>2729.68399761514</v>
      </c>
      <c r="U5" t="n">
        <v>2459.110169032836</v>
      </c>
      <c r="V5" t="n">
        <v>9312.599793514892</v>
      </c>
      <c r="W5" t="n">
        <v>2043.82187486442</v>
      </c>
      <c r="X5" t="n">
        <v>2378.573316659324</v>
      </c>
      <c r="Y5" t="n">
        <v>2874.177284528866</v>
      </c>
      <c r="Z5" t="n">
        <v>2829.571649038595</v>
      </c>
      <c r="AA5" t="n">
        <v>10126.1441250912</v>
      </c>
      <c r="AB5" t="n">
        <v>2146.664990230616</v>
      </c>
      <c r="AC5" t="n">
        <v>2535.82142421492</v>
      </c>
      <c r="AD5" t="n">
        <v>2829.153538508863</v>
      </c>
      <c r="AE5" t="n">
        <v>2867.45822526154</v>
      </c>
      <c r="AF5" t="n">
        <v>10379.09817821594</v>
      </c>
      <c r="AG5" t="n">
        <v>2154.617813643852</v>
      </c>
      <c r="AH5" t="n">
        <v>2654.325834596109</v>
      </c>
      <c r="AI5" t="n">
        <v>3055.025334770453</v>
      </c>
      <c r="AJ5" t="n">
        <v>3121.608491566602</v>
      </c>
      <c r="AK5" t="n">
        <v>10985.57747457701</v>
      </c>
      <c r="AL5" t="n">
        <v>2381.820293624988</v>
      </c>
      <c r="AM5" t="n">
        <v>2883.64817531961</v>
      </c>
      <c r="AN5" t="n">
        <v>3448.582173417784</v>
      </c>
      <c r="AO5" t="n">
        <v>3533.39719083703</v>
      </c>
      <c r="AP5" t="n">
        <v>12247.44783319941</v>
      </c>
      <c r="AQ5" t="n">
        <v>2731.612465457976</v>
      </c>
      <c r="AR5" t="n">
        <v>3333.1367906905</v>
      </c>
      <c r="AS5" t="n">
        <v>3579.755529506328</v>
      </c>
      <c r="AT5" t="n">
        <v>3890.923120662012</v>
      </c>
      <c r="AU5" t="n">
        <v>13535.42790631682</v>
      </c>
      <c r="AV5" t="n">
        <v>2919.123257797984</v>
      </c>
      <c r="AW5" t="n">
        <v>3494.376695781137</v>
      </c>
      <c r="AX5" t="n">
        <v>4246.499677102206</v>
      </c>
      <c r="AY5" t="n">
        <v>4373.370220825997</v>
      </c>
      <c r="AZ5" t="n">
        <v>15033.36985150732</v>
      </c>
      <c r="BA5" t="n">
        <v>3335.394216743859</v>
      </c>
      <c r="BB5" t="n">
        <v>3486.538780926664</v>
      </c>
      <c r="BC5" t="n">
        <v>4611.724925427044</v>
      </c>
      <c r="BD5" t="n">
        <v>4846.306626701995</v>
      </c>
      <c r="BE5" t="n">
        <v>16279.96454979956</v>
      </c>
      <c r="BF5" t="n">
        <v>3675.497663416592</v>
      </c>
      <c r="BG5" t="n">
        <v>4990.845977434903</v>
      </c>
      <c r="BH5" t="n">
        <v>5740.618281295669</v>
      </c>
      <c r="BI5" t="n">
        <v>6059.777504349902</v>
      </c>
      <c r="BJ5" t="n">
        <v>20466.73942649706</v>
      </c>
      <c r="BK5" t="n">
        <v>4784.215203028755</v>
      </c>
      <c r="BL5" t="n">
        <v>5868.881163866449</v>
      </c>
      <c r="BM5" t="n">
        <v>6419.3787849379</v>
      </c>
      <c r="BN5" t="n">
        <v>6285.713298260546</v>
      </c>
      <c r="BO5" t="n">
        <v>23358.18845009365</v>
      </c>
      <c r="BP5" t="n">
        <v>4706.891199621211</v>
      </c>
      <c r="BQ5" t="n">
        <v>5350.538865576271</v>
      </c>
      <c r="BR5" t="n">
        <v>6270.967266969784</v>
      </c>
      <c r="BS5" t="n">
        <v>6265.147605898183</v>
      </c>
      <c r="BT5" t="n">
        <v>22593.54493806545</v>
      </c>
      <c r="BU5" t="n">
        <v>5302.375114786629</v>
      </c>
      <c r="BV5" t="n">
        <v>6170.386850688239</v>
      </c>
      <c r="BW5" t="n">
        <v>7198.895138889364</v>
      </c>
      <c r="BX5" t="n">
        <v>6638.261865339054</v>
      </c>
      <c r="BY5" t="n">
        <v>25309.91896970329</v>
      </c>
      <c r="BZ5" t="n">
        <v>5345.756005974629</v>
      </c>
      <c r="CA5" t="n">
        <v>6722.760262916461</v>
      </c>
      <c r="CB5" t="n">
        <v>7554.978382620796</v>
      </c>
    </row>
    <row r="6">
      <c r="A6" t="inlineStr">
        <is>
          <t>D</t>
        </is>
      </c>
      <c r="B6" t="inlineStr">
        <is>
          <t>Electricity  gas  steam and air conditioning supply</t>
        </is>
      </c>
      <c r="C6" t="n">
        <v>201.0210109283156</v>
      </c>
      <c r="D6" t="n">
        <v>169.625004704193</v>
      </c>
      <c r="E6" t="n">
        <v>153.9320880564473</v>
      </c>
      <c r="F6" t="n">
        <v>220.1329331815549</v>
      </c>
      <c r="G6" t="n">
        <v>744.7110368705108</v>
      </c>
      <c r="H6" t="n">
        <v>249.5087676411241</v>
      </c>
      <c r="I6" t="n">
        <v>215.4379550768519</v>
      </c>
      <c r="J6" t="n">
        <v>182.1249228106103</v>
      </c>
      <c r="K6" t="n">
        <v>263.4060130495396</v>
      </c>
      <c r="L6" t="n">
        <v>910.4776585781258</v>
      </c>
      <c r="M6" t="n">
        <v>269.4188965775849</v>
      </c>
      <c r="N6" t="n">
        <v>201.7717645150057</v>
      </c>
      <c r="O6" t="n">
        <v>189.106063737019</v>
      </c>
      <c r="P6" t="n">
        <v>257.830378004777</v>
      </c>
      <c r="Q6" t="n">
        <v>918.1271028343865</v>
      </c>
      <c r="R6" t="n">
        <v>258.5973950929439</v>
      </c>
      <c r="S6" t="n">
        <v>215.8355454274655</v>
      </c>
      <c r="T6" t="n">
        <v>204.3805623248606</v>
      </c>
      <c r="U6" t="n">
        <v>327.2161752397075</v>
      </c>
      <c r="V6" t="n">
        <v>1006.029678084978</v>
      </c>
      <c r="W6" t="n">
        <v>295.6991922539741</v>
      </c>
      <c r="X6" t="n">
        <v>256.5611612309609</v>
      </c>
      <c r="Y6" t="n">
        <v>248.2050118005269</v>
      </c>
      <c r="Z6" t="n">
        <v>271.9474706705562</v>
      </c>
      <c r="AA6" t="n">
        <v>1072.412835956018</v>
      </c>
      <c r="AB6" t="n">
        <v>282.1054832576981</v>
      </c>
      <c r="AC6" t="n">
        <v>260.2178979323423</v>
      </c>
      <c r="AD6" t="n">
        <v>273.1077445131413</v>
      </c>
      <c r="AE6" t="n">
        <v>305.7481214533164</v>
      </c>
      <c r="AF6" t="n">
        <v>1121.179247156498</v>
      </c>
      <c r="AG6" t="n">
        <v>303.9605475333303</v>
      </c>
      <c r="AH6" t="n">
        <v>310.0842432747476</v>
      </c>
      <c r="AI6" t="n">
        <v>310.4422244433173</v>
      </c>
      <c r="AJ6" t="n">
        <v>351.9325485951759</v>
      </c>
      <c r="AK6" t="n">
        <v>1276.419563846571</v>
      </c>
      <c r="AL6" t="n">
        <v>314.5787005914337</v>
      </c>
      <c r="AM6" t="n">
        <v>325.4516391614095</v>
      </c>
      <c r="AN6" t="n">
        <v>341.7189660503241</v>
      </c>
      <c r="AO6" t="n">
        <v>379.1131532722078</v>
      </c>
      <c r="AP6" t="n">
        <v>1360.862459075375</v>
      </c>
      <c r="AQ6" t="n">
        <v>437.6251444766577</v>
      </c>
      <c r="AR6" t="n">
        <v>404.4007779107235</v>
      </c>
      <c r="AS6" t="n">
        <v>398.5624620581713</v>
      </c>
      <c r="AT6" t="n">
        <v>391.9473880156939</v>
      </c>
      <c r="AU6" t="n">
        <v>1632.535772461246</v>
      </c>
      <c r="AV6" t="n">
        <v>456.6209417677246</v>
      </c>
      <c r="AW6" t="n">
        <v>405.7408134114334</v>
      </c>
      <c r="AX6" t="n">
        <v>394.5844577757532</v>
      </c>
      <c r="AY6" t="n">
        <v>418.7413881621119</v>
      </c>
      <c r="AZ6" t="n">
        <v>1675.687601117023</v>
      </c>
      <c r="BA6" t="n">
        <v>455.5391001407133</v>
      </c>
      <c r="BB6" t="n">
        <v>400.4363305297883</v>
      </c>
      <c r="BC6" t="n">
        <v>370.2033249952295</v>
      </c>
      <c r="BD6" t="n">
        <v>434.3745909597935</v>
      </c>
      <c r="BE6" t="n">
        <v>1660.553346625525</v>
      </c>
      <c r="BF6" t="n">
        <v>511.3537404921676</v>
      </c>
      <c r="BG6" t="n">
        <v>545.5747538222479</v>
      </c>
      <c r="BH6" t="n">
        <v>671.196971882705</v>
      </c>
      <c r="BI6" t="n">
        <v>751.6012501144977</v>
      </c>
      <c r="BJ6" t="n">
        <v>2479.726716311618</v>
      </c>
      <c r="BK6" t="n">
        <v>729.9199790674801</v>
      </c>
      <c r="BL6" t="n">
        <v>788.5857516241613</v>
      </c>
      <c r="BM6" t="n">
        <v>776.7177515075567</v>
      </c>
      <c r="BN6" t="n">
        <v>718.374240114459</v>
      </c>
      <c r="BO6" t="n">
        <v>3013.597722313657</v>
      </c>
      <c r="BP6" t="n">
        <v>785.839957997776</v>
      </c>
      <c r="BQ6" t="n">
        <v>705.6333749316445</v>
      </c>
      <c r="BR6" t="n">
        <v>744.7729401831194</v>
      </c>
      <c r="BS6" t="n">
        <v>668.4874763143468</v>
      </c>
      <c r="BT6" t="n">
        <v>2904.733749426887</v>
      </c>
      <c r="BU6" t="n">
        <v>790.5462616860518</v>
      </c>
      <c r="BV6" t="n">
        <v>698.2331382777373</v>
      </c>
      <c r="BW6" t="n">
        <v>745.6764362776561</v>
      </c>
      <c r="BX6" t="n">
        <v>693.0287903298153</v>
      </c>
      <c r="BY6" t="n">
        <v>2927.484626571261</v>
      </c>
      <c r="BZ6" t="n">
        <v>763.8685477797576</v>
      </c>
      <c r="CA6" t="n">
        <v>727.8699014963127</v>
      </c>
      <c r="CB6" t="n">
        <v>783.7394878046252</v>
      </c>
    </row>
    <row r="7">
      <c r="A7" t="inlineStr">
        <is>
          <t>E</t>
        </is>
      </c>
      <c r="B7" t="inlineStr">
        <is>
          <t>Water supply; sewerage  waste management and remediation activities</t>
        </is>
      </c>
      <c r="C7" t="n">
        <v>60.77582410383125</v>
      </c>
      <c r="D7" t="n">
        <v>70.30587898115587</v>
      </c>
      <c r="E7" t="n">
        <v>76.7336111582843</v>
      </c>
      <c r="F7" t="n">
        <v>88.02180660766979</v>
      </c>
      <c r="G7" t="n">
        <v>295.8371208509412</v>
      </c>
      <c r="H7" t="n">
        <v>46.81034192689656</v>
      </c>
      <c r="I7" t="n">
        <v>56.83044667997284</v>
      </c>
      <c r="J7" t="n">
        <v>83.69832207773803</v>
      </c>
      <c r="K7" t="n">
        <v>106.0331587336732</v>
      </c>
      <c r="L7" t="n">
        <v>293.3722694182807</v>
      </c>
      <c r="M7" t="n">
        <v>76.41127981700194</v>
      </c>
      <c r="N7" t="n">
        <v>74.39281984599577</v>
      </c>
      <c r="O7" t="n">
        <v>72.04539719771138</v>
      </c>
      <c r="P7" t="n">
        <v>79.64515270531753</v>
      </c>
      <c r="Q7" t="n">
        <v>302.4946495660266</v>
      </c>
      <c r="R7" t="n">
        <v>60.01498019541073</v>
      </c>
      <c r="S7" t="n">
        <v>63.50535072351273</v>
      </c>
      <c r="T7" t="n">
        <v>65.63934887465736</v>
      </c>
      <c r="U7" t="n">
        <v>63.27509668881299</v>
      </c>
      <c r="V7" t="n">
        <v>252.4347764823938</v>
      </c>
      <c r="W7" t="n">
        <v>47.93048503001372</v>
      </c>
      <c r="X7" t="n">
        <v>52.23362304367855</v>
      </c>
      <c r="Y7" t="n">
        <v>60.84166263525027</v>
      </c>
      <c r="Z7" t="n">
        <v>63.3245161360652</v>
      </c>
      <c r="AA7" t="n">
        <v>224.3302868450077</v>
      </c>
      <c r="AB7" t="n">
        <v>78.90881256933326</v>
      </c>
      <c r="AC7" t="n">
        <v>87.75630885170392</v>
      </c>
      <c r="AD7" t="n">
        <v>122.4229061915262</v>
      </c>
      <c r="AE7" t="n">
        <v>102.0523949237274</v>
      </c>
      <c r="AF7" t="n">
        <v>391.1404225362908</v>
      </c>
      <c r="AG7" t="n">
        <v>97.84501617202226</v>
      </c>
      <c r="AH7" t="n">
        <v>110.2077008264158</v>
      </c>
      <c r="AI7" t="n">
        <v>101.0199222549853</v>
      </c>
      <c r="AJ7" t="n">
        <v>104.7675403573853</v>
      </c>
      <c r="AK7" t="n">
        <v>413.8401796108086</v>
      </c>
      <c r="AL7" t="n">
        <v>98.12006658500235</v>
      </c>
      <c r="AM7" t="n">
        <v>119.6364624215592</v>
      </c>
      <c r="AN7" t="n">
        <v>140.3373347466437</v>
      </c>
      <c r="AO7" t="n">
        <v>126.6691621903763</v>
      </c>
      <c r="AP7" t="n">
        <v>484.7630259435815</v>
      </c>
      <c r="AQ7" t="n">
        <v>114.0029804723838</v>
      </c>
      <c r="AR7" t="n">
        <v>118.1917586472857</v>
      </c>
      <c r="AS7" t="n">
        <v>126.4541341904004</v>
      </c>
      <c r="AT7" t="n">
        <v>120.6322150400613</v>
      </c>
      <c r="AU7" t="n">
        <v>479.2810883501311</v>
      </c>
      <c r="AV7" t="n">
        <v>120.7327780773662</v>
      </c>
      <c r="AW7" t="n">
        <v>134.5594970042081</v>
      </c>
      <c r="AX7" t="n">
        <v>140.7737598600341</v>
      </c>
      <c r="AY7" t="n">
        <v>129.2910616151019</v>
      </c>
      <c r="AZ7" t="n">
        <v>525.3570965567103</v>
      </c>
      <c r="BA7" t="n">
        <v>106.1859135286476</v>
      </c>
      <c r="BB7" t="n">
        <v>102.7063516424847</v>
      </c>
      <c r="BC7" t="n">
        <v>113.7725233160925</v>
      </c>
      <c r="BD7" t="n">
        <v>114.7587741705976</v>
      </c>
      <c r="BE7" t="n">
        <v>437.4235626578223</v>
      </c>
      <c r="BF7" t="n">
        <v>146.5760071771745</v>
      </c>
      <c r="BG7" t="n">
        <v>194.4070857855328</v>
      </c>
      <c r="BH7" t="n">
        <v>195.2833437128825</v>
      </c>
      <c r="BI7" t="n">
        <v>191.6566513110682</v>
      </c>
      <c r="BJ7" t="n">
        <v>727.9230879866581</v>
      </c>
      <c r="BK7" t="n">
        <v>163.8059517815362</v>
      </c>
      <c r="BL7" t="n">
        <v>168.1213435872316</v>
      </c>
      <c r="BM7" t="n">
        <v>170.2401599298665</v>
      </c>
      <c r="BN7" t="n">
        <v>159.0014651362994</v>
      </c>
      <c r="BO7" t="n">
        <v>661.1689204349336</v>
      </c>
      <c r="BP7" t="n">
        <v>176.2157994283893</v>
      </c>
      <c r="BQ7" t="n">
        <v>197.6636518364051</v>
      </c>
      <c r="BR7" t="n">
        <v>222.8172163934386</v>
      </c>
      <c r="BS7" t="n">
        <v>215.9884523733257</v>
      </c>
      <c r="BT7" t="n">
        <v>812.6851200315587</v>
      </c>
      <c r="BU7" t="n">
        <v>251.0416858432276</v>
      </c>
      <c r="BV7" t="n">
        <v>277.9211800159555</v>
      </c>
      <c r="BW7" t="n">
        <v>310.6559714895053</v>
      </c>
      <c r="BX7" t="n">
        <v>301.9288069494673</v>
      </c>
      <c r="BY7" t="n">
        <v>1141.547644298156</v>
      </c>
      <c r="BZ7" t="n">
        <v>278.7932339856016</v>
      </c>
      <c r="CA7" t="n">
        <v>304.1222219404924</v>
      </c>
      <c r="CB7" t="n">
        <v>314.9108328174353</v>
      </c>
    </row>
    <row r="8">
      <c r="A8" t="inlineStr">
        <is>
          <t>F</t>
        </is>
      </c>
      <c r="B8" t="inlineStr">
        <is>
          <t>Construction</t>
        </is>
      </c>
      <c r="C8" t="n">
        <v>300.8999506435988</v>
      </c>
      <c r="D8" t="n">
        <v>503.4821813825265</v>
      </c>
      <c r="E8" t="n">
        <v>616.8612828668016</v>
      </c>
      <c r="F8" t="n">
        <v>868.5099559601391</v>
      </c>
      <c r="G8" t="n">
        <v>2289.753370853066</v>
      </c>
      <c r="H8" t="n">
        <v>335.2261734410905</v>
      </c>
      <c r="I8" t="n">
        <v>636.8435303702851</v>
      </c>
      <c r="J8" t="n">
        <v>1071.39707157977</v>
      </c>
      <c r="K8" t="n">
        <v>1676.700943691842</v>
      </c>
      <c r="L8" t="n">
        <v>3720.167719082987</v>
      </c>
      <c r="M8" t="n">
        <v>913.780670530856</v>
      </c>
      <c r="N8" t="n">
        <v>1181.053283700445</v>
      </c>
      <c r="O8" t="n">
        <v>1513.181052971388</v>
      </c>
      <c r="P8" t="n">
        <v>1602.337058027199</v>
      </c>
      <c r="Q8" t="n">
        <v>5210.352065229888</v>
      </c>
      <c r="R8" t="n">
        <v>543.8299185123687</v>
      </c>
      <c r="S8" t="n">
        <v>934.9535024346719</v>
      </c>
      <c r="T8" t="n">
        <v>969.0776264948335</v>
      </c>
      <c r="U8" t="n">
        <v>1457.611454898641</v>
      </c>
      <c r="V8" t="n">
        <v>3905.472502340515</v>
      </c>
      <c r="W8" t="n">
        <v>724.5406264252099</v>
      </c>
      <c r="X8" t="n">
        <v>1056.250538306232</v>
      </c>
      <c r="Y8" t="n">
        <v>1356.158485463505</v>
      </c>
      <c r="Z8" t="n">
        <v>1615.254528068835</v>
      </c>
      <c r="AA8" t="n">
        <v>4752.204178263781</v>
      </c>
      <c r="AB8" t="n">
        <v>1034.302690471595</v>
      </c>
      <c r="AC8" t="n">
        <v>1446.382020619368</v>
      </c>
      <c r="AD8" t="n">
        <v>1829.829140419394</v>
      </c>
      <c r="AE8" t="n">
        <v>1875.874383801864</v>
      </c>
      <c r="AF8" t="n">
        <v>6186.388235312222</v>
      </c>
      <c r="AG8" t="n">
        <v>1469.82128147464</v>
      </c>
      <c r="AH8" t="n">
        <v>1903.527833534058</v>
      </c>
      <c r="AI8" t="n">
        <v>2146.844382359086</v>
      </c>
      <c r="AJ8" t="n">
        <v>2126.964530121077</v>
      </c>
      <c r="AK8" t="n">
        <v>7647.15802748886</v>
      </c>
      <c r="AL8" t="n">
        <v>1504.291069193732</v>
      </c>
      <c r="AM8" t="n">
        <v>2177.124030945607</v>
      </c>
      <c r="AN8" t="n">
        <v>2448.481272870125</v>
      </c>
      <c r="AO8" t="n">
        <v>2453.430816022546</v>
      </c>
      <c r="AP8" t="n">
        <v>8583.32718903201</v>
      </c>
      <c r="AQ8" t="n">
        <v>1683.955855230626</v>
      </c>
      <c r="AR8" t="n">
        <v>2183.909675018138</v>
      </c>
      <c r="AS8" t="n">
        <v>2410.162143763102</v>
      </c>
      <c r="AT8" t="n">
        <v>2622.633713206389</v>
      </c>
      <c r="AU8" t="n">
        <v>8900.661387218255</v>
      </c>
      <c r="AV8" t="n">
        <v>1463.375706179607</v>
      </c>
      <c r="AW8" t="n">
        <v>2114.380411553183</v>
      </c>
      <c r="AX8" t="n">
        <v>2788.329288709607</v>
      </c>
      <c r="AY8" t="n">
        <v>3021.918293313145</v>
      </c>
      <c r="AZ8" t="n">
        <v>9388.00369975554</v>
      </c>
      <c r="BA8" t="n">
        <v>1933.590602644053</v>
      </c>
      <c r="BB8" t="n">
        <v>1796.281934376933</v>
      </c>
      <c r="BC8" t="n">
        <v>2968.544410407449</v>
      </c>
      <c r="BD8" t="n">
        <v>3255.40252253581</v>
      </c>
      <c r="BE8" t="n">
        <v>9953.819469964243</v>
      </c>
      <c r="BF8" t="n">
        <v>1802.131938630146</v>
      </c>
      <c r="BG8" t="n">
        <v>2457.211249467446</v>
      </c>
      <c r="BH8" t="n">
        <v>2731.136994264599</v>
      </c>
      <c r="BI8" t="n">
        <v>3193.509077446548</v>
      </c>
      <c r="BJ8" t="n">
        <v>10183.98925980874</v>
      </c>
      <c r="BK8" t="n">
        <v>2262.621254326461</v>
      </c>
      <c r="BL8" t="n">
        <v>2895.041812844837</v>
      </c>
      <c r="BM8" t="n">
        <v>3661.559243135792</v>
      </c>
      <c r="BN8" t="n">
        <v>4611.276027077552</v>
      </c>
      <c r="BO8" t="n">
        <v>13430.49833738464</v>
      </c>
      <c r="BP8" t="n">
        <v>2797.598323772298</v>
      </c>
      <c r="BQ8" t="n">
        <v>3502.503991002393</v>
      </c>
      <c r="BR8" t="n">
        <v>3975.073816140394</v>
      </c>
      <c r="BS8" t="n">
        <v>4910.409062019251</v>
      </c>
      <c r="BT8" t="n">
        <v>15185.58519293434</v>
      </c>
      <c r="BU8" t="n">
        <v>3413.391412830043</v>
      </c>
      <c r="BV8" t="n">
        <v>4446.375092164523</v>
      </c>
      <c r="BW8" t="n">
        <v>5331.094299915793</v>
      </c>
      <c r="BX8" t="n">
        <v>5832.635491366324</v>
      </c>
      <c r="BY8" t="n">
        <v>19023.49629627668</v>
      </c>
      <c r="BZ8" t="n">
        <v>3787.634376160987</v>
      </c>
      <c r="CA8" t="n">
        <v>4624.274401993163</v>
      </c>
      <c r="CB8" t="n">
        <v>5605.644093393219</v>
      </c>
    </row>
    <row r="9">
      <c r="A9" t="inlineStr">
        <is>
          <t>G</t>
        </is>
      </c>
      <c r="B9" t="inlineStr">
        <is>
          <t xml:space="preserve">Wholesale and retail trade; repair of motor vehicles and motorcycles </t>
        </is>
      </c>
      <c r="C9" t="n">
        <v>922.1378078577695</v>
      </c>
      <c r="D9" t="n">
        <v>1069.200331690184</v>
      </c>
      <c r="E9" t="n">
        <v>1228.569335420805</v>
      </c>
      <c r="F9" t="n">
        <v>1516.524193713853</v>
      </c>
      <c r="G9" t="n">
        <v>4736.431668682611</v>
      </c>
      <c r="H9" t="n">
        <v>1186.522999574104</v>
      </c>
      <c r="I9" t="n">
        <v>1487.384666360246</v>
      </c>
      <c r="J9" t="n">
        <v>1633.820052760017</v>
      </c>
      <c r="K9" t="n">
        <v>1751.159363268964</v>
      </c>
      <c r="L9" t="n">
        <v>6058.88708196333</v>
      </c>
      <c r="M9" t="n">
        <v>1247.486051833046</v>
      </c>
      <c r="N9" t="n">
        <v>1413.000142328614</v>
      </c>
      <c r="O9" t="n">
        <v>1495.213756778964</v>
      </c>
      <c r="P9" t="n">
        <v>1640.736448547889</v>
      </c>
      <c r="Q9" t="n">
        <v>5796.436399488513</v>
      </c>
      <c r="R9" t="n">
        <v>1089.319940673834</v>
      </c>
      <c r="S9" t="n">
        <v>1246.525974223476</v>
      </c>
      <c r="T9" t="n">
        <v>1415.837393824358</v>
      </c>
      <c r="U9" t="n">
        <v>1624.614467286622</v>
      </c>
      <c r="V9" t="n">
        <v>5376.29777600829</v>
      </c>
      <c r="W9" t="n">
        <v>1324.060856782998</v>
      </c>
      <c r="X9" t="n">
        <v>1408.019677237352</v>
      </c>
      <c r="Y9" t="n">
        <v>1471.76665278059</v>
      </c>
      <c r="Z9" t="n">
        <v>1745.619093465936</v>
      </c>
      <c r="AA9" t="n">
        <v>5949.466280266875</v>
      </c>
      <c r="AB9" t="n">
        <v>1302.32880005367</v>
      </c>
      <c r="AC9" t="n">
        <v>1584.517406613031</v>
      </c>
      <c r="AD9" t="n">
        <v>1635.256237848117</v>
      </c>
      <c r="AE9" t="n">
        <v>1705.309414303128</v>
      </c>
      <c r="AF9" t="n">
        <v>6227.411858817945</v>
      </c>
      <c r="AG9" t="n">
        <v>1410.131957360551</v>
      </c>
      <c r="AH9" t="n">
        <v>1622.007278413001</v>
      </c>
      <c r="AI9" t="n">
        <v>1803.937637455849</v>
      </c>
      <c r="AJ9" t="n">
        <v>2009.305206891883</v>
      </c>
      <c r="AK9" t="n">
        <v>6845.382080121285</v>
      </c>
      <c r="AL9" t="n">
        <v>1598.465229971519</v>
      </c>
      <c r="AM9" t="n">
        <v>1678.627007385692</v>
      </c>
      <c r="AN9" t="n">
        <v>1911.882820091084</v>
      </c>
      <c r="AO9" t="n">
        <v>2112.95014935552</v>
      </c>
      <c r="AP9" t="n">
        <v>7301.925206803815</v>
      </c>
      <c r="AQ9" t="n">
        <v>1700.735068408672</v>
      </c>
      <c r="AR9" t="n">
        <v>1961.809743842998</v>
      </c>
      <c r="AS9" t="n">
        <v>2160.889214420756</v>
      </c>
      <c r="AT9" t="n">
        <v>2263.472592341929</v>
      </c>
      <c r="AU9" t="n">
        <v>8086.906619014356</v>
      </c>
      <c r="AV9" t="n">
        <v>1869.708896624003</v>
      </c>
      <c r="AW9" t="n">
        <v>2208.72041224332</v>
      </c>
      <c r="AX9" t="n">
        <v>2651.362943693694</v>
      </c>
      <c r="AY9" t="n">
        <v>2833.506917278417</v>
      </c>
      <c r="AZ9" t="n">
        <v>9563.299169839434</v>
      </c>
      <c r="BA9" t="n">
        <v>2042.2364399175</v>
      </c>
      <c r="BB9" t="n">
        <v>1931.943726514007</v>
      </c>
      <c r="BC9" t="n">
        <v>2633.201460977502</v>
      </c>
      <c r="BD9" t="n">
        <v>2726.612324181001</v>
      </c>
      <c r="BE9" t="n">
        <v>9333.993951590011</v>
      </c>
      <c r="BF9" t="n">
        <v>2181.075254653276</v>
      </c>
      <c r="BG9" t="n">
        <v>3259.625418402439</v>
      </c>
      <c r="BH9" t="n">
        <v>3216.734862304165</v>
      </c>
      <c r="BI9" t="n">
        <v>3494.003262749839</v>
      </c>
      <c r="BJ9" t="n">
        <v>12151.43879810972</v>
      </c>
      <c r="BK9" t="n">
        <v>2828.512747328009</v>
      </c>
      <c r="BL9" t="n">
        <v>3694.518423443194</v>
      </c>
      <c r="BM9" t="n">
        <v>4069.635326380392</v>
      </c>
      <c r="BN9" t="n">
        <v>4909.461532445885</v>
      </c>
      <c r="BO9" t="n">
        <v>15502.12802959748</v>
      </c>
      <c r="BP9" t="n">
        <v>3390.767413028239</v>
      </c>
      <c r="BQ9" t="n">
        <v>4413.448640365469</v>
      </c>
      <c r="BR9" t="n">
        <v>4567.640887371248</v>
      </c>
      <c r="BS9" t="n">
        <v>5199.958357891917</v>
      </c>
      <c r="BT9" t="n">
        <v>17571.81529865687</v>
      </c>
      <c r="BU9" t="n">
        <v>3764.568358122267</v>
      </c>
      <c r="BV9" t="n">
        <v>4830.80294213151</v>
      </c>
      <c r="BW9" t="n">
        <v>5317.58145839831</v>
      </c>
      <c r="BX9" t="n">
        <v>5436.889866890936</v>
      </c>
      <c r="BY9" t="n">
        <v>19349.84262554302</v>
      </c>
      <c r="BZ9" t="n">
        <v>4075.081855270128</v>
      </c>
      <c r="CA9" t="n">
        <v>5203.118602718171</v>
      </c>
      <c r="CB9" t="n">
        <v>5784.09413263951</v>
      </c>
    </row>
    <row r="10">
      <c r="A10" t="inlineStr">
        <is>
          <t>H</t>
        </is>
      </c>
      <c r="B10" t="inlineStr">
        <is>
          <t>Transportation and storage</t>
        </is>
      </c>
      <c r="C10" t="n">
        <v>570.4118952322715</v>
      </c>
      <c r="D10" t="n">
        <v>614.8645528289128</v>
      </c>
      <c r="E10" t="n">
        <v>696.0916757815121</v>
      </c>
      <c r="F10" t="n">
        <v>832.4175600426669</v>
      </c>
      <c r="G10" t="n">
        <v>2713.785683885363</v>
      </c>
      <c r="H10" t="n">
        <v>770.8714133306289</v>
      </c>
      <c r="I10" t="n">
        <v>842.8576291866996</v>
      </c>
      <c r="J10" t="n">
        <v>807.7085717521145</v>
      </c>
      <c r="K10" t="n">
        <v>795.2434041635929</v>
      </c>
      <c r="L10" t="n">
        <v>3216.681018433036</v>
      </c>
      <c r="M10" t="n">
        <v>746.2260935622147</v>
      </c>
      <c r="N10" t="n">
        <v>1050.712820515662</v>
      </c>
      <c r="O10" t="n">
        <v>736.9085697449856</v>
      </c>
      <c r="P10" t="n">
        <v>752.4143352917594</v>
      </c>
      <c r="Q10" t="n">
        <v>3286.261819114621</v>
      </c>
      <c r="R10" t="n">
        <v>665.2987208027465</v>
      </c>
      <c r="S10" t="n">
        <v>711.1777338222482</v>
      </c>
      <c r="T10" t="n">
        <v>850.7202659960495</v>
      </c>
      <c r="U10" t="n">
        <v>889.1192815280792</v>
      </c>
      <c r="V10" t="n">
        <v>3116.316002149124</v>
      </c>
      <c r="W10" t="n">
        <v>784.0092068130427</v>
      </c>
      <c r="X10" t="n">
        <v>806.082174394436</v>
      </c>
      <c r="Y10" t="n">
        <v>901.1858401384665</v>
      </c>
      <c r="Z10" t="n">
        <v>911.199815023664</v>
      </c>
      <c r="AA10" t="n">
        <v>3402.477036369609</v>
      </c>
      <c r="AB10" t="n">
        <v>801.4108944141085</v>
      </c>
      <c r="AC10" t="n">
        <v>954.8883457939484</v>
      </c>
      <c r="AD10" t="n">
        <v>1009.335136589711</v>
      </c>
      <c r="AE10" t="n">
        <v>956.3307440494522</v>
      </c>
      <c r="AF10" t="n">
        <v>3721.96512084722</v>
      </c>
      <c r="AG10" t="n">
        <v>909.6691608083719</v>
      </c>
      <c r="AH10" t="n">
        <v>833.8563678341965</v>
      </c>
      <c r="AI10" t="n">
        <v>927.2984315438122</v>
      </c>
      <c r="AJ10" t="n">
        <v>1092.43163897155</v>
      </c>
      <c r="AK10" t="n">
        <v>3763.255599157931</v>
      </c>
      <c r="AL10" t="n">
        <v>867.4089220567179</v>
      </c>
      <c r="AM10" t="n">
        <v>935.0309873623694</v>
      </c>
      <c r="AN10" t="n">
        <v>1089.731972470396</v>
      </c>
      <c r="AO10" t="n">
        <v>1094.47182534533</v>
      </c>
      <c r="AP10" t="n">
        <v>3986.643707234814</v>
      </c>
      <c r="AQ10" t="n">
        <v>949.4395030307694</v>
      </c>
      <c r="AR10" t="n">
        <v>1106.614142639387</v>
      </c>
      <c r="AS10" t="n">
        <v>1196.938004908005</v>
      </c>
      <c r="AT10" t="n">
        <v>1269.656010529941</v>
      </c>
      <c r="AU10" t="n">
        <v>4522.647661108102</v>
      </c>
      <c r="AV10" t="n">
        <v>1118.253383340317</v>
      </c>
      <c r="AW10" t="n">
        <v>1364.859013908605</v>
      </c>
      <c r="AX10" t="n">
        <v>1548.242825329153</v>
      </c>
      <c r="AY10" t="n">
        <v>1732.420872796656</v>
      </c>
      <c r="AZ10" t="n">
        <v>5763.776095374731</v>
      </c>
      <c r="BA10" t="n">
        <v>1236.951106666776</v>
      </c>
      <c r="BB10" t="n">
        <v>1144.642457129412</v>
      </c>
      <c r="BC10" t="n">
        <v>1243.164530523094</v>
      </c>
      <c r="BD10" t="n">
        <v>1336.197841720927</v>
      </c>
      <c r="BE10" t="n">
        <v>4960.955936040208</v>
      </c>
      <c r="BF10" t="n">
        <v>1209.757205211766</v>
      </c>
      <c r="BG10" t="n">
        <v>1619.522871892333</v>
      </c>
      <c r="BH10" t="n">
        <v>1545.664891663473</v>
      </c>
      <c r="BI10" t="n">
        <v>1804.610694173925</v>
      </c>
      <c r="BJ10" t="n">
        <v>6179.555662941498</v>
      </c>
      <c r="BK10" t="n">
        <v>1703.674228884026</v>
      </c>
      <c r="BL10" t="n">
        <v>1979.935316407039</v>
      </c>
      <c r="BM10" t="n">
        <v>2209.707078874949</v>
      </c>
      <c r="BN10" t="n">
        <v>2267.780459634544</v>
      </c>
      <c r="BO10" t="n">
        <v>8161.097083800558</v>
      </c>
      <c r="BP10" t="n">
        <v>1753.958933102145</v>
      </c>
      <c r="BQ10" t="n">
        <v>1956.313720316868</v>
      </c>
      <c r="BR10" t="n">
        <v>2289.05333512293</v>
      </c>
      <c r="BS10" t="n">
        <v>2454.796129860882</v>
      </c>
      <c r="BT10" t="n">
        <v>8454.122118402825</v>
      </c>
      <c r="BU10" t="n">
        <v>1973.691544853153</v>
      </c>
      <c r="BV10" t="n">
        <v>2367.623444094177</v>
      </c>
      <c r="BW10" t="n">
        <v>2703.353960694561</v>
      </c>
      <c r="BX10" t="n">
        <v>2795.191402873997</v>
      </c>
      <c r="BY10" t="n">
        <v>9839.860352515887</v>
      </c>
      <c r="BZ10" t="n">
        <v>2309.018607121104</v>
      </c>
      <c r="CA10" t="n">
        <v>2593.285129720416</v>
      </c>
      <c r="CB10" t="n">
        <v>2990.612522025888</v>
      </c>
    </row>
    <row r="11">
      <c r="A11" t="inlineStr">
        <is>
          <t>I</t>
        </is>
      </c>
      <c r="B11" t="inlineStr">
        <is>
          <t>Accommodation and food service activities</t>
        </is>
      </c>
      <c r="C11" t="n">
        <v>155.0759679762983</v>
      </c>
      <c r="D11" t="n">
        <v>193.7868824566297</v>
      </c>
      <c r="E11" t="n">
        <v>228.3651685933246</v>
      </c>
      <c r="F11" t="n">
        <v>231.6536210167842</v>
      </c>
      <c r="G11" t="n">
        <v>808.8816400430368</v>
      </c>
      <c r="H11" t="n">
        <v>225.9930049465815</v>
      </c>
      <c r="I11" t="n">
        <v>278.7016648823524</v>
      </c>
      <c r="J11" t="n">
        <v>376.6726328974634</v>
      </c>
      <c r="K11" t="n">
        <v>331.4985179864774</v>
      </c>
      <c r="L11" t="n">
        <v>1212.865820712875</v>
      </c>
      <c r="M11" t="n">
        <v>317.822424791251</v>
      </c>
      <c r="N11" t="n">
        <v>358.8045885580073</v>
      </c>
      <c r="O11" t="n">
        <v>444.6378248519158</v>
      </c>
      <c r="P11" t="n">
        <v>343.8120247680359</v>
      </c>
      <c r="Q11" t="n">
        <v>1465.07686296921</v>
      </c>
      <c r="R11" t="n">
        <v>290.5752458643666</v>
      </c>
      <c r="S11" t="n">
        <v>435.6909111344124</v>
      </c>
      <c r="T11" t="n">
        <v>553.7203843811606</v>
      </c>
      <c r="U11" t="n">
        <v>414.2671515965881</v>
      </c>
      <c r="V11" t="n">
        <v>1694.253692976528</v>
      </c>
      <c r="W11" t="n">
        <v>354.8823657295354</v>
      </c>
      <c r="X11" t="n">
        <v>450.1283840164318</v>
      </c>
      <c r="Y11" t="n">
        <v>574.2636544046488</v>
      </c>
      <c r="Z11" t="n">
        <v>481.3234760733117</v>
      </c>
      <c r="AA11" t="n">
        <v>1860.597880223928</v>
      </c>
      <c r="AB11" t="n">
        <v>395.45040313687</v>
      </c>
      <c r="AC11" t="n">
        <v>501.9085233146903</v>
      </c>
      <c r="AD11" t="n">
        <v>641.6853385651973</v>
      </c>
      <c r="AE11" t="n">
        <v>591.0114689406656</v>
      </c>
      <c r="AF11" t="n">
        <v>2130.055733957423</v>
      </c>
      <c r="AG11" t="n">
        <v>469.7993637104604</v>
      </c>
      <c r="AH11" t="n">
        <v>550.6765205524151</v>
      </c>
      <c r="AI11" t="n">
        <v>755.700089867667</v>
      </c>
      <c r="AJ11" t="n">
        <v>692.9652175526782</v>
      </c>
      <c r="AK11" t="n">
        <v>2469.141191683221</v>
      </c>
      <c r="AL11" t="n">
        <v>612.2192078701286</v>
      </c>
      <c r="AM11" t="n">
        <v>741.9368539698062</v>
      </c>
      <c r="AN11" t="n">
        <v>956.9121500847482</v>
      </c>
      <c r="AO11" t="n">
        <v>788.8313255496327</v>
      </c>
      <c r="AP11" t="n">
        <v>3099.899537474316</v>
      </c>
      <c r="AQ11" t="n">
        <v>731.8948982572492</v>
      </c>
      <c r="AR11" t="n">
        <v>892.8362650219441</v>
      </c>
      <c r="AS11" t="n">
        <v>1135.603953785483</v>
      </c>
      <c r="AT11" t="n">
        <v>988.4479863153007</v>
      </c>
      <c r="AU11" t="n">
        <v>3748.783103379977</v>
      </c>
      <c r="AV11" t="n">
        <v>890.0628659679907</v>
      </c>
      <c r="AW11" t="n">
        <v>1054.466111352553</v>
      </c>
      <c r="AX11" t="n">
        <v>1306.949295086334</v>
      </c>
      <c r="AY11" t="n">
        <v>1053.098003528676</v>
      </c>
      <c r="AZ11" t="n">
        <v>4304.576275935553</v>
      </c>
      <c r="BA11" t="n">
        <v>823.9839446731869</v>
      </c>
      <c r="BB11" t="n">
        <v>491.0399649886265</v>
      </c>
      <c r="BC11" t="n">
        <v>637.5975215147869</v>
      </c>
      <c r="BD11" t="n">
        <v>541.8861993143626</v>
      </c>
      <c r="BE11" t="n">
        <v>2494.507630490963</v>
      </c>
      <c r="BF11" t="n">
        <v>444.2328182721872</v>
      </c>
      <c r="BG11" t="n">
        <v>979.1101354465393</v>
      </c>
      <c r="BH11" t="n">
        <v>1223.660396382303</v>
      </c>
      <c r="BI11" t="n">
        <v>1202.333558868632</v>
      </c>
      <c r="BJ11" t="n">
        <v>3849.336908969662</v>
      </c>
      <c r="BK11" t="n">
        <v>761.8199938967091</v>
      </c>
      <c r="BL11" t="n">
        <v>1072.847911626831</v>
      </c>
      <c r="BM11" t="n">
        <v>1575.462409049909</v>
      </c>
      <c r="BN11" t="n">
        <v>1336.579954605842</v>
      </c>
      <c r="BO11" t="n">
        <v>4746.710269179291</v>
      </c>
      <c r="BP11" t="n">
        <v>1006.298186602838</v>
      </c>
      <c r="BQ11" t="n">
        <v>1261.412205251811</v>
      </c>
      <c r="BR11" t="n">
        <v>1751.287473575371</v>
      </c>
      <c r="BS11" t="n">
        <v>1478.848872430095</v>
      </c>
      <c r="BT11" t="n">
        <v>5497.846737860114</v>
      </c>
      <c r="BU11" t="n">
        <v>1168.532572682255</v>
      </c>
      <c r="BV11" t="n">
        <v>1727.969094494111</v>
      </c>
      <c r="BW11" t="n">
        <v>2065.374515177914</v>
      </c>
      <c r="BX11" t="n">
        <v>1730.785475111492</v>
      </c>
      <c r="BY11" t="n">
        <v>6692.661657465773</v>
      </c>
      <c r="BZ11" t="n">
        <v>1347.193848208956</v>
      </c>
      <c r="CA11" t="n">
        <v>1937.444801875377</v>
      </c>
      <c r="CB11" t="n">
        <v>2432.983085505896</v>
      </c>
    </row>
    <row r="12">
      <c r="A12" t="inlineStr">
        <is>
          <t>J</t>
        </is>
      </c>
      <c r="B12" t="inlineStr">
        <is>
          <t>Information and communication</t>
        </is>
      </c>
      <c r="C12" t="n">
        <v>322.7148388941567</v>
      </c>
      <c r="D12" t="n">
        <v>345.9260986783564</v>
      </c>
      <c r="E12" t="n">
        <v>354.6521296336014</v>
      </c>
      <c r="F12" t="n">
        <v>415.4719072779813</v>
      </c>
      <c r="G12" t="n">
        <v>1438.764974484096</v>
      </c>
      <c r="H12" t="n">
        <v>311.131812374007</v>
      </c>
      <c r="I12" t="n">
        <v>315.2590329120687</v>
      </c>
      <c r="J12" t="n">
        <v>338.4090030946958</v>
      </c>
      <c r="K12" t="n">
        <v>411.1229168109364</v>
      </c>
      <c r="L12" t="n">
        <v>1375.922765191708</v>
      </c>
      <c r="M12" t="n">
        <v>306.630552380654</v>
      </c>
      <c r="N12" t="n">
        <v>331.0337386094431</v>
      </c>
      <c r="O12" t="n">
        <v>369.6295498770066</v>
      </c>
      <c r="P12" t="n">
        <v>400.4583600434356</v>
      </c>
      <c r="Q12" t="n">
        <v>1407.752200910539</v>
      </c>
      <c r="R12" t="n">
        <v>288.8872324381777</v>
      </c>
      <c r="S12" t="n">
        <v>297.5627498713985</v>
      </c>
      <c r="T12" t="n">
        <v>325.2704898078906</v>
      </c>
      <c r="U12" t="n">
        <v>400.4112234996544</v>
      </c>
      <c r="V12" t="n">
        <v>1312.131695617121</v>
      </c>
      <c r="W12" t="n">
        <v>314.2055062780822</v>
      </c>
      <c r="X12" t="n">
        <v>331.8300982258768</v>
      </c>
      <c r="Y12" t="n">
        <v>342.5771197363516</v>
      </c>
      <c r="Z12" t="n">
        <v>402.5350618195602</v>
      </c>
      <c r="AA12" t="n">
        <v>1391.147786059871</v>
      </c>
      <c r="AB12" t="n">
        <v>351.0302013218594</v>
      </c>
      <c r="AC12" t="n">
        <v>376.4687825074817</v>
      </c>
      <c r="AD12" t="n">
        <v>379.3509802970589</v>
      </c>
      <c r="AE12" t="n">
        <v>425.7725319576258</v>
      </c>
      <c r="AF12" t="n">
        <v>1532.622496084026</v>
      </c>
      <c r="AG12" t="n">
        <v>362.3115095634145</v>
      </c>
      <c r="AH12" t="n">
        <v>378.3527920884638</v>
      </c>
      <c r="AI12" t="n">
        <v>368.1176334982276</v>
      </c>
      <c r="AJ12" t="n">
        <v>457.7473000239343</v>
      </c>
      <c r="AK12" t="n">
        <v>1566.52923517404</v>
      </c>
      <c r="AL12" t="n">
        <v>368.5519322391075</v>
      </c>
      <c r="AM12" t="n">
        <v>421.5483902753918</v>
      </c>
      <c r="AN12" t="n">
        <v>423.1814894598103</v>
      </c>
      <c r="AO12" t="n">
        <v>472.9673832641981</v>
      </c>
      <c r="AP12" t="n">
        <v>1686.249195238508</v>
      </c>
      <c r="AQ12" t="n">
        <v>404.1605831284798</v>
      </c>
      <c r="AR12" t="n">
        <v>450.9894368756111</v>
      </c>
      <c r="AS12" t="n">
        <v>458.6643002204202</v>
      </c>
      <c r="AT12" t="n">
        <v>515.7464670158361</v>
      </c>
      <c r="AU12" t="n">
        <v>1829.560787240347</v>
      </c>
      <c r="AV12" t="n">
        <v>466.3151702026835</v>
      </c>
      <c r="AW12" t="n">
        <v>513.9117994778534</v>
      </c>
      <c r="AX12" t="n">
        <v>546.8337570045398</v>
      </c>
      <c r="AY12" t="n">
        <v>594.566992409655</v>
      </c>
      <c r="AZ12" t="n">
        <v>2121.627719094732</v>
      </c>
      <c r="BA12" t="n">
        <v>480.617283637521</v>
      </c>
      <c r="BB12" t="n">
        <v>430.0390105306072</v>
      </c>
      <c r="BC12" t="n">
        <v>530.5034604006759</v>
      </c>
      <c r="BD12" t="n">
        <v>622.6179597461534</v>
      </c>
      <c r="BE12" t="n">
        <v>2063.777714314957</v>
      </c>
      <c r="BF12" t="n">
        <v>579.8590939330523</v>
      </c>
      <c r="BG12" t="n">
        <v>650.4660196630319</v>
      </c>
      <c r="BH12" t="n">
        <v>702.1066598559147</v>
      </c>
      <c r="BI12" t="n">
        <v>790.7710279489377</v>
      </c>
      <c r="BJ12" t="n">
        <v>2723.202801400937</v>
      </c>
      <c r="BK12" t="n">
        <v>762.8248490642661</v>
      </c>
      <c r="BL12" t="n">
        <v>1028.079863863026</v>
      </c>
      <c r="BM12" t="n">
        <v>1281.587452578601</v>
      </c>
      <c r="BN12" t="n">
        <v>1383.278097084769</v>
      </c>
      <c r="BO12" t="n">
        <v>4455.770262590662</v>
      </c>
      <c r="BP12" t="n">
        <v>1285.952460416829</v>
      </c>
      <c r="BQ12" t="n">
        <v>1336.933834798063</v>
      </c>
      <c r="BR12" t="n">
        <v>1437.745397844637</v>
      </c>
      <c r="BS12" t="n">
        <v>1585.883205085911</v>
      </c>
      <c r="BT12" t="n">
        <v>5646.51489814544</v>
      </c>
      <c r="BU12" t="n">
        <v>1530.180933827182</v>
      </c>
      <c r="BV12" t="n">
        <v>1690.571307339078</v>
      </c>
      <c r="BW12" t="n">
        <v>2012.0683883159</v>
      </c>
      <c r="BX12" t="n">
        <v>2179.884302910575</v>
      </c>
      <c r="BY12" t="n">
        <v>7412.704932392735</v>
      </c>
      <c r="BZ12" t="n">
        <v>2927.830891915306</v>
      </c>
      <c r="CA12" t="n">
        <v>2588.397707986993</v>
      </c>
      <c r="CB12" t="n">
        <v>2582.694754502295</v>
      </c>
    </row>
    <row r="13">
      <c r="A13" t="inlineStr">
        <is>
          <t>K</t>
        </is>
      </c>
      <c r="B13" t="inlineStr">
        <is>
          <t>Financial and insurance activities</t>
        </is>
      </c>
      <c r="C13" t="n">
        <v>312.8504486183694</v>
      </c>
      <c r="D13" t="n">
        <v>283.0830137224102</v>
      </c>
      <c r="E13" t="n">
        <v>304.2288792054816</v>
      </c>
      <c r="F13" t="n">
        <v>713.7013541189592</v>
      </c>
      <c r="G13" t="n">
        <v>1613.863695665221</v>
      </c>
      <c r="H13" t="n">
        <v>341.642032598793</v>
      </c>
      <c r="I13" t="n">
        <v>321.0957111581553</v>
      </c>
      <c r="J13" t="n">
        <v>340.119770913482</v>
      </c>
      <c r="K13" t="n">
        <v>703.4950268258225</v>
      </c>
      <c r="L13" t="n">
        <v>1706.352541496253</v>
      </c>
      <c r="M13" t="n">
        <v>367.6308562283595</v>
      </c>
      <c r="N13" t="n">
        <v>343.7913340970621</v>
      </c>
      <c r="O13" t="n">
        <v>368.5436032780524</v>
      </c>
      <c r="P13" t="n">
        <v>650.4287045027629</v>
      </c>
      <c r="Q13" t="n">
        <v>1730.394498106237</v>
      </c>
      <c r="R13" t="n">
        <v>401.991589587005</v>
      </c>
      <c r="S13" t="n">
        <v>389.368488335331</v>
      </c>
      <c r="T13" t="n">
        <v>396.6436093406519</v>
      </c>
      <c r="U13" t="n">
        <v>700.1680254812527</v>
      </c>
      <c r="V13" t="n">
        <v>1888.171712744241</v>
      </c>
      <c r="W13" t="n">
        <v>435.4848235781997</v>
      </c>
      <c r="X13" t="n">
        <v>420.3665434719119</v>
      </c>
      <c r="Y13" t="n">
        <v>461.5895827726083</v>
      </c>
      <c r="Z13" t="n">
        <v>656.8194521396769</v>
      </c>
      <c r="AA13" t="n">
        <v>1974.260401962397</v>
      </c>
      <c r="AB13" t="n">
        <v>484.6781584031919</v>
      </c>
      <c r="AC13" t="n">
        <v>448.9868237462896</v>
      </c>
      <c r="AD13" t="n">
        <v>497.8123697404184</v>
      </c>
      <c r="AE13" t="n">
        <v>645.5967641076684</v>
      </c>
      <c r="AF13" t="n">
        <v>2077.074115997569</v>
      </c>
      <c r="AG13" t="n">
        <v>503.9016175273162</v>
      </c>
      <c r="AH13" t="n">
        <v>501.9324405729763</v>
      </c>
      <c r="AI13" t="n">
        <v>563.9628550489583</v>
      </c>
      <c r="AJ13" t="n">
        <v>693.7806847017846</v>
      </c>
      <c r="AK13" t="n">
        <v>2263.577597851036</v>
      </c>
      <c r="AL13" t="n">
        <v>586.2485447938659</v>
      </c>
      <c r="AM13" t="n">
        <v>607.8348635455703</v>
      </c>
      <c r="AN13" t="n">
        <v>652.0455132098427</v>
      </c>
      <c r="AO13" t="n">
        <v>676.27020288993</v>
      </c>
      <c r="AP13" t="n">
        <v>2522.399124439209</v>
      </c>
      <c r="AQ13" t="n">
        <v>679.7412028309366</v>
      </c>
      <c r="AR13" t="n">
        <v>692.7235629545663</v>
      </c>
      <c r="AS13" t="n">
        <v>754.6546357220589</v>
      </c>
      <c r="AT13" t="n">
        <v>742.2748957297572</v>
      </c>
      <c r="AU13" t="n">
        <v>2869.394297237319</v>
      </c>
      <c r="AV13" t="n">
        <v>728.6143830130474</v>
      </c>
      <c r="AW13" t="n">
        <v>691.2304604403084</v>
      </c>
      <c r="AX13" t="n">
        <v>718.0756257211742</v>
      </c>
      <c r="AY13" t="n">
        <v>759.4920909547619</v>
      </c>
      <c r="AZ13" t="n">
        <v>2897.412560129292</v>
      </c>
      <c r="BA13" t="n">
        <v>678.2747562563004</v>
      </c>
      <c r="BB13" t="n">
        <v>676.7135918043823</v>
      </c>
      <c r="BC13" t="n">
        <v>784.1239252889982</v>
      </c>
      <c r="BD13" t="n">
        <v>854.8535467979337</v>
      </c>
      <c r="BE13" t="n">
        <v>2993.965820147615</v>
      </c>
      <c r="BF13" t="n">
        <v>826.1511540533666</v>
      </c>
      <c r="BG13" t="n">
        <v>974.7996748932712</v>
      </c>
      <c r="BH13" t="n">
        <v>983.3357381675728</v>
      </c>
      <c r="BI13" t="n">
        <v>1014.430946332155</v>
      </c>
      <c r="BJ13" t="n">
        <v>3798.717513446366</v>
      </c>
      <c r="BK13" t="n">
        <v>1010.040453940159</v>
      </c>
      <c r="BL13" t="n">
        <v>1089.282642840344</v>
      </c>
      <c r="BM13" t="n">
        <v>1203.1429935853</v>
      </c>
      <c r="BN13" t="n">
        <v>1195.363329585512</v>
      </c>
      <c r="BO13" t="n">
        <v>4497.829419951316</v>
      </c>
      <c r="BP13" t="n">
        <v>1126.458495203415</v>
      </c>
      <c r="BQ13" t="n">
        <v>1195.212987893146</v>
      </c>
      <c r="BR13" t="n">
        <v>1295.152970018074</v>
      </c>
      <c r="BS13" t="n">
        <v>1259.777110658203</v>
      </c>
      <c r="BT13" t="n">
        <v>4876.601563772836</v>
      </c>
      <c r="BU13" t="n">
        <v>1341.629051160261</v>
      </c>
      <c r="BV13" t="n">
        <v>1327.326521827525</v>
      </c>
      <c r="BW13" t="n">
        <v>1525.914774240394</v>
      </c>
      <c r="BX13" t="n">
        <v>1471.499358236667</v>
      </c>
      <c r="BY13" t="n">
        <v>5666.369705464846</v>
      </c>
      <c r="BZ13" t="n">
        <v>1503.209632823671</v>
      </c>
      <c r="CA13" t="n">
        <v>1676.483510047571</v>
      </c>
      <c r="CB13" t="n">
        <v>1772.742100502505</v>
      </c>
    </row>
    <row r="14">
      <c r="A14" t="inlineStr">
        <is>
          <t>L</t>
        </is>
      </c>
      <c r="B14" t="inlineStr">
        <is>
          <t>Real estate activities</t>
        </is>
      </c>
      <c r="C14" t="n">
        <v>706.1763576504088</v>
      </c>
      <c r="D14" t="n">
        <v>730.099791355362</v>
      </c>
      <c r="E14" t="n">
        <v>766.9851683531667</v>
      </c>
      <c r="F14" t="n">
        <v>855.8188235779894</v>
      </c>
      <c r="G14" t="n">
        <v>3059.080140936927</v>
      </c>
      <c r="H14" t="n">
        <v>770.3051172185811</v>
      </c>
      <c r="I14" t="n">
        <v>775.7961002292366</v>
      </c>
      <c r="J14" t="n">
        <v>791.4807499013016</v>
      </c>
      <c r="K14" t="n">
        <v>869.5082157323347</v>
      </c>
      <c r="L14" t="n">
        <v>3207.090183081455</v>
      </c>
      <c r="M14" t="n">
        <v>836.5288380433698</v>
      </c>
      <c r="N14" t="n">
        <v>756.3636526556971</v>
      </c>
      <c r="O14" t="n">
        <v>791.3253783116029</v>
      </c>
      <c r="P14" t="n">
        <v>942.1307717256504</v>
      </c>
      <c r="Q14" t="n">
        <v>3326.34864073632</v>
      </c>
      <c r="R14" t="n">
        <v>821.9457940095258</v>
      </c>
      <c r="S14" t="n">
        <v>860.4371923623864</v>
      </c>
      <c r="T14" t="n">
        <v>883.0409848450386</v>
      </c>
      <c r="U14" t="n">
        <v>997.5843457915789</v>
      </c>
      <c r="V14" t="n">
        <v>3563.00831700853</v>
      </c>
      <c r="W14" t="n">
        <v>949.422483256851</v>
      </c>
      <c r="X14" t="n">
        <v>936.216894796532</v>
      </c>
      <c r="Y14" t="n">
        <v>996.1189117339725</v>
      </c>
      <c r="Z14" t="n">
        <v>1094.605852714946</v>
      </c>
      <c r="AA14" t="n">
        <v>3976.364142502302</v>
      </c>
      <c r="AB14" t="n">
        <v>1029.441640045422</v>
      </c>
      <c r="AC14" t="n">
        <v>1035.654955882314</v>
      </c>
      <c r="AD14" t="n">
        <v>1084.885685073825</v>
      </c>
      <c r="AE14" t="n">
        <v>1171.135415273199</v>
      </c>
      <c r="AF14" t="n">
        <v>4321.11769627476</v>
      </c>
      <c r="AG14" t="n">
        <v>1095.859415819503</v>
      </c>
      <c r="AH14" t="n">
        <v>1103.014783379044</v>
      </c>
      <c r="AI14" t="n">
        <v>1104.600387940761</v>
      </c>
      <c r="AJ14" t="n">
        <v>1286.192726386053</v>
      </c>
      <c r="AK14" t="n">
        <v>4589.66731352536</v>
      </c>
      <c r="AL14" t="n">
        <v>1168.727025499992</v>
      </c>
      <c r="AM14" t="n">
        <v>1187.741044227336</v>
      </c>
      <c r="AN14" t="n">
        <v>1243.98250762353</v>
      </c>
      <c r="AO14" t="n">
        <v>1374.655889175246</v>
      </c>
      <c r="AP14" t="n">
        <v>4975.106466526103</v>
      </c>
      <c r="AQ14" t="n">
        <v>1215.770472064338</v>
      </c>
      <c r="AR14" t="n">
        <v>1249.290132479042</v>
      </c>
      <c r="AS14" t="n">
        <v>1327.343245747772</v>
      </c>
      <c r="AT14" t="n">
        <v>1407.422561988453</v>
      </c>
      <c r="AU14" t="n">
        <v>5199.826412279605</v>
      </c>
      <c r="AV14" t="n">
        <v>1372.282539788241</v>
      </c>
      <c r="AW14" t="n">
        <v>1393.350516061251</v>
      </c>
      <c r="AX14" t="n">
        <v>1465.361629965877</v>
      </c>
      <c r="AY14" t="n">
        <v>1598.468209232906</v>
      </c>
      <c r="AZ14" t="n">
        <v>5829.462895048275</v>
      </c>
      <c r="BA14" t="n">
        <v>1479.798688230482</v>
      </c>
      <c r="BB14" t="n">
        <v>1373.09292273013</v>
      </c>
      <c r="BC14" t="n">
        <v>1455.596012953851</v>
      </c>
      <c r="BD14" t="n">
        <v>1460.603342439066</v>
      </c>
      <c r="BE14" t="n">
        <v>5769.090966353529</v>
      </c>
      <c r="BF14" t="n">
        <v>1332.51284412438</v>
      </c>
      <c r="BG14" t="n">
        <v>1552.906025761078</v>
      </c>
      <c r="BH14" t="n">
        <v>1585.988721938443</v>
      </c>
      <c r="BI14" t="n">
        <v>1664.221205678822</v>
      </c>
      <c r="BJ14" t="n">
        <v>6135.628797502724</v>
      </c>
      <c r="BK14" t="n">
        <v>1510.479943387975</v>
      </c>
      <c r="BL14" t="n">
        <v>1729.198896416159</v>
      </c>
      <c r="BM14" t="n">
        <v>1967.706705393639</v>
      </c>
      <c r="BN14" t="n">
        <v>2146.060380979415</v>
      </c>
      <c r="BO14" t="n">
        <v>7353.445926177188</v>
      </c>
      <c r="BP14" t="n">
        <v>2006.618758834404</v>
      </c>
      <c r="BQ14" t="n">
        <v>2097.44698236985</v>
      </c>
      <c r="BR14" t="n">
        <v>2282.913573359978</v>
      </c>
      <c r="BS14" t="n">
        <v>2476.573576505073</v>
      </c>
      <c r="BT14" t="n">
        <v>8863.552891069306</v>
      </c>
      <c r="BU14" t="n">
        <v>2256.856302768112</v>
      </c>
      <c r="BV14" t="n">
        <v>2343.784462744446</v>
      </c>
      <c r="BW14" t="n">
        <v>2544.498052330267</v>
      </c>
      <c r="BX14" t="n">
        <v>2683.377567285931</v>
      </c>
      <c r="BY14" t="n">
        <v>9828.516385128756</v>
      </c>
      <c r="BZ14" t="n">
        <v>2512.710083562277</v>
      </c>
      <c r="CA14" t="n">
        <v>2567.11620680232</v>
      </c>
      <c r="CB14" t="n">
        <v>2803.950997301065</v>
      </c>
    </row>
    <row r="15">
      <c r="A15" t="inlineStr">
        <is>
          <t>M</t>
        </is>
      </c>
      <c r="B15" t="inlineStr">
        <is>
          <t>Professional  scientific and technical activities</t>
        </is>
      </c>
      <c r="C15" t="n">
        <v>68.61745739892244</v>
      </c>
      <c r="D15" t="n">
        <v>85.48704667567894</v>
      </c>
      <c r="E15" t="n">
        <v>85.15383449691724</v>
      </c>
      <c r="F15" t="n">
        <v>131.7539660956984</v>
      </c>
      <c r="G15" t="n">
        <v>371.0123046672171</v>
      </c>
      <c r="H15" t="n">
        <v>107.8257846311775</v>
      </c>
      <c r="I15" t="n">
        <v>155.0651081754761</v>
      </c>
      <c r="J15" t="n">
        <v>159.8918961530809</v>
      </c>
      <c r="K15" t="n">
        <v>203.8118954039658</v>
      </c>
      <c r="L15" t="n">
        <v>626.5946843637003</v>
      </c>
      <c r="M15" t="n">
        <v>177.4371837284766</v>
      </c>
      <c r="N15" t="n">
        <v>214.6651897601252</v>
      </c>
      <c r="O15" t="n">
        <v>214.7364403425817</v>
      </c>
      <c r="P15" t="n">
        <v>215.5520724648804</v>
      </c>
      <c r="Q15" t="n">
        <v>822.3908862960639</v>
      </c>
      <c r="R15" t="n">
        <v>170.1164808579842</v>
      </c>
      <c r="S15" t="n">
        <v>228.0523214539191</v>
      </c>
      <c r="T15" t="n">
        <v>224.8504060858297</v>
      </c>
      <c r="U15" t="n">
        <v>270.9293959704333</v>
      </c>
      <c r="V15" t="n">
        <v>893.9486043681663</v>
      </c>
      <c r="W15" t="n">
        <v>194.0580940259455</v>
      </c>
      <c r="X15" t="n">
        <v>224.7790017746068</v>
      </c>
      <c r="Y15" t="n">
        <v>255.7158108808115</v>
      </c>
      <c r="Z15" t="n">
        <v>273.257518252113</v>
      </c>
      <c r="AA15" t="n">
        <v>947.8104249334767</v>
      </c>
      <c r="AB15" t="n">
        <v>239.9672036505279</v>
      </c>
      <c r="AC15" t="n">
        <v>272.8917482054767</v>
      </c>
      <c r="AD15" t="n">
        <v>270.1784169739784</v>
      </c>
      <c r="AE15" t="n">
        <v>369.0570001547048</v>
      </c>
      <c r="AF15" t="n">
        <v>1152.094368984688</v>
      </c>
      <c r="AG15" t="n">
        <v>269.2122604169462</v>
      </c>
      <c r="AH15" t="n">
        <v>323.0032666708692</v>
      </c>
      <c r="AI15" t="n">
        <v>321.5774502076817</v>
      </c>
      <c r="AJ15" t="n">
        <v>363.8049937806326</v>
      </c>
      <c r="AK15" t="n">
        <v>1277.59797107613</v>
      </c>
      <c r="AL15" t="n">
        <v>297.5692696496619</v>
      </c>
      <c r="AM15" t="n">
        <v>335.0400496917619</v>
      </c>
      <c r="AN15" t="n">
        <v>359.1975044042109</v>
      </c>
      <c r="AO15" t="n">
        <v>398.7247007095195</v>
      </c>
      <c r="AP15" t="n">
        <v>1390.531524455154</v>
      </c>
      <c r="AQ15" t="n">
        <v>326.1561069209869</v>
      </c>
      <c r="AR15" t="n">
        <v>363.3925356267384</v>
      </c>
      <c r="AS15" t="n">
        <v>381.3438070793624</v>
      </c>
      <c r="AT15" t="n">
        <v>423.9130374522596</v>
      </c>
      <c r="AU15" t="n">
        <v>1494.805487079347</v>
      </c>
      <c r="AV15" t="n">
        <v>367.6680219275735</v>
      </c>
      <c r="AW15" t="n">
        <v>399.2395250868827</v>
      </c>
      <c r="AX15" t="n">
        <v>416.9584484519755</v>
      </c>
      <c r="AY15" t="n">
        <v>469.9299023612739</v>
      </c>
      <c r="AZ15" t="n">
        <v>1653.795897827706</v>
      </c>
      <c r="BA15" t="n">
        <v>349.502647959734</v>
      </c>
      <c r="BB15" t="n">
        <v>327.0497641794766</v>
      </c>
      <c r="BC15" t="n">
        <v>399.1982101828261</v>
      </c>
      <c r="BD15" t="n">
        <v>419.3984573665466</v>
      </c>
      <c r="BE15" t="n">
        <v>1495.149079688583</v>
      </c>
      <c r="BF15" t="n">
        <v>368.3051671959529</v>
      </c>
      <c r="BG15" t="n">
        <v>434.1472262229067</v>
      </c>
      <c r="BH15" t="n">
        <v>486.1499412815706</v>
      </c>
      <c r="BI15" t="n">
        <v>504.6055832174749</v>
      </c>
      <c r="BJ15" t="n">
        <v>1793.207917917905</v>
      </c>
      <c r="BK15" t="n">
        <v>428.7024061202167</v>
      </c>
      <c r="BL15" t="n">
        <v>432.9455713175382</v>
      </c>
      <c r="BM15" t="n">
        <v>524.522764128122</v>
      </c>
      <c r="BN15" t="n">
        <v>551.4413107898093</v>
      </c>
      <c r="BO15" t="n">
        <v>1937.612052355687</v>
      </c>
      <c r="BP15" t="n">
        <v>499.0788474050432</v>
      </c>
      <c r="BQ15" t="n">
        <v>549.7032652428658</v>
      </c>
      <c r="BR15" t="n">
        <v>661.9155729977442</v>
      </c>
      <c r="BS15" t="n">
        <v>685.5208432268811</v>
      </c>
      <c r="BT15" t="n">
        <v>2396.218528872534</v>
      </c>
      <c r="BU15" t="n">
        <v>597.451919550503</v>
      </c>
      <c r="BV15" t="n">
        <v>660.2851100684726</v>
      </c>
      <c r="BW15" t="n">
        <v>747.6334305897711</v>
      </c>
      <c r="BX15" t="n">
        <v>826.2375970027199</v>
      </c>
      <c r="BY15" t="n">
        <v>2831.608057211467</v>
      </c>
      <c r="BZ15" t="n">
        <v>681.0956581008187</v>
      </c>
      <c r="CA15" t="n">
        <v>739.8713740419666</v>
      </c>
      <c r="CB15" t="n">
        <v>821.8616684854899</v>
      </c>
    </row>
    <row r="16">
      <c r="A16" t="inlineStr">
        <is>
          <t>N</t>
        </is>
      </c>
      <c r="B16" t="inlineStr">
        <is>
          <t>Administrative and support service activities</t>
        </is>
      </c>
      <c r="C16" t="n">
        <v>33.22350633695707</v>
      </c>
      <c r="D16" t="n">
        <v>47.59490093162248</v>
      </c>
      <c r="E16" t="n">
        <v>47.96093987975111</v>
      </c>
      <c r="F16" t="n">
        <v>59.3791375162805</v>
      </c>
      <c r="G16" t="n">
        <v>188.1584846646112</v>
      </c>
      <c r="H16" t="n">
        <v>45.69269059177535</v>
      </c>
      <c r="I16" t="n">
        <v>60.37583448821138</v>
      </c>
      <c r="J16" t="n">
        <v>59.47906285767198</v>
      </c>
      <c r="K16" t="n">
        <v>100.0596425188728</v>
      </c>
      <c r="L16" t="n">
        <v>265.6072304565315</v>
      </c>
      <c r="M16" t="n">
        <v>63.02504332857453</v>
      </c>
      <c r="N16" t="n">
        <v>80.69307595885542</v>
      </c>
      <c r="O16" t="n">
        <v>75.90396084219128</v>
      </c>
      <c r="P16" t="n">
        <v>88.03515982162727</v>
      </c>
      <c r="Q16" t="n">
        <v>307.6572399512485</v>
      </c>
      <c r="R16" t="n">
        <v>55.06399028795915</v>
      </c>
      <c r="S16" t="n">
        <v>69.44900972149367</v>
      </c>
      <c r="T16" t="n">
        <v>85.0562206497852</v>
      </c>
      <c r="U16" t="n">
        <v>130.9102868176092</v>
      </c>
      <c r="V16" t="n">
        <v>340.4795074768472</v>
      </c>
      <c r="W16" t="n">
        <v>77.59184361198693</v>
      </c>
      <c r="X16" t="n">
        <v>103.7514911770497</v>
      </c>
      <c r="Y16" t="n">
        <v>124.4593890773612</v>
      </c>
      <c r="Z16" t="n">
        <v>124.0850333019681</v>
      </c>
      <c r="AA16" t="n">
        <v>429.887757168366</v>
      </c>
      <c r="AB16" t="n">
        <v>124.1234413413341</v>
      </c>
      <c r="AC16" t="n">
        <v>136.676474255633</v>
      </c>
      <c r="AD16" t="n">
        <v>119.9053533205024</v>
      </c>
      <c r="AE16" t="n">
        <v>126.5950824516841</v>
      </c>
      <c r="AF16" t="n">
        <v>507.3003513691536</v>
      </c>
      <c r="AG16" t="n">
        <v>113.3432877067888</v>
      </c>
      <c r="AH16" t="n">
        <v>143.3814440126769</v>
      </c>
      <c r="AI16" t="n">
        <v>180.2400160941588</v>
      </c>
      <c r="AJ16" t="n">
        <v>145.8377316238485</v>
      </c>
      <c r="AK16" t="n">
        <v>582.802479437473</v>
      </c>
      <c r="AL16" t="n">
        <v>145.2749002018789</v>
      </c>
      <c r="AM16" t="n">
        <v>200.547506517034</v>
      </c>
      <c r="AN16" t="n">
        <v>225.0985527448215</v>
      </c>
      <c r="AO16" t="n">
        <v>196.3668321463913</v>
      </c>
      <c r="AP16" t="n">
        <v>767.2877916101257</v>
      </c>
      <c r="AQ16" t="n">
        <v>174.433556522217</v>
      </c>
      <c r="AR16" t="n">
        <v>221.4565944127114</v>
      </c>
      <c r="AS16" t="n">
        <v>272.7173856580823</v>
      </c>
      <c r="AT16" t="n">
        <v>226.4917144278544</v>
      </c>
      <c r="AU16" t="n">
        <v>895.0992510208652</v>
      </c>
      <c r="AV16" t="n">
        <v>206.5006612518919</v>
      </c>
      <c r="AW16" t="n">
        <v>271.7715384186409</v>
      </c>
      <c r="AX16" t="n">
        <v>315.7827449240462</v>
      </c>
      <c r="AY16" t="n">
        <v>245.6667570460001</v>
      </c>
      <c r="AZ16" t="n">
        <v>1039.721701640579</v>
      </c>
      <c r="BA16" t="n">
        <v>204.0212272152312</v>
      </c>
      <c r="BB16" t="n">
        <v>120.1633944771502</v>
      </c>
      <c r="BC16" t="n">
        <v>137.1037987075068</v>
      </c>
      <c r="BD16" t="n">
        <v>135.5820683681946</v>
      </c>
      <c r="BE16" t="n">
        <v>596.8704887680827</v>
      </c>
      <c r="BF16" t="n">
        <v>127.6118354023847</v>
      </c>
      <c r="BG16" t="n">
        <v>155.8208140104072</v>
      </c>
      <c r="BH16" t="n">
        <v>262.3360176297889</v>
      </c>
      <c r="BI16" t="n">
        <v>216.8359410015962</v>
      </c>
      <c r="BJ16" t="n">
        <v>762.604608044177</v>
      </c>
      <c r="BK16" t="n">
        <v>195.0408405845685</v>
      </c>
      <c r="BL16" t="n">
        <v>232.4030427133643</v>
      </c>
      <c r="BM16" t="n">
        <v>337.4301213563718</v>
      </c>
      <c r="BN16" t="n">
        <v>298.3212273569598</v>
      </c>
      <c r="BO16" t="n">
        <v>1063.195232011264</v>
      </c>
      <c r="BP16" t="n">
        <v>252.8546283887951</v>
      </c>
      <c r="BQ16" t="n">
        <v>304.9701415184716</v>
      </c>
      <c r="BR16" t="n">
        <v>392.0001186635123</v>
      </c>
      <c r="BS16" t="n">
        <v>343.0103318860067</v>
      </c>
      <c r="BT16" t="n">
        <v>1292.835220456786</v>
      </c>
      <c r="BU16" t="n">
        <v>282.0029552597288</v>
      </c>
      <c r="BV16" t="n">
        <v>399.6754956519013</v>
      </c>
      <c r="BW16" t="n">
        <v>491.472781286792</v>
      </c>
      <c r="BX16" t="n">
        <v>442.4733525730115</v>
      </c>
      <c r="BY16" t="n">
        <v>1615.624584771434</v>
      </c>
      <c r="BZ16" t="n">
        <v>373.1708020312068</v>
      </c>
      <c r="CA16" t="n">
        <v>473.2926512843194</v>
      </c>
      <c r="CB16" t="n">
        <v>561.3691675401215</v>
      </c>
    </row>
    <row r="17">
      <c r="A17" t="inlineStr">
        <is>
          <t>O</t>
        </is>
      </c>
      <c r="B17" t="inlineStr">
        <is>
          <t>Public administration and defence; compulsory social security</t>
        </is>
      </c>
      <c r="C17" t="n">
        <v>578.8584625403063</v>
      </c>
      <c r="D17" t="n">
        <v>720.5154106919888</v>
      </c>
      <c r="E17" t="n">
        <v>722.3746999362245</v>
      </c>
      <c r="F17" t="n">
        <v>863.7786633388865</v>
      </c>
      <c r="G17" t="n">
        <v>2885.527236507406</v>
      </c>
      <c r="H17" t="n">
        <v>646.8087853694547</v>
      </c>
      <c r="I17" t="n">
        <v>786.4130542436803</v>
      </c>
      <c r="J17" t="n">
        <v>757.6731653338546</v>
      </c>
      <c r="K17" t="n">
        <v>853.4394959337243</v>
      </c>
      <c r="L17" t="n">
        <v>3044.334500880714</v>
      </c>
      <c r="M17" t="n">
        <v>728.2453739965854</v>
      </c>
      <c r="N17" t="n">
        <v>807.5849742865746</v>
      </c>
      <c r="O17" t="n">
        <v>799.0196284001491</v>
      </c>
      <c r="P17" t="n">
        <v>871.613491312712</v>
      </c>
      <c r="Q17" t="n">
        <v>3206.463467996021</v>
      </c>
      <c r="R17" t="n">
        <v>698.2919194124026</v>
      </c>
      <c r="S17" t="n">
        <v>810.2584737108076</v>
      </c>
      <c r="T17" t="n">
        <v>866.5325482690312</v>
      </c>
      <c r="U17" t="n">
        <v>1073.101734009973</v>
      </c>
      <c r="V17" t="n">
        <v>3448.184675402214</v>
      </c>
      <c r="W17" t="n">
        <v>816.7004467451252</v>
      </c>
      <c r="X17" t="n">
        <v>933.0495739913054</v>
      </c>
      <c r="Y17" t="n">
        <v>953.8791954596312</v>
      </c>
      <c r="Z17" t="n">
        <v>1048.431572998043</v>
      </c>
      <c r="AA17" t="n">
        <v>3752.060789194105</v>
      </c>
      <c r="AB17" t="n">
        <v>772.3587064175526</v>
      </c>
      <c r="AC17" t="n">
        <v>879.9777910637713</v>
      </c>
      <c r="AD17" t="n">
        <v>902.02973652079</v>
      </c>
      <c r="AE17" t="n">
        <v>1028.835722662748</v>
      </c>
      <c r="AF17" t="n">
        <v>3583.201956664861</v>
      </c>
      <c r="AG17" t="n">
        <v>850.3731359238603</v>
      </c>
      <c r="AH17" t="n">
        <v>942.9988568246338</v>
      </c>
      <c r="AI17" t="n">
        <v>958.4710763256014</v>
      </c>
      <c r="AJ17" t="n">
        <v>1079.373789781392</v>
      </c>
      <c r="AK17" t="n">
        <v>3831.216858855488</v>
      </c>
      <c r="AL17" t="n">
        <v>847.7266752799078</v>
      </c>
      <c r="AM17" t="n">
        <v>994.649819107596</v>
      </c>
      <c r="AN17" t="n">
        <v>991.9378649381993</v>
      </c>
      <c r="AO17" t="n">
        <v>1092.239144796819</v>
      </c>
      <c r="AP17" t="n">
        <v>3926.553504122523</v>
      </c>
      <c r="AQ17" t="n">
        <v>917.5742842974877</v>
      </c>
      <c r="AR17" t="n">
        <v>997.4336009691172</v>
      </c>
      <c r="AS17" t="n">
        <v>995.0558081454732</v>
      </c>
      <c r="AT17" t="n">
        <v>1190.024326333372</v>
      </c>
      <c r="AU17" t="n">
        <v>4100.08801974545</v>
      </c>
      <c r="AV17" t="n">
        <v>984.951952015115</v>
      </c>
      <c r="AW17" t="n">
        <v>1069.23816681949</v>
      </c>
      <c r="AX17" t="n">
        <v>1047.492446000776</v>
      </c>
      <c r="AY17" t="n">
        <v>1202.246591376088</v>
      </c>
      <c r="AZ17" t="n">
        <v>4303.929156211469</v>
      </c>
      <c r="BA17" t="n">
        <v>1060.070754056475</v>
      </c>
      <c r="BB17" t="n">
        <v>1043.516732738433</v>
      </c>
      <c r="BC17" t="n">
        <v>1129.796241537654</v>
      </c>
      <c r="BD17" t="n">
        <v>1276.862261916518</v>
      </c>
      <c r="BE17" t="n">
        <v>4510.24599024908</v>
      </c>
      <c r="BF17" t="n">
        <v>1135.281453020741</v>
      </c>
      <c r="BG17" t="n">
        <v>1241.347811856392</v>
      </c>
      <c r="BH17" t="n">
        <v>1279.882257855783</v>
      </c>
      <c r="BI17" t="n">
        <v>1438.920085240778</v>
      </c>
      <c r="BJ17" t="n">
        <v>5095.431607973694</v>
      </c>
      <c r="BK17" t="n">
        <v>1300.537733706869</v>
      </c>
      <c r="BL17" t="n">
        <v>1389.943223863613</v>
      </c>
      <c r="BM17" t="n">
        <v>1433.184074868374</v>
      </c>
      <c r="BN17" t="n">
        <v>1669.570346933592</v>
      </c>
      <c r="BO17" t="n">
        <v>5793.235379372448</v>
      </c>
      <c r="BP17" t="n">
        <v>1541.560287770707</v>
      </c>
      <c r="BQ17" t="n">
        <v>1702.364555639237</v>
      </c>
      <c r="BR17" t="n">
        <v>1651.58310816829</v>
      </c>
      <c r="BS17" t="n">
        <v>1942.901594861246</v>
      </c>
      <c r="BT17" t="n">
        <v>6838.409546439481</v>
      </c>
      <c r="BU17" t="n">
        <v>1807.337071290068</v>
      </c>
      <c r="BV17" t="n">
        <v>1949.796436146354</v>
      </c>
      <c r="BW17" t="n">
        <v>1889.015990846282</v>
      </c>
      <c r="BX17" t="n">
        <v>2246.702492025468</v>
      </c>
      <c r="BY17" t="n">
        <v>7892.851990308172</v>
      </c>
      <c r="BZ17" t="n">
        <v>1942.981987832496</v>
      </c>
      <c r="CA17" t="n">
        <v>2037.942725730177</v>
      </c>
      <c r="CB17" t="n">
        <v>2027.14175937798</v>
      </c>
    </row>
    <row r="18">
      <c r="A18" t="inlineStr">
        <is>
          <t>P</t>
        </is>
      </c>
      <c r="B18" t="inlineStr">
        <is>
          <t>Education</t>
        </is>
      </c>
      <c r="C18" t="n">
        <v>270.0414220213369</v>
      </c>
      <c r="D18" t="n">
        <v>259.8050917836215</v>
      </c>
      <c r="E18" t="n">
        <v>231.0396665088692</v>
      </c>
      <c r="F18" t="n">
        <v>266.7203624407081</v>
      </c>
      <c r="G18" t="n">
        <v>1027.606542754536</v>
      </c>
      <c r="H18" t="n">
        <v>310.2331384899509</v>
      </c>
      <c r="I18" t="n">
        <v>311.1363665029658</v>
      </c>
      <c r="J18" t="n">
        <v>256.8725545876376</v>
      </c>
      <c r="K18" t="n">
        <v>321.8996288562048</v>
      </c>
      <c r="L18" t="n">
        <v>1200.141688436759</v>
      </c>
      <c r="M18" t="n">
        <v>331.9159056078104</v>
      </c>
      <c r="N18" t="n">
        <v>355.9265455927826</v>
      </c>
      <c r="O18" t="n">
        <v>285.4988519562053</v>
      </c>
      <c r="P18" t="n">
        <v>354.9164275093393</v>
      </c>
      <c r="Q18" t="n">
        <v>1328.257730666138</v>
      </c>
      <c r="R18" t="n">
        <v>354.9527180330592</v>
      </c>
      <c r="S18" t="n">
        <v>390.1089357671642</v>
      </c>
      <c r="T18" t="n">
        <v>326.02476949792</v>
      </c>
      <c r="U18" t="n">
        <v>430.3679761495699</v>
      </c>
      <c r="V18" t="n">
        <v>1501.454399447714</v>
      </c>
      <c r="W18" t="n">
        <v>402.3335700174313</v>
      </c>
      <c r="X18" t="n">
        <v>413.164794688772</v>
      </c>
      <c r="Y18" t="n">
        <v>407.0743590433459</v>
      </c>
      <c r="Z18" t="n">
        <v>464.9545732746122</v>
      </c>
      <c r="AA18" t="n">
        <v>1687.527297024162</v>
      </c>
      <c r="AB18" t="n">
        <v>413.3778587926879</v>
      </c>
      <c r="AC18" t="n">
        <v>448.9675193996871</v>
      </c>
      <c r="AD18" t="n">
        <v>388.9248082705649</v>
      </c>
      <c r="AE18" t="n">
        <v>490.0052124130229</v>
      </c>
      <c r="AF18" t="n">
        <v>1741.275398875963</v>
      </c>
      <c r="AG18" t="n">
        <v>502.0106342419722</v>
      </c>
      <c r="AH18" t="n">
        <v>527.9436963219731</v>
      </c>
      <c r="AI18" t="n">
        <v>439.0155828955403</v>
      </c>
      <c r="AJ18" t="n">
        <v>483.2541804118964</v>
      </c>
      <c r="AK18" t="n">
        <v>1952.224093871382</v>
      </c>
      <c r="AL18" t="n">
        <v>522.307121522659</v>
      </c>
      <c r="AM18" t="n">
        <v>539.1201097859854</v>
      </c>
      <c r="AN18" t="n">
        <v>444.8817020767643</v>
      </c>
      <c r="AO18" t="n">
        <v>529.3739710187075</v>
      </c>
      <c r="AP18" t="n">
        <v>2035.682904404116</v>
      </c>
      <c r="AQ18" t="n">
        <v>551.0906761151152</v>
      </c>
      <c r="AR18" t="n">
        <v>635.5756771573461</v>
      </c>
      <c r="AS18" t="n">
        <v>446.731173429457</v>
      </c>
      <c r="AT18" t="n">
        <v>521.1326669552861</v>
      </c>
      <c r="AU18" t="n">
        <v>2154.530193657205</v>
      </c>
      <c r="AV18" t="n">
        <v>597.7722757806946</v>
      </c>
      <c r="AW18" t="n">
        <v>618.5255390180682</v>
      </c>
      <c r="AX18" t="n">
        <v>537.7878522952587</v>
      </c>
      <c r="AY18" t="n">
        <v>616.2897821168738</v>
      </c>
      <c r="AZ18" t="n">
        <v>2370.375449210896</v>
      </c>
      <c r="BA18" t="n">
        <v>681.1641203817151</v>
      </c>
      <c r="BB18" t="n">
        <v>584.3806043506291</v>
      </c>
      <c r="BC18" t="n">
        <v>562.7144026290483</v>
      </c>
      <c r="BD18" t="n">
        <v>667.274834462954</v>
      </c>
      <c r="BE18" t="n">
        <v>2495.533961824347</v>
      </c>
      <c r="BF18" t="n">
        <v>734.2329230920708</v>
      </c>
      <c r="BG18" t="n">
        <v>752.5236339342943</v>
      </c>
      <c r="BH18" t="n">
        <v>643.0791512174062</v>
      </c>
      <c r="BI18" t="n">
        <v>819.8807501208623</v>
      </c>
      <c r="BJ18" t="n">
        <v>2949.716458364634</v>
      </c>
      <c r="BK18" t="n">
        <v>821.5008644888226</v>
      </c>
      <c r="BL18" t="n">
        <v>881.0114266162689</v>
      </c>
      <c r="BM18" t="n">
        <v>758.1780302736889</v>
      </c>
      <c r="BN18" t="n">
        <v>914.0471813574525</v>
      </c>
      <c r="BO18" t="n">
        <v>3374.737502736233</v>
      </c>
      <c r="BP18" t="n">
        <v>1012.291059305038</v>
      </c>
      <c r="BQ18" t="n">
        <v>1085.544767451658</v>
      </c>
      <c r="BR18" t="n">
        <v>921.301908552123</v>
      </c>
      <c r="BS18" t="n">
        <v>1206.54683663163</v>
      </c>
      <c r="BT18" t="n">
        <v>4225.684571940448</v>
      </c>
      <c r="BU18" t="n">
        <v>1234.779417353922</v>
      </c>
      <c r="BV18" t="n">
        <v>1338.675707161245</v>
      </c>
      <c r="BW18" t="n">
        <v>1221.730384785531</v>
      </c>
      <c r="BX18" t="n">
        <v>1631.46696968417</v>
      </c>
      <c r="BY18" t="n">
        <v>5426.652478984868</v>
      </c>
      <c r="BZ18" t="n">
        <v>1614.835023351621</v>
      </c>
      <c r="CA18" t="n">
        <v>1802.279048698305</v>
      </c>
      <c r="CB18" t="n">
        <v>1516.297166114984</v>
      </c>
    </row>
    <row r="19">
      <c r="A19" t="inlineStr">
        <is>
          <t>Q</t>
        </is>
      </c>
      <c r="B19" t="inlineStr">
        <is>
          <t>Human health and social work activities</t>
        </is>
      </c>
      <c r="C19" t="n">
        <v>235.969685654037</v>
      </c>
      <c r="D19" t="n">
        <v>269.3028601649931</v>
      </c>
      <c r="E19" t="n">
        <v>271.4879735960033</v>
      </c>
      <c r="F19" t="n">
        <v>319.7919384061531</v>
      </c>
      <c r="G19" t="n">
        <v>1096.552457821187</v>
      </c>
      <c r="H19" t="n">
        <v>295.2509441506001</v>
      </c>
      <c r="I19" t="n">
        <v>316.1137847529178</v>
      </c>
      <c r="J19" t="n">
        <v>310.0607315922562</v>
      </c>
      <c r="K19" t="n">
        <v>326.3884776989464</v>
      </c>
      <c r="L19" t="n">
        <v>1247.813938194721</v>
      </c>
      <c r="M19" t="n">
        <v>297.4255628125216</v>
      </c>
      <c r="N19" t="n">
        <v>320.0966169053156</v>
      </c>
      <c r="O19" t="n">
        <v>321.290764255823</v>
      </c>
      <c r="P19" t="n">
        <v>374.2910860835773</v>
      </c>
      <c r="Q19" t="n">
        <v>1313.104030057237</v>
      </c>
      <c r="R19" t="n">
        <v>326.4064100072978</v>
      </c>
      <c r="S19" t="n">
        <v>362.7291000056967</v>
      </c>
      <c r="T19" t="n">
        <v>353.4635576269621</v>
      </c>
      <c r="U19" t="n">
        <v>407.8826353032681</v>
      </c>
      <c r="V19" t="n">
        <v>1450.481702943225</v>
      </c>
      <c r="W19" t="n">
        <v>388.7337147730835</v>
      </c>
      <c r="X19" t="n">
        <v>429.0937583033745</v>
      </c>
      <c r="Y19" t="n">
        <v>422.2425125599922</v>
      </c>
      <c r="Z19" t="n">
        <v>480.68018370755</v>
      </c>
      <c r="AA19" t="n">
        <v>1720.750169344</v>
      </c>
      <c r="AB19" t="n">
        <v>505.923385855322</v>
      </c>
      <c r="AC19" t="n">
        <v>528.5279259223227</v>
      </c>
      <c r="AD19" t="n">
        <v>491.3391389620609</v>
      </c>
      <c r="AE19" t="n">
        <v>511.01282142941</v>
      </c>
      <c r="AF19" t="n">
        <v>2036.803272169116</v>
      </c>
      <c r="AG19" t="n">
        <v>613.4062950880597</v>
      </c>
      <c r="AH19" t="n">
        <v>567.2836211712149</v>
      </c>
      <c r="AI19" t="n">
        <v>510.9392348191907</v>
      </c>
      <c r="AJ19" t="n">
        <v>577.8597546208795</v>
      </c>
      <c r="AK19" t="n">
        <v>2269.488905699345</v>
      </c>
      <c r="AL19" t="n">
        <v>594.1100238269979</v>
      </c>
      <c r="AM19" t="n">
        <v>635.0055452920247</v>
      </c>
      <c r="AN19" t="n">
        <v>589.2039655240239</v>
      </c>
      <c r="AO19" t="n">
        <v>667.7342746082411</v>
      </c>
      <c r="AP19" t="n">
        <v>2486.053809251288</v>
      </c>
      <c r="AQ19" t="n">
        <v>635.3964791833787</v>
      </c>
      <c r="AR19" t="n">
        <v>660.2065615145896</v>
      </c>
      <c r="AS19" t="n">
        <v>651.56236177501</v>
      </c>
      <c r="AT19" t="n">
        <v>765.040496337444</v>
      </c>
      <c r="AU19" t="n">
        <v>2712.205898810422</v>
      </c>
      <c r="AV19" t="n">
        <v>722.3557859595915</v>
      </c>
      <c r="AW19" t="n">
        <v>769.1029766923438</v>
      </c>
      <c r="AX19" t="n">
        <v>756.1163291356042</v>
      </c>
      <c r="AY19" t="n">
        <v>860.7753881215248</v>
      </c>
      <c r="AZ19" t="n">
        <v>3108.350479909064</v>
      </c>
      <c r="BA19" t="n">
        <v>843.8502134167784</v>
      </c>
      <c r="BB19" t="n">
        <v>818.9754833758871</v>
      </c>
      <c r="BC19" t="n">
        <v>891.4921292602069</v>
      </c>
      <c r="BD19" t="n">
        <v>1026.727124682848</v>
      </c>
      <c r="BE19" t="n">
        <v>3581.04495073572</v>
      </c>
      <c r="BF19" t="n">
        <v>1010.032309625428</v>
      </c>
      <c r="BG19" t="n">
        <v>1090.587677673599</v>
      </c>
      <c r="BH19" t="n">
        <v>1181.341745849798</v>
      </c>
      <c r="BI19" t="n">
        <v>1359.238860654412</v>
      </c>
      <c r="BJ19" t="n">
        <v>4641.200593803236</v>
      </c>
      <c r="BK19" t="n">
        <v>1190.027310693209</v>
      </c>
      <c r="BL19" t="n">
        <v>1083.067400923998</v>
      </c>
      <c r="BM19" t="n">
        <v>982.348638478806</v>
      </c>
      <c r="BN19" t="n">
        <v>1094.163404172113</v>
      </c>
      <c r="BO19" t="n">
        <v>4349.606754268127</v>
      </c>
      <c r="BP19" t="n">
        <v>1038.883926591948</v>
      </c>
      <c r="BQ19" t="n">
        <v>1050.707078079841</v>
      </c>
      <c r="BR19" t="n">
        <v>999.5435528884365</v>
      </c>
      <c r="BS19" t="n">
        <v>1061.05149251271</v>
      </c>
      <c r="BT19" t="n">
        <v>4150.186050072934</v>
      </c>
      <c r="BU19" t="n">
        <v>1041.487680954859</v>
      </c>
      <c r="BV19" t="n">
        <v>1071.144982476054</v>
      </c>
      <c r="BW19" t="n">
        <v>1102.985561327987</v>
      </c>
      <c r="BX19" t="n">
        <v>1346.595773881901</v>
      </c>
      <c r="BY19" t="n">
        <v>4562.213998640802</v>
      </c>
      <c r="BZ19" t="n">
        <v>1306.599054540541</v>
      </c>
      <c r="CA19" t="n">
        <v>1365.925292595308</v>
      </c>
      <c r="CB19" t="n">
        <v>1347.66195517152</v>
      </c>
    </row>
    <row r="20">
      <c r="A20" t="inlineStr">
        <is>
          <t>R</t>
        </is>
      </c>
      <c r="B20" t="inlineStr">
        <is>
          <t>Arts  entertainment and recreation</t>
        </is>
      </c>
      <c r="C20" t="n">
        <v>100.4831925110795</v>
      </c>
      <c r="D20" t="n">
        <v>155.8780274621196</v>
      </c>
      <c r="E20" t="n">
        <v>148.980533360412</v>
      </c>
      <c r="F20" t="n">
        <v>238.6508480448926</v>
      </c>
      <c r="G20" t="n">
        <v>643.9926013785037</v>
      </c>
      <c r="H20" t="n">
        <v>206.9576870305474</v>
      </c>
      <c r="I20" t="n">
        <v>268.7481047250389</v>
      </c>
      <c r="J20" t="n">
        <v>227.5996448824147</v>
      </c>
      <c r="K20" t="n">
        <v>280.5001250116989</v>
      </c>
      <c r="L20" t="n">
        <v>983.8055616496998</v>
      </c>
      <c r="M20" t="n">
        <v>324.9308302972171</v>
      </c>
      <c r="N20" t="n">
        <v>431.4793991341036</v>
      </c>
      <c r="O20" t="n">
        <v>562.3330263927598</v>
      </c>
      <c r="P20" t="n">
        <v>555.5982365620099</v>
      </c>
      <c r="Q20" t="n">
        <v>1874.341492386091</v>
      </c>
      <c r="R20" t="n">
        <v>426.389886185593</v>
      </c>
      <c r="S20" t="n">
        <v>496.3629788463283</v>
      </c>
      <c r="T20" t="n">
        <v>473.484042226784</v>
      </c>
      <c r="U20" t="n">
        <v>471.2827008143347</v>
      </c>
      <c r="V20" t="n">
        <v>1867.51960807304</v>
      </c>
      <c r="W20" t="n">
        <v>334.8041356627856</v>
      </c>
      <c r="X20" t="n">
        <v>324.9190908270356</v>
      </c>
      <c r="Y20" t="n">
        <v>267.9856301361267</v>
      </c>
      <c r="Z20" t="n">
        <v>246.9744404028712</v>
      </c>
      <c r="AA20" t="n">
        <v>1174.683297028819</v>
      </c>
      <c r="AB20" t="n">
        <v>262.3110287150051</v>
      </c>
      <c r="AC20" t="n">
        <v>573.7315896076476</v>
      </c>
      <c r="AD20" t="n">
        <v>251.3896856938826</v>
      </c>
      <c r="AE20" t="n">
        <v>340.819907072889</v>
      </c>
      <c r="AF20" t="n">
        <v>1428.252211089424</v>
      </c>
      <c r="AG20" t="n">
        <v>335.4612239205161</v>
      </c>
      <c r="AH20" t="n">
        <v>417.5579744629891</v>
      </c>
      <c r="AI20" t="n">
        <v>497.401239883083</v>
      </c>
      <c r="AJ20" t="n">
        <v>492.5749030360509</v>
      </c>
      <c r="AK20" t="n">
        <v>1742.995341302639</v>
      </c>
      <c r="AL20" t="n">
        <v>459.8324903773309</v>
      </c>
      <c r="AM20" t="n">
        <v>449.2052678832455</v>
      </c>
      <c r="AN20" t="n">
        <v>486.6334261138519</v>
      </c>
      <c r="AO20" t="n">
        <v>503.1095558581069</v>
      </c>
      <c r="AP20" t="n">
        <v>1898.780740232535</v>
      </c>
      <c r="AQ20" t="n">
        <v>466.2186997808258</v>
      </c>
      <c r="AR20" t="n">
        <v>514.0973126917925</v>
      </c>
      <c r="AS20" t="n">
        <v>552.0807102080139</v>
      </c>
      <c r="AT20" t="n">
        <v>590.9620554853163</v>
      </c>
      <c r="AU20" t="n">
        <v>2123.358778165948</v>
      </c>
      <c r="AV20" t="n">
        <v>544.7693282489804</v>
      </c>
      <c r="AW20" t="n">
        <v>625.5548515608976</v>
      </c>
      <c r="AX20" t="n">
        <v>719.8786827037102</v>
      </c>
      <c r="AY20" t="n">
        <v>789.332605861739</v>
      </c>
      <c r="AZ20" t="n">
        <v>2679.535468375327</v>
      </c>
      <c r="BA20" t="n">
        <v>689.6318688917474</v>
      </c>
      <c r="BB20" t="n">
        <v>361.7610357722996</v>
      </c>
      <c r="BC20" t="n">
        <v>575.4140204632081</v>
      </c>
      <c r="BD20" t="n">
        <v>653.3128152133778</v>
      </c>
      <c r="BE20" t="n">
        <v>2280.119740340633</v>
      </c>
      <c r="BF20" t="n">
        <v>554.9903535241491</v>
      </c>
      <c r="BG20" t="n">
        <v>1053.288629101748</v>
      </c>
      <c r="BH20" t="n">
        <v>1072.297017762146</v>
      </c>
      <c r="BI20" t="n">
        <v>1079.477993770997</v>
      </c>
      <c r="BJ20" t="n">
        <v>3760.053994159039</v>
      </c>
      <c r="BK20" t="n">
        <v>921.6093015544755</v>
      </c>
      <c r="BL20" t="n">
        <v>1020.891086421272</v>
      </c>
      <c r="BM20" t="n">
        <v>1062.441377584522</v>
      </c>
      <c r="BN20" t="n">
        <v>1221.1869697781</v>
      </c>
      <c r="BO20" t="n">
        <v>4226.12873533837</v>
      </c>
      <c r="BP20" t="n">
        <v>1067.760151190492</v>
      </c>
      <c r="BQ20" t="n">
        <v>1151.329137970222</v>
      </c>
      <c r="BR20" t="n">
        <v>1229.275889556375</v>
      </c>
      <c r="BS20" t="n">
        <v>1361.118344341416</v>
      </c>
      <c r="BT20" t="n">
        <v>4809.483523058505</v>
      </c>
      <c r="BU20" t="n">
        <v>1233.496448641051</v>
      </c>
      <c r="BV20" t="n">
        <v>1305.306216665796</v>
      </c>
      <c r="BW20" t="n">
        <v>1473.971523042232</v>
      </c>
      <c r="BX20" t="n">
        <v>1543.600229874373</v>
      </c>
      <c r="BY20" t="n">
        <v>5556.374418223451</v>
      </c>
      <c r="BZ20" t="n">
        <v>1378.324219875914</v>
      </c>
      <c r="CA20" t="n">
        <v>1693.385786457016</v>
      </c>
      <c r="CB20" t="n">
        <v>1853.744828516965</v>
      </c>
    </row>
    <row r="21">
      <c r="A21" t="inlineStr">
        <is>
          <t>S</t>
        </is>
      </c>
      <c r="B21" t="inlineStr">
        <is>
          <t>Other service activities</t>
        </is>
      </c>
      <c r="C21" t="n">
        <v>47.34922158216612</v>
      </c>
      <c r="D21" t="n">
        <v>54.05010003427963</v>
      </c>
      <c r="E21" t="n">
        <v>50.72185339038277</v>
      </c>
      <c r="F21" t="n">
        <v>74.83328738204764</v>
      </c>
      <c r="G21" t="n">
        <v>226.9544623888762</v>
      </c>
      <c r="H21" t="n">
        <v>76.1864382423948</v>
      </c>
      <c r="I21" t="n">
        <v>80.81887282247219</v>
      </c>
      <c r="J21" t="n">
        <v>71.12936055605347</v>
      </c>
      <c r="K21" t="n">
        <v>98.95093084531186</v>
      </c>
      <c r="L21" t="n">
        <v>327.0856024662323</v>
      </c>
      <c r="M21" t="n">
        <v>91.3403285661085</v>
      </c>
      <c r="N21" t="n">
        <v>118.7232335536754</v>
      </c>
      <c r="O21" t="n">
        <v>102.0811160267304</v>
      </c>
      <c r="P21" t="n">
        <v>130.1445521043404</v>
      </c>
      <c r="Q21" t="n">
        <v>442.2892302508546</v>
      </c>
      <c r="R21" t="n">
        <v>59.60312598914452</v>
      </c>
      <c r="S21" t="n">
        <v>64.79916090196033</v>
      </c>
      <c r="T21" t="n">
        <v>70.12537625509623</v>
      </c>
      <c r="U21" t="n">
        <v>103.7166953444781</v>
      </c>
      <c r="V21" t="n">
        <v>298.2443584906791</v>
      </c>
      <c r="W21" t="n">
        <v>127.0777540683334</v>
      </c>
      <c r="X21" t="n">
        <v>121.4750270116513</v>
      </c>
      <c r="Y21" t="n">
        <v>124.541086529885</v>
      </c>
      <c r="Z21" t="n">
        <v>196.0109795877311</v>
      </c>
      <c r="AA21" t="n">
        <v>569.1048471976007</v>
      </c>
      <c r="AB21" t="n">
        <v>141.2461340912556</v>
      </c>
      <c r="AC21" t="n">
        <v>104.7249937295894</v>
      </c>
      <c r="AD21" t="n">
        <v>159.9833575597548</v>
      </c>
      <c r="AE21" t="n">
        <v>99.1593274130729</v>
      </c>
      <c r="AF21" t="n">
        <v>505.1138127936727</v>
      </c>
      <c r="AG21" t="n">
        <v>124.126897424537</v>
      </c>
      <c r="AH21" t="n">
        <v>143.315978845538</v>
      </c>
      <c r="AI21" t="n">
        <v>114.7903964716896</v>
      </c>
      <c r="AJ21" t="n">
        <v>131.3942758502954</v>
      </c>
      <c r="AK21" t="n">
        <v>513.6275485920602</v>
      </c>
      <c r="AL21" t="n">
        <v>129.6614785818957</v>
      </c>
      <c r="AM21" t="n">
        <v>166.1376191901077</v>
      </c>
      <c r="AN21" t="n">
        <v>153.8512970740764</v>
      </c>
      <c r="AO21" t="n">
        <v>178.5685040222303</v>
      </c>
      <c r="AP21" t="n">
        <v>628.2188988683101</v>
      </c>
      <c r="AQ21" t="n">
        <v>151.3305963555215</v>
      </c>
      <c r="AR21" t="n">
        <v>154.0324102949335</v>
      </c>
      <c r="AS21" t="n">
        <v>147.3540685826522</v>
      </c>
      <c r="AT21" t="n">
        <v>163.6267654147201</v>
      </c>
      <c r="AU21" t="n">
        <v>616.3438406478274</v>
      </c>
      <c r="AV21" t="n">
        <v>125.8875965693868</v>
      </c>
      <c r="AW21" t="n">
        <v>137.9923629163457</v>
      </c>
      <c r="AX21" t="n">
        <v>141.8685801694269</v>
      </c>
      <c r="AY21" t="n">
        <v>141.4012288715996</v>
      </c>
      <c r="AZ21" t="n">
        <v>547.149768526759</v>
      </c>
      <c r="BA21" t="n">
        <v>143.2221288350578</v>
      </c>
      <c r="BB21" t="n">
        <v>113.1804061461737</v>
      </c>
      <c r="BC21" t="n">
        <v>138.4273680272844</v>
      </c>
      <c r="BD21" t="n">
        <v>164.5837902059806</v>
      </c>
      <c r="BE21" t="n">
        <v>559.4136932144966</v>
      </c>
      <c r="BF21" t="n">
        <v>123.7589595107606</v>
      </c>
      <c r="BG21" t="n">
        <v>193.1259522961543</v>
      </c>
      <c r="BH21" t="n">
        <v>233.2827328625581</v>
      </c>
      <c r="BI21" t="n">
        <v>252.2033766185062</v>
      </c>
      <c r="BJ21" t="n">
        <v>802.3710212879791</v>
      </c>
      <c r="BK21" t="n">
        <v>193.0158468604762</v>
      </c>
      <c r="BL21" t="n">
        <v>255.8458182902946</v>
      </c>
      <c r="BM21" t="n">
        <v>277.6534733501766</v>
      </c>
      <c r="BN21" t="n">
        <v>283.0058099221709</v>
      </c>
      <c r="BO21" t="n">
        <v>1009.520948423118</v>
      </c>
      <c r="BP21" t="n">
        <v>242.4599788596811</v>
      </c>
      <c r="BQ21" t="n">
        <v>303.6572897054578</v>
      </c>
      <c r="BR21" t="n">
        <v>288.7830190043645</v>
      </c>
      <c r="BS21" t="n">
        <v>317.9522727813657</v>
      </c>
      <c r="BT21" t="n">
        <v>1152.852560350869</v>
      </c>
      <c r="BU21" t="n">
        <v>239.9724833608443</v>
      </c>
      <c r="BV21" t="n">
        <v>332.6252564871623</v>
      </c>
      <c r="BW21" t="n">
        <v>359.6408779632135</v>
      </c>
      <c r="BX21" t="n">
        <v>380.2460596802456</v>
      </c>
      <c r="BY21" t="n">
        <v>1312.484677491466</v>
      </c>
      <c r="BZ21" t="n">
        <v>234.3947099010805</v>
      </c>
      <c r="CA21" t="n">
        <v>335.4850927620492</v>
      </c>
      <c r="CB21" t="n">
        <v>366.06826037949</v>
      </c>
    </row>
    <row r="22">
      <c r="A22" t="inlineStr">
        <is>
          <t>T</t>
        </is>
      </c>
      <c r="B22" t="inlineStr">
        <is>
          <t>Activities of households as employers; undifferentiated goods and servicies producing activities of household for own use</t>
        </is>
      </c>
      <c r="C22" t="n">
        <v>5.251931016021276</v>
      </c>
      <c r="D22" t="n">
        <v>5.496634917204966</v>
      </c>
      <c r="E22" t="n">
        <v>5.44617665504917</v>
      </c>
      <c r="F22" t="n">
        <v>5.768875711516289</v>
      </c>
      <c r="G22" t="n">
        <v>21.9636182997917</v>
      </c>
      <c r="H22" t="n">
        <v>6.868577448339518</v>
      </c>
      <c r="I22" t="n">
        <v>6.942825600054948</v>
      </c>
      <c r="J22" t="n">
        <v>6.74670557738098</v>
      </c>
      <c r="K22" t="n">
        <v>6.93107763930164</v>
      </c>
      <c r="L22" t="n">
        <v>27.48918626507709</v>
      </c>
      <c r="M22" t="n">
        <v>8.6867021576894</v>
      </c>
      <c r="N22" t="n">
        <v>7.717592195073893</v>
      </c>
      <c r="O22" t="n">
        <v>7.925354690299476</v>
      </c>
      <c r="P22" t="n">
        <v>7.68135695845316</v>
      </c>
      <c r="Q22" t="n">
        <v>32.01100600151593</v>
      </c>
      <c r="R22" t="n">
        <v>8.518101390568576</v>
      </c>
      <c r="S22" t="n">
        <v>7.400263834986592</v>
      </c>
      <c r="T22" t="n">
        <v>7.543286913505198</v>
      </c>
      <c r="U22" t="n">
        <v>8.799682663296013</v>
      </c>
      <c r="V22" t="n">
        <v>32.26133480235638</v>
      </c>
      <c r="W22" t="n">
        <v>9.48139941603227</v>
      </c>
      <c r="X22" t="n">
        <v>6.44417876049758</v>
      </c>
      <c r="Y22" t="n">
        <v>6.664716665729087</v>
      </c>
      <c r="Z22" t="n">
        <v>8.401202459097837</v>
      </c>
      <c r="AA22" t="n">
        <v>30.99149730135677</v>
      </c>
      <c r="AB22" t="n">
        <v>8.54366359833636</v>
      </c>
      <c r="AC22" t="n">
        <v>6.338636263312708</v>
      </c>
      <c r="AD22" t="n">
        <v>7.421015574341991</v>
      </c>
      <c r="AE22" t="n">
        <v>8.688181865365719</v>
      </c>
      <c r="AF22" t="n">
        <v>30.99149730135678</v>
      </c>
      <c r="AG22" t="n">
        <v>9.66679932624055</v>
      </c>
      <c r="AH22" t="n">
        <v>7.940806967451175</v>
      </c>
      <c r="AI22" t="n">
        <v>7.485442841919764</v>
      </c>
      <c r="AJ22" t="n">
        <v>9.120030576995529</v>
      </c>
      <c r="AK22" t="n">
        <v>34.21307971260701</v>
      </c>
      <c r="AL22" t="n">
        <v>9.895496464700749</v>
      </c>
      <c r="AM22" t="n">
        <v>8.128670578687135</v>
      </c>
      <c r="AN22" t="n">
        <v>7.662533448673901</v>
      </c>
      <c r="AO22" t="n">
        <v>9.335792260386091</v>
      </c>
      <c r="AP22" t="n">
        <v>35.02249275244787</v>
      </c>
      <c r="AQ22" t="n">
        <v>10.12960412006264</v>
      </c>
      <c r="AR22" t="n">
        <v>8.320978667237714</v>
      </c>
      <c r="AS22" t="n">
        <v>8.965403145437181</v>
      </c>
      <c r="AT22" t="n">
        <v>9.51250947208294</v>
      </c>
      <c r="AU22" t="n">
        <v>36.92849540482047</v>
      </c>
      <c r="AV22" t="n">
        <v>15.78089230851558</v>
      </c>
      <c r="AW22" t="n">
        <v>11.34017901176146</v>
      </c>
      <c r="AX22" t="n">
        <v>8.817235224920793</v>
      </c>
      <c r="AY22" t="n">
        <v>8.884715464967774</v>
      </c>
      <c r="AZ22" t="n">
        <v>44.82302201016561</v>
      </c>
      <c r="BA22" t="n">
        <v>16.8067879606537</v>
      </c>
      <c r="BB22" t="n">
        <v>11.7443371409812</v>
      </c>
      <c r="BC22" t="n">
        <v>12.2512053636764</v>
      </c>
      <c r="BD22" t="n">
        <v>16.858507578797</v>
      </c>
      <c r="BE22" t="n">
        <v>57.6608380441083</v>
      </c>
      <c r="BF22" t="n">
        <v>16.8007904019171</v>
      </c>
      <c r="BG22" t="n">
        <v>11.4432903964263</v>
      </c>
      <c r="BH22" t="n">
        <v>8.99749676333837</v>
      </c>
      <c r="BI22" t="n">
        <v>11.5441571669118</v>
      </c>
      <c r="BJ22" t="n">
        <v>48.78573472859357</v>
      </c>
      <c r="BK22" t="n">
        <v>14.7926187773675</v>
      </c>
      <c r="BL22" t="n">
        <v>13.6877598878787</v>
      </c>
      <c r="BM22" t="n">
        <v>22.1114270328078</v>
      </c>
      <c r="BN22" t="n">
        <v>20.7682613451309</v>
      </c>
      <c r="BO22" t="n">
        <v>71.3600670431849</v>
      </c>
      <c r="BP22" t="n">
        <v>21.3722555777267</v>
      </c>
      <c r="BQ22" t="n">
        <v>20.7185517979391</v>
      </c>
      <c r="BR22" t="n">
        <v>21.4763900248513</v>
      </c>
      <c r="BS22" t="n">
        <v>19.632686032271</v>
      </c>
      <c r="BT22" t="n">
        <v>83.1998834327881</v>
      </c>
      <c r="BU22" t="n">
        <v>26.2573141432864</v>
      </c>
      <c r="BV22" t="n">
        <v>27.514181264913</v>
      </c>
      <c r="BW22" t="n">
        <v>21.5358703819937</v>
      </c>
      <c r="BX22" t="n">
        <v>19.8734340917947</v>
      </c>
      <c r="BY22" t="n">
        <v>95.18079988198781</v>
      </c>
      <c r="BZ22" t="n">
        <v>26.7347109907428</v>
      </c>
      <c r="CA22" t="n">
        <v>15.9172305310042</v>
      </c>
      <c r="CB22" t="n">
        <v>22.5186769994718</v>
      </c>
    </row>
    <row r="23">
      <c r="B23" t="inlineStr">
        <is>
          <t>(=) Output at basic prices</t>
        </is>
      </c>
      <c r="C23" t="n">
        <v>6896.288565680228</v>
      </c>
      <c r="D23" t="n">
        <v>8026.11438317996</v>
      </c>
      <c r="E23" t="n">
        <v>8869.176344998079</v>
      </c>
      <c r="F23" t="n">
        <v>10342.48738828879</v>
      </c>
      <c r="G23" t="n">
        <v>34134.06668214705</v>
      </c>
      <c r="H23" t="n">
        <v>8493.269743015784</v>
      </c>
      <c r="I23" t="n">
        <v>10115.32133697245</v>
      </c>
      <c r="J23" t="n">
        <v>11189.11283045684</v>
      </c>
      <c r="K23" t="n">
        <v>12363.08570063264</v>
      </c>
      <c r="L23" t="n">
        <v>42160.78961107771</v>
      </c>
      <c r="M23" t="n">
        <v>9749.623892810967</v>
      </c>
      <c r="N23" t="n">
        <v>11354.24322599173</v>
      </c>
      <c r="O23" t="n">
        <v>12063.48726268706</v>
      </c>
      <c r="P23" t="n">
        <v>12466.25155576731</v>
      </c>
      <c r="Q23" t="n">
        <v>45633.60593725706</v>
      </c>
      <c r="R23" t="n">
        <v>9280.43505065894</v>
      </c>
      <c r="S23" t="n">
        <v>11092.59080340789</v>
      </c>
      <c r="T23" t="n">
        <v>12094.18659026353</v>
      </c>
      <c r="U23" t="n">
        <v>13364.38907182457</v>
      </c>
      <c r="V23" t="n">
        <v>45831.60151615494</v>
      </c>
      <c r="W23" t="n">
        <v>10561.5165920298</v>
      </c>
      <c r="X23" t="n">
        <v>12003.38879374237</v>
      </c>
      <c r="Y23" t="n">
        <v>13298.1530901354</v>
      </c>
      <c r="Z23" t="n">
        <v>14212.34981632486</v>
      </c>
      <c r="AA23" t="n">
        <v>50075.40829223242</v>
      </c>
      <c r="AB23" t="n">
        <v>11353.03097223633</v>
      </c>
      <c r="AC23" t="n">
        <v>13648.74163664431</v>
      </c>
      <c r="AD23" t="n">
        <v>14490.15843731849</v>
      </c>
      <c r="AE23" t="n">
        <v>14925.30092862754</v>
      </c>
      <c r="AF23" t="n">
        <v>54417.23197482667</v>
      </c>
      <c r="AG23" t="n">
        <v>12593.7157502662</v>
      </c>
      <c r="AH23" t="n">
        <v>14487.28467534205</v>
      </c>
      <c r="AI23" t="n">
        <v>15751.00874695409</v>
      </c>
      <c r="AJ23" t="n">
        <v>16458.66847363732</v>
      </c>
      <c r="AK23" t="n">
        <v>59290.67764619965</v>
      </c>
      <c r="AL23" t="n">
        <v>13617.78094347999</v>
      </c>
      <c r="AM23" t="n">
        <v>15854.71581262325</v>
      </c>
      <c r="AN23" t="n">
        <v>17385.03322240981</v>
      </c>
      <c r="AO23" t="n">
        <v>17828.61373552216</v>
      </c>
      <c r="AP23" t="n">
        <v>64686.14371403521</v>
      </c>
      <c r="AQ23" t="n">
        <v>15108.70077375848</v>
      </c>
      <c r="AR23" t="n">
        <v>17684.70694232237</v>
      </c>
      <c r="AS23" t="n">
        <v>18812.38849892041</v>
      </c>
      <c r="AT23" t="n">
        <v>19551.20003440075</v>
      </c>
      <c r="AU23" t="n">
        <v>71156.996249402</v>
      </c>
      <c r="AV23" t="n">
        <v>16222.44554179474</v>
      </c>
      <c r="AW23" t="n">
        <v>19187.96803102361</v>
      </c>
      <c r="AX23" t="n">
        <v>21690.06005924703</v>
      </c>
      <c r="AY23" t="n">
        <v>22517.3359008336</v>
      </c>
      <c r="AZ23" t="n">
        <v>79617.80953289899</v>
      </c>
      <c r="BA23" t="n">
        <v>17926.52467327696</v>
      </c>
      <c r="BB23" t="n">
        <v>17446.32593754579</v>
      </c>
      <c r="BC23" t="n">
        <v>21595.29076330832</v>
      </c>
      <c r="BD23" t="n">
        <v>22426.24085427419</v>
      </c>
      <c r="BE23" t="n">
        <v>79394.38222840527</v>
      </c>
      <c r="BF23" t="n">
        <v>18259.94646387085</v>
      </c>
      <c r="BG23" t="n">
        <v>24482.58570585966</v>
      </c>
      <c r="BH23" t="n">
        <v>26254.09240367519</v>
      </c>
      <c r="BI23" t="n">
        <v>27734.75876674635</v>
      </c>
      <c r="BJ23" t="n">
        <v>96731.38334015204</v>
      </c>
      <c r="BK23" t="n">
        <v>23289.52723409548</v>
      </c>
      <c r="BL23" t="n">
        <v>28218.05490462175</v>
      </c>
      <c r="BM23" t="n">
        <v>31465.69515126494</v>
      </c>
      <c r="BN23" t="n">
        <v>33144.39349192093</v>
      </c>
      <c r="BO23" t="n">
        <v>116117.6707819031</v>
      </c>
      <c r="BP23" t="n">
        <v>26489.20017952917</v>
      </c>
      <c r="BQ23" t="n">
        <v>30881.77611134691</v>
      </c>
      <c r="BR23" t="n">
        <v>33975.94235330156</v>
      </c>
      <c r="BS23" t="n">
        <v>35705.08504641613</v>
      </c>
      <c r="BT23" t="n">
        <v>127052.0036905938</v>
      </c>
      <c r="BU23" t="n">
        <v>30065.91116739009</v>
      </c>
      <c r="BV23" t="n">
        <v>35816.92004470418</v>
      </c>
      <c r="BW23" t="n">
        <v>40342.54720947246</v>
      </c>
      <c r="BX23" t="n">
        <v>40656.69802667868</v>
      </c>
      <c r="BY23" t="n">
        <v>146882.0764482454</v>
      </c>
      <c r="BZ23" t="n">
        <v>34486.66610363712</v>
      </c>
      <c r="CA23" t="n">
        <v>40550.27351979909</v>
      </c>
      <c r="CB23" t="n">
        <v>44696.6731354824</v>
      </c>
    </row>
    <row r="24">
      <c r="B24" t="inlineStr">
        <is>
          <t>(+) Taxes on products</t>
        </is>
      </c>
      <c r="C24" t="n">
        <v>516.9397443500002</v>
      </c>
      <c r="D24" t="n">
        <v>649.6885688000002</v>
      </c>
      <c r="E24" t="n">
        <v>741.3519586900004</v>
      </c>
      <c r="F24" t="n">
        <v>813.1142266100004</v>
      </c>
      <c r="G24" t="n">
        <v>2721.094498450001</v>
      </c>
      <c r="H24" t="n">
        <v>631.3324900400003</v>
      </c>
      <c r="I24" t="n">
        <v>723.5793606100002</v>
      </c>
      <c r="J24" t="n">
        <v>850.1380196500002</v>
      </c>
      <c r="K24" t="n">
        <v>885.0785835200004</v>
      </c>
      <c r="L24" t="n">
        <v>3090.128453820001</v>
      </c>
      <c r="M24" t="n">
        <v>653.6122662800001</v>
      </c>
      <c r="N24" t="n">
        <v>827.6411451000002</v>
      </c>
      <c r="O24" t="n">
        <v>895.1330404200003</v>
      </c>
      <c r="P24" t="n">
        <v>853.5779447800003</v>
      </c>
      <c r="Q24" t="n">
        <v>3229.964396580001</v>
      </c>
      <c r="R24" t="n">
        <v>678.0107386979998</v>
      </c>
      <c r="S24" t="n">
        <v>799.1358196199998</v>
      </c>
      <c r="T24" t="n">
        <v>897.0736983189998</v>
      </c>
      <c r="U24" t="n">
        <v>975.4745077249995</v>
      </c>
      <c r="V24" t="n">
        <v>3349.694764361999</v>
      </c>
      <c r="W24" t="n">
        <v>768.4895368372444</v>
      </c>
      <c r="X24" t="n">
        <v>907.8380552485589</v>
      </c>
      <c r="Y24" t="n">
        <v>1010.409481757379</v>
      </c>
      <c r="Z24" t="n">
        <v>1102.384363630999</v>
      </c>
      <c r="AA24" t="n">
        <v>3789.121437474181</v>
      </c>
      <c r="AB24" t="n">
        <v>773.6815426367991</v>
      </c>
      <c r="AC24" t="n">
        <v>1006.437436829999</v>
      </c>
      <c r="AD24" t="n">
        <v>1073.870792279999</v>
      </c>
      <c r="AE24" t="n">
        <v>1206.837220909999</v>
      </c>
      <c r="AF24" t="n">
        <v>4060.826992656797</v>
      </c>
      <c r="AG24" t="n">
        <v>916.4671507299997</v>
      </c>
      <c r="AH24" t="n">
        <v>1114.55816428</v>
      </c>
      <c r="AI24" t="n">
        <v>1229.48216901</v>
      </c>
      <c r="AJ24" t="n">
        <v>1353.614892849998</v>
      </c>
      <c r="AK24" t="n">
        <v>4614.122376869997</v>
      </c>
      <c r="AL24" t="n">
        <v>1165.13271062</v>
      </c>
      <c r="AM24" t="n">
        <v>1353.051429549999</v>
      </c>
      <c r="AN24" t="n">
        <v>1578.97472772</v>
      </c>
      <c r="AO24" t="n">
        <v>1668.49821875</v>
      </c>
      <c r="AP24" t="n">
        <v>5765.657086639999</v>
      </c>
      <c r="AQ24" t="n">
        <v>1278.062025029999</v>
      </c>
      <c r="AR24" t="n">
        <v>1476.684734869999</v>
      </c>
      <c r="AS24" t="n">
        <v>1588.204987649998</v>
      </c>
      <c r="AT24" t="n">
        <v>1849.728384629999</v>
      </c>
      <c r="AU24" t="n">
        <v>6192.680132179996</v>
      </c>
      <c r="AV24" t="n">
        <v>1175.94695626</v>
      </c>
      <c r="AW24" t="n">
        <v>1545.044332329999</v>
      </c>
      <c r="AX24" t="n">
        <v>1793.299197519999</v>
      </c>
      <c r="AY24" t="n">
        <v>1963.457992069999</v>
      </c>
      <c r="AZ24" t="n">
        <v>6477.748478179997</v>
      </c>
      <c r="BA24" t="n">
        <v>1430.623999659999</v>
      </c>
      <c r="BB24" t="n">
        <v>1331.803292449998</v>
      </c>
      <c r="BC24" t="n">
        <v>1892.336687339999</v>
      </c>
      <c r="BD24" t="n">
        <v>1939.508089529998</v>
      </c>
      <c r="BE24" t="n">
        <v>6594.272068979993</v>
      </c>
      <c r="BF24" t="n">
        <v>1534.161479679999</v>
      </c>
      <c r="BG24" t="n">
        <v>1977.510249960001</v>
      </c>
      <c r="BH24" t="n">
        <v>2226.032056720001</v>
      </c>
      <c r="BI24" t="n">
        <v>2448.494942309999</v>
      </c>
      <c r="BJ24" t="n">
        <v>8186.19872867</v>
      </c>
      <c r="BK24" t="n">
        <v>1856.942957919998</v>
      </c>
      <c r="BL24" t="n">
        <v>2322.05130278</v>
      </c>
      <c r="BM24" t="n">
        <v>2730.103003070002</v>
      </c>
      <c r="BN24" t="n">
        <v>2874.925862939995</v>
      </c>
      <c r="BO24" t="n">
        <v>9784.023126709995</v>
      </c>
      <c r="BP24" t="n">
        <v>2290.389420510002</v>
      </c>
      <c r="BQ24" t="n">
        <v>2632.549289189999</v>
      </c>
      <c r="BR24" t="n">
        <v>2917.010096560003</v>
      </c>
      <c r="BS24" t="n">
        <v>3070.806971930002</v>
      </c>
      <c r="BT24" t="n">
        <v>10910.75577819001</v>
      </c>
      <c r="BU24" t="n">
        <v>2810.321818819948</v>
      </c>
      <c r="BV24" t="n">
        <v>3131.748664333402</v>
      </c>
      <c r="BW24" t="n">
        <v>3228.993320121501</v>
      </c>
      <c r="BX24" t="n">
        <v>3269.526911841572</v>
      </c>
      <c r="BY24" t="n">
        <v>12440.59071511642</v>
      </c>
      <c r="BZ24" t="n">
        <v>2776.09731301137</v>
      </c>
      <c r="CA24" t="n">
        <v>3230.746685499673</v>
      </c>
      <c r="CB24" t="n">
        <v>3472.566586815607</v>
      </c>
    </row>
    <row r="25">
      <c r="B25" t="inlineStr">
        <is>
          <t>(-) Subsidies on products</t>
        </is>
      </c>
      <c r="C25" t="n">
        <v>25.65981060294147</v>
      </c>
      <c r="D25" t="n">
        <v>28.75072428435626</v>
      </c>
      <c r="E25" t="n">
        <v>22.87215546604111</v>
      </c>
      <c r="F25" t="n">
        <v>28.02558480297428</v>
      </c>
      <c r="G25" t="n">
        <v>105.3082751563131</v>
      </c>
      <c r="H25" t="n">
        <v>37.45603951634573</v>
      </c>
      <c r="I25" t="n">
        <v>32.35667643917353</v>
      </c>
      <c r="J25" t="n">
        <v>24.19000579766053</v>
      </c>
      <c r="K25" t="n">
        <v>30.08844459465107</v>
      </c>
      <c r="L25" t="n">
        <v>124.0911663478308</v>
      </c>
      <c r="M25" t="n">
        <v>33.79916530599145</v>
      </c>
      <c r="N25" t="n">
        <v>35.836770790639</v>
      </c>
      <c r="O25" t="n">
        <v>26.10800081582299</v>
      </c>
      <c r="P25" t="n">
        <v>32.28047034975715</v>
      </c>
      <c r="Q25" t="n">
        <v>128.0244072622106</v>
      </c>
      <c r="R25" t="n">
        <v>37.92233874751528</v>
      </c>
      <c r="S25" t="n">
        <v>41.51074807630454</v>
      </c>
      <c r="T25" t="n">
        <v>31.32960097898759</v>
      </c>
      <c r="U25" t="n">
        <v>36.41213618051844</v>
      </c>
      <c r="V25" t="n">
        <v>147.1748239833259</v>
      </c>
      <c r="W25" t="n">
        <v>38.4</v>
      </c>
      <c r="X25" t="n">
        <v>39.4</v>
      </c>
      <c r="Y25" t="n">
        <v>33.4261422424184</v>
      </c>
      <c r="Z25" t="n">
        <v>37.5955306063853</v>
      </c>
      <c r="AA25" t="n">
        <v>148.8216728488037</v>
      </c>
      <c r="AB25" t="n">
        <v>42.4</v>
      </c>
      <c r="AC25" t="n">
        <v>43.4</v>
      </c>
      <c r="AD25" t="n">
        <v>32.8263308478297</v>
      </c>
      <c r="AE25" t="n">
        <v>39.6449033066173</v>
      </c>
      <c r="AF25" t="n">
        <v>158.271234154447</v>
      </c>
      <c r="AG25" t="n">
        <v>42.582535338734</v>
      </c>
      <c r="AH25" t="n">
        <v>49.4451004199026</v>
      </c>
      <c r="AI25" t="n">
        <v>34.3986457416564</v>
      </c>
      <c r="AJ25" t="n">
        <v>42.1669637127425</v>
      </c>
      <c r="AK25" t="n">
        <v>168.5932452130355</v>
      </c>
      <c r="AL25" t="n">
        <v>44.8546830947673</v>
      </c>
      <c r="AM25" t="n">
        <v>56.48911950930427</v>
      </c>
      <c r="AN25" t="n">
        <v>41.7767886260537</v>
      </c>
      <c r="AO25" t="n">
        <v>46.83743948068905</v>
      </c>
      <c r="AP25" t="n">
        <v>189.9580307108143</v>
      </c>
      <c r="AQ25" t="n">
        <v>46.9402242652733</v>
      </c>
      <c r="AR25" t="n">
        <v>64.4470085588605</v>
      </c>
      <c r="AS25" t="n">
        <v>47.0028701758207</v>
      </c>
      <c r="AT25" t="n">
        <v>51.9445173518857</v>
      </c>
      <c r="AU25" t="n">
        <v>210.3346203518402</v>
      </c>
      <c r="AV25" t="n">
        <v>49.2838131324735</v>
      </c>
      <c r="AW25" t="n">
        <v>73.5770918837307</v>
      </c>
      <c r="AX25" t="n">
        <v>52.93397306959437</v>
      </c>
      <c r="AY25" t="n">
        <v>57.65321609391312</v>
      </c>
      <c r="AZ25" t="n">
        <v>233.4480941797117</v>
      </c>
      <c r="BA25" t="n">
        <v>51.65984975942323</v>
      </c>
      <c r="BB25" t="n">
        <v>83.97143039843688</v>
      </c>
      <c r="BC25" t="n">
        <v>59.58463217237085</v>
      </c>
      <c r="BD25" t="n">
        <v>63.96446449702697</v>
      </c>
      <c r="BE25" t="n">
        <v>259.1803768272579</v>
      </c>
      <c r="BF25" t="n">
        <v>54.19475699876056</v>
      </c>
      <c r="BG25" t="n">
        <v>95.85084625733235</v>
      </c>
      <c r="BH25" t="n">
        <v>67.08713069503462</v>
      </c>
      <c r="BI25" t="n">
        <v>70.98037722585026</v>
      </c>
      <c r="BJ25" t="n">
        <v>288.1131111769778</v>
      </c>
      <c r="BK25" t="n">
        <v>56.83080335103475</v>
      </c>
      <c r="BL25" t="n">
        <v>109.4013345323839</v>
      </c>
      <c r="BM25" t="n">
        <v>75.52514773978071</v>
      </c>
      <c r="BN25" t="n">
        <v>78.75818284685207</v>
      </c>
      <c r="BO25" t="n">
        <v>320.5154684700514</v>
      </c>
      <c r="BP25" t="n">
        <v>59.6072563842853</v>
      </c>
      <c r="BQ25" t="n">
        <v>124.8728875671282</v>
      </c>
      <c r="BR25" t="n">
        <v>85.02962126994861</v>
      </c>
      <c r="BS25" t="n">
        <v>87.39249679314192</v>
      </c>
      <c r="BT25" t="n">
        <v>356.9022620145039</v>
      </c>
      <c r="BU25" t="n">
        <v>62.51296014877844</v>
      </c>
      <c r="BV25" t="n">
        <v>142.5293340763288</v>
      </c>
      <c r="BW25" t="n">
        <v>95.7272886907152</v>
      </c>
      <c r="BX25" t="n">
        <v>96.97104359661076</v>
      </c>
      <c r="BY25" t="n">
        <v>397.7406265124332</v>
      </c>
      <c r="BZ25" t="n">
        <v>65.56366151331521</v>
      </c>
      <c r="CA25" t="n">
        <v>162.6840869429483</v>
      </c>
      <c r="CB25" t="n">
        <v>107.7724723721622</v>
      </c>
    </row>
    <row r="26">
      <c r="B26" t="inlineStr">
        <is>
          <t>(=) Output at market prices</t>
        </is>
      </c>
      <c r="C26" t="n">
        <v>7387.568499427287</v>
      </c>
      <c r="D26" t="n">
        <v>8647.052227695604</v>
      </c>
      <c r="E26" t="n">
        <v>9587.656148222039</v>
      </c>
      <c r="F26" t="n">
        <v>11127.57603009581</v>
      </c>
      <c r="G26" t="n">
        <v>36749.85290544074</v>
      </c>
      <c r="H26" t="n">
        <v>9087.146193539438</v>
      </c>
      <c r="I26" t="n">
        <v>10806.54402114327</v>
      </c>
      <c r="J26" t="n">
        <v>12015.06084430918</v>
      </c>
      <c r="K26" t="n">
        <v>13218.07583955799</v>
      </c>
      <c r="L26" t="n">
        <v>45126.82689854988</v>
      </c>
      <c r="M26" t="n">
        <v>10369.43699378498</v>
      </c>
      <c r="N26" t="n">
        <v>12146.04760030109</v>
      </c>
      <c r="O26" t="n">
        <v>12932.51230229123</v>
      </c>
      <c r="P26" t="n">
        <v>13287.54903019755</v>
      </c>
      <c r="Q26" t="n">
        <v>48735.54592657485</v>
      </c>
      <c r="R26" t="n">
        <v>9920.523450609424</v>
      </c>
      <c r="S26" t="n">
        <v>11850.21587495159</v>
      </c>
      <c r="T26" t="n">
        <v>12959.93068760354</v>
      </c>
      <c r="U26" t="n">
        <v>14303.45144336905</v>
      </c>
      <c r="V26" t="n">
        <v>49034.1214565336</v>
      </c>
      <c r="W26" t="n">
        <v>11291.60612886704</v>
      </c>
      <c r="X26" t="n">
        <v>12871.82684899093</v>
      </c>
      <c r="Y26" t="n">
        <v>14275.13642965036</v>
      </c>
      <c r="Z26" t="n">
        <v>15277.13864934947</v>
      </c>
      <c r="AA26" t="n">
        <v>53715.70805685779</v>
      </c>
      <c r="AB26" t="n">
        <v>12084.31251487313</v>
      </c>
      <c r="AC26" t="n">
        <v>14611.77907347431</v>
      </c>
      <c r="AD26" t="n">
        <v>15531.20289875066</v>
      </c>
      <c r="AE26" t="n">
        <v>16092.49324623092</v>
      </c>
      <c r="AF26" t="n">
        <v>58319.78773332902</v>
      </c>
      <c r="AG26" t="n">
        <v>13467.60036565746</v>
      </c>
      <c r="AH26" t="n">
        <v>15552.39773920214</v>
      </c>
      <c r="AI26" t="n">
        <v>16946.09227022243</v>
      </c>
      <c r="AJ26" t="n">
        <v>17770.11640277457</v>
      </c>
      <c r="AK26" t="n">
        <v>63736.2067778566</v>
      </c>
      <c r="AL26" t="n">
        <v>14738.05897100522</v>
      </c>
      <c r="AM26" t="n">
        <v>17151.27812266394</v>
      </c>
      <c r="AN26" t="n">
        <v>18922.23116150376</v>
      </c>
      <c r="AO26" t="n">
        <v>19450.27451479147</v>
      </c>
      <c r="AP26" t="n">
        <v>70261.84276996439</v>
      </c>
      <c r="AQ26" t="n">
        <v>16339.8225745232</v>
      </c>
      <c r="AR26" t="n">
        <v>19096.9446686335</v>
      </c>
      <c r="AS26" t="n">
        <v>20353.59061639458</v>
      </c>
      <c r="AT26" t="n">
        <v>21348.98390167886</v>
      </c>
      <c r="AU26" t="n">
        <v>77139.34176123014</v>
      </c>
      <c r="AV26" t="n">
        <v>17349.10868492227</v>
      </c>
      <c r="AW26" t="n">
        <v>20659.43527146988</v>
      </c>
      <c r="AX26" t="n">
        <v>23430.42528369743</v>
      </c>
      <c r="AY26" t="n">
        <v>24423.14067680969</v>
      </c>
      <c r="AZ26" t="n">
        <v>85862.10991689927</v>
      </c>
      <c r="BA26" t="n">
        <v>19305.48882317754</v>
      </c>
      <c r="BB26" t="n">
        <v>18694.15779959735</v>
      </c>
      <c r="BC26" t="n">
        <v>23428.04281847595</v>
      </c>
      <c r="BD26" t="n">
        <v>24301.78447930716</v>
      </c>
      <c r="BE26" t="n">
        <v>85729.473920558</v>
      </c>
      <c r="BF26" t="n">
        <v>19739.91318655209</v>
      </c>
      <c r="BG26" t="n">
        <v>26364.24510956233</v>
      </c>
      <c r="BH26" t="n">
        <v>28413.03732970015</v>
      </c>
      <c r="BI26" t="n">
        <v>30112.2733318305</v>
      </c>
      <c r="BJ26" t="n">
        <v>104629.4689576451</v>
      </c>
      <c r="BK26" t="n">
        <v>25089.63938866444</v>
      </c>
      <c r="BL26" t="n">
        <v>30430.70487286937</v>
      </c>
      <c r="BM26" t="n">
        <v>34120.27300659515</v>
      </c>
      <c r="BN26" t="n">
        <v>35940.56117201407</v>
      </c>
      <c r="BO26" t="n">
        <v>125581.178440143</v>
      </c>
      <c r="BP26" t="n">
        <v>28719.98234365488</v>
      </c>
      <c r="BQ26" t="n">
        <v>33389.45251296978</v>
      </c>
      <c r="BR26" t="n">
        <v>36807.92282859162</v>
      </c>
      <c r="BS26" t="n">
        <v>38688.49952155299</v>
      </c>
      <c r="BT26" t="n">
        <v>137605.8572067693</v>
      </c>
      <c r="BU26" t="n">
        <v>32813.72002606126</v>
      </c>
      <c r="BV26" t="n">
        <v>38806.13937496125</v>
      </c>
      <c r="BW26" t="n">
        <v>43475.81324090325</v>
      </c>
      <c r="BX26" t="n">
        <v>43829.25389492365</v>
      </c>
      <c r="BY26" t="n">
        <v>158924.9265368494</v>
      </c>
      <c r="BZ26" t="n">
        <v>37197.19975513517</v>
      </c>
      <c r="CA26" t="n">
        <v>43618.33611835582</v>
      </c>
      <c r="CB26" t="n">
        <v>48061.46724992584</v>
      </c>
    </row>
    <row r="27">
      <c r="B27" t="inlineStr">
        <is>
          <t>Total output per capita in GEL</t>
        </is>
      </c>
      <c r="C27" t="n">
        <v>1950.927787801047</v>
      </c>
      <c r="D27" t="n">
        <v>2283.535438606913</v>
      </c>
      <c r="E27" t="n">
        <v>2531.932502676354</v>
      </c>
      <c r="F27" t="n">
        <v>2938.598442730617</v>
      </c>
      <c r="G27" t="n">
        <v>9704.994171814931</v>
      </c>
      <c r="H27" t="n">
        <v>2419.084288314813</v>
      </c>
      <c r="I27" t="n">
        <v>2876.804256887145</v>
      </c>
      <c r="J27" t="n">
        <v>3198.522868739485</v>
      </c>
      <c r="K27" t="n">
        <v>3518.776841948644</v>
      </c>
      <c r="L27" t="n">
        <v>12013.18825589009</v>
      </c>
      <c r="M27" t="n">
        <v>2780.8497643551</v>
      </c>
      <c r="N27" t="n">
        <v>3257.296768126108</v>
      </c>
      <c r="O27" t="n">
        <v>3468.208911428943</v>
      </c>
      <c r="P27" t="n">
        <v>3563.421776093383</v>
      </c>
      <c r="Q27" t="n">
        <v>13069.77722000353</v>
      </c>
      <c r="R27" t="n">
        <v>2668.480559546926</v>
      </c>
      <c r="S27" t="n">
        <v>3187.540541199982</v>
      </c>
      <c r="T27" t="n">
        <v>3486.038137515939</v>
      </c>
      <c r="U27" t="n">
        <v>3847.426227162341</v>
      </c>
      <c r="V27" t="n">
        <v>13189.48546542519</v>
      </c>
      <c r="W27" t="n">
        <v>3035.85662870424</v>
      </c>
      <c r="X27" t="n">
        <v>3460.71412844819</v>
      </c>
      <c r="Y27" t="n">
        <v>3838.007371229457</v>
      </c>
      <c r="Z27" t="n">
        <v>4107.405280254391</v>
      </c>
      <c r="AA27" t="n">
        <v>14441.98340863628</v>
      </c>
      <c r="AB27" t="n">
        <v>3243.870391045692</v>
      </c>
      <c r="AC27" t="n">
        <v>3922.334633319601</v>
      </c>
      <c r="AD27" t="n">
        <v>4169.141534412661</v>
      </c>
      <c r="AE27" t="n">
        <v>4319.812343093751</v>
      </c>
      <c r="AF27" t="n">
        <v>15655.1589018717</v>
      </c>
      <c r="AG27" t="n">
        <v>3613.033481016783</v>
      </c>
      <c r="AH27" t="n">
        <v>4172.334507720887</v>
      </c>
      <c r="AI27" t="n">
        <v>4546.229252602593</v>
      </c>
      <c r="AJ27" t="n">
        <v>4767.295121743519</v>
      </c>
      <c r="AK27" t="n">
        <v>17098.89236308378</v>
      </c>
      <c r="AL27" t="n">
        <v>3953.33828710333</v>
      </c>
      <c r="AM27" t="n">
        <v>4600.660413184683</v>
      </c>
      <c r="AN27" t="n">
        <v>5075.701018387927</v>
      </c>
      <c r="AO27" t="n">
        <v>5217.343415796545</v>
      </c>
      <c r="AP27" t="n">
        <v>18847.04313447249</v>
      </c>
      <c r="AQ27" t="n">
        <v>4384.706806988613</v>
      </c>
      <c r="AR27" t="n">
        <v>5124.56624907297</v>
      </c>
      <c r="AS27" t="n">
        <v>5461.780684296631</v>
      </c>
      <c r="AT27" t="n">
        <v>5728.889319883763</v>
      </c>
      <c r="AU27" t="n">
        <v>20699.94306024197</v>
      </c>
      <c r="AV27" t="n">
        <v>4663.537057918265</v>
      </c>
      <c r="AW27" t="n">
        <v>5553.371284594909</v>
      </c>
      <c r="AX27" t="n">
        <v>6298.228835713679</v>
      </c>
      <c r="AY27" t="n">
        <v>6565.076263314863</v>
      </c>
      <c r="AZ27" t="n">
        <v>23080.21344154171</v>
      </c>
      <c r="BA27" t="n">
        <v>5185.861993262052</v>
      </c>
      <c r="BB27" t="n">
        <v>5021.645570175145</v>
      </c>
      <c r="BC27" t="n">
        <v>6293.267056930875</v>
      </c>
      <c r="BD27" t="n">
        <v>6527.972518799023</v>
      </c>
      <c r="BE27" t="n">
        <v>23028.7471391671</v>
      </c>
      <c r="BF27" t="n">
        <v>5322.725545838491</v>
      </c>
      <c r="BG27" t="n">
        <v>7108.92898136022</v>
      </c>
      <c r="BH27" t="n">
        <v>7661.371060774832</v>
      </c>
      <c r="BI27" t="n">
        <v>8119.557821348294</v>
      </c>
      <c r="BJ27" t="n">
        <v>28212.58340932184</v>
      </c>
      <c r="BK27" t="n">
        <v>6758.148383129341</v>
      </c>
      <c r="BL27" t="n">
        <v>8196.818445584506</v>
      </c>
      <c r="BM27" t="n">
        <v>9190.64097651534</v>
      </c>
      <c r="BN27" t="n">
        <v>9680.954022924181</v>
      </c>
      <c r="BO27" t="n">
        <v>33826.56182815337</v>
      </c>
      <c r="BP27" t="n">
        <v>7729.812303961835</v>
      </c>
      <c r="BQ27" t="n">
        <v>8986.572406940357</v>
      </c>
      <c r="BR27" t="n">
        <v>9906.63334535733</v>
      </c>
      <c r="BS27" t="n">
        <v>10412.77936891184</v>
      </c>
      <c r="BT27" t="n">
        <v>37035.79742517136</v>
      </c>
      <c r="BU27" t="n">
        <v>8869.634939010606</v>
      </c>
      <c r="BV27" t="n">
        <v>10489.40167024356</v>
      </c>
      <c r="BW27" t="n">
        <v>11751.62681394103</v>
      </c>
      <c r="BX27" t="n">
        <v>11847.16275351985</v>
      </c>
      <c r="BY27" t="n">
        <v>42957.82617671505</v>
      </c>
      <c r="BZ27" t="n">
        <v>10041.06883755491</v>
      </c>
      <c r="CA27" t="n">
        <v>11774.40018138878</v>
      </c>
      <c r="CB27" t="n">
        <v>12973.78577600518</v>
      </c>
    </row>
    <row r="28">
      <c r="B28" t="inlineStr">
        <is>
          <t>Total output Per Capita, USD</t>
        </is>
      </c>
      <c r="C28" t="n">
        <v>1133.453451755238</v>
      </c>
      <c r="D28" t="n">
        <v>1271.205028211764</v>
      </c>
      <c r="E28" t="n">
        <v>1377.179482268215</v>
      </c>
      <c r="F28" t="n">
        <v>1657.245242717692</v>
      </c>
      <c r="G28" t="n">
        <v>5444.262294715609</v>
      </c>
      <c r="H28" t="n">
        <v>1373.78847857696</v>
      </c>
      <c r="I28" t="n">
        <v>1727.377137877377</v>
      </c>
      <c r="J28" t="n">
        <v>1927.453308897383</v>
      </c>
      <c r="K28" t="n">
        <v>2119.97968252953</v>
      </c>
      <c r="L28" t="n">
        <v>7125.078161284307</v>
      </c>
      <c r="M28" t="n">
        <v>1674.854797546094</v>
      </c>
      <c r="N28" t="n">
        <v>1995.10539702657</v>
      </c>
      <c r="O28" t="n">
        <v>2100.386800380369</v>
      </c>
      <c r="P28" t="n">
        <v>2145.705303810162</v>
      </c>
      <c r="Q28" t="n">
        <v>7915.024514324521</v>
      </c>
      <c r="R28" t="n">
        <v>1609.341036563654</v>
      </c>
      <c r="S28" t="n">
        <v>1931.535301734844</v>
      </c>
      <c r="T28" t="n">
        <v>2100.739635846608</v>
      </c>
      <c r="U28" t="n">
        <v>2282.529182001841</v>
      </c>
      <c r="V28" t="n">
        <v>7929.1463803533</v>
      </c>
      <c r="W28" t="n">
        <v>1735.336032936243</v>
      </c>
      <c r="X28" t="n">
        <v>1963.577166006594</v>
      </c>
      <c r="Y28" t="n">
        <v>2199.151709594084</v>
      </c>
      <c r="Z28" t="n">
        <v>2274.406607381526</v>
      </c>
      <c r="AA28" t="n">
        <v>8178.455854958764</v>
      </c>
      <c r="AB28" t="n">
        <v>1564.866261698973</v>
      </c>
      <c r="AC28" t="n">
        <v>1719.11581053629</v>
      </c>
      <c r="AD28" t="n">
        <v>1793.842515703398</v>
      </c>
      <c r="AE28" t="n">
        <v>1801.517719341161</v>
      </c>
      <c r="AF28" t="n">
        <v>6896.002281376134</v>
      </c>
      <c r="AG28" t="n">
        <v>1483.735067917276</v>
      </c>
      <c r="AH28" t="n">
        <v>1885.66604140612</v>
      </c>
      <c r="AI28" t="n">
        <v>1957.584918490828</v>
      </c>
      <c r="AJ28" t="n">
        <v>1910.115415806478</v>
      </c>
      <c r="AK28" t="n">
        <v>7224.733130015018</v>
      </c>
      <c r="AL28" t="n">
        <v>1518.847887808871</v>
      </c>
      <c r="AM28" t="n">
        <v>1902.082256655224</v>
      </c>
      <c r="AN28" t="n">
        <v>2096.800962049908</v>
      </c>
      <c r="AO28" t="n">
        <v>2011.838075111332</v>
      </c>
      <c r="AP28" t="n">
        <v>7512.8667827615</v>
      </c>
      <c r="AQ28" t="n">
        <v>1764.195819512801</v>
      </c>
      <c r="AR28" t="n">
        <v>2095.077408922474</v>
      </c>
      <c r="AS28" t="n">
        <v>2159.220330735697</v>
      </c>
      <c r="AT28" t="n">
        <v>2141.452913638242</v>
      </c>
      <c r="AU28" t="n">
        <v>8167.132072134629</v>
      </c>
      <c r="AV28" t="n">
        <v>1747.940773394163</v>
      </c>
      <c r="AW28" t="n">
        <v>2027.32016183898</v>
      </c>
      <c r="AX28" t="n">
        <v>2157.395076232486</v>
      </c>
      <c r="AY28" t="n">
        <v>2228.603621503268</v>
      </c>
      <c r="AZ28" t="n">
        <v>8186.917871093261</v>
      </c>
      <c r="BA28" t="n">
        <v>1771.929742815973</v>
      </c>
      <c r="BB28" t="n">
        <v>1600.335031082308</v>
      </c>
      <c r="BC28" t="n">
        <v>2028.731051796191</v>
      </c>
      <c r="BD28" t="n">
        <v>1996.023303685827</v>
      </c>
      <c r="BE28" t="n">
        <v>7405.462704656953</v>
      </c>
      <c r="BF28" t="n">
        <v>1606.053542322261</v>
      </c>
      <c r="BG28" t="n">
        <v>2136.653809682563</v>
      </c>
      <c r="BH28" t="n">
        <v>2455.264845372625</v>
      </c>
      <c r="BI28" t="n">
        <v>2598.077766986793</v>
      </c>
      <c r="BJ28" t="n">
        <v>8759.143914563638</v>
      </c>
      <c r="BK28" t="n">
        <v>2170.534854700048</v>
      </c>
      <c r="BL28" t="n">
        <v>2735.264573442564</v>
      </c>
      <c r="BM28" t="n">
        <v>3255.046320540538</v>
      </c>
      <c r="BN28" t="n">
        <v>3541.08536082275</v>
      </c>
      <c r="BO28" t="n">
        <v>11601.80140788286</v>
      </c>
      <c r="BP28" t="n">
        <v>2931.771990326498</v>
      </c>
      <c r="BQ28" t="n">
        <v>3512.368520086589</v>
      </c>
      <c r="BR28" t="n">
        <v>3779.039659454372</v>
      </c>
      <c r="BS28" t="n">
        <v>3864.810899607536</v>
      </c>
      <c r="BT28" t="n">
        <v>14093.56994198348</v>
      </c>
      <c r="BU28" t="n">
        <v>3320.387713808722</v>
      </c>
      <c r="BV28" t="n">
        <v>3828.773947465979</v>
      </c>
      <c r="BW28" t="n">
        <v>4330.434360875015</v>
      </c>
      <c r="BX28" t="n">
        <v>4295.232904602369</v>
      </c>
      <c r="BY28" t="n">
        <v>15788.72704134446</v>
      </c>
      <c r="BZ28" t="n">
        <v>3568.67605936238</v>
      </c>
      <c r="CA28" t="n">
        <v>4294.357009018515</v>
      </c>
      <c r="CB28" t="n">
        <v>4791.872250517801</v>
      </c>
    </row>
    <row r="29">
      <c r="B29" t="inlineStr">
        <is>
          <t>Total output, mil. USD</t>
        </is>
      </c>
      <c r="C29" t="n">
        <v>4292.0425184943</v>
      </c>
      <c r="D29" t="n">
        <v>4813.665724304345</v>
      </c>
      <c r="E29" t="n">
        <v>5214.95865960764</v>
      </c>
      <c r="F29" t="n">
        <v>6275.482274372871</v>
      </c>
      <c r="G29" t="n">
        <v>20615.76081008812</v>
      </c>
      <c r="H29" t="n">
        <v>5160.554679359877</v>
      </c>
      <c r="I29" t="n">
        <v>6488.789439496663</v>
      </c>
      <c r="J29" t="n">
        <v>7240.363671401138</v>
      </c>
      <c r="K29" t="n">
        <v>7963.577538631071</v>
      </c>
      <c r="L29" t="n">
        <v>26764.9321707139</v>
      </c>
      <c r="M29" t="n">
        <v>6245.321670917494</v>
      </c>
      <c r="N29" t="n">
        <v>7439.495644679356</v>
      </c>
      <c r="O29" t="n">
        <v>7832.076679688146</v>
      </c>
      <c r="P29" t="n">
        <v>8001.063646187163</v>
      </c>
      <c r="Q29" t="n">
        <v>29514.12516331508</v>
      </c>
      <c r="R29" t="n">
        <v>5982.994868049011</v>
      </c>
      <c r="S29" t="n">
        <v>7180.806016362324</v>
      </c>
      <c r="T29" t="n">
        <v>7809.851470148769</v>
      </c>
      <c r="U29" t="n">
        <v>8485.684557729828</v>
      </c>
      <c r="V29" t="n">
        <v>29477.92980098211</v>
      </c>
      <c r="W29" t="n">
        <v>6454.432267939509</v>
      </c>
      <c r="X29" t="n">
        <v>7303.355419536667</v>
      </c>
      <c r="Y29" t="n">
        <v>8179.554557212318</v>
      </c>
      <c r="Z29" t="n">
        <v>8459.458639984048</v>
      </c>
      <c r="AA29" t="n">
        <v>30419.05911608767</v>
      </c>
      <c r="AB29" t="n">
        <v>5829.558727916906</v>
      </c>
      <c r="AC29" t="n">
        <v>6404.18087021139</v>
      </c>
      <c r="AD29" t="n">
        <v>6682.558471529494</v>
      </c>
      <c r="AE29" t="n">
        <v>6711.150723436365</v>
      </c>
      <c r="AF29" t="n">
        <v>25689.51179475576</v>
      </c>
      <c r="AG29" t="n">
        <v>5530.629884336983</v>
      </c>
      <c r="AH29" t="n">
        <v>7028.829597671517</v>
      </c>
      <c r="AI29" t="n">
        <v>7296.907571599154</v>
      </c>
      <c r="AJ29" t="n">
        <v>7119.964762995725</v>
      </c>
      <c r="AK29" t="n">
        <v>26930.22886579663</v>
      </c>
      <c r="AL29" t="n">
        <v>5662.270241719079</v>
      </c>
      <c r="AM29" t="n">
        <v>7090.969310098573</v>
      </c>
      <c r="AN29" t="n">
        <v>7816.881325325426</v>
      </c>
      <c r="AO29" t="n">
        <v>7500.139385448309</v>
      </c>
      <c r="AP29" t="n">
        <v>28007.99366116861</v>
      </c>
      <c r="AQ29" t="n">
        <v>6574.3612849117</v>
      </c>
      <c r="AR29" t="n">
        <v>7807.407575603932</v>
      </c>
      <c r="AS29" t="n">
        <v>8046.439284672614</v>
      </c>
      <c r="AT29" t="n">
        <v>7980.22814313922</v>
      </c>
      <c r="AU29" t="n">
        <v>30435.21377271519</v>
      </c>
      <c r="AV29" t="n">
        <v>6502.621095490803</v>
      </c>
      <c r="AW29" t="n">
        <v>7541.957400587063</v>
      </c>
      <c r="AX29" t="n">
        <v>8025.857024192122</v>
      </c>
      <c r="AY29" t="n">
        <v>8290.764277175218</v>
      </c>
      <c r="AZ29" t="n">
        <v>30456.65257424418</v>
      </c>
      <c r="BA29" t="n">
        <v>6596.390318492035</v>
      </c>
      <c r="BB29" t="n">
        <v>5957.592025403091</v>
      </c>
      <c r="BC29" t="n">
        <v>7552.388531852982</v>
      </c>
      <c r="BD29" t="n">
        <v>7430.626890992436</v>
      </c>
      <c r="BE29" t="n">
        <v>27568.43079529836</v>
      </c>
      <c r="BF29" t="n">
        <v>5956.226227591762</v>
      </c>
      <c r="BG29" t="n">
        <v>7924.01568512685</v>
      </c>
      <c r="BH29" t="n">
        <v>9105.61975819737</v>
      </c>
      <c r="BI29" t="n">
        <v>9635.25718742489</v>
      </c>
      <c r="BJ29" t="n">
        <v>32484.24871298985</v>
      </c>
      <c r="BK29" t="n">
        <v>8058.114989143636</v>
      </c>
      <c r="BL29" t="n">
        <v>10154.67519943466</v>
      </c>
      <c r="BM29" t="n">
        <v>12084.36597509939</v>
      </c>
      <c r="BN29" t="n">
        <v>13146.28648422518</v>
      </c>
      <c r="BO29" t="n">
        <v>43071.71093036793</v>
      </c>
      <c r="BP29" t="n">
        <v>10892.94752404827</v>
      </c>
      <c r="BQ29" t="n">
        <v>13050.14376993262</v>
      </c>
      <c r="BR29" t="n">
        <v>14040.95572150868</v>
      </c>
      <c r="BS29" t="n">
        <v>14359.63726330106</v>
      </c>
      <c r="BT29" t="n">
        <v>52364.41248196565</v>
      </c>
      <c r="BU29" t="n">
        <v>12283.96360933505</v>
      </c>
      <c r="BV29" t="n">
        <v>14164.7674587654</v>
      </c>
      <c r="BW29" t="n">
        <v>16020.68875281569</v>
      </c>
      <c r="BX29" t="n">
        <v>15890.45895885203</v>
      </c>
      <c r="BY29" t="n">
        <v>58411.2956468952</v>
      </c>
      <c r="BZ29" t="n">
        <v>13220.18187396429</v>
      </c>
      <c r="CA29" t="n">
        <v>15908.47130605114</v>
      </c>
      <c r="CB29" t="n">
        <v>17751.5195032767</v>
      </c>
    </row>
    <row r="30">
      <c r="B30" t="inlineStr">
        <is>
          <t>Exchange rate, USD/GEL, average of the same period</t>
        </is>
      </c>
      <c r="C30" t="n">
        <v>1.721224444444445</v>
      </c>
      <c r="D30" t="n">
        <v>1.796354945054945</v>
      </c>
      <c r="E30" t="n">
        <v>1.838491304347826</v>
      </c>
      <c r="F30" t="n">
        <v>1.773182608695652</v>
      </c>
      <c r="G30" t="n">
        <v>1.782609589041097</v>
      </c>
      <c r="H30" t="n">
        <v>1.760885555555556</v>
      </c>
      <c r="I30" t="n">
        <v>1.665417582417583</v>
      </c>
      <c r="J30" t="n">
        <v>1.659455434782609</v>
      </c>
      <c r="K30" t="n">
        <v>1.659816304347827</v>
      </c>
      <c r="L30" t="n">
        <v>1.68604301369863</v>
      </c>
      <c r="M30" t="n">
        <v>1.660352747252747</v>
      </c>
      <c r="N30" t="n">
        <v>1.632643956043957</v>
      </c>
      <c r="O30" t="n">
        <v>1.651223913043478</v>
      </c>
      <c r="P30" t="n">
        <v>1.660722826086956</v>
      </c>
      <c r="Q30" t="n">
        <v>1.65126174863388</v>
      </c>
      <c r="R30" t="n">
        <v>1.65812</v>
      </c>
      <c r="S30" t="n">
        <v>1.650262637362638</v>
      </c>
      <c r="T30" t="n">
        <v>1.659433695652174</v>
      </c>
      <c r="U30" t="n">
        <v>1.685597826086956</v>
      </c>
      <c r="V30" t="n">
        <v>1.663418082191781</v>
      </c>
      <c r="W30" t="n">
        <v>1.749434444444443</v>
      </c>
      <c r="X30" t="n">
        <v>1.762453846153846</v>
      </c>
      <c r="Y30" t="n">
        <v>1.745221739130435</v>
      </c>
      <c r="Z30" t="n">
        <v>1.80592391304348</v>
      </c>
      <c r="AA30" t="n">
        <v>1.76585698630137</v>
      </c>
      <c r="AB30" t="n">
        <v>2.07293777777778</v>
      </c>
      <c r="AC30" t="n">
        <v>2.281600000000001</v>
      </c>
      <c r="AD30" t="n">
        <v>2.324140217391304</v>
      </c>
      <c r="AE30" t="n">
        <v>2.397873913043477</v>
      </c>
      <c r="AF30" t="n">
        <v>2.27017890410959</v>
      </c>
      <c r="AG30" t="n">
        <v>2.43509340659341</v>
      </c>
      <c r="AH30" t="n">
        <v>2.212658241758241</v>
      </c>
      <c r="AI30" t="n">
        <v>2.32236630434783</v>
      </c>
      <c r="AJ30" t="n">
        <v>2.4958152173913</v>
      </c>
      <c r="AK30" t="n">
        <v>2.36671612021858</v>
      </c>
      <c r="AL30" t="n">
        <v>2.602853333</v>
      </c>
      <c r="AM30" t="n">
        <v>2.418749450549451</v>
      </c>
      <c r="AN30" t="n">
        <v>2.420688043478261</v>
      </c>
      <c r="AO30" t="n">
        <v>2.593321739130434</v>
      </c>
      <c r="AP30" t="n">
        <v>2.508635342465754</v>
      </c>
      <c r="AQ30" t="n">
        <v>2.485385555555556</v>
      </c>
      <c r="AR30" t="n">
        <v>2.446003296703296</v>
      </c>
      <c r="AS30" t="n">
        <v>2.529515217391305</v>
      </c>
      <c r="AT30" t="n">
        <v>2.675234782608697</v>
      </c>
      <c r="AU30" t="n">
        <v>2.534542465753424</v>
      </c>
      <c r="AV30" t="n">
        <v>2.668017777777778</v>
      </c>
      <c r="AW30" t="n">
        <v>2.739267032967033</v>
      </c>
      <c r="AX30" t="n">
        <v>2.919367391304348</v>
      </c>
      <c r="AY30" t="n">
        <v>2.945825</v>
      </c>
      <c r="AZ30" t="n">
        <v>2.81915780821918</v>
      </c>
      <c r="BA30" t="n">
        <v>2.926674725274725</v>
      </c>
      <c r="BB30" t="n">
        <v>3.137871428571429</v>
      </c>
      <c r="BC30" t="n">
        <v>3.102070652173912</v>
      </c>
      <c r="BD30" t="n">
        <v>3.270489130434783</v>
      </c>
      <c r="BE30" t="n">
        <v>3.109697267759566</v>
      </c>
      <c r="BF30" t="n">
        <v>3.314164444444446</v>
      </c>
      <c r="BG30" t="n">
        <v>3.327131868131869</v>
      </c>
      <c r="BH30" t="n">
        <v>3.120384782608696</v>
      </c>
      <c r="BI30" t="n">
        <v>3.12521739130435</v>
      </c>
      <c r="BJ30" t="n">
        <v>3.220929315068496</v>
      </c>
      <c r="BK30" t="n">
        <v>3.113586666666667</v>
      </c>
      <c r="BL30" t="n">
        <v>2.996718681318682</v>
      </c>
      <c r="BM30" t="n">
        <v>2.823505434782608</v>
      </c>
      <c r="BN30" t="n">
        <v>2.733894565217391</v>
      </c>
      <c r="BO30" t="n">
        <v>2.915630136986302</v>
      </c>
      <c r="BP30" t="n">
        <v>2.636566666666667</v>
      </c>
      <c r="BQ30" t="n">
        <v>2.55855054945055</v>
      </c>
      <c r="BR30" t="n">
        <v>2.62146847826087</v>
      </c>
      <c r="BS30" t="n">
        <v>2.694253260869564</v>
      </c>
      <c r="BT30" t="n">
        <v>2.627850684931504</v>
      </c>
      <c r="BU30" t="n">
        <v>2.671264835164837</v>
      </c>
      <c r="BV30" t="n">
        <v>2.739624175824176</v>
      </c>
      <c r="BW30" t="n">
        <v>2.713729347826087</v>
      </c>
      <c r="BX30" t="n">
        <v>2.758211956521739</v>
      </c>
      <c r="BY30" t="n">
        <v>2.720790983606558</v>
      </c>
      <c r="BZ30" t="n">
        <v>2.813667777777778</v>
      </c>
      <c r="CA30" t="n">
        <v>2.741830769230769</v>
      </c>
      <c r="CB30" t="n">
        <v>2.707456521739129</v>
      </c>
    </row>
    <row r="31"/>
    <row r="32">
      <c r="B32" t="inlineStr">
        <is>
          <t>* Revised data will be published on November 16, 2026.</t>
        </is>
      </c>
    </row>
    <row r="33"/>
    <row r="34"/>
    <row r="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INTERMEDIATE CONSUMPTION
(at current prices, mil. GEL)</t>
        </is>
      </c>
    </row>
    <row r="2">
      <c r="A2" t="inlineStr">
        <is>
          <t xml:space="preserve">NACE 
Rev. 2 </t>
        </is>
      </c>
      <c r="B2" t="inlineStr">
        <is>
          <t>Economic Activities</t>
        </is>
      </c>
      <c r="C2" t="inlineStr">
        <is>
          <t>I 10</t>
        </is>
      </c>
      <c r="D2" t="inlineStr">
        <is>
          <t>II 10</t>
        </is>
      </c>
      <c r="E2" t="inlineStr">
        <is>
          <t>III 10</t>
        </is>
      </c>
      <c r="F2" t="inlineStr">
        <is>
          <t>IV 10</t>
        </is>
      </c>
      <c r="G2" t="n">
        <v>2010</v>
      </c>
      <c r="H2" t="inlineStr">
        <is>
          <t>I 11</t>
        </is>
      </c>
      <c r="I2" t="inlineStr">
        <is>
          <t>II 11</t>
        </is>
      </c>
      <c r="J2" t="inlineStr">
        <is>
          <t>III 11</t>
        </is>
      </c>
      <c r="K2" t="inlineStr">
        <is>
          <t>IV 11</t>
        </is>
      </c>
      <c r="L2" t="n">
        <v>2011</v>
      </c>
      <c r="M2" t="inlineStr">
        <is>
          <t>I 12</t>
        </is>
      </c>
      <c r="N2" t="inlineStr">
        <is>
          <t>II 12</t>
        </is>
      </c>
      <c r="O2" t="inlineStr">
        <is>
          <t>III 12</t>
        </is>
      </c>
      <c r="P2" t="inlineStr">
        <is>
          <t>IV 12</t>
        </is>
      </c>
      <c r="Q2" t="n">
        <v>2012</v>
      </c>
      <c r="R2" t="inlineStr">
        <is>
          <t>I 13</t>
        </is>
      </c>
      <c r="S2" t="inlineStr">
        <is>
          <t>II 13</t>
        </is>
      </c>
      <c r="T2" t="inlineStr">
        <is>
          <t>III 13</t>
        </is>
      </c>
      <c r="U2" t="inlineStr">
        <is>
          <t>IV 13</t>
        </is>
      </c>
      <c r="V2" t="n">
        <v>2013</v>
      </c>
      <c r="W2" t="inlineStr">
        <is>
          <t>I 14</t>
        </is>
      </c>
      <c r="X2" t="inlineStr">
        <is>
          <t>II 14</t>
        </is>
      </c>
      <c r="Y2" t="inlineStr">
        <is>
          <t>III 14</t>
        </is>
      </c>
      <c r="Z2" t="inlineStr">
        <is>
          <t>IV 14</t>
        </is>
      </c>
      <c r="AA2" t="n">
        <v>2014</v>
      </c>
      <c r="AB2" t="inlineStr">
        <is>
          <t>I 15</t>
        </is>
      </c>
      <c r="AC2" t="inlineStr">
        <is>
          <t>II 15</t>
        </is>
      </c>
      <c r="AD2" t="inlineStr">
        <is>
          <t>III 15</t>
        </is>
      </c>
      <c r="AE2" t="inlineStr">
        <is>
          <t>IV 15</t>
        </is>
      </c>
      <c r="AF2" t="n">
        <v>2015</v>
      </c>
      <c r="AG2" t="inlineStr">
        <is>
          <t>I 16</t>
        </is>
      </c>
      <c r="AH2" t="inlineStr">
        <is>
          <t>II 16</t>
        </is>
      </c>
      <c r="AI2" t="inlineStr">
        <is>
          <t>III 16</t>
        </is>
      </c>
      <c r="AJ2" t="inlineStr">
        <is>
          <t>IV 16</t>
        </is>
      </c>
      <c r="AK2" t="n">
        <v>2016</v>
      </c>
      <c r="AL2" t="inlineStr">
        <is>
          <t>I 17</t>
        </is>
      </c>
      <c r="AM2" t="inlineStr">
        <is>
          <t>II 17</t>
        </is>
      </c>
      <c r="AN2" t="inlineStr">
        <is>
          <t>III 17</t>
        </is>
      </c>
      <c r="AO2" t="inlineStr">
        <is>
          <t>IV 17</t>
        </is>
      </c>
      <c r="AP2" t="n">
        <v>2017</v>
      </c>
      <c r="AQ2" t="inlineStr">
        <is>
          <t>I 18</t>
        </is>
      </c>
      <c r="AR2" t="inlineStr">
        <is>
          <t>II 18</t>
        </is>
      </c>
      <c r="AS2" t="inlineStr">
        <is>
          <t>III 18</t>
        </is>
      </c>
      <c r="AT2" t="inlineStr">
        <is>
          <t>IV 18</t>
        </is>
      </c>
      <c r="AU2" t="n">
        <v>2018</v>
      </c>
      <c r="AV2" t="inlineStr">
        <is>
          <t>I 19</t>
        </is>
      </c>
      <c r="AW2" t="inlineStr">
        <is>
          <t>II 19</t>
        </is>
      </c>
      <c r="AX2" t="inlineStr">
        <is>
          <t>III 19</t>
        </is>
      </c>
      <c r="AY2" t="inlineStr">
        <is>
          <t>IV 19</t>
        </is>
      </c>
      <c r="AZ2" t="n">
        <v>2019</v>
      </c>
      <c r="BA2" t="inlineStr">
        <is>
          <t>I 20</t>
        </is>
      </c>
      <c r="BB2" t="inlineStr">
        <is>
          <t>II 20</t>
        </is>
      </c>
      <c r="BC2" t="inlineStr">
        <is>
          <t>III 20</t>
        </is>
      </c>
      <c r="BD2" t="inlineStr">
        <is>
          <t>IV 20</t>
        </is>
      </c>
      <c r="BE2" t="n">
        <v>2020</v>
      </c>
      <c r="BF2" t="inlineStr">
        <is>
          <t>I 21</t>
        </is>
      </c>
      <c r="BG2" t="inlineStr">
        <is>
          <t>II 21</t>
        </is>
      </c>
      <c r="BH2" t="inlineStr">
        <is>
          <t>III 21</t>
        </is>
      </c>
      <c r="BI2" t="inlineStr">
        <is>
          <t>IV 21</t>
        </is>
      </c>
      <c r="BJ2" t="n">
        <v>2021</v>
      </c>
      <c r="BK2" t="inlineStr">
        <is>
          <t>I 22</t>
        </is>
      </c>
      <c r="BL2" t="inlineStr">
        <is>
          <t>II 22</t>
        </is>
      </c>
      <c r="BM2" t="inlineStr">
        <is>
          <t>III 22</t>
        </is>
      </c>
      <c r="BN2" t="inlineStr">
        <is>
          <t>IV 22</t>
        </is>
      </c>
      <c r="BO2" t="n">
        <v>2022</v>
      </c>
      <c r="BP2" t="inlineStr">
        <is>
          <t>I  23</t>
        </is>
      </c>
      <c r="BQ2" t="inlineStr">
        <is>
          <t>II  23</t>
        </is>
      </c>
      <c r="BR2" t="inlineStr">
        <is>
          <t>III  23</t>
        </is>
      </c>
      <c r="BS2" t="inlineStr">
        <is>
          <t>IV  23</t>
        </is>
      </c>
      <c r="BT2" t="n">
        <v>2023</v>
      </c>
      <c r="BU2" t="inlineStr">
        <is>
          <t>I  24</t>
        </is>
      </c>
      <c r="BV2" t="inlineStr">
        <is>
          <t>II  24</t>
        </is>
      </c>
      <c r="BW2" t="inlineStr">
        <is>
          <t>III  24</t>
        </is>
      </c>
      <c r="BX2" t="inlineStr">
        <is>
          <t>IV  24</t>
        </is>
      </c>
      <c r="BY2" t="n">
        <v>2024</v>
      </c>
      <c r="BZ2" t="inlineStr">
        <is>
          <t>I 25*</t>
        </is>
      </c>
      <c r="CA2" t="inlineStr">
        <is>
          <t>II 25*</t>
        </is>
      </c>
      <c r="CB2" t="inlineStr">
        <is>
          <t>III 25*</t>
        </is>
      </c>
    </row>
    <row r="3">
      <c r="A3" t="inlineStr">
        <is>
          <t>A</t>
        </is>
      </c>
      <c r="B3" t="inlineStr">
        <is>
          <t>Agriculture, forestry and fishing</t>
        </is>
      </c>
      <c r="C3" t="n">
        <v>260.3794062292806</v>
      </c>
      <c r="D3" t="n">
        <v>297.9428081210493</v>
      </c>
      <c r="E3" t="n">
        <v>318.014904717913</v>
      </c>
      <c r="F3" t="n">
        <v>324.8074613082737</v>
      </c>
      <c r="G3" t="n">
        <v>1201.144580376516</v>
      </c>
      <c r="H3" t="n">
        <v>306.8307562789112</v>
      </c>
      <c r="I3" t="n">
        <v>371.0741854801655</v>
      </c>
      <c r="J3" t="n">
        <v>391.811001352019</v>
      </c>
      <c r="K3" t="n">
        <v>398.870513243624</v>
      </c>
      <c r="L3" t="n">
        <v>1468.58645635472</v>
      </c>
      <c r="M3" t="n">
        <v>304.0151718522381</v>
      </c>
      <c r="N3" t="n">
        <v>355.3452275558276</v>
      </c>
      <c r="O3" t="n">
        <v>360.3163665003217</v>
      </c>
      <c r="P3" t="n">
        <v>400.5114081534222</v>
      </c>
      <c r="Q3" t="n">
        <v>1420.18817406181</v>
      </c>
      <c r="R3" t="n">
        <v>319.2663600089267</v>
      </c>
      <c r="S3" t="n">
        <v>392.325168302922</v>
      </c>
      <c r="T3" t="n">
        <v>408.0144859916988</v>
      </c>
      <c r="U3" t="n">
        <v>409.9115028031138</v>
      </c>
      <c r="V3" t="n">
        <v>1529.517517106661</v>
      </c>
      <c r="W3" t="n">
        <v>332.5063099811152</v>
      </c>
      <c r="X3" t="n">
        <v>420.575108629252</v>
      </c>
      <c r="Y3" t="n">
        <v>443.0547453584505</v>
      </c>
      <c r="Z3" t="n">
        <v>444.1379981246938</v>
      </c>
      <c r="AA3" t="n">
        <v>1640.274162093512</v>
      </c>
      <c r="AB3" t="n">
        <v>320.2718561519468</v>
      </c>
      <c r="AC3" t="n">
        <v>432.8294192946784</v>
      </c>
      <c r="AD3" t="n">
        <v>462.833886456323</v>
      </c>
      <c r="AE3" t="n">
        <v>422.5903813066476</v>
      </c>
      <c r="AF3" t="n">
        <v>1638.525543209596</v>
      </c>
      <c r="AG3" t="n">
        <v>310.2890482377375</v>
      </c>
      <c r="AH3" t="n">
        <v>423.5636965848876</v>
      </c>
      <c r="AI3" t="n">
        <v>468.5142662793706</v>
      </c>
      <c r="AJ3" t="n">
        <v>407.1782918335326</v>
      </c>
      <c r="AK3" t="n">
        <v>1609.545302935528</v>
      </c>
      <c r="AL3" t="n">
        <v>362.223713571078</v>
      </c>
      <c r="AM3" t="n">
        <v>433.3408125652826</v>
      </c>
      <c r="AN3" t="n">
        <v>427.2493199504183</v>
      </c>
      <c r="AO3" t="n">
        <v>392.5841254670428</v>
      </c>
      <c r="AP3" t="n">
        <v>1615.397971553822</v>
      </c>
      <c r="AQ3" t="n">
        <v>385.7978691294402</v>
      </c>
      <c r="AR3" t="n">
        <v>510.9534311780104</v>
      </c>
      <c r="AS3" t="n">
        <v>530.9790167679231</v>
      </c>
      <c r="AT3" t="n">
        <v>455.5733104165794</v>
      </c>
      <c r="AU3" t="n">
        <v>1883.303627491953</v>
      </c>
      <c r="AV3" t="n">
        <v>390.7137966931335</v>
      </c>
      <c r="AW3" t="n">
        <v>561.4652987711362</v>
      </c>
      <c r="AX3" t="n">
        <v>559.3095515040856</v>
      </c>
      <c r="AY3" t="n">
        <v>485.1351079802444</v>
      </c>
      <c r="AZ3" t="n">
        <v>1996.6237549486</v>
      </c>
      <c r="BA3" t="n">
        <v>397.4270944373954</v>
      </c>
      <c r="BB3" t="n">
        <v>622.1366288841948</v>
      </c>
      <c r="BC3" t="n">
        <v>670.7909105206907</v>
      </c>
      <c r="BD3" t="n">
        <v>527.0209424272556</v>
      </c>
      <c r="BE3" t="n">
        <v>2217.375576269536</v>
      </c>
      <c r="BF3" t="n">
        <v>415.9123108426525</v>
      </c>
      <c r="BG3" t="n">
        <v>663.0675820778325</v>
      </c>
      <c r="BH3" t="n">
        <v>720.2191393955974</v>
      </c>
      <c r="BI3" t="n">
        <v>557.7875619662678</v>
      </c>
      <c r="BJ3" t="n">
        <v>2356.98659428235</v>
      </c>
      <c r="BK3" t="n">
        <v>480.8001450690931</v>
      </c>
      <c r="BL3" t="n">
        <v>736.4312760028872</v>
      </c>
      <c r="BM3" t="n">
        <v>772.8557279825395</v>
      </c>
      <c r="BN3" t="n">
        <v>608.6574832208163</v>
      </c>
      <c r="BO3" t="n">
        <v>2598.744632275336</v>
      </c>
      <c r="BP3" t="n">
        <v>550.5261139498459</v>
      </c>
      <c r="BQ3" t="n">
        <v>825.2972399054432</v>
      </c>
      <c r="BR3" t="n">
        <v>901.4151491959949</v>
      </c>
      <c r="BS3" t="n">
        <v>680.9340215567604</v>
      </c>
      <c r="BT3" t="n">
        <v>2958.172524608045</v>
      </c>
      <c r="BU3" t="n">
        <v>526.4181491621924</v>
      </c>
      <c r="BV3" t="n">
        <v>829.4444663490069</v>
      </c>
      <c r="BW3" t="n">
        <v>952.642666895967</v>
      </c>
      <c r="BX3" t="n">
        <v>671.0392853372419</v>
      </c>
      <c r="BY3" t="n">
        <v>2979.544567744408</v>
      </c>
      <c r="BZ3" t="n">
        <v>556.0822612128693</v>
      </c>
      <c r="CA3" t="n">
        <v>876.4052781023724</v>
      </c>
      <c r="CB3" t="n">
        <v>1016.81361703287</v>
      </c>
    </row>
    <row r="4">
      <c r="A4" t="inlineStr">
        <is>
          <t>B</t>
        </is>
      </c>
      <c r="B4" t="inlineStr">
        <is>
          <t>Mining and quarrying</t>
        </is>
      </c>
      <c r="C4" t="n">
        <v>30.2616533051542</v>
      </c>
      <c r="D4" t="n">
        <v>34.19314928483436</v>
      </c>
      <c r="E4" t="n">
        <v>38.97963375797021</v>
      </c>
      <c r="F4" t="n">
        <v>34.55163705048846</v>
      </c>
      <c r="G4" t="n">
        <v>137.9860733984472</v>
      </c>
      <c r="H4" t="n">
        <v>45.14471067162972</v>
      </c>
      <c r="I4" t="n">
        <v>43.46804358599913</v>
      </c>
      <c r="J4" t="n">
        <v>54.99284121691211</v>
      </c>
      <c r="K4" t="n">
        <v>45.038896094238</v>
      </c>
      <c r="L4" t="n">
        <v>188.644491568779</v>
      </c>
      <c r="M4" t="n">
        <v>58.29429727900251</v>
      </c>
      <c r="N4" t="n">
        <v>48.31364830484654</v>
      </c>
      <c r="O4" t="n">
        <v>62.68125962009368</v>
      </c>
      <c r="P4" t="n">
        <v>44.66108159080932</v>
      </c>
      <c r="Q4" t="n">
        <v>213.950286794752</v>
      </c>
      <c r="R4" t="n">
        <v>49.68708316270573</v>
      </c>
      <c r="S4" t="n">
        <v>59.87632722504104</v>
      </c>
      <c r="T4" t="n">
        <v>56.96430346041148</v>
      </c>
      <c r="U4" t="n">
        <v>48.92985106240818</v>
      </c>
      <c r="V4" t="n">
        <v>215.4575649105664</v>
      </c>
      <c r="W4" t="n">
        <v>53.08490488871762</v>
      </c>
      <c r="X4" t="n">
        <v>66.12197972328597</v>
      </c>
      <c r="Y4" t="n">
        <v>83.35880527205214</v>
      </c>
      <c r="Z4" t="n">
        <v>95.70448545362132</v>
      </c>
      <c r="AA4" t="n">
        <v>298.2701753376771</v>
      </c>
      <c r="AB4" t="n">
        <v>83.99691120806483</v>
      </c>
      <c r="AC4" t="n">
        <v>107.8874584209086</v>
      </c>
      <c r="AD4" t="n">
        <v>131.7016587041967</v>
      </c>
      <c r="AE4" t="n">
        <v>131.3983410335366</v>
      </c>
      <c r="AF4" t="n">
        <v>454.9843693667068</v>
      </c>
      <c r="AG4" t="n">
        <v>90.11348547532431</v>
      </c>
      <c r="AH4" t="n">
        <v>105.8134630990279</v>
      </c>
      <c r="AI4" t="n">
        <v>103.0808480945089</v>
      </c>
      <c r="AJ4" t="n">
        <v>94.50131415212383</v>
      </c>
      <c r="AK4" t="n">
        <v>393.5091108209849</v>
      </c>
      <c r="AL4" t="n">
        <v>91.44645452952001</v>
      </c>
      <c r="AM4" t="n">
        <v>93.0949697629775</v>
      </c>
      <c r="AN4" t="n">
        <v>115.0422745830728</v>
      </c>
      <c r="AO4" t="n">
        <v>117.3166288553721</v>
      </c>
      <c r="AP4" t="n">
        <v>416.9003277309425</v>
      </c>
      <c r="AQ4" t="n">
        <v>122.895554031171</v>
      </c>
      <c r="AR4" t="n">
        <v>143.5974673890953</v>
      </c>
      <c r="AS4" t="n">
        <v>140.9740022562183</v>
      </c>
      <c r="AT4" t="n">
        <v>134.2514611735381</v>
      </c>
      <c r="AU4" t="n">
        <v>541.7184848500228</v>
      </c>
      <c r="AV4" t="n">
        <v>119.2575771868569</v>
      </c>
      <c r="AW4" t="n">
        <v>143.4980981557227</v>
      </c>
      <c r="AX4" t="n">
        <v>161.1894466333657</v>
      </c>
      <c r="AY4" t="n">
        <v>193.0853842319614</v>
      </c>
      <c r="AZ4" t="n">
        <v>617.0305062079067</v>
      </c>
      <c r="BA4" t="n">
        <v>156.9687376798081</v>
      </c>
      <c r="BB4" t="n">
        <v>204.2824625799208</v>
      </c>
      <c r="BC4" t="n">
        <v>228.6436439441853</v>
      </c>
      <c r="BD4" t="n">
        <v>216.5055504848427</v>
      </c>
      <c r="BE4" t="n">
        <v>806.4003946887569</v>
      </c>
      <c r="BF4" t="n">
        <v>175.0220153314802</v>
      </c>
      <c r="BG4" t="n">
        <v>188.0079083864923</v>
      </c>
      <c r="BH4" t="n">
        <v>182.0789776233615</v>
      </c>
      <c r="BI4" t="n">
        <v>189.8565326818926</v>
      </c>
      <c r="BJ4" t="n">
        <v>734.9654340232265</v>
      </c>
      <c r="BK4" t="n">
        <v>211.83107439573</v>
      </c>
      <c r="BL4" t="n">
        <v>218.1541188595095</v>
      </c>
      <c r="BM4" t="n">
        <v>231.4454600790316</v>
      </c>
      <c r="BN4" t="n">
        <v>216.5173386570614</v>
      </c>
      <c r="BO4" t="n">
        <v>877.9479919913324</v>
      </c>
      <c r="BP4" t="n">
        <v>272.3523623116998</v>
      </c>
      <c r="BQ4" t="n">
        <v>313.9659989370537</v>
      </c>
      <c r="BR4" t="n">
        <v>350.8078161541129</v>
      </c>
      <c r="BS4" t="n">
        <v>335.7955162625136</v>
      </c>
      <c r="BT4" t="n">
        <v>1272.92169366538</v>
      </c>
      <c r="BU4" t="n">
        <v>280.0896898338183</v>
      </c>
      <c r="BV4" t="n">
        <v>373.4457807014908</v>
      </c>
      <c r="BW4" t="n">
        <v>423.0740064231325</v>
      </c>
      <c r="BX4" t="n">
        <v>442.4657195905854</v>
      </c>
      <c r="BY4" t="n">
        <v>1519.075196549027</v>
      </c>
      <c r="BZ4" t="n">
        <v>410.1888960005604</v>
      </c>
      <c r="CA4" t="n">
        <v>494.9134423839932</v>
      </c>
      <c r="CB4" t="n">
        <v>489.6852344058675</v>
      </c>
    </row>
    <row r="5">
      <c r="A5" t="inlineStr">
        <is>
          <t>C</t>
        </is>
      </c>
      <c r="B5" t="inlineStr">
        <is>
          <t>Manufacturing</t>
        </is>
      </c>
      <c r="C5" t="n">
        <v>899.3325230845708</v>
      </c>
      <c r="D5" t="n">
        <v>1055.506514147001</v>
      </c>
      <c r="E5" t="n">
        <v>1321.633260778498</v>
      </c>
      <c r="F5" t="n">
        <v>1237.100277491813</v>
      </c>
      <c r="G5" t="n">
        <v>4513.572575501883</v>
      </c>
      <c r="H5" t="n">
        <v>1212.994539984199</v>
      </c>
      <c r="I5" t="n">
        <v>1427.392285747427</v>
      </c>
      <c r="J5" t="n">
        <v>1733.036261888622</v>
      </c>
      <c r="K5" t="n">
        <v>1523.52177642965</v>
      </c>
      <c r="L5" t="n">
        <v>5896.944864049897</v>
      </c>
      <c r="M5" t="n">
        <v>1252.091935166288</v>
      </c>
      <c r="N5" t="n">
        <v>1520.72261575358</v>
      </c>
      <c r="O5" t="n">
        <v>1774.526154158328</v>
      </c>
      <c r="P5" t="n">
        <v>1443.415145146661</v>
      </c>
      <c r="Q5" t="n">
        <v>5990.755850224857</v>
      </c>
      <c r="R5" t="n">
        <v>1270.806922281236</v>
      </c>
      <c r="S5" t="n">
        <v>1593.773546255497</v>
      </c>
      <c r="T5" t="n">
        <v>1927.493602341281</v>
      </c>
      <c r="U5" t="n">
        <v>1833.241402872952</v>
      </c>
      <c r="V5" t="n">
        <v>6625.315473750966</v>
      </c>
      <c r="W5" t="n">
        <v>1461.4334231873</v>
      </c>
      <c r="X5" t="n">
        <v>1691.496611042091</v>
      </c>
      <c r="Y5" t="n">
        <v>2041.373801150998</v>
      </c>
      <c r="Z5" t="n">
        <v>2010.068631411672</v>
      </c>
      <c r="AA5" t="n">
        <v>7204.372466792061</v>
      </c>
      <c r="AB5" t="n">
        <v>1493.466102291513</v>
      </c>
      <c r="AC5" t="n">
        <v>1734.985010191122</v>
      </c>
      <c r="AD5" t="n">
        <v>1959.497680917723</v>
      </c>
      <c r="AE5" t="n">
        <v>1999.367505894378</v>
      </c>
      <c r="AF5" t="n">
        <v>7187.316299294736</v>
      </c>
      <c r="AG5" t="n">
        <v>1620.414065232329</v>
      </c>
      <c r="AH5" t="n">
        <v>1958.323033281276</v>
      </c>
      <c r="AI5" t="n">
        <v>2249.439518718369</v>
      </c>
      <c r="AJ5" t="n">
        <v>2312.230494852129</v>
      </c>
      <c r="AK5" t="n">
        <v>8140.407112084102</v>
      </c>
      <c r="AL5" t="n">
        <v>1690.189027040471</v>
      </c>
      <c r="AM5" t="n">
        <v>2030.900489553758</v>
      </c>
      <c r="AN5" t="n">
        <v>2415.825759282974</v>
      </c>
      <c r="AO5" t="n">
        <v>2484.703021463321</v>
      </c>
      <c r="AP5" t="n">
        <v>8621.618297340525</v>
      </c>
      <c r="AQ5" t="n">
        <v>1915.796060776153</v>
      </c>
      <c r="AR5" t="n">
        <v>2313.239427392587</v>
      </c>
      <c r="AS5" t="n">
        <v>2492.666722818166</v>
      </c>
      <c r="AT5" t="n">
        <v>2704.147697422989</v>
      </c>
      <c r="AU5" t="n">
        <v>9425.849908409895</v>
      </c>
      <c r="AV5" t="n">
        <v>2079.982917459552</v>
      </c>
      <c r="AW5" t="n">
        <v>2475.635192874296</v>
      </c>
      <c r="AX5" t="n">
        <v>2997.108992632527</v>
      </c>
      <c r="AY5" t="n">
        <v>3092.007515608407</v>
      </c>
      <c r="AZ5" t="n">
        <v>10644.73461857478</v>
      </c>
      <c r="BA5" t="n">
        <v>2389.012268814798</v>
      </c>
      <c r="BB5" t="n">
        <v>2489.177424194956</v>
      </c>
      <c r="BC5" t="n">
        <v>3276.368978378146</v>
      </c>
      <c r="BD5" t="n">
        <v>3431.208905092405</v>
      </c>
      <c r="BE5" t="n">
        <v>11585.7675764803</v>
      </c>
      <c r="BF5" t="n">
        <v>2619.79815561542</v>
      </c>
      <c r="BG5" t="n">
        <v>3521.554204930538</v>
      </c>
      <c r="BH5" t="n">
        <v>4033.705894913861</v>
      </c>
      <c r="BI5" t="n">
        <v>4270.261572450162</v>
      </c>
      <c r="BJ5" t="n">
        <v>14445.31982790998</v>
      </c>
      <c r="BK5" t="n">
        <v>3298.597929426808</v>
      </c>
      <c r="BL5" t="n">
        <v>4057.498991160808</v>
      </c>
      <c r="BM5" t="n">
        <v>4501.094811829705</v>
      </c>
      <c r="BN5" t="n">
        <v>4416.63260914084</v>
      </c>
      <c r="BO5" t="n">
        <v>16273.82434155816</v>
      </c>
      <c r="BP5" t="n">
        <v>3294.720069827436</v>
      </c>
      <c r="BQ5" t="n">
        <v>3739.935992879497</v>
      </c>
      <c r="BR5" t="n">
        <v>4418.234888336383</v>
      </c>
      <c r="BS5" t="n">
        <v>4382.612151572738</v>
      </c>
      <c r="BT5" t="n">
        <v>15835.50310261605</v>
      </c>
      <c r="BU5" t="n">
        <v>3683.593047148383</v>
      </c>
      <c r="BV5" t="n">
        <v>4256.828739413555</v>
      </c>
      <c r="BW5" t="n">
        <v>4973.939930857488</v>
      </c>
      <c r="BX5" t="n">
        <v>4547.53899838235</v>
      </c>
      <c r="BY5" t="n">
        <v>17461.90071580178</v>
      </c>
      <c r="BZ5" t="n">
        <v>3681.787185369235</v>
      </c>
      <c r="CA5" t="n">
        <v>4683.783130031657</v>
      </c>
      <c r="CB5" t="n">
        <v>5233.622600672053</v>
      </c>
    </row>
    <row r="6">
      <c r="A6" t="inlineStr">
        <is>
          <t>D</t>
        </is>
      </c>
      <c r="B6" t="inlineStr">
        <is>
          <t>Electricity, gas, steam and air conditioning supply</t>
        </is>
      </c>
      <c r="C6" t="n">
        <v>61.77479790966062</v>
      </c>
      <c r="D6" t="n">
        <v>52.44289286668984</v>
      </c>
      <c r="E6" t="n">
        <v>48.12840365220449</v>
      </c>
      <c r="F6" t="n">
        <v>68.20335132463516</v>
      </c>
      <c r="G6" t="n">
        <v>230.5494457531901</v>
      </c>
      <c r="H6" t="n">
        <v>101.8064804750103</v>
      </c>
      <c r="I6" t="n">
        <v>88.26791751266855</v>
      </c>
      <c r="J6" t="n">
        <v>75.24490954746578</v>
      </c>
      <c r="K6" t="n">
        <v>108.1696496143678</v>
      </c>
      <c r="L6" t="n">
        <v>373.4889571495124</v>
      </c>
      <c r="M6" t="n">
        <v>115.060589506425</v>
      </c>
      <c r="N6" t="n">
        <v>87.04130328364592</v>
      </c>
      <c r="O6" t="n">
        <v>87.56924691108388</v>
      </c>
      <c r="P6" t="n">
        <v>118.4970860111623</v>
      </c>
      <c r="Q6" t="n">
        <v>408.1682257123171</v>
      </c>
      <c r="R6" t="n">
        <v>102.8829176317701</v>
      </c>
      <c r="S6" t="n">
        <v>86.60339974557435</v>
      </c>
      <c r="T6" t="n">
        <v>91.82644967187295</v>
      </c>
      <c r="U6" t="n">
        <v>161.1717612709774</v>
      </c>
      <c r="V6" t="n">
        <v>442.4845283201948</v>
      </c>
      <c r="W6" t="n">
        <v>126.7870730609351</v>
      </c>
      <c r="X6" t="n">
        <v>123.2243267282028</v>
      </c>
      <c r="Y6" t="n">
        <v>107.8869943277181</v>
      </c>
      <c r="Z6" t="n">
        <v>118.3417608780194</v>
      </c>
      <c r="AA6" t="n">
        <v>476.2401549948753</v>
      </c>
      <c r="AB6" t="n">
        <v>132.3256217048237</v>
      </c>
      <c r="AC6" t="n">
        <v>122.1851487768165</v>
      </c>
      <c r="AD6" t="n">
        <v>128.4757255366801</v>
      </c>
      <c r="AE6" t="n">
        <v>143.6910502484606</v>
      </c>
      <c r="AF6" t="n">
        <v>526.6775462667808</v>
      </c>
      <c r="AG6" t="n">
        <v>139.3387123788126</v>
      </c>
      <c r="AH6" t="n">
        <v>141.8614204035565</v>
      </c>
      <c r="AI6" t="n">
        <v>143.0392368058135</v>
      </c>
      <c r="AJ6" t="n">
        <v>161.9783324590187</v>
      </c>
      <c r="AK6" t="n">
        <v>586.2177020472013</v>
      </c>
      <c r="AL6" t="n">
        <v>129.4531968516048</v>
      </c>
      <c r="AM6" t="n">
        <v>133.5160827520162</v>
      </c>
      <c r="AN6" t="n">
        <v>140.9778645735644</v>
      </c>
      <c r="AO6" t="n">
        <v>155.99732385637</v>
      </c>
      <c r="AP6" t="n">
        <v>559.9444680335553</v>
      </c>
      <c r="AQ6" t="n">
        <v>166.2535346582915</v>
      </c>
      <c r="AR6" t="n">
        <v>154.2494957473571</v>
      </c>
      <c r="AS6" t="n">
        <v>153.1455187092375</v>
      </c>
      <c r="AT6" t="n">
        <v>150.7054785734205</v>
      </c>
      <c r="AU6" t="n">
        <v>624.3540276883066</v>
      </c>
      <c r="AV6" t="n">
        <v>185.5437867268331</v>
      </c>
      <c r="AW6" t="n">
        <v>165.5131609731383</v>
      </c>
      <c r="AX6" t="n">
        <v>161.9291822625902</v>
      </c>
      <c r="AY6" t="n">
        <v>171.9595346485014</v>
      </c>
      <c r="AZ6" t="n">
        <v>684.945664611063</v>
      </c>
      <c r="BA6" t="n">
        <v>168.9780449542863</v>
      </c>
      <c r="BB6" t="n">
        <v>150.1284634648465</v>
      </c>
      <c r="BC6" t="n">
        <v>142.0749739964003</v>
      </c>
      <c r="BD6" t="n">
        <v>162.8256491772659</v>
      </c>
      <c r="BE6" t="n">
        <v>624.0071315927989</v>
      </c>
      <c r="BF6" t="n">
        <v>152.1613180034789</v>
      </c>
      <c r="BG6" t="n">
        <v>164.0593878428572</v>
      </c>
      <c r="BH6" t="n">
        <v>197.9490619999239</v>
      </c>
      <c r="BI6" t="n">
        <v>220.1744006188881</v>
      </c>
      <c r="BJ6" t="n">
        <v>734.344168465148</v>
      </c>
      <c r="BK6" t="n">
        <v>220.9091774994275</v>
      </c>
      <c r="BL6" t="n">
        <v>238.177743540301</v>
      </c>
      <c r="BM6" t="n">
        <v>236.3302844415039</v>
      </c>
      <c r="BN6" t="n">
        <v>220.7088731318038</v>
      </c>
      <c r="BO6" t="n">
        <v>916.1260786130363</v>
      </c>
      <c r="BP6" t="n">
        <v>228.6306486058628</v>
      </c>
      <c r="BQ6" t="n">
        <v>207.402674604983</v>
      </c>
      <c r="BR6" t="n">
        <v>222.2486811600404</v>
      </c>
      <c r="BS6" t="n">
        <v>199.2094975204718</v>
      </c>
      <c r="BT6" t="n">
        <v>857.491501891358</v>
      </c>
      <c r="BU6" t="n">
        <v>267.6260445965895</v>
      </c>
      <c r="BV6" t="n">
        <v>234.0280340119189</v>
      </c>
      <c r="BW6" t="n">
        <v>258.6701395378283</v>
      </c>
      <c r="BX6" t="n">
        <v>239.6490672174361</v>
      </c>
      <c r="BY6" t="n">
        <v>999.9732853637728</v>
      </c>
      <c r="BZ6" t="n">
        <v>259.7175414914959</v>
      </c>
      <c r="CA6" t="n">
        <v>255.1732871592049</v>
      </c>
      <c r="CB6" t="n">
        <v>273.1620841278831</v>
      </c>
    </row>
    <row r="7">
      <c r="A7" t="inlineStr">
        <is>
          <t>E</t>
        </is>
      </c>
      <c r="B7" t="inlineStr">
        <is>
          <t>Water supply; sewerage, waste management and remediation activities</t>
        </is>
      </c>
      <c r="C7" t="n">
        <v>17.53053936342413</v>
      </c>
      <c r="D7" t="n">
        <v>19.76444213704071</v>
      </c>
      <c r="E7" t="n">
        <v>21.40644217451199</v>
      </c>
      <c r="F7" t="n">
        <v>24.64740013549524</v>
      </c>
      <c r="G7" t="n">
        <v>83.34882381047207</v>
      </c>
      <c r="H7" t="n">
        <v>17.78516826006461</v>
      </c>
      <c r="I7" t="n">
        <v>21.84061882494017</v>
      </c>
      <c r="J7" t="n">
        <v>32.85319867383078</v>
      </c>
      <c r="K7" t="n">
        <v>42.34152803514961</v>
      </c>
      <c r="L7" t="n">
        <v>114.8205137939852</v>
      </c>
      <c r="M7" t="n">
        <v>23.15837622047379</v>
      </c>
      <c r="N7" t="n">
        <v>22.54620274545037</v>
      </c>
      <c r="O7" t="n">
        <v>21.90364435127787</v>
      </c>
      <c r="P7" t="n">
        <v>24.57571175397065</v>
      </c>
      <c r="Q7" t="n">
        <v>92.18393507117267</v>
      </c>
      <c r="R7" t="n">
        <v>20.0549175075199</v>
      </c>
      <c r="S7" t="n">
        <v>21.29268657428181</v>
      </c>
      <c r="T7" t="n">
        <v>20.87436529425166</v>
      </c>
      <c r="U7" t="n">
        <v>20.68162817747133</v>
      </c>
      <c r="V7" t="n">
        <v>82.90359755352469</v>
      </c>
      <c r="W7" t="n">
        <v>16.72279166242356</v>
      </c>
      <c r="X7" t="n">
        <v>18.28068822879584</v>
      </c>
      <c r="Y7" t="n">
        <v>21.72317563876095</v>
      </c>
      <c r="Z7" t="n">
        <v>22.68605574348377</v>
      </c>
      <c r="AA7" t="n">
        <v>79.41271127346413</v>
      </c>
      <c r="AB7" t="n">
        <v>27.44857401459226</v>
      </c>
      <c r="AC7" t="n">
        <v>31.34585958573099</v>
      </c>
      <c r="AD7" t="n">
        <v>43.56776668782882</v>
      </c>
      <c r="AE7" t="n">
        <v>36.7133941408967</v>
      </c>
      <c r="AF7" t="n">
        <v>139.0755944290487</v>
      </c>
      <c r="AG7" t="n">
        <v>29.71189169820247</v>
      </c>
      <c r="AH7" t="n">
        <v>33.43109403531106</v>
      </c>
      <c r="AI7" t="n">
        <v>32.19809457332279</v>
      </c>
      <c r="AJ7" t="n">
        <v>33.62382459888021</v>
      </c>
      <c r="AK7" t="n">
        <v>128.9649049057165</v>
      </c>
      <c r="AL7" t="n">
        <v>30.18573839914836</v>
      </c>
      <c r="AM7" t="n">
        <v>38.02394591558019</v>
      </c>
      <c r="AN7" t="n">
        <v>44.42665324551051</v>
      </c>
      <c r="AO7" t="n">
        <v>39.89347227859276</v>
      </c>
      <c r="AP7" t="n">
        <v>152.5298098388318</v>
      </c>
      <c r="AQ7" t="n">
        <v>43.03434821243614</v>
      </c>
      <c r="AR7" t="n">
        <v>44.33105969985883</v>
      </c>
      <c r="AS7" t="n">
        <v>47.77719008728135</v>
      </c>
      <c r="AT7" t="n">
        <v>44.3351194341177</v>
      </c>
      <c r="AU7" t="n">
        <v>179.477717433694</v>
      </c>
      <c r="AV7" t="n">
        <v>42.66603503322512</v>
      </c>
      <c r="AW7" t="n">
        <v>45.25249092620928</v>
      </c>
      <c r="AX7" t="n">
        <v>47.74364954446266</v>
      </c>
      <c r="AY7" t="n">
        <v>44.05577024573572</v>
      </c>
      <c r="AZ7" t="n">
        <v>179.7179457496328</v>
      </c>
      <c r="BA7" t="n">
        <v>37.5495804526032</v>
      </c>
      <c r="BB7" t="n">
        <v>38.63234538635183</v>
      </c>
      <c r="BC7" t="n">
        <v>41.85545551810687</v>
      </c>
      <c r="BD7" t="n">
        <v>45.39037361978356</v>
      </c>
      <c r="BE7" t="n">
        <v>163.4277549768454</v>
      </c>
      <c r="BF7" t="n">
        <v>47.38519766637803</v>
      </c>
      <c r="BG7" t="n">
        <v>64.43910159837579</v>
      </c>
      <c r="BH7" t="n">
        <v>65.51770484106193</v>
      </c>
      <c r="BI7" t="n">
        <v>64.6176231865431</v>
      </c>
      <c r="BJ7" t="n">
        <v>241.9596272923588</v>
      </c>
      <c r="BK7" t="n">
        <v>48.80876215500868</v>
      </c>
      <c r="BL7" t="n">
        <v>52.10492349974095</v>
      </c>
      <c r="BM7" t="n">
        <v>53.96435982224352</v>
      </c>
      <c r="BN7" t="n">
        <v>50.6277345373078</v>
      </c>
      <c r="BO7" t="n">
        <v>205.505780014301</v>
      </c>
      <c r="BP7" t="n">
        <v>66.85334207356676</v>
      </c>
      <c r="BQ7" t="n">
        <v>74.54927484461672</v>
      </c>
      <c r="BR7" t="n">
        <v>83.08292034924719</v>
      </c>
      <c r="BS7" t="n">
        <v>84.9293616081615</v>
      </c>
      <c r="BT7" t="n">
        <v>309.4148988755921</v>
      </c>
      <c r="BU7" t="n">
        <v>82.88459465863788</v>
      </c>
      <c r="BV7" t="n">
        <v>93.83027113413803</v>
      </c>
      <c r="BW7" t="n">
        <v>106.7165415256853</v>
      </c>
      <c r="BX7" t="n">
        <v>106.0013395455623</v>
      </c>
      <c r="BY7" t="n">
        <v>389.4327468640236</v>
      </c>
      <c r="BZ7" t="n">
        <v>94.60300313624388</v>
      </c>
      <c r="CA7" t="n">
        <v>107.0690910819831</v>
      </c>
      <c r="CB7" t="n">
        <v>109.8746399347991</v>
      </c>
    </row>
    <row r="8">
      <c r="A8" t="inlineStr">
        <is>
          <t>F</t>
        </is>
      </c>
      <c r="B8" t="inlineStr">
        <is>
          <t>Construction</t>
        </is>
      </c>
      <c r="C8" t="n">
        <v>192.6216241240715</v>
      </c>
      <c r="D8" t="n">
        <v>315.7338542482399</v>
      </c>
      <c r="E8" t="n">
        <v>385.4394339153254</v>
      </c>
      <c r="F8" t="n">
        <v>539.0789596978951</v>
      </c>
      <c r="G8" t="n">
        <v>1432.873871985532</v>
      </c>
      <c r="H8" t="n">
        <v>218.4140878251941</v>
      </c>
      <c r="I8" t="n">
        <v>425.3172471521647</v>
      </c>
      <c r="J8" t="n">
        <v>707.8156989097654</v>
      </c>
      <c r="K8" t="n">
        <v>1110.024662699661</v>
      </c>
      <c r="L8" t="n">
        <v>2461.571696586785</v>
      </c>
      <c r="M8" t="n">
        <v>653.8228051274244</v>
      </c>
      <c r="N8" t="n">
        <v>793.3593029399142</v>
      </c>
      <c r="O8" t="n">
        <v>1011.855953765192</v>
      </c>
      <c r="P8" t="n">
        <v>1063.297658655531</v>
      </c>
      <c r="Q8" t="n">
        <v>3522.335720488062</v>
      </c>
      <c r="R8" t="n">
        <v>317.6534377292112</v>
      </c>
      <c r="S8" t="n">
        <v>538.8291403345899</v>
      </c>
      <c r="T8" t="n">
        <v>546.4647049405717</v>
      </c>
      <c r="U8" t="n">
        <v>810.5519195610079</v>
      </c>
      <c r="V8" t="n">
        <v>2213.499202565381</v>
      </c>
      <c r="W8" t="n">
        <v>439.6648237697748</v>
      </c>
      <c r="X8" t="n">
        <v>641.3323760668758</v>
      </c>
      <c r="Y8" t="n">
        <v>810.1112628768395</v>
      </c>
      <c r="Z8" t="n">
        <v>934.5363041513201</v>
      </c>
      <c r="AA8" t="n">
        <v>2825.64476686481</v>
      </c>
      <c r="AB8" t="n">
        <v>636.1315341575277</v>
      </c>
      <c r="AC8" t="n">
        <v>878.6839776993327</v>
      </c>
      <c r="AD8" t="n">
        <v>1112.217483378096</v>
      </c>
      <c r="AE8" t="n">
        <v>1067.126219062338</v>
      </c>
      <c r="AF8" t="n">
        <v>3694.159214297293</v>
      </c>
      <c r="AG8" t="n">
        <v>934.3219114644382</v>
      </c>
      <c r="AH8" t="n">
        <v>1197.189553626116</v>
      </c>
      <c r="AI8" t="n">
        <v>1344.831469600899</v>
      </c>
      <c r="AJ8" t="n">
        <v>1338.811638274833</v>
      </c>
      <c r="AK8" t="n">
        <v>4815.154572966285</v>
      </c>
      <c r="AL8" t="n">
        <v>880.7833094373293</v>
      </c>
      <c r="AM8" t="n">
        <v>1257.302206823922</v>
      </c>
      <c r="AN8" t="n">
        <v>1412.083618963666</v>
      </c>
      <c r="AO8" t="n">
        <v>1377.095611139931</v>
      </c>
      <c r="AP8" t="n">
        <v>4927.264746364848</v>
      </c>
      <c r="AQ8" t="n">
        <v>995.6727369406811</v>
      </c>
      <c r="AR8" t="n">
        <v>1267.433773981761</v>
      </c>
      <c r="AS8" t="n">
        <v>1399.456448955878</v>
      </c>
      <c r="AT8" t="n">
        <v>1533.148284707525</v>
      </c>
      <c r="AU8" t="n">
        <v>5195.711244585846</v>
      </c>
      <c r="AV8" t="n">
        <v>894.9052577119759</v>
      </c>
      <c r="AW8" t="n">
        <v>1281.849951050098</v>
      </c>
      <c r="AX8" t="n">
        <v>1682.477803113798</v>
      </c>
      <c r="AY8" t="n">
        <v>1811.178988794917</v>
      </c>
      <c r="AZ8" t="n">
        <v>5670.412000670788</v>
      </c>
      <c r="BA8" t="n">
        <v>1206.151126602576</v>
      </c>
      <c r="BB8" t="n">
        <v>1135.811754609959</v>
      </c>
      <c r="BC8" t="n">
        <v>1840.300934534338</v>
      </c>
      <c r="BD8" t="n">
        <v>1991.065007185867</v>
      </c>
      <c r="BE8" t="n">
        <v>6173.328822932739</v>
      </c>
      <c r="BF8" t="n">
        <v>1128.23855541901</v>
      </c>
      <c r="BG8" t="n">
        <v>1536.981955228478</v>
      </c>
      <c r="BH8" t="n">
        <v>1704.352110348312</v>
      </c>
      <c r="BI8" t="n">
        <v>1975.200605602505</v>
      </c>
      <c r="BJ8" t="n">
        <v>6344.773226598304</v>
      </c>
      <c r="BK8" t="n">
        <v>1419.53772037353</v>
      </c>
      <c r="BL8" t="n">
        <v>1803.346336952005</v>
      </c>
      <c r="BM8" t="n">
        <v>2268.538477539371</v>
      </c>
      <c r="BN8" t="n">
        <v>2838.510283269271</v>
      </c>
      <c r="BO8" t="n">
        <v>8329.932818134175</v>
      </c>
      <c r="BP8" t="n">
        <v>1827.736179037348</v>
      </c>
      <c r="BQ8" t="n">
        <v>2279.268885015152</v>
      </c>
      <c r="BR8" t="n">
        <v>2566.003650254324</v>
      </c>
      <c r="BS8" t="n">
        <v>3149.797738562773</v>
      </c>
      <c r="BT8" t="n">
        <v>9822.806452869598</v>
      </c>
      <c r="BU8" t="n">
        <v>2189.266903563419</v>
      </c>
      <c r="BV8" t="n">
        <v>2835.449939933041</v>
      </c>
      <c r="BW8" t="n">
        <v>3406.588616788613</v>
      </c>
      <c r="BX8" t="n">
        <v>3697.94755656677</v>
      </c>
      <c r="BY8" t="n">
        <v>12129.25301685184</v>
      </c>
      <c r="BZ8" t="n">
        <v>2426.154878590862</v>
      </c>
      <c r="CA8" t="n">
        <v>2955.685643590309</v>
      </c>
      <c r="CB8" t="n">
        <v>3545.888281857698</v>
      </c>
    </row>
    <row r="9">
      <c r="A9" t="inlineStr">
        <is>
          <t>G</t>
        </is>
      </c>
      <c r="B9" t="inlineStr">
        <is>
          <t xml:space="preserve">Wholesale and retail trade; repair of motor vehicles and motorcycles </t>
        </is>
      </c>
      <c r="C9" t="n">
        <v>280.8245471531972</v>
      </c>
      <c r="D9" t="n">
        <v>321.3094232667849</v>
      </c>
      <c r="E9" t="n">
        <v>370.7527648262865</v>
      </c>
      <c r="F9" t="n">
        <v>460.2268000877275</v>
      </c>
      <c r="G9" t="n">
        <v>1433.113535333996</v>
      </c>
      <c r="H9" t="n">
        <v>396.6385976538425</v>
      </c>
      <c r="I9" t="n">
        <v>495.7694061744065</v>
      </c>
      <c r="J9" t="n">
        <v>547.0523352783766</v>
      </c>
      <c r="K9" t="n">
        <v>593.6113786585657</v>
      </c>
      <c r="L9" t="n">
        <v>2033.071717765191</v>
      </c>
      <c r="M9" t="n">
        <v>419.191690177343</v>
      </c>
      <c r="N9" t="n">
        <v>470.4581835576508</v>
      </c>
      <c r="O9" t="n">
        <v>499.0230572393035</v>
      </c>
      <c r="P9" t="n">
        <v>555.1653596611668</v>
      </c>
      <c r="Q9" t="n">
        <v>1943.838290635464</v>
      </c>
      <c r="R9" t="n">
        <v>314.0985792260873</v>
      </c>
      <c r="S9" t="n">
        <v>357.6079322219561</v>
      </c>
      <c r="T9" t="n">
        <v>408.138551841095</v>
      </c>
      <c r="U9" t="n">
        <v>456.5732402577993</v>
      </c>
      <c r="V9" t="n">
        <v>1536.418303546938</v>
      </c>
      <c r="W9" t="n">
        <v>433.4973800919721</v>
      </c>
      <c r="X9" t="n">
        <v>457.2344085838155</v>
      </c>
      <c r="Y9" t="n">
        <v>480.4337537038893</v>
      </c>
      <c r="Z9" t="n">
        <v>569.2215414573689</v>
      </c>
      <c r="AA9" t="n">
        <v>1940.387083837046</v>
      </c>
      <c r="AB9" t="n">
        <v>434.1957581760843</v>
      </c>
      <c r="AC9" t="n">
        <v>525.5888616353122</v>
      </c>
      <c r="AD9" t="n">
        <v>547.386678898547</v>
      </c>
      <c r="AE9" t="n">
        <v>570.3946747562111</v>
      </c>
      <c r="AF9" t="n">
        <v>2077.565973466155</v>
      </c>
      <c r="AG9" t="n">
        <v>514.3220227228023</v>
      </c>
      <c r="AH9" t="n">
        <v>588.1186490560875</v>
      </c>
      <c r="AI9" t="n">
        <v>656.1799170774044</v>
      </c>
      <c r="AJ9" t="n">
        <v>739.7253119064012</v>
      </c>
      <c r="AK9" t="n">
        <v>2498.345900762695</v>
      </c>
      <c r="AL9" t="n">
        <v>534.2090390274133</v>
      </c>
      <c r="AM9" t="n">
        <v>556.1803537076865</v>
      </c>
      <c r="AN9" t="n">
        <v>642.1471290780239</v>
      </c>
      <c r="AO9" t="n">
        <v>712.600295115011</v>
      </c>
      <c r="AP9" t="n">
        <v>2445.136816928135</v>
      </c>
      <c r="AQ9" t="n">
        <v>565.3648406072925</v>
      </c>
      <c r="AR9" t="n">
        <v>644.599429787741</v>
      </c>
      <c r="AS9" t="n">
        <v>713.3102541987749</v>
      </c>
      <c r="AT9" t="n">
        <v>749.4906794813176</v>
      </c>
      <c r="AU9" t="n">
        <v>2672.765204075126</v>
      </c>
      <c r="AV9" t="n">
        <v>671.2488639711644</v>
      </c>
      <c r="AW9" t="n">
        <v>775.0334869004338</v>
      </c>
      <c r="AX9" t="n">
        <v>931.7059383336658</v>
      </c>
      <c r="AY9" t="n">
        <v>999.0125360863933</v>
      </c>
      <c r="AZ9" t="n">
        <v>3377.000825291658</v>
      </c>
      <c r="BA9" t="n">
        <v>662.7587324551021</v>
      </c>
      <c r="BB9" t="n">
        <v>621.2971536543139</v>
      </c>
      <c r="BC9" t="n">
        <v>848.5592605771631</v>
      </c>
      <c r="BD9" t="n">
        <v>801.5406558479091</v>
      </c>
      <c r="BE9" t="n">
        <v>2934.155802534488</v>
      </c>
      <c r="BF9" t="n">
        <v>732.6687485428026</v>
      </c>
      <c r="BG9" t="n">
        <v>1077.65804599787</v>
      </c>
      <c r="BH9" t="n">
        <v>1070.900679379686</v>
      </c>
      <c r="BI9" t="n">
        <v>1154.083216838786</v>
      </c>
      <c r="BJ9" t="n">
        <v>4035.310690759145</v>
      </c>
      <c r="BK9" t="n">
        <v>1103.952585717367</v>
      </c>
      <c r="BL9" t="n">
        <v>1404.900700243204</v>
      </c>
      <c r="BM9" t="n">
        <v>1554.392807685193</v>
      </c>
      <c r="BN9" t="n">
        <v>1843.357052005124</v>
      </c>
      <c r="BO9" t="n">
        <v>5906.603145650888</v>
      </c>
      <c r="BP9" t="n">
        <v>1249.696546964559</v>
      </c>
      <c r="BQ9" t="n">
        <v>1574.645853957869</v>
      </c>
      <c r="BR9" t="n">
        <v>1663.117498628688</v>
      </c>
      <c r="BS9" t="n">
        <v>1840.569487939001</v>
      </c>
      <c r="BT9" t="n">
        <v>6328.029387490116</v>
      </c>
      <c r="BU9" t="n">
        <v>1365.214751906033</v>
      </c>
      <c r="BV9" t="n">
        <v>1706.517456143191</v>
      </c>
      <c r="BW9" t="n">
        <v>1910.593688888173</v>
      </c>
      <c r="BX9" t="n">
        <v>1933.746265194489</v>
      </c>
      <c r="BY9" t="n">
        <v>6916.072162131886</v>
      </c>
      <c r="BZ9" t="n">
        <v>1498.460334716118</v>
      </c>
      <c r="CA9" t="n">
        <v>1868.606197535709</v>
      </c>
      <c r="CB9" t="n">
        <v>2083.615059476769</v>
      </c>
    </row>
    <row r="10">
      <c r="A10" t="inlineStr">
        <is>
          <t>H</t>
        </is>
      </c>
      <c r="B10" t="inlineStr">
        <is>
          <t>Transportation and storage</t>
        </is>
      </c>
      <c r="C10" t="n">
        <v>271.3208111776888</v>
      </c>
      <c r="D10" t="n">
        <v>293.6172717275559</v>
      </c>
      <c r="E10" t="n">
        <v>333.3072859809827</v>
      </c>
      <c r="F10" t="n">
        <v>399.6928933243354</v>
      </c>
      <c r="G10" t="n">
        <v>1297.938262210563</v>
      </c>
      <c r="H10" t="n">
        <v>364.8765524512382</v>
      </c>
      <c r="I10" t="n">
        <v>401.3507580303111</v>
      </c>
      <c r="J10" t="n">
        <v>380.9812295962856</v>
      </c>
      <c r="K10" t="n">
        <v>377.5309797737463</v>
      </c>
      <c r="L10" t="n">
        <v>1524.739519851581</v>
      </c>
      <c r="M10" t="n">
        <v>343.7427455122988</v>
      </c>
      <c r="N10" t="n">
        <v>488.9352333962038</v>
      </c>
      <c r="O10" t="n">
        <v>339.5651265192038</v>
      </c>
      <c r="P10" t="n">
        <v>348.3932948312401</v>
      </c>
      <c r="Q10" t="n">
        <v>1520.636400258946</v>
      </c>
      <c r="R10" t="n">
        <v>309.7254010457821</v>
      </c>
      <c r="S10" t="n">
        <v>338.6247493533842</v>
      </c>
      <c r="T10" t="n">
        <v>411.872972996417</v>
      </c>
      <c r="U10" t="n">
        <v>423.1893055803079</v>
      </c>
      <c r="V10" t="n">
        <v>1483.412428975891</v>
      </c>
      <c r="W10" t="n">
        <v>385.2702067612017</v>
      </c>
      <c r="X10" t="n">
        <v>395.0956821239454</v>
      </c>
      <c r="Y10" t="n">
        <v>450.9592434889904</v>
      </c>
      <c r="Z10" t="n">
        <v>443.8689471122203</v>
      </c>
      <c r="AA10" t="n">
        <v>1675.194079486358</v>
      </c>
      <c r="AB10" t="n">
        <v>390.4348220342384</v>
      </c>
      <c r="AC10" t="n">
        <v>467.2555928949544</v>
      </c>
      <c r="AD10" t="n">
        <v>502.2481520162356</v>
      </c>
      <c r="AE10" t="n">
        <v>480.1451897848374</v>
      </c>
      <c r="AF10" t="n">
        <v>1840.083756730266</v>
      </c>
      <c r="AG10" t="n">
        <v>471.4075989845684</v>
      </c>
      <c r="AH10" t="n">
        <v>432.934251176857</v>
      </c>
      <c r="AI10" t="n">
        <v>485.4420491575273</v>
      </c>
      <c r="AJ10" t="n">
        <v>576.2803558051953</v>
      </c>
      <c r="AK10" t="n">
        <v>1966.064255124148</v>
      </c>
      <c r="AL10" t="n">
        <v>434.8642682871298</v>
      </c>
      <c r="AM10" t="n">
        <v>472.1077103044544</v>
      </c>
      <c r="AN10" t="n">
        <v>580.4648942082314</v>
      </c>
      <c r="AO10" t="n">
        <v>549.5339166480393</v>
      </c>
      <c r="AP10" t="n">
        <v>2036.970789447855</v>
      </c>
      <c r="AQ10" t="n">
        <v>479.321491158214</v>
      </c>
      <c r="AR10" t="n">
        <v>566.9021801845728</v>
      </c>
      <c r="AS10" t="n">
        <v>609.0642903791772</v>
      </c>
      <c r="AT10" t="n">
        <v>627.3487157128086</v>
      </c>
      <c r="AU10" t="n">
        <v>2282.636677434773</v>
      </c>
      <c r="AV10" t="n">
        <v>551.8570799526282</v>
      </c>
      <c r="AW10" t="n">
        <v>686.5163107272739</v>
      </c>
      <c r="AX10" t="n">
        <v>782.8993877552448</v>
      </c>
      <c r="AY10" t="n">
        <v>852.4577898104399</v>
      </c>
      <c r="AZ10" t="n">
        <v>2873.730568245587</v>
      </c>
      <c r="BA10" t="n">
        <v>582.9282531205308</v>
      </c>
      <c r="BB10" t="n">
        <v>535.4317322571208</v>
      </c>
      <c r="BC10" t="n">
        <v>601.4558224163853</v>
      </c>
      <c r="BD10" t="n">
        <v>631.9559263349179</v>
      </c>
      <c r="BE10" t="n">
        <v>2351.771734128955</v>
      </c>
      <c r="BF10" t="n">
        <v>582.9540895352229</v>
      </c>
      <c r="BG10" t="n">
        <v>768.5061055305922</v>
      </c>
      <c r="BH10" t="n">
        <v>736.6382318291672</v>
      </c>
      <c r="BI10" t="n">
        <v>885.3584470599862</v>
      </c>
      <c r="BJ10" t="n">
        <v>2973.456873954969</v>
      </c>
      <c r="BK10" t="n">
        <v>899.1418311727783</v>
      </c>
      <c r="BL10" t="n">
        <v>986.0978337010342</v>
      </c>
      <c r="BM10" t="n">
        <v>1068.173878541927</v>
      </c>
      <c r="BN10" t="n">
        <v>1098.653031396919</v>
      </c>
      <c r="BO10" t="n">
        <v>4052.066574812658</v>
      </c>
      <c r="BP10" t="n">
        <v>871.0711477223576</v>
      </c>
      <c r="BQ10" t="n">
        <v>923.8051994081358</v>
      </c>
      <c r="BR10" t="n">
        <v>1118.514605593095</v>
      </c>
      <c r="BS10" t="n">
        <v>1232.925066361147</v>
      </c>
      <c r="BT10" t="n">
        <v>4146.316019084736</v>
      </c>
      <c r="BU10" t="n">
        <v>961.7847794952091</v>
      </c>
      <c r="BV10" t="n">
        <v>1134.131553303745</v>
      </c>
      <c r="BW10" t="n">
        <v>1306.656735246827</v>
      </c>
      <c r="BX10" t="n">
        <v>1365.575462434346</v>
      </c>
      <c r="BY10" t="n">
        <v>4768.148530480128</v>
      </c>
      <c r="BZ10" t="n">
        <v>1170.288385713988</v>
      </c>
      <c r="CA10" t="n">
        <v>1301.266174513579</v>
      </c>
      <c r="CB10" t="n">
        <v>1471.269102572355</v>
      </c>
    </row>
    <row r="11">
      <c r="A11" t="inlineStr">
        <is>
          <t>I</t>
        </is>
      </c>
      <c r="B11" t="inlineStr">
        <is>
          <t>Accommodation and food service activities</t>
        </is>
      </c>
      <c r="C11" t="n">
        <v>91.57013074648208</v>
      </c>
      <c r="D11" t="n">
        <v>111.8986310623686</v>
      </c>
      <c r="E11" t="n">
        <v>128.8311281813029</v>
      </c>
      <c r="F11" t="n">
        <v>137.0590341371927</v>
      </c>
      <c r="G11" t="n">
        <v>469.3589241273462</v>
      </c>
      <c r="H11" t="n">
        <v>147.5765741660665</v>
      </c>
      <c r="I11" t="n">
        <v>178.8797729315122</v>
      </c>
      <c r="J11" t="n">
        <v>235.7444757638996</v>
      </c>
      <c r="K11" t="n">
        <v>213.1447460692479</v>
      </c>
      <c r="L11" t="n">
        <v>775.3455689307262</v>
      </c>
      <c r="M11" t="n">
        <v>199.2359905923536</v>
      </c>
      <c r="N11" t="n">
        <v>218.2383150893182</v>
      </c>
      <c r="O11" t="n">
        <v>254.9930672279419</v>
      </c>
      <c r="P11" t="n">
        <v>204.125348538641</v>
      </c>
      <c r="Q11" t="n">
        <v>876.5927214482547</v>
      </c>
      <c r="R11" t="n">
        <v>178.8186025510257</v>
      </c>
      <c r="S11" t="n">
        <v>265.1840547197463</v>
      </c>
      <c r="T11" t="n">
        <v>316.3953728647521</v>
      </c>
      <c r="U11" t="n">
        <v>249.3165084480676</v>
      </c>
      <c r="V11" t="n">
        <v>1009.714538583592</v>
      </c>
      <c r="W11" t="n">
        <v>210.070567027291</v>
      </c>
      <c r="X11" t="n">
        <v>258.3752484066698</v>
      </c>
      <c r="Y11" t="n">
        <v>322.7110883861853</v>
      </c>
      <c r="Z11" t="n">
        <v>275.7903065242472</v>
      </c>
      <c r="AA11" t="n">
        <v>1066.947210344393</v>
      </c>
      <c r="AB11" t="n">
        <v>225.3128449200948</v>
      </c>
      <c r="AC11" t="n">
        <v>276.8187455769467</v>
      </c>
      <c r="AD11" t="n">
        <v>344.3810810638112</v>
      </c>
      <c r="AE11" t="n">
        <v>321.6591121374037</v>
      </c>
      <c r="AF11" t="n">
        <v>1168.171783698256</v>
      </c>
      <c r="AG11" t="n">
        <v>253.6091014106057</v>
      </c>
      <c r="AH11" t="n">
        <v>294.4188259396097</v>
      </c>
      <c r="AI11" t="n">
        <v>392.4003177882199</v>
      </c>
      <c r="AJ11" t="n">
        <v>370.5334711655156</v>
      </c>
      <c r="AK11" t="n">
        <v>1310.961716303951</v>
      </c>
      <c r="AL11" t="n">
        <v>333.6664935736069</v>
      </c>
      <c r="AM11" t="n">
        <v>391.5330028569919</v>
      </c>
      <c r="AN11" t="n">
        <v>489.7468977166225</v>
      </c>
      <c r="AO11" t="n">
        <v>420.842054505588</v>
      </c>
      <c r="AP11" t="n">
        <v>1635.788448652809</v>
      </c>
      <c r="AQ11" t="n">
        <v>401.7056980724679</v>
      </c>
      <c r="AR11" t="n">
        <v>478.4790804870918</v>
      </c>
      <c r="AS11" t="n">
        <v>593.5524340204918</v>
      </c>
      <c r="AT11" t="n">
        <v>526.4196319510912</v>
      </c>
      <c r="AU11" t="n">
        <v>2000.156844531143</v>
      </c>
      <c r="AV11" t="n">
        <v>424.0759967036182</v>
      </c>
      <c r="AW11" t="n">
        <v>490.5286565931481</v>
      </c>
      <c r="AX11" t="n">
        <v>587.9456499017535</v>
      </c>
      <c r="AY11" t="n">
        <v>501.818720364069</v>
      </c>
      <c r="AZ11" t="n">
        <v>2004.369023562589</v>
      </c>
      <c r="BA11" t="n">
        <v>426.6995371429131</v>
      </c>
      <c r="BB11" t="n">
        <v>263.231555640174</v>
      </c>
      <c r="BC11" t="n">
        <v>341.3613095846965</v>
      </c>
      <c r="BD11" t="n">
        <v>295.1148344559321</v>
      </c>
      <c r="BE11" t="n">
        <v>1326.407236823716</v>
      </c>
      <c r="BF11" t="n">
        <v>264.9183517814199</v>
      </c>
      <c r="BG11" t="n">
        <v>532.2356336884117</v>
      </c>
      <c r="BH11" t="n">
        <v>659.6607649172522</v>
      </c>
      <c r="BI11" t="n">
        <v>660.2772964175697</v>
      </c>
      <c r="BJ11" t="n">
        <v>2117.092046804653</v>
      </c>
      <c r="BK11" t="n">
        <v>384.6488805174872</v>
      </c>
      <c r="BL11" t="n">
        <v>531.7258659729174</v>
      </c>
      <c r="BM11" t="n">
        <v>766.2737337231636</v>
      </c>
      <c r="BN11" t="n">
        <v>666.1506858606272</v>
      </c>
      <c r="BO11" t="n">
        <v>2348.799166074195</v>
      </c>
      <c r="BP11" t="n">
        <v>521.2715136651749</v>
      </c>
      <c r="BQ11" t="n">
        <v>646.2355631258135</v>
      </c>
      <c r="BR11" t="n">
        <v>885.2324645721997</v>
      </c>
      <c r="BS11" t="n">
        <v>753.9587351974519</v>
      </c>
      <c r="BT11" t="n">
        <v>2806.69827656064</v>
      </c>
      <c r="BU11" t="n">
        <v>614.6750670465251</v>
      </c>
      <c r="BV11" t="n">
        <v>892.4517008191674</v>
      </c>
      <c r="BW11" t="n">
        <v>1058.710442522306</v>
      </c>
      <c r="BX11" t="n">
        <v>898.7487660293343</v>
      </c>
      <c r="BY11" t="n">
        <v>3464.585976417333</v>
      </c>
      <c r="BZ11" t="n">
        <v>705.7809655249789</v>
      </c>
      <c r="CA11" t="n">
        <v>1003.777604474635</v>
      </c>
      <c r="CB11" t="n">
        <v>1242.861609640613</v>
      </c>
    </row>
    <row r="12">
      <c r="A12" t="inlineStr">
        <is>
          <t>J</t>
        </is>
      </c>
      <c r="B12" t="inlineStr">
        <is>
          <t>Information and communication</t>
        </is>
      </c>
      <c r="C12" t="n">
        <v>101.4547374671543</v>
      </c>
      <c r="D12" t="n">
        <v>113.1264339106555</v>
      </c>
      <c r="E12" t="n">
        <v>118.7144108489303</v>
      </c>
      <c r="F12" t="n">
        <v>145.6653557338464</v>
      </c>
      <c r="G12" t="n">
        <v>478.9609379605865</v>
      </c>
      <c r="H12" t="n">
        <v>121.158031974454</v>
      </c>
      <c r="I12" t="n">
        <v>119.1323475415608</v>
      </c>
      <c r="J12" t="n">
        <v>129.8973540043194</v>
      </c>
      <c r="K12" t="n">
        <v>158.2873090460354</v>
      </c>
      <c r="L12" t="n">
        <v>528.4750425663697</v>
      </c>
      <c r="M12" t="n">
        <v>109.4489461549715</v>
      </c>
      <c r="N12" t="n">
        <v>115.0677781746633</v>
      </c>
      <c r="O12" t="n">
        <v>132.1224925692026</v>
      </c>
      <c r="P12" t="n">
        <v>139.5746118114672</v>
      </c>
      <c r="Q12" t="n">
        <v>496.2138287103046</v>
      </c>
      <c r="R12" t="n">
        <v>103.6018571802857</v>
      </c>
      <c r="S12" t="n">
        <v>108.0649487509347</v>
      </c>
      <c r="T12" t="n">
        <v>118.002675673776</v>
      </c>
      <c r="U12" t="n">
        <v>148.2222269458289</v>
      </c>
      <c r="V12" t="n">
        <v>477.8917085508253</v>
      </c>
      <c r="W12" t="n">
        <v>124.3757035327316</v>
      </c>
      <c r="X12" t="n">
        <v>130.0476320009093</v>
      </c>
      <c r="Y12" t="n">
        <v>133.9829505335362</v>
      </c>
      <c r="Z12" t="n">
        <v>161.7172471747075</v>
      </c>
      <c r="AA12" t="n">
        <v>550.1235332418845</v>
      </c>
      <c r="AB12" t="n">
        <v>137.8771656667275</v>
      </c>
      <c r="AC12" t="n">
        <v>145.2574545365064</v>
      </c>
      <c r="AD12" t="n">
        <v>147.2180482987641</v>
      </c>
      <c r="AE12" t="n">
        <v>168.565416045784</v>
      </c>
      <c r="AF12" t="n">
        <v>598.9180845477821</v>
      </c>
      <c r="AG12" t="n">
        <v>137.4748103833206</v>
      </c>
      <c r="AH12" t="n">
        <v>145.1876235365138</v>
      </c>
      <c r="AI12" t="n">
        <v>141.0601323557882</v>
      </c>
      <c r="AJ12" t="n">
        <v>178.9045673872783</v>
      </c>
      <c r="AK12" t="n">
        <v>602.6271336629009</v>
      </c>
      <c r="AL12" t="n">
        <v>151.637109971096</v>
      </c>
      <c r="AM12" t="n">
        <v>172.013579211797</v>
      </c>
      <c r="AN12" t="n">
        <v>172.1042534277468</v>
      </c>
      <c r="AO12" t="n">
        <v>195.7994408601055</v>
      </c>
      <c r="AP12" t="n">
        <v>691.5543834707454</v>
      </c>
      <c r="AQ12" t="n">
        <v>156.1379103367738</v>
      </c>
      <c r="AR12" t="n">
        <v>175.8075213324482</v>
      </c>
      <c r="AS12" t="n">
        <v>175.469696778256</v>
      </c>
      <c r="AT12" t="n">
        <v>203.8815409582352</v>
      </c>
      <c r="AU12" t="n">
        <v>711.2966694057131</v>
      </c>
      <c r="AV12" t="n">
        <v>172.6155073139167</v>
      </c>
      <c r="AW12" t="n">
        <v>188.3407594777943</v>
      </c>
      <c r="AX12" t="n">
        <v>208.8655580967267</v>
      </c>
      <c r="AY12" t="n">
        <v>227.0629238473322</v>
      </c>
      <c r="AZ12" t="n">
        <v>796.88474873577</v>
      </c>
      <c r="BA12" t="n">
        <v>158.0229344863289</v>
      </c>
      <c r="BB12" t="n">
        <v>136.1208622031385</v>
      </c>
      <c r="BC12" t="n">
        <v>176.7300534301444</v>
      </c>
      <c r="BD12" t="n">
        <v>208.1167549376192</v>
      </c>
      <c r="BE12" t="n">
        <v>678.9906050572311</v>
      </c>
      <c r="BF12" t="n">
        <v>175.3614493434125</v>
      </c>
      <c r="BG12" t="n">
        <v>200.4670757060198</v>
      </c>
      <c r="BH12" t="n">
        <v>218.0197602070604</v>
      </c>
      <c r="BI12" t="n">
        <v>254.5941036369744</v>
      </c>
      <c r="BJ12" t="n">
        <v>848.4423888934672</v>
      </c>
      <c r="BK12" t="n">
        <v>239.4743261519826</v>
      </c>
      <c r="BL12" t="n">
        <v>297.7493078213323</v>
      </c>
      <c r="BM12" t="n">
        <v>347.0633756571245</v>
      </c>
      <c r="BN12" t="n">
        <v>388.2133820322208</v>
      </c>
      <c r="BO12" t="n">
        <v>1272.50039166266</v>
      </c>
      <c r="BP12" t="n">
        <v>315.7101664012754</v>
      </c>
      <c r="BQ12" t="n">
        <v>342.5605865227803</v>
      </c>
      <c r="BR12" t="n">
        <v>365.3640275757809</v>
      </c>
      <c r="BS12" t="n">
        <v>414.7452901748957</v>
      </c>
      <c r="BT12" t="n">
        <v>1438.380070674732</v>
      </c>
      <c r="BU12" t="n">
        <v>472.306254756425</v>
      </c>
      <c r="BV12" t="n">
        <v>513.8716240627334</v>
      </c>
      <c r="BW12" t="n">
        <v>604.6224974905781</v>
      </c>
      <c r="BX12" t="n">
        <v>661.4608827744684</v>
      </c>
      <c r="BY12" t="n">
        <v>2252.261259084205</v>
      </c>
      <c r="BZ12" t="n">
        <v>999.8914789170736</v>
      </c>
      <c r="CA12" t="n">
        <v>859.473989737722</v>
      </c>
      <c r="CB12" t="n">
        <v>770.7260283532484</v>
      </c>
    </row>
    <row r="13">
      <c r="A13" t="inlineStr">
        <is>
          <t>K</t>
        </is>
      </c>
      <c r="B13" t="inlineStr">
        <is>
          <t>Financial and insurance activities</t>
        </is>
      </c>
      <c r="C13" t="n">
        <v>117.6822761939555</v>
      </c>
      <c r="D13" t="n">
        <v>109.9603345547989</v>
      </c>
      <c r="E13" t="n">
        <v>113.7336290182639</v>
      </c>
      <c r="F13" t="n">
        <v>260.7282379957738</v>
      </c>
      <c r="G13" t="n">
        <v>602.1044777627922</v>
      </c>
      <c r="H13" t="n">
        <v>122.2731778070802</v>
      </c>
      <c r="I13" t="n">
        <v>117.9217707096707</v>
      </c>
      <c r="J13" t="n">
        <v>125.8759539504248</v>
      </c>
      <c r="K13" t="n">
        <v>258.7327575551292</v>
      </c>
      <c r="L13" t="n">
        <v>624.8036600223049</v>
      </c>
      <c r="M13" t="n">
        <v>96.83986246417453</v>
      </c>
      <c r="N13" t="n">
        <v>89.91162958474544</v>
      </c>
      <c r="O13" t="n">
        <v>99.47839068817521</v>
      </c>
      <c r="P13" t="n">
        <v>148.7293793090599</v>
      </c>
      <c r="Q13" t="n">
        <v>434.9592620461551</v>
      </c>
      <c r="R13" t="n">
        <v>104.9439439257644</v>
      </c>
      <c r="S13" t="n">
        <v>97.49079840314504</v>
      </c>
      <c r="T13" t="n">
        <v>96.18494077051086</v>
      </c>
      <c r="U13" t="n">
        <v>171.2375099203772</v>
      </c>
      <c r="V13" t="n">
        <v>469.8571930197975</v>
      </c>
      <c r="W13" t="n">
        <v>102.1878266181339</v>
      </c>
      <c r="X13" t="n">
        <v>98.50788670475769</v>
      </c>
      <c r="Y13" t="n">
        <v>111.8661319117143</v>
      </c>
      <c r="Z13" t="n">
        <v>147.6814869036642</v>
      </c>
      <c r="AA13" t="n">
        <v>460.2433321382701</v>
      </c>
      <c r="AB13" t="n">
        <v>108.9047870212216</v>
      </c>
      <c r="AC13" t="n">
        <v>97.05238316530958</v>
      </c>
      <c r="AD13" t="n">
        <v>102.9299951229661</v>
      </c>
      <c r="AE13" t="n">
        <v>136.0890898851873</v>
      </c>
      <c r="AF13" t="n">
        <v>444.9762551946845</v>
      </c>
      <c r="AG13" t="n">
        <v>143.1320485636003</v>
      </c>
      <c r="AH13" t="n">
        <v>141.181571427827</v>
      </c>
      <c r="AI13" t="n">
        <v>160.9380020032799</v>
      </c>
      <c r="AJ13" t="n">
        <v>196.5406475911707</v>
      </c>
      <c r="AK13" t="n">
        <v>641.7922695858779</v>
      </c>
      <c r="AL13" t="n">
        <v>146.181196836506</v>
      </c>
      <c r="AM13" t="n">
        <v>150.1572415634804</v>
      </c>
      <c r="AN13" t="n">
        <v>165.1753637164787</v>
      </c>
      <c r="AO13" t="n">
        <v>145.4294940739629</v>
      </c>
      <c r="AP13" t="n">
        <v>606.943296190428</v>
      </c>
      <c r="AQ13" t="n">
        <v>165.8592520947089</v>
      </c>
      <c r="AR13" t="n">
        <v>167.9509139889194</v>
      </c>
      <c r="AS13" t="n">
        <v>186.8172896390864</v>
      </c>
      <c r="AT13" t="n">
        <v>188.3818309852964</v>
      </c>
      <c r="AU13" t="n">
        <v>709.0092867080111</v>
      </c>
      <c r="AV13" t="n">
        <v>211.9798704925138</v>
      </c>
      <c r="AW13" t="n">
        <v>196.298805528182</v>
      </c>
      <c r="AX13" t="n">
        <v>205.5487460655403</v>
      </c>
      <c r="AY13" t="n">
        <v>220.9698712467267</v>
      </c>
      <c r="AZ13" t="n">
        <v>834.7972933329628</v>
      </c>
      <c r="BA13" t="n">
        <v>201.8902689174529</v>
      </c>
      <c r="BB13" t="n">
        <v>201.9479416035583</v>
      </c>
      <c r="BC13" t="n">
        <v>232.1854315609306</v>
      </c>
      <c r="BD13" t="n">
        <v>268.5372714966452</v>
      </c>
      <c r="BE13" t="n">
        <v>904.5609135785869</v>
      </c>
      <c r="BF13" t="n">
        <v>250.8810290556778</v>
      </c>
      <c r="BG13" t="n">
        <v>320.8950693434091</v>
      </c>
      <c r="BH13" t="n">
        <v>299.6606585423526</v>
      </c>
      <c r="BI13" t="n">
        <v>308.0805838043493</v>
      </c>
      <c r="BJ13" t="n">
        <v>1179.517340745789</v>
      </c>
      <c r="BK13" t="n">
        <v>301.3119434908055</v>
      </c>
      <c r="BL13" t="n">
        <v>323.410401244118</v>
      </c>
      <c r="BM13" t="n">
        <v>365.7805470349882</v>
      </c>
      <c r="BN13" t="n">
        <v>356.3188653429467</v>
      </c>
      <c r="BO13" t="n">
        <v>1346.821757112858</v>
      </c>
      <c r="BP13" t="n">
        <v>317.7746316824409</v>
      </c>
      <c r="BQ13" t="n">
        <v>333.113949924109</v>
      </c>
      <c r="BR13" t="n">
        <v>368.4100609150293</v>
      </c>
      <c r="BS13" t="n">
        <v>354.3120040428184</v>
      </c>
      <c r="BT13" t="n">
        <v>1373.610646564398</v>
      </c>
      <c r="BU13" t="n">
        <v>400.2537742967775</v>
      </c>
      <c r="BV13" t="n">
        <v>389.6845493639026</v>
      </c>
      <c r="BW13" t="n">
        <v>466.1780374283325</v>
      </c>
      <c r="BX13" t="n">
        <v>451.2328156621402</v>
      </c>
      <c r="BY13" t="n">
        <v>1707.349176751153</v>
      </c>
      <c r="BZ13" t="n">
        <v>441.7070332158985</v>
      </c>
      <c r="CA13" t="n">
        <v>506.8472676251764</v>
      </c>
      <c r="CB13" t="n">
        <v>525.3374619902255</v>
      </c>
    </row>
    <row r="14">
      <c r="A14" t="inlineStr">
        <is>
          <t>L</t>
        </is>
      </c>
      <c r="B14" t="inlineStr">
        <is>
          <t>Real estate activities</t>
        </is>
      </c>
      <c r="C14" t="n">
        <v>56.76378908597719</v>
      </c>
      <c r="D14" t="n">
        <v>60.7262585764939</v>
      </c>
      <c r="E14" t="n">
        <v>79.05029890646136</v>
      </c>
      <c r="F14" t="n">
        <v>160.2340129018026</v>
      </c>
      <c r="G14" t="n">
        <v>356.774359470735</v>
      </c>
      <c r="H14" t="n">
        <v>83.28015116687855</v>
      </c>
      <c r="I14" t="n">
        <v>76.17196646893262</v>
      </c>
      <c r="J14" t="n">
        <v>91.94506251618554</v>
      </c>
      <c r="K14" t="n">
        <v>145.1056066797981</v>
      </c>
      <c r="L14" t="n">
        <v>396.5027868317948</v>
      </c>
      <c r="M14" t="n">
        <v>98.37776880384138</v>
      </c>
      <c r="N14" t="n">
        <v>72.87092886036915</v>
      </c>
      <c r="O14" t="n">
        <v>95.39608241008459</v>
      </c>
      <c r="P14" t="n">
        <v>167.3083510676581</v>
      </c>
      <c r="Q14" t="n">
        <v>433.9531311419532</v>
      </c>
      <c r="R14" t="n">
        <v>80.04910396709965</v>
      </c>
      <c r="S14" t="n">
        <v>94.22732284747346</v>
      </c>
      <c r="T14" t="n">
        <v>114.5111191293756</v>
      </c>
      <c r="U14" t="n">
        <v>167.8206652243858</v>
      </c>
      <c r="V14" t="n">
        <v>456.6082111683345</v>
      </c>
      <c r="W14" t="n">
        <v>127.4562638765904</v>
      </c>
      <c r="X14" t="n">
        <v>119.5745641305485</v>
      </c>
      <c r="Y14" t="n">
        <v>139.2914415427396</v>
      </c>
      <c r="Z14" t="n">
        <v>175.0079171933423</v>
      </c>
      <c r="AA14" t="n">
        <v>561.3301867432207</v>
      </c>
      <c r="AB14" t="n">
        <v>134.2851705317757</v>
      </c>
      <c r="AC14" t="n">
        <v>125.9083452123942</v>
      </c>
      <c r="AD14" t="n">
        <v>159.0317998770827</v>
      </c>
      <c r="AE14" t="n">
        <v>185.9283309277231</v>
      </c>
      <c r="AF14" t="n">
        <v>605.1536465489758</v>
      </c>
      <c r="AG14" t="n">
        <v>142.1947720761115</v>
      </c>
      <c r="AH14" t="n">
        <v>152.6244473192736</v>
      </c>
      <c r="AI14" t="n">
        <v>148.4402308430617</v>
      </c>
      <c r="AJ14" t="n">
        <v>212.8273925615792</v>
      </c>
      <c r="AK14" t="n">
        <v>656.086842800026</v>
      </c>
      <c r="AL14" t="n">
        <v>171.1644540371582</v>
      </c>
      <c r="AM14" t="n">
        <v>165.8528514611899</v>
      </c>
      <c r="AN14" t="n">
        <v>194.0426780633631</v>
      </c>
      <c r="AO14" t="n">
        <v>227.2225503748354</v>
      </c>
      <c r="AP14" t="n">
        <v>758.2825339365468</v>
      </c>
      <c r="AQ14" t="n">
        <v>163.5602504699131</v>
      </c>
      <c r="AR14" t="n">
        <v>184.5973436091731</v>
      </c>
      <c r="AS14" t="n">
        <v>233.1745666855268</v>
      </c>
      <c r="AT14" t="n">
        <v>233.0629744955983</v>
      </c>
      <c r="AU14" t="n">
        <v>814.3951352602113</v>
      </c>
      <c r="AV14" t="n">
        <v>221.7347447971195</v>
      </c>
      <c r="AW14" t="n">
        <v>216.9536652605311</v>
      </c>
      <c r="AX14" t="n">
        <v>239.7297476558994</v>
      </c>
      <c r="AY14" t="n">
        <v>273.3155008511357</v>
      </c>
      <c r="AZ14" t="n">
        <v>951.7336585646857</v>
      </c>
      <c r="BA14" t="n">
        <v>209.7256557165893</v>
      </c>
      <c r="BB14" t="n">
        <v>169.2758369089214</v>
      </c>
      <c r="BC14" t="n">
        <v>223.8065578790841</v>
      </c>
      <c r="BD14" t="n">
        <v>223.2130938617966</v>
      </c>
      <c r="BE14" t="n">
        <v>826.0211443663915</v>
      </c>
      <c r="BF14" t="n">
        <v>165.0409477828745</v>
      </c>
      <c r="BG14" t="n">
        <v>256.498092844606</v>
      </c>
      <c r="BH14" t="n">
        <v>269.0139339940603</v>
      </c>
      <c r="BI14" t="n">
        <v>256.3547575149732</v>
      </c>
      <c r="BJ14" t="n">
        <v>946.9077321365139</v>
      </c>
      <c r="BK14" t="n">
        <v>241.6541394831373</v>
      </c>
      <c r="BL14" t="n">
        <v>258.3584934464452</v>
      </c>
      <c r="BM14" t="n">
        <v>342.1119909296627</v>
      </c>
      <c r="BN14" t="n">
        <v>352.3742866093152</v>
      </c>
      <c r="BO14" t="n">
        <v>1194.498910468561</v>
      </c>
      <c r="BP14" t="n">
        <v>279.3401644115658</v>
      </c>
      <c r="BQ14" t="n">
        <v>305.3331925740789</v>
      </c>
      <c r="BR14" t="n">
        <v>380.2606775899569</v>
      </c>
      <c r="BS14" t="n">
        <v>462.0816503961176</v>
      </c>
      <c r="BT14" t="n">
        <v>1427.015684971719</v>
      </c>
      <c r="BU14" t="n">
        <v>405.9357084593265</v>
      </c>
      <c r="BV14" t="n">
        <v>419.6929033437869</v>
      </c>
      <c r="BW14" t="n">
        <v>524.5139320008161</v>
      </c>
      <c r="BX14" t="n">
        <v>567.0055482379563</v>
      </c>
      <c r="BY14" t="n">
        <v>1917.148092041886</v>
      </c>
      <c r="BZ14" t="n">
        <v>458.6216634195948</v>
      </c>
      <c r="CA14" t="n">
        <v>500.6727483924525</v>
      </c>
      <c r="CB14" t="n">
        <v>635.0704182019548</v>
      </c>
    </row>
    <row r="15">
      <c r="A15" t="inlineStr">
        <is>
          <t>M</t>
        </is>
      </c>
      <c r="B15" t="inlineStr">
        <is>
          <t>Professional, scientific and technical activities</t>
        </is>
      </c>
      <c r="C15" t="n">
        <v>25.42591470256866</v>
      </c>
      <c r="D15" t="n">
        <v>31.86811861321375</v>
      </c>
      <c r="E15" t="n">
        <v>32.49575303558632</v>
      </c>
      <c r="F15" t="n">
        <v>50.91559350855862</v>
      </c>
      <c r="G15" t="n">
        <v>140.7053798599273</v>
      </c>
      <c r="H15" t="n">
        <v>39.41907911821215</v>
      </c>
      <c r="I15" t="n">
        <v>58.5773852893644</v>
      </c>
      <c r="J15" t="n">
        <v>61.33922817651511</v>
      </c>
      <c r="K15" t="n">
        <v>78.49628635568884</v>
      </c>
      <c r="L15" t="n">
        <v>237.8319789397805</v>
      </c>
      <c r="M15" t="n">
        <v>51.08412529040307</v>
      </c>
      <c r="N15" t="n">
        <v>61.01739410805218</v>
      </c>
      <c r="O15" t="n">
        <v>61.07290817008257</v>
      </c>
      <c r="P15" t="n">
        <v>63.67067798155953</v>
      </c>
      <c r="Q15" t="n">
        <v>236.8451055500973</v>
      </c>
      <c r="R15" t="n">
        <v>55.41420549481215</v>
      </c>
      <c r="S15" t="n">
        <v>74.9115545725374</v>
      </c>
      <c r="T15" t="n">
        <v>76.30310349316549</v>
      </c>
      <c r="U15" t="n">
        <v>93.45851692011064</v>
      </c>
      <c r="V15" t="n">
        <v>300.0873804806257</v>
      </c>
      <c r="W15" t="n">
        <v>54.52660615236046</v>
      </c>
      <c r="X15" t="n">
        <v>64.05221386916239</v>
      </c>
      <c r="Y15" t="n">
        <v>72.71962327352064</v>
      </c>
      <c r="Z15" t="n">
        <v>78.11697368359576</v>
      </c>
      <c r="AA15" t="n">
        <v>269.4154169786393</v>
      </c>
      <c r="AB15" t="n">
        <v>85.7232320231964</v>
      </c>
      <c r="AC15" t="n">
        <v>92.83580433443218</v>
      </c>
      <c r="AD15" t="n">
        <v>94.55333927311324</v>
      </c>
      <c r="AE15" t="n">
        <v>130.3542910420969</v>
      </c>
      <c r="AF15" t="n">
        <v>403.4666666728388</v>
      </c>
      <c r="AG15" t="n">
        <v>95.23852500271349</v>
      </c>
      <c r="AH15" t="n">
        <v>113.9661401192341</v>
      </c>
      <c r="AI15" t="n">
        <v>115.2387256037537</v>
      </c>
      <c r="AJ15" t="n">
        <v>128.8027026162725</v>
      </c>
      <c r="AK15" t="n">
        <v>453.2460933419737</v>
      </c>
      <c r="AL15" t="n">
        <v>94.73603301651383</v>
      </c>
      <c r="AM15" t="n">
        <v>110.7929996360831</v>
      </c>
      <c r="AN15" t="n">
        <v>121.1527595303376</v>
      </c>
      <c r="AO15" t="n">
        <v>135.717443248563</v>
      </c>
      <c r="AP15" t="n">
        <v>462.3992354314975</v>
      </c>
      <c r="AQ15" t="n">
        <v>103.3316459223822</v>
      </c>
      <c r="AR15" t="n">
        <v>116.3659902886831</v>
      </c>
      <c r="AS15" t="n">
        <v>123.590605282742</v>
      </c>
      <c r="AT15" t="n">
        <v>136.8034659352613</v>
      </c>
      <c r="AU15" t="n">
        <v>480.0917074290687</v>
      </c>
      <c r="AV15" t="n">
        <v>119.6481979261357</v>
      </c>
      <c r="AW15" t="n">
        <v>130.9159544174502</v>
      </c>
      <c r="AX15" t="n">
        <v>140.1309307566138</v>
      </c>
      <c r="AY15" t="n">
        <v>162.1765027620549</v>
      </c>
      <c r="AZ15" t="n">
        <v>552.8715858622545</v>
      </c>
      <c r="BA15" t="n">
        <v>108.7270693239168</v>
      </c>
      <c r="BB15" t="n">
        <v>98.92278281627415</v>
      </c>
      <c r="BC15" t="n">
        <v>127.923411625022</v>
      </c>
      <c r="BD15" t="n">
        <v>133.2507692294672</v>
      </c>
      <c r="BE15" t="n">
        <v>468.8240329946801</v>
      </c>
      <c r="BF15" t="n">
        <v>135.4242393650281</v>
      </c>
      <c r="BG15" t="n">
        <v>160.4058002044765</v>
      </c>
      <c r="BH15" t="n">
        <v>180.9003270233111</v>
      </c>
      <c r="BI15" t="n">
        <v>189.6857972967742</v>
      </c>
      <c r="BJ15" t="n">
        <v>666.4161638895899</v>
      </c>
      <c r="BK15" t="n">
        <v>161.1747993882414</v>
      </c>
      <c r="BL15" t="n">
        <v>159.7194745492676</v>
      </c>
      <c r="BM15" t="n">
        <v>193.8046728314065</v>
      </c>
      <c r="BN15" t="n">
        <v>203.9892063545787</v>
      </c>
      <c r="BO15" t="n">
        <v>718.6881531234942</v>
      </c>
      <c r="BP15" t="n">
        <v>161.1067706450851</v>
      </c>
      <c r="BQ15" t="n">
        <v>180.9853450054508</v>
      </c>
      <c r="BR15" t="n">
        <v>221.4507921861546</v>
      </c>
      <c r="BS15" t="n">
        <v>223.6985106943822</v>
      </c>
      <c r="BT15" t="n">
        <v>787.2414185310727</v>
      </c>
      <c r="BU15" t="n">
        <v>181.3646121881185</v>
      </c>
      <c r="BV15" t="n">
        <v>202.0641639585041</v>
      </c>
      <c r="BW15" t="n">
        <v>230.4559207876538</v>
      </c>
      <c r="BX15" t="n">
        <v>249.670695717359</v>
      </c>
      <c r="BY15" t="n">
        <v>863.5553926516354</v>
      </c>
      <c r="BZ15" t="n">
        <v>204.386227457748</v>
      </c>
      <c r="CA15" t="n">
        <v>233.9217951408297</v>
      </c>
      <c r="CB15" t="n">
        <v>255.362382588458</v>
      </c>
    </row>
    <row r="16">
      <c r="A16" t="inlineStr">
        <is>
          <t>N</t>
        </is>
      </c>
      <c r="B16" t="inlineStr">
        <is>
          <t>Administrative and support service activities</t>
        </is>
      </c>
      <c r="C16" t="n">
        <v>15.58484157002345</v>
      </c>
      <c r="D16" t="n">
        <v>23.47127481165673</v>
      </c>
      <c r="E16" t="n">
        <v>24.05060824882277</v>
      </c>
      <c r="F16" t="n">
        <v>24.24435137971652</v>
      </c>
      <c r="G16" t="n">
        <v>87.35107601021947</v>
      </c>
      <c r="H16" t="n">
        <v>17.44155696669383</v>
      </c>
      <c r="I16" t="n">
        <v>23.192754873905</v>
      </c>
      <c r="J16" t="n">
        <v>22.08718307253622</v>
      </c>
      <c r="K16" t="n">
        <v>33.16290298141689</v>
      </c>
      <c r="L16" t="n">
        <v>95.88439789455195</v>
      </c>
      <c r="M16" t="n">
        <v>22.3746380252034</v>
      </c>
      <c r="N16" t="n">
        <v>28.39486258261432</v>
      </c>
      <c r="O16" t="n">
        <v>26.75490053767195</v>
      </c>
      <c r="P16" t="n">
        <v>27.2513589882604</v>
      </c>
      <c r="Q16" t="n">
        <v>104.7757601337501</v>
      </c>
      <c r="R16" t="n">
        <v>17.02148390726262</v>
      </c>
      <c r="S16" t="n">
        <v>21.467666748375</v>
      </c>
      <c r="T16" t="n">
        <v>26.43267600827499</v>
      </c>
      <c r="U16" t="n">
        <v>40.96420850755844</v>
      </c>
      <c r="V16" t="n">
        <v>105.8860351714711</v>
      </c>
      <c r="W16" t="n">
        <v>23.14830726614855</v>
      </c>
      <c r="X16" t="n">
        <v>31.39680045484853</v>
      </c>
      <c r="Y16" t="n">
        <v>39.12694698229088</v>
      </c>
      <c r="Z16" t="n">
        <v>37.39752625811283</v>
      </c>
      <c r="AA16" t="n">
        <v>131.0695809614008</v>
      </c>
      <c r="AB16" t="n">
        <v>47.80253623876713</v>
      </c>
      <c r="AC16" t="n">
        <v>55.50149606473012</v>
      </c>
      <c r="AD16" t="n">
        <v>49.04998639424429</v>
      </c>
      <c r="AE16" t="n">
        <v>50.63819776276782</v>
      </c>
      <c r="AF16" t="n">
        <v>202.9922164605094</v>
      </c>
      <c r="AG16" t="n">
        <v>36.04578594504611</v>
      </c>
      <c r="AH16" t="n">
        <v>44.34841426322198</v>
      </c>
      <c r="AI16" t="n">
        <v>54.07518154138376</v>
      </c>
      <c r="AJ16" t="n">
        <v>41.9727042629194</v>
      </c>
      <c r="AK16" t="n">
        <v>176.4420860125712</v>
      </c>
      <c r="AL16" t="n">
        <v>61.13617186762711</v>
      </c>
      <c r="AM16" t="n">
        <v>84.59984878510036</v>
      </c>
      <c r="AN16" t="n">
        <v>94.73948378410039</v>
      </c>
      <c r="AO16" t="n">
        <v>83.02811989513894</v>
      </c>
      <c r="AP16" t="n">
        <v>323.5036243319668</v>
      </c>
      <c r="AQ16" t="n">
        <v>68.94987279072386</v>
      </c>
      <c r="AR16" t="n">
        <v>92.83879125130021</v>
      </c>
      <c r="AS16" t="n">
        <v>116.5300880227885</v>
      </c>
      <c r="AT16" t="n">
        <v>92.27548428039896</v>
      </c>
      <c r="AU16" t="n">
        <v>370.5942363452115</v>
      </c>
      <c r="AV16" t="n">
        <v>81.98646301846199</v>
      </c>
      <c r="AW16" t="n">
        <v>114.7622952166444</v>
      </c>
      <c r="AX16" t="n">
        <v>136.7446935208332</v>
      </c>
      <c r="AY16" t="n">
        <v>98.10201911286036</v>
      </c>
      <c r="AZ16" t="n">
        <v>431.5954708688</v>
      </c>
      <c r="BA16" t="n">
        <v>86.78211088457866</v>
      </c>
      <c r="BB16" t="n">
        <v>46.02572346063647</v>
      </c>
      <c r="BC16" t="n">
        <v>54.67370510003287</v>
      </c>
      <c r="BD16" t="n">
        <v>54.75963445142096</v>
      </c>
      <c r="BE16" t="n">
        <v>242.241173896669</v>
      </c>
      <c r="BF16" t="n">
        <v>43.55522114791822</v>
      </c>
      <c r="BG16" t="n">
        <v>53.67477824755711</v>
      </c>
      <c r="BH16" t="n">
        <v>87.28913155589234</v>
      </c>
      <c r="BI16" t="n">
        <v>73.06684452499128</v>
      </c>
      <c r="BJ16" t="n">
        <v>257.585975476359</v>
      </c>
      <c r="BK16" t="n">
        <v>74.36071854813767</v>
      </c>
      <c r="BL16" t="n">
        <v>89.23976800285605</v>
      </c>
      <c r="BM16" t="n">
        <v>134.2205615813461</v>
      </c>
      <c r="BN16" t="n">
        <v>118.3958723690888</v>
      </c>
      <c r="BO16" t="n">
        <v>416.2169205014287</v>
      </c>
      <c r="BP16" t="n">
        <v>98.06844766544729</v>
      </c>
      <c r="BQ16" t="n">
        <v>121.5111968973911</v>
      </c>
      <c r="BR16" t="n">
        <v>167.8516944866703</v>
      </c>
      <c r="BS16" t="n">
        <v>140.5340281189054</v>
      </c>
      <c r="BT16" t="n">
        <v>527.9653671684142</v>
      </c>
      <c r="BU16" t="n">
        <v>120.3885833547754</v>
      </c>
      <c r="BV16" t="n">
        <v>170.5133193592006</v>
      </c>
      <c r="BW16" t="n">
        <v>216.5504517563768</v>
      </c>
      <c r="BX16" t="n">
        <v>183.3099453320305</v>
      </c>
      <c r="BY16" t="n">
        <v>690.7622998023833</v>
      </c>
      <c r="BZ16" t="n">
        <v>154.082527409729</v>
      </c>
      <c r="CA16" t="n">
        <v>203.05524222399</v>
      </c>
      <c r="CB16" t="n">
        <v>244.4884427307406</v>
      </c>
    </row>
    <row r="17">
      <c r="A17" t="inlineStr">
        <is>
          <t>O</t>
        </is>
      </c>
      <c r="B17" t="inlineStr">
        <is>
          <t>Public administration and defence; compulsory social security</t>
        </is>
      </c>
      <c r="C17" t="n">
        <v>153.3531769827256</v>
      </c>
      <c r="D17" t="n">
        <v>233.4606180004307</v>
      </c>
      <c r="E17" t="n">
        <v>269.3973013342616</v>
      </c>
      <c r="F17" t="n">
        <v>362.2152231469126</v>
      </c>
      <c r="G17" t="n">
        <v>1018.426319464331</v>
      </c>
      <c r="H17" t="n">
        <v>198.0710897389408</v>
      </c>
      <c r="I17" t="n">
        <v>270.2642335376265</v>
      </c>
      <c r="J17" t="n">
        <v>286.2285045717857</v>
      </c>
      <c r="K17" t="n">
        <v>342.9405038818772</v>
      </c>
      <c r="L17" t="n">
        <v>1097.50433173023</v>
      </c>
      <c r="M17" t="n">
        <v>272.0770478947982</v>
      </c>
      <c r="N17" t="n">
        <v>307.1697028512876</v>
      </c>
      <c r="O17" t="n">
        <v>296.5311972465199</v>
      </c>
      <c r="P17" t="n">
        <v>295.7204080709628</v>
      </c>
      <c r="Q17" t="n">
        <v>1171.498356063569</v>
      </c>
      <c r="R17" t="n">
        <v>163.7617994059187</v>
      </c>
      <c r="S17" t="n">
        <v>214.2502938419049</v>
      </c>
      <c r="T17" t="n">
        <v>261.7310634243991</v>
      </c>
      <c r="U17" t="n">
        <v>376.7766741857376</v>
      </c>
      <c r="V17" t="n">
        <v>1016.51983085796</v>
      </c>
      <c r="W17" t="n">
        <v>220.8424195974191</v>
      </c>
      <c r="X17" t="n">
        <v>274.8029648484518</v>
      </c>
      <c r="Y17" t="n">
        <v>284.3263977195675</v>
      </c>
      <c r="Z17" t="n">
        <v>334.4874746841319</v>
      </c>
      <c r="AA17" t="n">
        <v>1114.45925684957</v>
      </c>
      <c r="AB17" t="n">
        <v>177.9343723075527</v>
      </c>
      <c r="AC17" t="n">
        <v>238.8957876237707</v>
      </c>
      <c r="AD17" t="n">
        <v>265.1430867107906</v>
      </c>
      <c r="AE17" t="n">
        <v>339.1878565427484</v>
      </c>
      <c r="AF17" t="n">
        <v>1021.161103184862</v>
      </c>
      <c r="AG17" t="n">
        <v>218.3640524838605</v>
      </c>
      <c r="AH17" t="n">
        <v>267.5537757146336</v>
      </c>
      <c r="AI17" t="n">
        <v>280.3054488756006</v>
      </c>
      <c r="AJ17" t="n">
        <v>367.1343281113934</v>
      </c>
      <c r="AK17" t="n">
        <v>1133.357605185488</v>
      </c>
      <c r="AL17" t="n">
        <v>223.6407713199075</v>
      </c>
      <c r="AM17" t="n">
        <v>327.7103052375961</v>
      </c>
      <c r="AN17" t="n">
        <v>345.8614871081993</v>
      </c>
      <c r="AO17" t="n">
        <v>391.2412956968198</v>
      </c>
      <c r="AP17" t="n">
        <v>1288.453859362523</v>
      </c>
      <c r="AQ17" t="n">
        <v>275.5971118274875</v>
      </c>
      <c r="AR17" t="n">
        <v>319.7181547291169</v>
      </c>
      <c r="AS17" t="n">
        <v>311.306483455475</v>
      </c>
      <c r="AT17" t="n">
        <v>423.0389045733712</v>
      </c>
      <c r="AU17" t="n">
        <v>1329.660654585451</v>
      </c>
      <c r="AV17" t="n">
        <v>280.8394543651148</v>
      </c>
      <c r="AW17" t="n">
        <v>333.6633921694906</v>
      </c>
      <c r="AX17" t="n">
        <v>312.7241677207765</v>
      </c>
      <c r="AY17" t="n">
        <v>384.5004865560869</v>
      </c>
      <c r="AZ17" t="n">
        <v>1311.727500811469</v>
      </c>
      <c r="BA17" t="n">
        <v>278.9680400266361</v>
      </c>
      <c r="BB17" t="n">
        <v>263.9886563685948</v>
      </c>
      <c r="BC17" t="n">
        <v>322.5667143278155</v>
      </c>
      <c r="BD17" t="n">
        <v>420.3246178866793</v>
      </c>
      <c r="BE17" t="n">
        <v>1285.848028609726</v>
      </c>
      <c r="BF17" t="n">
        <v>286.711679005672</v>
      </c>
      <c r="BG17" t="n">
        <v>376.9786774713238</v>
      </c>
      <c r="BH17" t="n">
        <v>408.0156945907132</v>
      </c>
      <c r="BI17" t="n">
        <v>475.5890558257091</v>
      </c>
      <c r="BJ17" t="n">
        <v>1547.295106893418</v>
      </c>
      <c r="BK17" t="n">
        <v>349.1451384659721</v>
      </c>
      <c r="BL17" t="n">
        <v>405.8837892427157</v>
      </c>
      <c r="BM17" t="n">
        <v>429.5445088974755</v>
      </c>
      <c r="BN17" t="n">
        <v>576.7458693526945</v>
      </c>
      <c r="BO17" t="n">
        <v>1761.319305958858</v>
      </c>
      <c r="BP17" t="n">
        <v>440.1448784202698</v>
      </c>
      <c r="BQ17" t="n">
        <v>567.5365892287994</v>
      </c>
      <c r="BR17" t="n">
        <v>495.9121494178545</v>
      </c>
      <c r="BS17" t="n">
        <v>657.6791650108084</v>
      </c>
      <c r="BT17" t="n">
        <v>2161.272782077732</v>
      </c>
      <c r="BU17" t="n">
        <v>526.4254025480978</v>
      </c>
      <c r="BV17" t="n">
        <v>581.734282567204</v>
      </c>
      <c r="BW17" t="n">
        <v>549.1749428268888</v>
      </c>
      <c r="BX17" t="n">
        <v>688.6391970030136</v>
      </c>
      <c r="BY17" t="n">
        <v>2345.973824945204</v>
      </c>
      <c r="BZ17" t="n">
        <v>510.5483119812205</v>
      </c>
      <c r="CA17" t="n">
        <v>554.9226388133518</v>
      </c>
      <c r="CB17" t="n">
        <v>541.9010236390967</v>
      </c>
    </row>
    <row r="18">
      <c r="A18" t="inlineStr">
        <is>
          <t>P</t>
        </is>
      </c>
      <c r="B18" t="inlineStr">
        <is>
          <t>Education</t>
        </is>
      </c>
      <c r="C18" t="n">
        <v>38.69112926382435</v>
      </c>
      <c r="D18" t="n">
        <v>41.14734288754417</v>
      </c>
      <c r="E18" t="n">
        <v>37.02743448233947</v>
      </c>
      <c r="F18" t="n">
        <v>52.29884810390054</v>
      </c>
      <c r="G18" t="n">
        <v>169.1647547376085</v>
      </c>
      <c r="H18" t="n">
        <v>53.28334586551564</v>
      </c>
      <c r="I18" t="n">
        <v>55.33548964584944</v>
      </c>
      <c r="J18" t="n">
        <v>47.85212257321659</v>
      </c>
      <c r="K18" t="n">
        <v>59.64256500274867</v>
      </c>
      <c r="L18" t="n">
        <v>216.1135230873303</v>
      </c>
      <c r="M18" t="n">
        <v>45.51647424406881</v>
      </c>
      <c r="N18" t="n">
        <v>49.92016748294704</v>
      </c>
      <c r="O18" t="n">
        <v>39.32836359122742</v>
      </c>
      <c r="P18" t="n">
        <v>54.85069075996064</v>
      </c>
      <c r="Q18" t="n">
        <v>189.6156960782039</v>
      </c>
      <c r="R18" t="n">
        <v>51.46300756139045</v>
      </c>
      <c r="S18" t="n">
        <v>61.5612213168845</v>
      </c>
      <c r="T18" t="n">
        <v>50.39686343255068</v>
      </c>
      <c r="U18" t="n">
        <v>87.63522183453883</v>
      </c>
      <c r="V18" t="n">
        <v>251.0563141453645</v>
      </c>
      <c r="W18" t="n">
        <v>59.6760096934722</v>
      </c>
      <c r="X18" t="n">
        <v>67.50211440769442</v>
      </c>
      <c r="Y18" t="n">
        <v>110.4714408275722</v>
      </c>
      <c r="Z18" t="n">
        <v>82.2250098422943</v>
      </c>
      <c r="AA18" t="n">
        <v>319.8745747710331</v>
      </c>
      <c r="AB18" t="n">
        <v>63.76241233865384</v>
      </c>
      <c r="AC18" t="n">
        <v>71.03020011750721</v>
      </c>
      <c r="AD18" t="n">
        <v>53.73775088011388</v>
      </c>
      <c r="AE18" t="n">
        <v>82.39692949231473</v>
      </c>
      <c r="AF18" t="n">
        <v>270.9272928285897</v>
      </c>
      <c r="AG18" t="n">
        <v>64.14697479193025</v>
      </c>
      <c r="AH18" t="n">
        <v>67.25052227878354</v>
      </c>
      <c r="AI18" t="n">
        <v>54.29041674598958</v>
      </c>
      <c r="AJ18" t="n">
        <v>76.22480423736897</v>
      </c>
      <c r="AK18" t="n">
        <v>261.9127180540723</v>
      </c>
      <c r="AL18" t="n">
        <v>71.32238456152274</v>
      </c>
      <c r="AM18" t="n">
        <v>76.00994495178445</v>
      </c>
      <c r="AN18" t="n">
        <v>61.01472139378345</v>
      </c>
      <c r="AO18" t="n">
        <v>83.73066386964641</v>
      </c>
      <c r="AP18" t="n">
        <v>292.077714776737</v>
      </c>
      <c r="AQ18" t="n">
        <v>81.40054917862325</v>
      </c>
      <c r="AR18" t="n">
        <v>89.03954488689946</v>
      </c>
      <c r="AS18" t="n">
        <v>68.80678795791168</v>
      </c>
      <c r="AT18" t="n">
        <v>91.60819686700687</v>
      </c>
      <c r="AU18" t="n">
        <v>330.8550788904413</v>
      </c>
      <c r="AV18" t="n">
        <v>101.5050033333235</v>
      </c>
      <c r="AW18" t="n">
        <v>108.5268370087425</v>
      </c>
      <c r="AX18" t="n">
        <v>83.78470915466747</v>
      </c>
      <c r="AY18" t="n">
        <v>125.2371545638316</v>
      </c>
      <c r="AZ18" t="n">
        <v>419.0537040605651</v>
      </c>
      <c r="BA18" t="n">
        <v>96.2843329108557</v>
      </c>
      <c r="BB18" t="n">
        <v>81.73599013533256</v>
      </c>
      <c r="BC18" t="n">
        <v>67.96571523893125</v>
      </c>
      <c r="BD18" t="n">
        <v>100.3761155067207</v>
      </c>
      <c r="BE18" t="n">
        <v>346.3621537918402</v>
      </c>
      <c r="BF18" t="n">
        <v>107.3940928928876</v>
      </c>
      <c r="BG18" t="n">
        <v>119.4371352653709</v>
      </c>
      <c r="BH18" t="n">
        <v>92.27325193084644</v>
      </c>
      <c r="BI18" t="n">
        <v>140.0890244154793</v>
      </c>
      <c r="BJ18" t="n">
        <v>459.1935045045842</v>
      </c>
      <c r="BK18" t="n">
        <v>127.1534754577775</v>
      </c>
      <c r="BL18" t="n">
        <v>144.6208364880739</v>
      </c>
      <c r="BM18" t="n">
        <v>105.987203467718</v>
      </c>
      <c r="BN18" t="n">
        <v>162.3910824219689</v>
      </c>
      <c r="BO18" t="n">
        <v>540.1525978355384</v>
      </c>
      <c r="BP18" t="n">
        <v>176.9266213920786</v>
      </c>
      <c r="BQ18" t="n">
        <v>197.0200062597129</v>
      </c>
      <c r="BR18" t="n">
        <v>157.0382900074901</v>
      </c>
      <c r="BS18" t="n">
        <v>229.5613086111773</v>
      </c>
      <c r="BT18" t="n">
        <v>760.546226270459</v>
      </c>
      <c r="BU18" t="n">
        <v>202.0911391781514</v>
      </c>
      <c r="BV18" t="n">
        <v>227.8253797758144</v>
      </c>
      <c r="BW18" t="n">
        <v>169.2102504802251</v>
      </c>
      <c r="BX18" t="n">
        <v>276.3774477236137</v>
      </c>
      <c r="BY18" t="n">
        <v>875.5042171578045</v>
      </c>
      <c r="BZ18" t="n">
        <v>244.9156059536288</v>
      </c>
      <c r="CA18" t="n">
        <v>272.983196119444</v>
      </c>
      <c r="CB18" t="n">
        <v>193.3892343465867</v>
      </c>
    </row>
    <row r="19">
      <c r="A19" t="inlineStr">
        <is>
          <t>Q</t>
        </is>
      </c>
      <c r="B19" t="inlineStr">
        <is>
          <t>Human health and social work activities</t>
        </is>
      </c>
      <c r="C19" t="n">
        <v>112.6314335128239</v>
      </c>
      <c r="D19" t="n">
        <v>125.7084865408527</v>
      </c>
      <c r="E19" t="n">
        <v>129.3497415645011</v>
      </c>
      <c r="F19" t="n">
        <v>153.0704944517134</v>
      </c>
      <c r="G19" t="n">
        <v>520.7601560698911</v>
      </c>
      <c r="H19" t="n">
        <v>129.5961702568957</v>
      </c>
      <c r="I19" t="n">
        <v>137.6145206964083</v>
      </c>
      <c r="J19" t="n">
        <v>140.1351315189456</v>
      </c>
      <c r="K19" t="n">
        <v>151.8254127721993</v>
      </c>
      <c r="L19" t="n">
        <v>559.1712352444489</v>
      </c>
      <c r="M19" t="n">
        <v>122.432612524817</v>
      </c>
      <c r="N19" t="n">
        <v>129.9794269466627</v>
      </c>
      <c r="O19" t="n">
        <v>132.1052554289836</v>
      </c>
      <c r="P19" t="n">
        <v>153.591084910423</v>
      </c>
      <c r="Q19" t="n">
        <v>538.1083798108864</v>
      </c>
      <c r="R19" t="n">
        <v>117.9764094024967</v>
      </c>
      <c r="S19" t="n">
        <v>128.9751552827004</v>
      </c>
      <c r="T19" t="n">
        <v>127.5561552094002</v>
      </c>
      <c r="U19" t="n">
        <v>146.4036369763409</v>
      </c>
      <c r="V19" t="n">
        <v>520.9113568709381</v>
      </c>
      <c r="W19" t="n">
        <v>155.2475581734944</v>
      </c>
      <c r="X19" t="n">
        <v>168.7611148565342</v>
      </c>
      <c r="Y19" t="n">
        <v>169.8820126981534</v>
      </c>
      <c r="Z19" t="n">
        <v>195.9832534265151</v>
      </c>
      <c r="AA19" t="n">
        <v>689.8739391546969</v>
      </c>
      <c r="AB19" t="n">
        <v>187.5393589481488</v>
      </c>
      <c r="AC19" t="n">
        <v>199.4689661685948</v>
      </c>
      <c r="AD19" t="n">
        <v>189.5186221617724</v>
      </c>
      <c r="AE19" t="n">
        <v>199.073284640989</v>
      </c>
      <c r="AF19" t="n">
        <v>775.6002319195049</v>
      </c>
      <c r="AG19" t="n">
        <v>230.6288708507435</v>
      </c>
      <c r="AH19" t="n">
        <v>211.6762899333617</v>
      </c>
      <c r="AI19" t="n">
        <v>194.392194635622</v>
      </c>
      <c r="AJ19" t="n">
        <v>225.9998326526691</v>
      </c>
      <c r="AK19" t="n">
        <v>862.6971880723963</v>
      </c>
      <c r="AL19" t="n">
        <v>228.7173658031388</v>
      </c>
      <c r="AM19" t="n">
        <v>238.3157442671628</v>
      </c>
      <c r="AN19" t="n">
        <v>225.2162478336276</v>
      </c>
      <c r="AO19" t="n">
        <v>258.8557709687192</v>
      </c>
      <c r="AP19" t="n">
        <v>951.1051288726485</v>
      </c>
      <c r="AQ19" t="n">
        <v>243.2379114729415</v>
      </c>
      <c r="AR19" t="n">
        <v>254.8528089014826</v>
      </c>
      <c r="AS19" t="n">
        <v>253.6111229628153</v>
      </c>
      <c r="AT19" t="n">
        <v>307.0847698015076</v>
      </c>
      <c r="AU19" t="n">
        <v>1058.786613138747</v>
      </c>
      <c r="AV19" t="n">
        <v>280.8510873714606</v>
      </c>
      <c r="AW19" t="n">
        <v>311.9834988882884</v>
      </c>
      <c r="AX19" t="n">
        <v>312.2380992436957</v>
      </c>
      <c r="AY19" t="n">
        <v>372.6637178331882</v>
      </c>
      <c r="AZ19" t="n">
        <v>1277.736403336633</v>
      </c>
      <c r="BA19" t="n">
        <v>396.9026099483841</v>
      </c>
      <c r="BB19" t="n">
        <v>414.4739072403163</v>
      </c>
      <c r="BC19" t="n">
        <v>465.9777736623272</v>
      </c>
      <c r="BD19" t="n">
        <v>522.3381297789377</v>
      </c>
      <c r="BE19" t="n">
        <v>1799.692420629965</v>
      </c>
      <c r="BF19" t="n">
        <v>452.2216383478255</v>
      </c>
      <c r="BG19" t="n">
        <v>480.7554603242521</v>
      </c>
      <c r="BH19" t="n">
        <v>508.1556998324024</v>
      </c>
      <c r="BI19" t="n">
        <v>605.8425036316289</v>
      </c>
      <c r="BJ19" t="n">
        <v>2046.975302136109</v>
      </c>
      <c r="BK19" t="n">
        <v>524.4309386552502</v>
      </c>
      <c r="BL19" t="n">
        <v>491.8453343348123</v>
      </c>
      <c r="BM19" t="n">
        <v>413.206868021614</v>
      </c>
      <c r="BN19" t="n">
        <v>473.4703404107785</v>
      </c>
      <c r="BO19" t="n">
        <v>1902.953481422455</v>
      </c>
      <c r="BP19" t="n">
        <v>372.0732915845678</v>
      </c>
      <c r="BQ19" t="n">
        <v>368.1567050963242</v>
      </c>
      <c r="BR19" t="n">
        <v>348.7208371953222</v>
      </c>
      <c r="BS19" t="n">
        <v>370.3360311177754</v>
      </c>
      <c r="BT19" t="n">
        <v>1459.28686499399</v>
      </c>
      <c r="BU19" t="n">
        <v>364.7657409084158</v>
      </c>
      <c r="BV19" t="n">
        <v>376.6744882844844</v>
      </c>
      <c r="BW19" t="n">
        <v>393.6065717377061</v>
      </c>
      <c r="BX19" t="n">
        <v>478.957386459529</v>
      </c>
      <c r="BY19" t="n">
        <v>1614.004187390135</v>
      </c>
      <c r="BZ19" t="n">
        <v>458.2540332724073</v>
      </c>
      <c r="CA19" t="n">
        <v>485.5794844744253</v>
      </c>
      <c r="CB19" t="n">
        <v>479.4902132118734</v>
      </c>
    </row>
    <row r="20">
      <c r="A20" t="inlineStr">
        <is>
          <t>R</t>
        </is>
      </c>
      <c r="B20" t="inlineStr">
        <is>
          <t>Arts, entertainment and recreation</t>
        </is>
      </c>
      <c r="C20" t="n">
        <v>51.39797744927057</v>
      </c>
      <c r="D20" t="n">
        <v>87.68380369372953</v>
      </c>
      <c r="E20" t="n">
        <v>77.75659745437576</v>
      </c>
      <c r="F20" t="n">
        <v>122.1818354263372</v>
      </c>
      <c r="G20" t="n">
        <v>339.0202140237132</v>
      </c>
      <c r="H20" t="n">
        <v>60.13128214380296</v>
      </c>
      <c r="I20" t="n">
        <v>79.76242041423029</v>
      </c>
      <c r="J20" t="n">
        <v>73.74966629110145</v>
      </c>
      <c r="K20" t="n">
        <v>91.32078765485575</v>
      </c>
      <c r="L20" t="n">
        <v>304.9641565039905</v>
      </c>
      <c r="M20" t="n">
        <v>176.6072855802433</v>
      </c>
      <c r="N20" t="n">
        <v>236.5137243153174</v>
      </c>
      <c r="O20" t="n">
        <v>313.8984186414252</v>
      </c>
      <c r="P20" t="n">
        <v>323.9012459971012</v>
      </c>
      <c r="Q20" t="n">
        <v>1050.920674534087</v>
      </c>
      <c r="R20" t="n">
        <v>234.5619368409343</v>
      </c>
      <c r="S20" t="n">
        <v>274.9829251240342</v>
      </c>
      <c r="T20" t="n">
        <v>260.0462284328897</v>
      </c>
      <c r="U20" t="n">
        <v>260.1568996319256</v>
      </c>
      <c r="V20" t="n">
        <v>1029.747990029784</v>
      </c>
      <c r="W20" t="n">
        <v>110.0704081427812</v>
      </c>
      <c r="X20" t="n">
        <v>113.5867134882413</v>
      </c>
      <c r="Y20" t="n">
        <v>97.51925433766216</v>
      </c>
      <c r="Z20" t="n">
        <v>92.86314993167095</v>
      </c>
      <c r="AA20" t="n">
        <v>414.0395259003556</v>
      </c>
      <c r="AB20" t="n">
        <v>91.57127543533515</v>
      </c>
      <c r="AC20" t="n">
        <v>193.7527462362044</v>
      </c>
      <c r="AD20" t="n">
        <v>94.94093640678233</v>
      </c>
      <c r="AE20" t="n">
        <v>122.6666573825697</v>
      </c>
      <c r="AF20" t="n">
        <v>502.9316154608915</v>
      </c>
      <c r="AG20" t="n">
        <v>134.462289260938</v>
      </c>
      <c r="AH20" t="n">
        <v>176.7944782016098</v>
      </c>
      <c r="AI20" t="n">
        <v>202.3760360375011</v>
      </c>
      <c r="AJ20" t="n">
        <v>198.8667918119982</v>
      </c>
      <c r="AK20" t="n">
        <v>712.4995953120469</v>
      </c>
      <c r="AL20" t="n">
        <v>200.3827785980815</v>
      </c>
      <c r="AM20" t="n">
        <v>199.8627027385565</v>
      </c>
      <c r="AN20" t="n">
        <v>216.5737460955257</v>
      </c>
      <c r="AO20" t="n">
        <v>226.3552237206896</v>
      </c>
      <c r="AP20" t="n">
        <v>843.1744511528532</v>
      </c>
      <c r="AQ20" t="n">
        <v>188.1662391268861</v>
      </c>
      <c r="AR20" t="n">
        <v>212.2463433639866</v>
      </c>
      <c r="AS20" t="n">
        <v>227.3387282287144</v>
      </c>
      <c r="AT20" t="n">
        <v>252.9458104259529</v>
      </c>
      <c r="AU20" t="n">
        <v>880.69712114554</v>
      </c>
      <c r="AV20" t="n">
        <v>254.3452862323843</v>
      </c>
      <c r="AW20" t="n">
        <v>299.206746240765</v>
      </c>
      <c r="AX20" t="n">
        <v>343.5764398240474</v>
      </c>
      <c r="AY20" t="n">
        <v>380.3915829109625</v>
      </c>
      <c r="AZ20" t="n">
        <v>1277.520055208159</v>
      </c>
      <c r="BA20" t="n">
        <v>281.4002458275548</v>
      </c>
      <c r="BB20" t="n">
        <v>147.2372234482378</v>
      </c>
      <c r="BC20" t="n">
        <v>246.742730679686</v>
      </c>
      <c r="BD20" t="n">
        <v>275.8311082974916</v>
      </c>
      <c r="BE20" t="n">
        <v>951.2113082529703</v>
      </c>
      <c r="BF20" t="n">
        <v>243.8332988661849</v>
      </c>
      <c r="BG20" t="n">
        <v>404.3613477675166</v>
      </c>
      <c r="BH20" t="n">
        <v>476.4313958955281</v>
      </c>
      <c r="BI20" t="n">
        <v>488.9692135825064</v>
      </c>
      <c r="BJ20" t="n">
        <v>1613.595256111736</v>
      </c>
      <c r="BK20" t="n">
        <v>363.0553620682155</v>
      </c>
      <c r="BL20" t="n">
        <v>357.7060557148448</v>
      </c>
      <c r="BM20" t="n">
        <v>429.0204077329849</v>
      </c>
      <c r="BN20" t="n">
        <v>501.3825363398557</v>
      </c>
      <c r="BO20" t="n">
        <v>1651.164361855901</v>
      </c>
      <c r="BP20" t="n">
        <v>440.0992671602229</v>
      </c>
      <c r="BQ20" t="n">
        <v>489.1128502587578</v>
      </c>
      <c r="BR20" t="n">
        <v>520.4751393780616</v>
      </c>
      <c r="BS20" t="n">
        <v>587.8788442624719</v>
      </c>
      <c r="BT20" t="n">
        <v>2037.566101059514</v>
      </c>
      <c r="BU20" t="n">
        <v>548.6713923190584</v>
      </c>
      <c r="BV20" t="n">
        <v>583.2547747251222</v>
      </c>
      <c r="BW20" t="n">
        <v>663.5396566406556</v>
      </c>
      <c r="BX20" t="n">
        <v>701.4591105429885</v>
      </c>
      <c r="BY20" t="n">
        <v>2496.924934227825</v>
      </c>
      <c r="BZ20" t="n">
        <v>609.3839560505488</v>
      </c>
      <c r="CA20" t="n">
        <v>757.8831676991456</v>
      </c>
      <c r="CB20" t="n">
        <v>833.7037115890556</v>
      </c>
    </row>
    <row r="21">
      <c r="A21" t="inlineStr">
        <is>
          <t>S</t>
        </is>
      </c>
      <c r="B21" t="inlineStr">
        <is>
          <t>Other service activities</t>
        </is>
      </c>
      <c r="C21" t="n">
        <v>17.90971598812932</v>
      </c>
      <c r="D21" t="n">
        <v>21.00768881111693</v>
      </c>
      <c r="E21" t="n">
        <v>19.31772943236371</v>
      </c>
      <c r="F21" t="n">
        <v>29.81180129575905</v>
      </c>
      <c r="G21" t="n">
        <v>88.04693552736902</v>
      </c>
      <c r="H21" t="n">
        <v>29.59279686541208</v>
      </c>
      <c r="I21" t="n">
        <v>31.80849822136992</v>
      </c>
      <c r="J21" t="n">
        <v>27.66073393723121</v>
      </c>
      <c r="K21" t="n">
        <v>39.92463823235182</v>
      </c>
      <c r="L21" t="n">
        <v>128.986667256365</v>
      </c>
      <c r="M21" t="n">
        <v>38.03208490921071</v>
      </c>
      <c r="N21" t="n">
        <v>53.59729048883517</v>
      </c>
      <c r="O21" t="n">
        <v>45.44410023182178</v>
      </c>
      <c r="P21" t="n">
        <v>56.07809717855675</v>
      </c>
      <c r="Q21" t="n">
        <v>193.1515728084244</v>
      </c>
      <c r="R21" t="n">
        <v>24.2894533300589</v>
      </c>
      <c r="S21" t="n">
        <v>26.94096970454781</v>
      </c>
      <c r="T21" t="n">
        <v>29.93666347201185</v>
      </c>
      <c r="U21" t="n">
        <v>47.93741542656772</v>
      </c>
      <c r="V21" t="n">
        <v>129.1045019331863</v>
      </c>
      <c r="W21" t="n">
        <v>60.78083888352177</v>
      </c>
      <c r="X21" t="n">
        <v>57.21313868920751</v>
      </c>
      <c r="Y21" t="n">
        <v>59.019376878813</v>
      </c>
      <c r="Z21" t="n">
        <v>99.12354993065846</v>
      </c>
      <c r="AA21" t="n">
        <v>276.1369043822007</v>
      </c>
      <c r="AB21" t="n">
        <v>62.61471697571145</v>
      </c>
      <c r="AC21" t="n">
        <v>43.0276659468353</v>
      </c>
      <c r="AD21" t="n">
        <v>72.81019546970273</v>
      </c>
      <c r="AE21" t="n">
        <v>40.48552701196204</v>
      </c>
      <c r="AF21" t="n">
        <v>218.9381054042115</v>
      </c>
      <c r="AG21" t="n">
        <v>55.94089306320838</v>
      </c>
      <c r="AH21" t="n">
        <v>66.02770294573405</v>
      </c>
      <c r="AI21" t="n">
        <v>51.16119134463592</v>
      </c>
      <c r="AJ21" t="n">
        <v>59.94812801992518</v>
      </c>
      <c r="AK21" t="n">
        <v>233.0779153735035</v>
      </c>
      <c r="AL21" t="n">
        <v>58.63347450536644</v>
      </c>
      <c r="AM21" t="n">
        <v>77.958669934456</v>
      </c>
      <c r="AN21" t="n">
        <v>72.08615087688781</v>
      </c>
      <c r="AO21" t="n">
        <v>84.35176170399691</v>
      </c>
      <c r="AP21" t="n">
        <v>293.0300570207072</v>
      </c>
      <c r="AQ21" t="n">
        <v>67.27467583276264</v>
      </c>
      <c r="AR21" t="n">
        <v>68.58542637485017</v>
      </c>
      <c r="AS21" t="n">
        <v>64.82089694357387</v>
      </c>
      <c r="AT21" t="n">
        <v>72.94175123294295</v>
      </c>
      <c r="AU21" t="n">
        <v>273.6227503841296</v>
      </c>
      <c r="AV21" t="n">
        <v>52.76878526688043</v>
      </c>
      <c r="AW21" t="n">
        <v>59.07643953443636</v>
      </c>
      <c r="AX21" t="n">
        <v>60.85193629139243</v>
      </c>
      <c r="AY21" t="n">
        <v>60.64335853220284</v>
      </c>
      <c r="AZ21" t="n">
        <v>233.3405196249121</v>
      </c>
      <c r="BA21" t="n">
        <v>64.48216538147796</v>
      </c>
      <c r="BB21" t="n">
        <v>48.96388697062427</v>
      </c>
      <c r="BC21" t="n">
        <v>62.52515264326448</v>
      </c>
      <c r="BD21" t="n">
        <v>78.57050339178284</v>
      </c>
      <c r="BE21" t="n">
        <v>254.5417083871496</v>
      </c>
      <c r="BF21" t="n">
        <v>58.86656414575006</v>
      </c>
      <c r="BG21" t="n">
        <v>86.64745720110426</v>
      </c>
      <c r="BH21" t="n">
        <v>100.0580661607712</v>
      </c>
      <c r="BI21" t="n">
        <v>109.619500552618</v>
      </c>
      <c r="BJ21" t="n">
        <v>355.1915880602435</v>
      </c>
      <c r="BK21" t="n">
        <v>85.89490683558252</v>
      </c>
      <c r="BL21" t="n">
        <v>103.6750105493466</v>
      </c>
      <c r="BM21" t="n">
        <v>107.2818567408455</v>
      </c>
      <c r="BN21" t="n">
        <v>110.4012305846462</v>
      </c>
      <c r="BO21" t="n">
        <v>407.2530047104208</v>
      </c>
      <c r="BP21" t="n">
        <v>93.99148085967973</v>
      </c>
      <c r="BQ21" t="n">
        <v>107.2404040487279</v>
      </c>
      <c r="BR21" t="n">
        <v>101.2263879841161</v>
      </c>
      <c r="BS21" t="n">
        <v>110.3982538675201</v>
      </c>
      <c r="BT21" t="n">
        <v>412.8565267600439</v>
      </c>
      <c r="BU21" t="n">
        <v>100.8151758715238</v>
      </c>
      <c r="BV21" t="n">
        <v>125.8422005236049</v>
      </c>
      <c r="BW21" t="n">
        <v>139.9530543002337</v>
      </c>
      <c r="BX21" t="n">
        <v>144.571208192245</v>
      </c>
      <c r="BY21" t="n">
        <v>511.1816388876073</v>
      </c>
      <c r="BZ21" t="n">
        <v>92.90729624600225</v>
      </c>
      <c r="CA21" t="n">
        <v>119.2039754924472</v>
      </c>
      <c r="CB21" t="n">
        <v>134.2794947376161</v>
      </c>
    </row>
    <row r="22">
      <c r="A22" t="inlineStr">
        <is>
          <t>T</t>
        </is>
      </c>
      <c r="B22" t="inlineStr">
        <is>
          <t>Activities of households as employers; undifferentiated goods and servicies producing activities of household for own use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B23" t="inlineStr">
        <is>
          <t>Total</t>
        </is>
      </c>
      <c r="C23" t="n">
        <v>2796.511025309983</v>
      </c>
      <c r="D23" t="n">
        <v>3350.569347262058</v>
      </c>
      <c r="E23" t="n">
        <v>3867.386762310902</v>
      </c>
      <c r="F23" t="n">
        <v>4586.733568502176</v>
      </c>
      <c r="G23" t="n">
        <v>14601.20070338512</v>
      </c>
      <c r="H23" t="n">
        <v>3666.314149670042</v>
      </c>
      <c r="I23" t="n">
        <v>4423.141622838512</v>
      </c>
      <c r="J23" t="n">
        <v>5166.302892839439</v>
      </c>
      <c r="K23" t="n">
        <v>5771.69290078035</v>
      </c>
      <c r="L23" t="n">
        <v>19027.45156612834</v>
      </c>
      <c r="M23" t="n">
        <v>4401.404447325578</v>
      </c>
      <c r="N23" t="n">
        <v>5149.402938021933</v>
      </c>
      <c r="O23" t="n">
        <v>5654.565985807942</v>
      </c>
      <c r="P23" t="n">
        <v>5633.318000417613</v>
      </c>
      <c r="Q23" t="n">
        <v>20838.69137157307</v>
      </c>
      <c r="R23" t="n">
        <v>3836.077422160288</v>
      </c>
      <c r="S23" t="n">
        <v>4756.989861325529</v>
      </c>
      <c r="T23" t="n">
        <v>5349.146298448708</v>
      </c>
      <c r="U23" t="n">
        <v>5954.180095607478</v>
      </c>
      <c r="V23" t="n">
        <v>19896.393677542</v>
      </c>
      <c r="W23" t="n">
        <v>4497.349422367384</v>
      </c>
      <c r="X23" t="n">
        <v>5197.18157298329</v>
      </c>
      <c r="Y23" t="n">
        <v>5979.818446909455</v>
      </c>
      <c r="Z23" t="n">
        <v>6318.959619885341</v>
      </c>
      <c r="AA23" t="n">
        <v>21993.30906214547</v>
      </c>
      <c r="AB23" t="n">
        <v>4841.599052145976</v>
      </c>
      <c r="AC23" t="n">
        <v>5840.310923482089</v>
      </c>
      <c r="AD23" t="n">
        <v>6461.243874254773</v>
      </c>
      <c r="AE23" t="n">
        <v>6628.471449098854</v>
      </c>
      <c r="AF23" t="n">
        <v>23771.62529898169</v>
      </c>
      <c r="AG23" t="n">
        <v>5621.156860026294</v>
      </c>
      <c r="AH23" t="n">
        <v>6562.264952942924</v>
      </c>
      <c r="AI23" t="n">
        <v>7277.403278082051</v>
      </c>
      <c r="AJ23" t="n">
        <v>7722.084934300204</v>
      </c>
      <c r="AK23" t="n">
        <v>27182.91002535147</v>
      </c>
      <c r="AL23" t="n">
        <v>5894.57298123422</v>
      </c>
      <c r="AM23" t="n">
        <v>7009.273462029876</v>
      </c>
      <c r="AN23" t="n">
        <v>7935.931303432134</v>
      </c>
      <c r="AO23" t="n">
        <v>8082.298213741745</v>
      </c>
      <c r="AP23" t="n">
        <v>28922.07596043797</v>
      </c>
      <c r="AQ23" t="n">
        <v>6589.357552639352</v>
      </c>
      <c r="AR23" t="n">
        <v>7805.788184574935</v>
      </c>
      <c r="AS23" t="n">
        <v>8442.392144150041</v>
      </c>
      <c r="AT23" t="n">
        <v>8927.445108428958</v>
      </c>
      <c r="AU23" t="n">
        <v>31764.98298979328</v>
      </c>
      <c r="AV23" t="n">
        <v>7138.525711556299</v>
      </c>
      <c r="AW23" t="n">
        <v>8585.02104071378</v>
      </c>
      <c r="AX23" t="n">
        <v>9956.504630011686</v>
      </c>
      <c r="AY23" t="n">
        <v>10455.77446598705</v>
      </c>
      <c r="AZ23" t="n">
        <v>36135.82584826882</v>
      </c>
      <c r="BA23" t="n">
        <v>7911.658809083789</v>
      </c>
      <c r="BB23" t="n">
        <v>7668.822331827471</v>
      </c>
      <c r="BC23" t="n">
        <v>9972.508535617353</v>
      </c>
      <c r="BD23" t="n">
        <v>10387.94584346474</v>
      </c>
      <c r="BE23" t="n">
        <v>35940.93551999335</v>
      </c>
      <c r="BF23" t="n">
        <v>8038.348902691097</v>
      </c>
      <c r="BG23" t="n">
        <v>10976.63081965708</v>
      </c>
      <c r="BH23" t="n">
        <v>12010.84048498116</v>
      </c>
      <c r="BI23" t="n">
        <v>12879.50864160861</v>
      </c>
      <c r="BJ23" t="n">
        <v>43905.32884893795</v>
      </c>
      <c r="BK23" t="n">
        <v>10535.88385487233</v>
      </c>
      <c r="BL23" t="n">
        <v>12660.64626132622</v>
      </c>
      <c r="BM23" t="n">
        <v>14321.09153453984</v>
      </c>
      <c r="BN23" t="n">
        <v>15203.49776303786</v>
      </c>
      <c r="BO23" t="n">
        <v>52721.11941377626</v>
      </c>
      <c r="BP23" t="n">
        <v>11578.09364438048</v>
      </c>
      <c r="BQ23" t="n">
        <v>13597.67750849469</v>
      </c>
      <c r="BR23" t="n">
        <v>15335.36773098052</v>
      </c>
      <c r="BS23" t="n">
        <v>16211.95666287789</v>
      </c>
      <c r="BT23" t="n">
        <v>56723.0955467336</v>
      </c>
      <c r="BU23" t="n">
        <v>13294.57081129147</v>
      </c>
      <c r="BV23" t="n">
        <v>15947.28562777361</v>
      </c>
      <c r="BW23" t="n">
        <v>18355.39808413549</v>
      </c>
      <c r="BX23" t="n">
        <v>18305.39669794346</v>
      </c>
      <c r="BY23" t="n">
        <v>65902.65122114404</v>
      </c>
      <c r="BZ23" t="n">
        <v>14977.7615856802</v>
      </c>
      <c r="CA23" t="n">
        <v>18041.22335459244</v>
      </c>
      <c r="CB23" t="n">
        <v>20080.54064110976</v>
      </c>
    </row>
    <row r="24"/>
    <row r="25">
      <c r="B25" t="inlineStr">
        <is>
          <t>* Revised data will be published on November 16, 2026.</t>
        </is>
      </c>
    </row>
    <row r="26"/>
    <row r="27"/>
    <row r="28"/>
    <row r="29"/>
    <row r="30"/>
    <row r="31"/>
    <row r="32"/>
    <row r="33"/>
    <row r="34"/>
    <row r="3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Code</t>
        </is>
      </c>
      <c r="B1" s="1" t="inlineStr">
        <is>
          <t>Sector Name</t>
        </is>
      </c>
      <c r="C1" s="1" t="inlineStr">
        <is>
          <t>Output (2023)</t>
        </is>
      </c>
      <c r="D1" s="1" t="inlineStr">
        <is>
          <t>Intermediate Consumption (2023)</t>
        </is>
      </c>
      <c r="E1" s="1" t="inlineStr">
        <is>
          <t>Value Added (2023)</t>
        </is>
      </c>
      <c r="F1" s="1" t="inlineStr">
        <is>
          <t>Imports of Goods</t>
        </is>
      </c>
      <c r="G1" s="1" t="inlineStr">
        <is>
          <t>Imports of Services</t>
        </is>
      </c>
      <c r="H1" s="1" t="inlineStr">
        <is>
          <t>Total Imports</t>
        </is>
      </c>
    </row>
    <row r="2">
      <c r="A2" t="inlineStr">
        <is>
          <t>A</t>
        </is>
      </c>
      <c r="B2" t="inlineStr">
        <is>
          <t>Agriculture, forestry and fishing</t>
        </is>
      </c>
      <c r="C2">
        <f>SUPPLY!BT3</f>
        <v/>
      </c>
      <c r="D2">
        <f>USE!BT3</f>
        <v/>
      </c>
      <c r="E2">
        <f>C2-D2</f>
        <v/>
      </c>
    </row>
    <row r="3">
      <c r="A3" t="inlineStr">
        <is>
          <t>B</t>
        </is>
      </c>
      <c r="B3" t="inlineStr">
        <is>
          <t>Mining and quarrying</t>
        </is>
      </c>
      <c r="C3">
        <f>SUPPLY!BT4</f>
        <v/>
      </c>
      <c r="D3">
        <f>USE!BT4</f>
        <v/>
      </c>
      <c r="E3">
        <f>C3-D3</f>
        <v/>
      </c>
    </row>
    <row r="4">
      <c r="A4" t="inlineStr">
        <is>
          <t>C</t>
        </is>
      </c>
      <c r="B4" t="inlineStr">
        <is>
          <t>Manufacturing</t>
        </is>
      </c>
      <c r="C4">
        <f>SUPPLY!BT5</f>
        <v/>
      </c>
      <c r="D4">
        <f>USE!BT5</f>
        <v/>
      </c>
      <c r="E4">
        <f>C4-D4</f>
        <v/>
      </c>
    </row>
    <row r="5">
      <c r="A5" t="inlineStr">
        <is>
          <t>D</t>
        </is>
      </c>
      <c r="B5" t="inlineStr">
        <is>
          <t>Electricity, gas, steam</t>
        </is>
      </c>
      <c r="C5">
        <f>SUPPLY!BT6</f>
        <v/>
      </c>
      <c r="D5">
        <f>USE!BT6</f>
        <v/>
      </c>
      <c r="E5">
        <f>C5-D5</f>
        <v/>
      </c>
    </row>
    <row r="6">
      <c r="A6" t="inlineStr">
        <is>
          <t>E</t>
        </is>
      </c>
      <c r="B6" t="inlineStr">
        <is>
          <t>Water supply; sewerage</t>
        </is>
      </c>
      <c r="C6">
        <f>SUPPLY!BT7</f>
        <v/>
      </c>
      <c r="D6">
        <f>USE!BT7</f>
        <v/>
      </c>
      <c r="E6">
        <f>C6-D6</f>
        <v/>
      </c>
    </row>
    <row r="7">
      <c r="A7" t="inlineStr">
        <is>
          <t>F</t>
        </is>
      </c>
      <c r="B7" t="inlineStr">
        <is>
          <t>Construction</t>
        </is>
      </c>
      <c r="C7">
        <f>SUPPLY!BT8</f>
        <v/>
      </c>
      <c r="D7">
        <f>USE!BT8</f>
        <v/>
      </c>
      <c r="E7">
        <f>C7-D7</f>
        <v/>
      </c>
    </row>
    <row r="8">
      <c r="A8" t="inlineStr">
        <is>
          <t>G</t>
        </is>
      </c>
      <c r="B8" t="inlineStr">
        <is>
          <t>Wholesale and retail trade</t>
        </is>
      </c>
      <c r="C8">
        <f>SUPPLY!BT9</f>
        <v/>
      </c>
      <c r="D8">
        <f>USE!BT9</f>
        <v/>
      </c>
      <c r="E8">
        <f>C8-D8</f>
        <v/>
      </c>
    </row>
    <row r="9">
      <c r="A9" t="inlineStr">
        <is>
          <t>H</t>
        </is>
      </c>
      <c r="B9" t="inlineStr">
        <is>
          <t>Transportation and storage</t>
        </is>
      </c>
      <c r="C9">
        <f>SUPPLY!BT10</f>
        <v/>
      </c>
      <c r="D9">
        <f>USE!BT10</f>
        <v/>
      </c>
      <c r="E9">
        <f>C9-D9</f>
        <v/>
      </c>
    </row>
    <row r="10">
      <c r="A10" t="inlineStr">
        <is>
          <t>I</t>
        </is>
      </c>
      <c r="B10" t="inlineStr">
        <is>
          <t>Accommodation and food service</t>
        </is>
      </c>
      <c r="C10">
        <f>SUPPLY!BT11</f>
        <v/>
      </c>
      <c r="D10">
        <f>USE!BT11</f>
        <v/>
      </c>
      <c r="E10">
        <f>C10-D10</f>
        <v/>
      </c>
    </row>
    <row r="11">
      <c r="A11" t="inlineStr">
        <is>
          <t>J</t>
        </is>
      </c>
      <c r="B11" t="inlineStr">
        <is>
          <t>Information and communication</t>
        </is>
      </c>
      <c r="C11">
        <f>SUPPLY!BT12</f>
        <v/>
      </c>
      <c r="D11">
        <f>USE!BT12</f>
        <v/>
      </c>
      <c r="E11">
        <f>C11-D11</f>
        <v/>
      </c>
    </row>
    <row r="12">
      <c r="A12" t="inlineStr">
        <is>
          <t>K</t>
        </is>
      </c>
      <c r="B12" t="inlineStr">
        <is>
          <t>Financial and insurance</t>
        </is>
      </c>
      <c r="C12">
        <f>SUPPLY!BT13</f>
        <v/>
      </c>
      <c r="D12">
        <f>USE!BT13</f>
        <v/>
      </c>
      <c r="E12">
        <f>C12-D12</f>
        <v/>
      </c>
    </row>
    <row r="13">
      <c r="A13" t="inlineStr">
        <is>
          <t>L</t>
        </is>
      </c>
      <c r="B13" t="inlineStr">
        <is>
          <t>Real estate activities</t>
        </is>
      </c>
      <c r="C13">
        <f>SUPPLY!BT14</f>
        <v/>
      </c>
      <c r="D13">
        <f>USE!BT14</f>
        <v/>
      </c>
      <c r="E13">
        <f>C13-D13</f>
        <v/>
      </c>
    </row>
    <row r="14">
      <c r="A14" t="inlineStr">
        <is>
          <t>M</t>
        </is>
      </c>
      <c r="B14" t="inlineStr">
        <is>
          <t>Professional, scientific</t>
        </is>
      </c>
      <c r="C14">
        <f>SUPPLY!BT15</f>
        <v/>
      </c>
      <c r="D14">
        <f>USE!BT15</f>
        <v/>
      </c>
      <c r="E14">
        <f>C14-D14</f>
        <v/>
      </c>
    </row>
    <row r="15">
      <c r="A15" t="inlineStr">
        <is>
          <t>N</t>
        </is>
      </c>
      <c r="B15" t="inlineStr">
        <is>
          <t>Administrative and support</t>
        </is>
      </c>
      <c r="C15">
        <f>SUPPLY!BT16</f>
        <v/>
      </c>
      <c r="D15">
        <f>USE!BT16</f>
        <v/>
      </c>
      <c r="E15">
        <f>C15-D15</f>
        <v/>
      </c>
    </row>
    <row r="16">
      <c r="A16" t="inlineStr">
        <is>
          <t>O</t>
        </is>
      </c>
      <c r="B16" t="inlineStr">
        <is>
          <t>Public administration</t>
        </is>
      </c>
      <c r="C16">
        <f>SUPPLY!BT17</f>
        <v/>
      </c>
      <c r="D16">
        <f>USE!BT17</f>
        <v/>
      </c>
      <c r="E16">
        <f>C16-D16</f>
        <v/>
      </c>
    </row>
    <row r="17">
      <c r="A17" t="inlineStr">
        <is>
          <t>P</t>
        </is>
      </c>
      <c r="B17" t="inlineStr">
        <is>
          <t>Education</t>
        </is>
      </c>
      <c r="C17">
        <f>SUPPLY!BT18</f>
        <v/>
      </c>
      <c r="D17">
        <f>USE!BT18</f>
        <v/>
      </c>
      <c r="E17">
        <f>C17-D17</f>
        <v/>
      </c>
    </row>
    <row r="18">
      <c r="A18" t="inlineStr">
        <is>
          <t>Q</t>
        </is>
      </c>
      <c r="B18" t="inlineStr">
        <is>
          <t>Human health and social work</t>
        </is>
      </c>
      <c r="C18">
        <f>SUPPLY!BT19</f>
        <v/>
      </c>
      <c r="D18">
        <f>USE!BT19</f>
        <v/>
      </c>
      <c r="E18">
        <f>C18-D18</f>
        <v/>
      </c>
    </row>
    <row r="19">
      <c r="A19" t="inlineStr">
        <is>
          <t>R</t>
        </is>
      </c>
      <c r="B19" t="inlineStr">
        <is>
          <t>Arts, entertainment</t>
        </is>
      </c>
      <c r="C19">
        <f>SUPPLY!BT20</f>
        <v/>
      </c>
      <c r="D19">
        <f>USE!BT20</f>
        <v/>
      </c>
      <c r="E19">
        <f>C19-D19</f>
        <v/>
      </c>
    </row>
    <row r="20">
      <c r="A20" t="inlineStr">
        <is>
          <t>S</t>
        </is>
      </c>
      <c r="B20" t="inlineStr">
        <is>
          <t>Other service activities</t>
        </is>
      </c>
      <c r="C20">
        <f>SUPPLY!BT21</f>
        <v/>
      </c>
      <c r="D20">
        <f>USE!BT21</f>
        <v/>
      </c>
      <c r="E20">
        <f>C20-D20</f>
        <v/>
      </c>
    </row>
    <row r="21">
      <c r="A21" t="inlineStr">
        <is>
          <t>T</t>
        </is>
      </c>
      <c r="B21" t="inlineStr">
        <is>
          <t>Households as employers</t>
        </is>
      </c>
      <c r="C21">
        <f>SUPPLY!BT22</f>
        <v/>
      </c>
      <c r="D21">
        <f>USE!BT22</f>
        <v/>
      </c>
      <c r="E21">
        <f>C21-D21</f>
        <v/>
      </c>
    </row>
    <row r="22">
      <c r="A22" s="1" t="inlineStr">
        <is>
          <t>Total</t>
        </is>
      </c>
      <c r="C22">
        <f>SUM(C2:C21)</f>
        <v/>
      </c>
      <c r="D22">
        <f>SUM(D2:D21)</f>
        <v/>
      </c>
      <c r="E22">
        <f>SUM(E2:E21)</f>
        <v/>
      </c>
    </row>
    <row r="25">
      <c r="A25" s="1" t="inlineStr">
        <is>
          <t>Import Data (from GDP by Use 2023)</t>
        </is>
      </c>
    </row>
    <row r="26">
      <c r="B26" t="inlineStr">
        <is>
          <t>Total Imports of Goods and Services</t>
        </is>
      </c>
      <c r="C26" t="n">
        <v>46818.27</v>
      </c>
    </row>
    <row r="27">
      <c r="B27" t="inlineStr">
        <is>
          <t>Imports of Goods</t>
        </is>
      </c>
      <c r="C27" t="n">
        <v>37307.09</v>
      </c>
    </row>
    <row r="28">
      <c r="B28" t="inlineStr">
        <is>
          <t>Imports of Services</t>
        </is>
      </c>
      <c r="C28" t="n">
        <v>9511.18</v>
      </c>
    </row>
    <row r="30">
      <c r="B30" t="inlineStr">
        <is>
          <t>GDP at market prices (2023)</t>
        </is>
      </c>
      <c r="C30" t="n">
        <v>80882.75999999999</v>
      </c>
    </row>
    <row r="31">
      <c r="B31" t="inlineStr">
        <is>
          <t>Gross Capital Formation (2023)</t>
        </is>
      </c>
      <c r="C31" t="n">
        <v>20219.72</v>
      </c>
    </row>
    <row r="40">
      <c r="A40" s="1" t="inlineStr">
        <is>
          <t>Import Content Share Calculation</t>
        </is>
      </c>
    </row>
    <row r="42">
      <c r="B42" t="inlineStr">
        <is>
          <t>Total Imports</t>
        </is>
      </c>
      <c r="C42">
        <f>C26</f>
        <v/>
      </c>
    </row>
    <row r="43">
      <c r="B43" t="inlineStr">
        <is>
          <t>GDP at market prices</t>
        </is>
      </c>
      <c r="C43">
        <f>C30</f>
        <v/>
      </c>
    </row>
    <row r="44">
      <c r="B44" t="inlineStr">
        <is>
          <t>Import/GDP ratio</t>
        </is>
      </c>
      <c r="C44">
        <f>C42/C43</f>
        <v/>
      </c>
    </row>
    <row r="46">
      <c r="B46" s="1" t="inlineStr">
        <is>
          <t>Estimated Import Content Share</t>
        </is>
      </c>
      <c r="C46">
        <f>C44*0.85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2026-01-29T06:55:46Z</dcterms:created>
  <dcterms:modified xsi:type="dcterms:W3CDTF">2026-01-29T06:56:48Z</dcterms:modified>
</cp:coreProperties>
</file>