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31" yWindow="3720" windowWidth="24686" windowHeight="13097" tabRatio="600" firstSheet="0" activeTab="0" autoFilterDateGrouping="1"/>
  </bookViews>
  <sheets>
    <sheet name="Instructions" sheetId="1" state="visible" r:id="rId1"/>
    <sheet name="WEO_Data" sheetId="2" state="visible" r:id="rId2"/>
    <sheet name="NA" sheetId="3" state="visible" r:id="rId3"/>
    <sheet name="SUPPLY" sheetId="4" state="visible" r:id="rId4"/>
    <sheet name="USE" sheetId="5" state="visible" r:id="rId5"/>
    <sheet name="SUT Calc" sheetId="6" state="visible" r:id="rId6"/>
  </sheets>
  <externalReferences>
    <externalReference r:id="rId7"/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0000"/>
    <numFmt numFmtId="165" formatCode="0.000"/>
    <numFmt numFmtId="166" formatCode="0.0%"/>
    <numFmt numFmtId="167" formatCode="0.0"/>
  </numFmts>
  <fonts count="31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5"/>
      <sz val="10"/>
    </font>
    <font>
      <name val="Arial"/>
      <family val="2"/>
      <b val="1"/>
      <color rgb="FFFF0000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b val="1"/>
      <sz val="14"/>
    </font>
    <font>
      <b val="1"/>
    </font>
    <font>
      <i val="1"/>
      <color rgb="00FF0000"/>
      <sz val="9"/>
    </font>
    <font>
      <color rgb="000000FF"/>
    </font>
    <font>
      <i val="1"/>
      <sz val="9"/>
    </font>
    <font>
      <color rgb="00000000"/>
    </font>
    <font>
      <b val="1"/>
      <sz val="9"/>
    </font>
    <font>
      <sz val="9"/>
    </font>
    <font>
      <color rgb="00008000"/>
    </font>
    <font>
      <b val="1"/>
      <color rgb="00000000"/>
    </font>
    <font>
      <b val="1"/>
      <sz val="12"/>
    </font>
    <font>
      <b val="1"/>
      <color rgb="000000FF"/>
    </font>
    <font>
      <b val="1"/>
      <color rgb="00008000"/>
    </font>
    <font>
      <b val="1"/>
      <color rgb="00FF0000"/>
      <sz val="11"/>
    </font>
    <font>
      <i val="1"/>
      <color rgb="00008000"/>
      <sz val="9"/>
    </font>
    <font>
      <b val="1"/>
      <sz val="10"/>
    </font>
    <font>
      <b val="1"/>
      <color rgb="00000080"/>
      <sz val="16"/>
    </font>
    <font>
      <b val="1"/>
      <i val="1"/>
      <sz val="12"/>
    </font>
    <font>
      <b val="1"/>
      <sz val="12"/>
      <u val="single"/>
    </font>
    <font>
      <sz val="11"/>
    </font>
    <font>
      <b val="1"/>
      <color rgb="00FF0000"/>
      <sz val="12"/>
      <u val="single"/>
    </font>
    <font>
      <b val="1"/>
      <color rgb="000000FF"/>
      <sz val="11"/>
    </font>
    <font>
      <sz val="10"/>
    </font>
    <font>
      <b val="1"/>
      <sz val="11"/>
      <u val="single"/>
    </font>
    <font>
      <color rgb="00FF0000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rgb="00D3D3D3"/>
        <bgColor rgb="00D3D3D3"/>
      </patternFill>
    </fill>
    <fill>
      <patternFill patternType="solid">
        <fgColor rgb="00CCE5FF"/>
        <bgColor rgb="00CCE5FF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4" fillId="0" borderId="0"/>
    <xf numFmtId="43" fontId="5" fillId="0" borderId="0"/>
  </cellStyleXfs>
  <cellXfs count="90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0" borderId="4" pivotButton="0" quotePrefix="0" xfId="0"/>
    <xf numFmtId="0" fontId="0" fillId="0" borderId="5" pivotButton="0" quotePrefix="0" xfId="0"/>
    <xf numFmtId="0" fontId="0" fillId="0" borderId="5" applyAlignment="1" pivotButton="0" quotePrefix="0" xfId="0">
      <alignment horizontal="right"/>
    </xf>
    <xf numFmtId="0" fontId="0" fillId="0" borderId="6" applyAlignment="1" pivotButton="0" quotePrefix="0" xfId="0">
      <alignment horizontal="right"/>
    </xf>
    <xf numFmtId="0" fontId="0" fillId="0" borderId="7" pivotButton="0" quotePrefix="0" xfId="0"/>
    <xf numFmtId="0" fontId="0" fillId="0" borderId="0" applyAlignment="1" pivotButton="0" quotePrefix="0" xfId="0">
      <alignment horizontal="right"/>
    </xf>
    <xf numFmtId="0" fontId="0" fillId="0" borderId="8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10" pivotButton="0" quotePrefix="0" xfId="0"/>
    <xf numFmtId="165" fontId="0" fillId="0" borderId="10" applyAlignment="1" pivotButton="0" quotePrefix="0" xfId="0">
      <alignment horizontal="right"/>
    </xf>
    <xf numFmtId="0" fontId="0" fillId="0" borderId="11" applyAlignment="1" pivotButton="0" quotePrefix="0" xfId="0">
      <alignment horizontal="right"/>
    </xf>
    <xf numFmtId="0" fontId="2" fillId="2" borderId="1" pivotButton="0" quotePrefix="0" xfId="0"/>
    <xf numFmtId="0" fontId="3" fillId="2" borderId="3" pivotButton="0" quotePrefix="0" xfId="0"/>
    <xf numFmtId="0" fontId="0" fillId="2" borderId="3" pivotButton="0" quotePrefix="0" xfId="0"/>
    <xf numFmtId="0" fontId="0" fillId="2" borderId="3" applyAlignment="1" pivotButton="0" quotePrefix="0" xfId="0">
      <alignment horizontal="right"/>
    </xf>
    <xf numFmtId="0" fontId="0" fillId="2" borderId="2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43" fontId="0" fillId="0" borderId="0" pivotButton="0" quotePrefix="0" xfId="0"/>
    <xf numFmtId="0" fontId="1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0" pivotButton="0" quotePrefix="0" xfId="0"/>
    <xf numFmtId="1" fontId="0" fillId="0" borderId="0" pivotButton="0" quotePrefix="0" xfId="0"/>
    <xf numFmtId="0" fontId="0" fillId="0" borderId="2" pivotButton="0" quotePrefix="0" xfId="0"/>
    <xf numFmtId="0" fontId="8" fillId="0" borderId="0" pivotButton="0" quotePrefix="0" xfId="0"/>
    <xf numFmtId="0" fontId="7" fillId="0" borderId="0" pivotButton="0" quotePrefix="0" xfId="0"/>
    <xf numFmtId="0" fontId="9" fillId="0" borderId="0" pivotButton="0" quotePrefix="0" xfId="0"/>
    <xf numFmtId="3" fontId="11" fillId="0" borderId="0" pivotButton="0" quotePrefix="0" xfId="0"/>
    <xf numFmtId="0" fontId="10" fillId="0" borderId="0" pivotButton="0" quotePrefix="0" xfId="0"/>
    <xf numFmtId="0" fontId="12" fillId="0" borderId="0" pivotButton="0" quotePrefix="0" xfId="0"/>
    <xf numFmtId="10" fontId="11" fillId="0" borderId="0" pivotButton="0" quotePrefix="0" xfId="0"/>
    <xf numFmtId="165" fontId="9" fillId="0" borderId="0" pivotButton="0" quotePrefix="0" xfId="0"/>
    <xf numFmtId="0" fontId="11" fillId="0" borderId="0" pivotButton="0" quotePrefix="0" xfId="0"/>
    <xf numFmtId="2" fontId="11" fillId="0" borderId="0" pivotButton="0" quotePrefix="0" xfId="0"/>
    <xf numFmtId="0" fontId="13" fillId="0" borderId="0" pivotButton="0" quotePrefix="0" xfId="0"/>
    <xf numFmtId="3" fontId="14" fillId="0" borderId="0" pivotButton="0" quotePrefix="0" xfId="0"/>
    <xf numFmtId="3" fontId="15" fillId="0" borderId="0" pivotButton="0" quotePrefix="0" xfId="0"/>
    <xf numFmtId="166" fontId="15" fillId="0" borderId="0" pivotButton="0" quotePrefix="0" xfId="0"/>
    <xf numFmtId="0" fontId="16" fillId="0" borderId="0" pivotButton="0" quotePrefix="0" xfId="0"/>
    <xf numFmtId="3" fontId="14" fillId="0" borderId="5" pivotButton="0" quotePrefix="0" xfId="0"/>
    <xf numFmtId="166" fontId="14" fillId="0" borderId="5" applyAlignment="1" pivotButton="0" quotePrefix="0" xfId="0">
      <alignment horizontal="right"/>
    </xf>
    <xf numFmtId="166" fontId="14" fillId="0" borderId="0" pivotButton="0" quotePrefix="0" xfId="0"/>
    <xf numFmtId="166" fontId="14" fillId="0" borderId="0" applyAlignment="1" pivotButton="0" quotePrefix="0" xfId="0">
      <alignment horizontal="right"/>
    </xf>
    <xf numFmtId="3" fontId="14" fillId="0" borderId="10" pivotButton="0" quotePrefix="0" xfId="0"/>
    <xf numFmtId="166" fontId="14" fillId="0" borderId="10" applyAlignment="1" pivotButton="0" quotePrefix="0" xfId="0">
      <alignment horizontal="right"/>
    </xf>
    <xf numFmtId="165" fontId="17" fillId="0" borderId="0" pivotButton="0" quotePrefix="0" xfId="0"/>
    <xf numFmtId="3" fontId="17" fillId="0" borderId="0" pivotButton="0" quotePrefix="0" xfId="0"/>
    <xf numFmtId="166" fontId="18" fillId="0" borderId="0" pivotButton="0" quotePrefix="0" xfId="0"/>
    <xf numFmtId="167" fontId="17" fillId="0" borderId="0" pivotButton="0" quotePrefix="0" xfId="0"/>
    <xf numFmtId="0" fontId="17" fillId="0" borderId="10" pivotButton="0" quotePrefix="0" xfId="0"/>
    <xf numFmtId="166" fontId="9" fillId="0" borderId="5" pivotButton="0" quotePrefix="0" xfId="0"/>
    <xf numFmtId="3" fontId="11" fillId="0" borderId="5" pivotButton="0" quotePrefix="0" xfId="0"/>
    <xf numFmtId="166" fontId="11" fillId="0" borderId="5" pivotButton="0" quotePrefix="0" xfId="0"/>
    <xf numFmtId="166" fontId="11" fillId="0" borderId="6" applyAlignment="1" pivotButton="0" quotePrefix="0" xfId="0">
      <alignment horizontal="right"/>
    </xf>
    <xf numFmtId="166" fontId="9" fillId="0" borderId="0" pivotButton="0" quotePrefix="0" xfId="0"/>
    <xf numFmtId="166" fontId="11" fillId="0" borderId="0" pivotButton="0" quotePrefix="0" xfId="0"/>
    <xf numFmtId="166" fontId="11" fillId="0" borderId="8" applyAlignment="1" pivotButton="0" quotePrefix="0" xfId="0">
      <alignment horizontal="right"/>
    </xf>
    <xf numFmtId="166" fontId="9" fillId="0" borderId="10" pivotButton="0" quotePrefix="0" xfId="0"/>
    <xf numFmtId="3" fontId="11" fillId="0" borderId="10" pivotButton="0" quotePrefix="0" xfId="0"/>
    <xf numFmtId="166" fontId="11" fillId="0" borderId="10" pivotButton="0" quotePrefix="0" xfId="0"/>
    <xf numFmtId="166" fontId="11" fillId="0" borderId="11" applyAlignment="1" pivotButton="0" quotePrefix="0" xfId="0">
      <alignment horizontal="right"/>
    </xf>
    <xf numFmtId="0" fontId="17" fillId="0" borderId="0" pivotButton="0" quotePrefix="0" xfId="0"/>
    <xf numFmtId="166" fontId="17" fillId="0" borderId="0" pivotButton="0" quotePrefix="0" xfId="0"/>
    <xf numFmtId="1" fontId="19" fillId="0" borderId="0" pivotButton="0" quotePrefix="0" xfId="0"/>
    <xf numFmtId="1" fontId="10" fillId="0" borderId="0" applyAlignment="1" pivotButton="0" quotePrefix="0" xfId="0">
      <alignment wrapText="1"/>
    </xf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14" fillId="0" borderId="0" pivotButton="0" quotePrefix="0" xfId="0"/>
    <xf numFmtId="0" fontId="30" fillId="0" borderId="0" pivotButton="0" quotePrefix="0" xfId="0"/>
    <xf numFmtId="0" fontId="12" fillId="4" borderId="0" pivotButton="0" quotePrefix="0" xfId="0"/>
  </cellXfs>
  <cellStyles count="4">
    <cellStyle name="Normal" xfId="0" builtinId="0"/>
    <cellStyle name="Normal 2" xfId="1"/>
    <cellStyle name="Style 1" xfId="2"/>
    <cellStyle name="Comma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externalLink" Target="/xl/externalLinks/externalLink1.xml" Id="rId7" /><Relationship Type="http://schemas.openxmlformats.org/officeDocument/2006/relationships/externalLink" Target="/xl/externalLinks/externalLink2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Shock%20analysis/Shock%20analysis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tlmonetaryfund-my.sharepoint.com/personal/swang10_imf_org/Documents/Georgia/answer%20-%20demand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roduction"/>
      <sheetName val="NA"/>
      <sheetName val="Charts for NA"/>
      <sheetName val="data"/>
      <sheetName val="CFC data"/>
      <sheetName val="SUPPLY (38-38)-2024"/>
      <sheetName val="USE (38-38)-2024"/>
      <sheetName val="PWT"/>
      <sheetName val="Auth_Data"/>
    </sheetNames>
    <sheetDataSet>
      <sheetData sheetId="0"/>
      <sheetData sheetId="1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7.3113398191734902</v>
          </cell>
          <cell r="K8">
            <v>7.3113398191734902</v>
          </cell>
        </row>
        <row r="9">
          <cell r="B9">
            <v>2026</v>
          </cell>
          <cell r="J9">
            <v>5.2408528739952498</v>
          </cell>
          <cell r="K9">
            <v>5.7941052961636208</v>
          </cell>
        </row>
        <row r="10">
          <cell r="B10">
            <v>2027</v>
          </cell>
          <cell r="J10">
            <v>5.039020851261844</v>
          </cell>
          <cell r="K10">
            <v>5.473457413324212</v>
          </cell>
        </row>
        <row r="11">
          <cell r="B11">
            <v>2028</v>
          </cell>
          <cell r="J11">
            <v>4.950486407478305</v>
          </cell>
          <cell r="K11">
            <v>5.3141301944295893</v>
          </cell>
        </row>
        <row r="12">
          <cell r="B12">
            <v>2029</v>
          </cell>
          <cell r="J12">
            <v>5.0327836705058804</v>
          </cell>
          <cell r="K12">
            <v>5.3061750123148732</v>
          </cell>
        </row>
        <row r="13">
          <cell r="B13">
            <v>2030</v>
          </cell>
          <cell r="J13">
            <v>5.0000000000002043</v>
          </cell>
          <cell r="K13">
            <v>4.8553940843498733</v>
          </cell>
        </row>
        <row r="14">
          <cell r="B14">
            <v>2031</v>
          </cell>
          <cell r="J14">
            <v>5.0000000000000044</v>
          </cell>
          <cell r="K14">
            <v>4.5371594328556419</v>
          </cell>
        </row>
        <row r="15">
          <cell r="B15">
            <v>2032</v>
          </cell>
          <cell r="J15">
            <v>5.0000000000007594</v>
          </cell>
          <cell r="K15">
            <v>4.4575701955024361</v>
          </cell>
        </row>
        <row r="16">
          <cell r="B16">
            <v>2033</v>
          </cell>
          <cell r="J16">
            <v>5.0000000000000266</v>
          </cell>
          <cell r="K16">
            <v>4.7456613933617442</v>
          </cell>
        </row>
        <row r="17">
          <cell r="B17">
            <v>2034</v>
          </cell>
          <cell r="J17">
            <v>5.0000000000000266</v>
          </cell>
          <cell r="K17">
            <v>4.7872106278486815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5.0000000000000044</v>
          </cell>
          <cell r="K20">
            <v>5.0000000000000044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7.3113398191734902</v>
          </cell>
          <cell r="K47">
            <v>7.3113398191734902</v>
          </cell>
        </row>
        <row r="48">
          <cell r="B48">
            <v>2026</v>
          </cell>
          <cell r="J48">
            <v>5.2408528739952498</v>
          </cell>
          <cell r="K48">
            <v>5.9324184017057302</v>
          </cell>
        </row>
        <row r="49">
          <cell r="B49">
            <v>2027</v>
          </cell>
          <cell r="J49">
            <v>5.039020851261844</v>
          </cell>
          <cell r="K49">
            <v>5.5813575136922422</v>
          </cell>
        </row>
        <row r="50">
          <cell r="B50">
            <v>2028</v>
          </cell>
          <cell r="J50">
            <v>4.950486407478305</v>
          </cell>
          <cell r="K50">
            <v>5.4039837103142307</v>
          </cell>
        </row>
        <row r="51">
          <cell r="B51">
            <v>2029</v>
          </cell>
          <cell r="J51">
            <v>5.0327836705058804</v>
          </cell>
          <cell r="K51">
            <v>5.3734372157990595</v>
          </cell>
        </row>
        <row r="52">
          <cell r="B52">
            <v>2030</v>
          </cell>
          <cell r="J52">
            <v>5.0000000000002043</v>
          </cell>
          <cell r="K52">
            <v>4.8199318477713859</v>
          </cell>
        </row>
        <row r="53">
          <cell r="B53">
            <v>2031</v>
          </cell>
          <cell r="J53">
            <v>5.0000000000000044</v>
          </cell>
          <cell r="K53">
            <v>4.4234603644893289</v>
          </cell>
        </row>
        <row r="54">
          <cell r="B54">
            <v>2032</v>
          </cell>
          <cell r="J54">
            <v>5.0000000000007594</v>
          </cell>
          <cell r="K54">
            <v>4.3235839394654807</v>
          </cell>
        </row>
        <row r="55">
          <cell r="B55">
            <v>2033</v>
          </cell>
          <cell r="J55">
            <v>5.0000000000000266</v>
          </cell>
          <cell r="K55">
            <v>4.6824295568276275</v>
          </cell>
        </row>
        <row r="56">
          <cell r="B56">
            <v>2034</v>
          </cell>
          <cell r="J56">
            <v>5.0000000000000266</v>
          </cell>
          <cell r="K56">
            <v>4.7341479764422045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5.0000000000000044</v>
          </cell>
          <cell r="K59">
            <v>5.0000000000000044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7.3113398191734902</v>
          </cell>
          <cell r="K84">
            <v>7.3113398191734902</v>
          </cell>
        </row>
        <row r="85">
          <cell r="B85">
            <v>2026</v>
          </cell>
          <cell r="J85">
            <v>5.2408528739952498</v>
          </cell>
          <cell r="K85">
            <v>5.5981687376918776</v>
          </cell>
        </row>
        <row r="86">
          <cell r="B86">
            <v>2027</v>
          </cell>
          <cell r="J86">
            <v>5.039020851261844</v>
          </cell>
          <cell r="K86">
            <v>5.3201205793125927</v>
          </cell>
        </row>
        <row r="87">
          <cell r="B87">
            <v>2028</v>
          </cell>
          <cell r="J87">
            <v>4.950486407478305</v>
          </cell>
          <cell r="K87">
            <v>5.186122636416779</v>
          </cell>
        </row>
        <row r="88">
          <cell r="B88">
            <v>2029</v>
          </cell>
          <cell r="J88">
            <v>5.0327836705058804</v>
          </cell>
          <cell r="K88">
            <v>5.2101531318929473</v>
          </cell>
        </row>
        <row r="89">
          <cell r="B89">
            <v>2030</v>
          </cell>
          <cell r="J89">
            <v>5.0000000000002043</v>
          </cell>
          <cell r="K89">
            <v>4.906097677010357</v>
          </cell>
        </row>
        <row r="90">
          <cell r="B90">
            <v>2031</v>
          </cell>
          <cell r="J90">
            <v>5.0000000000000044</v>
          </cell>
          <cell r="K90">
            <v>4.6995918312351836</v>
          </cell>
        </row>
        <row r="91">
          <cell r="B91">
            <v>2032</v>
          </cell>
          <cell r="J91">
            <v>5.0000000000007594</v>
          </cell>
          <cell r="K91">
            <v>4.6484803788203966</v>
          </cell>
        </row>
        <row r="92">
          <cell r="B92">
            <v>2033</v>
          </cell>
          <cell r="J92">
            <v>5.0000000000000266</v>
          </cell>
          <cell r="K92">
            <v>4.8354774970149172</v>
          </cell>
        </row>
        <row r="93">
          <cell r="B93">
            <v>2034</v>
          </cell>
          <cell r="J93">
            <v>5.0000000000000266</v>
          </cell>
          <cell r="K93">
            <v>4.8624721292225503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5.0000000000000044</v>
          </cell>
          <cell r="K96">
            <v>5.0000000000000044</v>
          </cell>
        </row>
        <row r="116">
          <cell r="J116" t="str">
            <v>Baseline GDP Growth</v>
          </cell>
          <cell r="K116" t="str">
            <v>Projected Growth</v>
          </cell>
        </row>
        <row r="123">
          <cell r="J123">
            <v>7.3113398191734902</v>
          </cell>
          <cell r="K123">
            <v>7.3113398191734902</v>
          </cell>
        </row>
        <row r="124">
          <cell r="J124">
            <v>5.2408528739952498</v>
          </cell>
          <cell r="K124">
            <v>6.6239839294161662</v>
          </cell>
        </row>
        <row r="125">
          <cell r="J125">
            <v>5.039020851261844</v>
          </cell>
          <cell r="K125">
            <v>4.8965544840692043</v>
          </cell>
        </row>
        <row r="126">
          <cell r="J126">
            <v>4.950486407478305</v>
          </cell>
          <cell r="K126">
            <v>4.845907347351841</v>
          </cell>
        </row>
        <row r="127">
          <cell r="J127">
            <v>5.0327836705058804</v>
          </cell>
          <cell r="K127">
            <v>4.9244815262530217</v>
          </cell>
        </row>
        <row r="128">
          <cell r="J128">
            <v>5.0000000000002043</v>
          </cell>
          <cell r="K128">
            <v>4.9090993957864759</v>
          </cell>
        </row>
        <row r="129">
          <cell r="J129">
            <v>5.0000000000000044</v>
          </cell>
          <cell r="K129">
            <v>4.9190918522576288</v>
          </cell>
        </row>
        <row r="130">
          <cell r="J130">
            <v>5.0000000000007594</v>
          </cell>
          <cell r="K130">
            <v>4.7409788021092414</v>
          </cell>
        </row>
        <row r="131">
          <cell r="J131">
            <v>5.0000000000000266</v>
          </cell>
          <cell r="K131">
            <v>4.9474775161479245</v>
          </cell>
        </row>
        <row r="132">
          <cell r="J132">
            <v>5.0000000000000266</v>
          </cell>
          <cell r="K132">
            <v>4.469638787185759</v>
          </cell>
        </row>
        <row r="133">
          <cell r="J133">
            <v>5.0000000000000044</v>
          </cell>
          <cell r="K133">
            <v>5.0000000000000044</v>
          </cell>
        </row>
        <row r="134">
          <cell r="J134">
            <v>5.0000000000000044</v>
          </cell>
          <cell r="K134">
            <v>5.0000000000000044</v>
          </cell>
        </row>
        <row r="135">
          <cell r="J135">
            <v>5.0000000000000044</v>
          </cell>
          <cell r="K135">
            <v>5.0000000000000044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NA (2)"/>
      <sheetName val="SUPPLY (38-38)-2024"/>
      <sheetName val="USE (38-38)-2024"/>
      <sheetName val="WEO_Data"/>
    </sheetNames>
    <sheetDataSet>
      <sheetData sheetId="0">
        <row r="1">
          <cell r="J1" t="str">
            <v>Baseline GDP Growth</v>
          </cell>
          <cell r="K1" t="str">
            <v>Projected Growth</v>
          </cell>
        </row>
        <row r="8">
          <cell r="B8">
            <v>2025</v>
          </cell>
          <cell r="J8">
            <v>5.9773350122213076</v>
          </cell>
          <cell r="K8">
            <v>5.9773350122213076</v>
          </cell>
        </row>
        <row r="9">
          <cell r="B9">
            <v>2026</v>
          </cell>
          <cell r="J9">
            <v>5.0000000000000044</v>
          </cell>
          <cell r="K9">
            <v>5.5262183226381101</v>
          </cell>
        </row>
        <row r="10">
          <cell r="B10">
            <v>2027</v>
          </cell>
          <cell r="J10">
            <v>5.0001996884859512</v>
          </cell>
          <cell r="K10">
            <v>5.4402001752454687</v>
          </cell>
        </row>
        <row r="11">
          <cell r="B11">
            <v>2028</v>
          </cell>
          <cell r="J11">
            <v>5.0000000000000044</v>
          </cell>
          <cell r="K11">
            <v>5.361589224478025</v>
          </cell>
        </row>
        <row r="12">
          <cell r="B12">
            <v>2029</v>
          </cell>
          <cell r="J12">
            <v>5.0000000000000044</v>
          </cell>
          <cell r="K12">
            <v>5.2947176456340728</v>
          </cell>
        </row>
        <row r="13">
          <cell r="B13">
            <v>2030</v>
          </cell>
          <cell r="J13">
            <v>5.0000000000000044</v>
          </cell>
          <cell r="K13">
            <v>4.8680499915734421</v>
          </cell>
        </row>
        <row r="14">
          <cell r="B14">
            <v>2031</v>
          </cell>
          <cell r="J14">
            <v>5.0000000000000044</v>
          </cell>
          <cell r="K14">
            <v>4.5398644726665216</v>
          </cell>
        </row>
        <row r="15">
          <cell r="B15">
            <v>2032</v>
          </cell>
          <cell r="J15">
            <v>5.0000000000000044</v>
          </cell>
          <cell r="K15">
            <v>4.6037405318378299</v>
          </cell>
        </row>
        <row r="16">
          <cell r="B16">
            <v>2033</v>
          </cell>
          <cell r="J16">
            <v>5.0000000000000044</v>
          </cell>
          <cell r="K16">
            <v>4.660654383455487</v>
          </cell>
        </row>
        <row r="17">
          <cell r="B17">
            <v>2034</v>
          </cell>
          <cell r="J17">
            <v>5.0000000000000044</v>
          </cell>
          <cell r="K17">
            <v>4.7112244699393901</v>
          </cell>
        </row>
        <row r="18">
          <cell r="B18">
            <v>2035</v>
          </cell>
          <cell r="J18">
            <v>5.0000000000000044</v>
          </cell>
          <cell r="K18">
            <v>5.0000000000000044</v>
          </cell>
        </row>
        <row r="19">
          <cell r="B19">
            <v>2036</v>
          </cell>
          <cell r="J19">
            <v>5.0000000000000044</v>
          </cell>
          <cell r="K19">
            <v>5.0000000000000044</v>
          </cell>
        </row>
        <row r="20">
          <cell r="B20">
            <v>2037</v>
          </cell>
          <cell r="J20">
            <v>4.9999999999999822</v>
          </cell>
          <cell r="K20">
            <v>4.9999999999999822</v>
          </cell>
        </row>
        <row r="40">
          <cell r="J40" t="str">
            <v>Baseline GDP Growth</v>
          </cell>
          <cell r="K40" t="str">
            <v>Projected Growth</v>
          </cell>
        </row>
        <row r="47">
          <cell r="B47">
            <v>2025</v>
          </cell>
          <cell r="J47">
            <v>5.9773350122213076</v>
          </cell>
          <cell r="K47">
            <v>5.9773350122213076</v>
          </cell>
        </row>
        <row r="48">
          <cell r="B48">
            <v>2026</v>
          </cell>
          <cell r="J48">
            <v>5.0000000000000044</v>
          </cell>
          <cell r="K48">
            <v>5.6577729032976531</v>
          </cell>
        </row>
        <row r="49">
          <cell r="B49">
            <v>2027</v>
          </cell>
          <cell r="J49">
            <v>5.0001996884859512</v>
          </cell>
          <cell r="K49">
            <v>5.5495154907216904</v>
          </cell>
        </row>
        <row r="50">
          <cell r="B50">
            <v>2028</v>
          </cell>
          <cell r="J50">
            <v>5.0000000000000044</v>
          </cell>
          <cell r="K50">
            <v>5.4509562321159999</v>
          </cell>
        </row>
        <row r="51">
          <cell r="B51">
            <v>2029</v>
          </cell>
          <cell r="J51">
            <v>5.0000000000000044</v>
          </cell>
          <cell r="K51">
            <v>5.3672458043975135</v>
          </cell>
        </row>
        <row r="52">
          <cell r="B52">
            <v>2030</v>
          </cell>
          <cell r="J52">
            <v>5.0000000000000044</v>
          </cell>
          <cell r="K52">
            <v>4.835691102263584</v>
          </cell>
        </row>
        <row r="53">
          <cell r="B53">
            <v>2031</v>
          </cell>
          <cell r="J53">
            <v>5.0000000000000044</v>
          </cell>
          <cell r="K53">
            <v>4.4268458299520086</v>
          </cell>
        </row>
        <row r="54">
          <cell r="B54">
            <v>2032</v>
          </cell>
          <cell r="J54">
            <v>5.0000000000000044</v>
          </cell>
          <cell r="K54">
            <v>4.5058769489794814</v>
          </cell>
        </row>
        <row r="55">
          <cell r="B55">
            <v>2033</v>
          </cell>
          <cell r="J55">
            <v>5.0000000000000044</v>
          </cell>
          <cell r="K55">
            <v>4.5764504677153095</v>
          </cell>
        </row>
        <row r="56">
          <cell r="B56">
            <v>2034</v>
          </cell>
          <cell r="J56">
            <v>5.0000000000000044</v>
          </cell>
          <cell r="K56">
            <v>4.63927860530986</v>
          </cell>
        </row>
        <row r="57">
          <cell r="B57">
            <v>2035</v>
          </cell>
          <cell r="J57">
            <v>5.0000000000000044</v>
          </cell>
          <cell r="K57">
            <v>5.0000000000000044</v>
          </cell>
        </row>
        <row r="58">
          <cell r="B58">
            <v>2036</v>
          </cell>
          <cell r="J58">
            <v>5.0000000000000044</v>
          </cell>
          <cell r="K58">
            <v>5.0000000000000044</v>
          </cell>
        </row>
        <row r="59">
          <cell r="B59">
            <v>2037</v>
          </cell>
          <cell r="J59">
            <v>4.9999999999999822</v>
          </cell>
          <cell r="K59">
            <v>4.9999999999999822</v>
          </cell>
        </row>
        <row r="77">
          <cell r="J77" t="str">
            <v>Baseline GDP Growth</v>
          </cell>
          <cell r="K77" t="str">
            <v>Projected Growth</v>
          </cell>
        </row>
        <row r="84">
          <cell r="B84">
            <v>2025</v>
          </cell>
          <cell r="J84">
            <v>5.9773350122213076</v>
          </cell>
          <cell r="K84">
            <v>5.9773350122213076</v>
          </cell>
        </row>
        <row r="85">
          <cell r="B85">
            <v>2026</v>
          </cell>
          <cell r="J85">
            <v>5.0000000000000044</v>
          </cell>
          <cell r="K85">
            <v>5.3398559986587824</v>
          </cell>
        </row>
        <row r="86">
          <cell r="B86">
            <v>2027</v>
          </cell>
          <cell r="J86">
            <v>5.0001996884859512</v>
          </cell>
          <cell r="K86">
            <v>5.284874987468946</v>
          </cell>
        </row>
        <row r="87">
          <cell r="B87">
            <v>2028</v>
          </cell>
          <cell r="J87">
            <v>5.0000000000000044</v>
          </cell>
          <cell r="K87">
            <v>5.2342892403760555</v>
          </cell>
        </row>
        <row r="88">
          <cell r="B88">
            <v>2029</v>
          </cell>
          <cell r="J88">
            <v>5.0000000000000044</v>
          </cell>
          <cell r="K88">
            <v>5.1911912638872515</v>
          </cell>
        </row>
        <row r="89">
          <cell r="B89">
            <v>2030</v>
          </cell>
          <cell r="J89">
            <v>5.0000000000000044</v>
          </cell>
          <cell r="K89">
            <v>4.9143162356320103</v>
          </cell>
        </row>
        <row r="90">
          <cell r="B90">
            <v>2031</v>
          </cell>
          <cell r="J90">
            <v>5.0000000000000044</v>
          </cell>
          <cell r="K90">
            <v>4.7013356951920215</v>
          </cell>
        </row>
        <row r="91">
          <cell r="B91">
            <v>2032</v>
          </cell>
          <cell r="J91">
            <v>5.0000000000000044</v>
          </cell>
          <cell r="K91">
            <v>4.7431929649289772</v>
          </cell>
        </row>
        <row r="92">
          <cell r="B92">
            <v>2033</v>
          </cell>
          <cell r="J92">
            <v>5.0000000000000044</v>
          </cell>
          <cell r="K92">
            <v>4.780370377970633</v>
          </cell>
        </row>
        <row r="93">
          <cell r="B93">
            <v>2034</v>
          </cell>
          <cell r="J93">
            <v>5.0000000000000044</v>
          </cell>
          <cell r="K93">
            <v>4.8133136447871427</v>
          </cell>
        </row>
        <row r="94">
          <cell r="B94">
            <v>2035</v>
          </cell>
          <cell r="J94">
            <v>5.0000000000000044</v>
          </cell>
          <cell r="K94">
            <v>5.0000000000000044</v>
          </cell>
        </row>
        <row r="95">
          <cell r="B95">
            <v>2036</v>
          </cell>
          <cell r="J95">
            <v>5.0000000000000044</v>
          </cell>
          <cell r="K95">
            <v>5.0000000000000044</v>
          </cell>
        </row>
        <row r="96">
          <cell r="B96">
            <v>2037</v>
          </cell>
          <cell r="J96">
            <v>4.9999999999999822</v>
          </cell>
          <cell r="K96">
            <v>4.9999999999999822</v>
          </cell>
        </row>
      </sheetData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80" customWidth="1" min="1" max="1"/>
    <col width="50" customWidth="1" min="2" max="2"/>
  </cols>
  <sheetData>
    <row r="1">
      <c r="A1" s="79" t="inlineStr">
        <is>
          <t>Investment Spending Shock Analysis for Georgia</t>
        </is>
      </c>
    </row>
    <row r="2">
      <c r="A2" s="80" t="inlineStr">
        <is>
          <t>Macro Accounting Framework (Demand Side)</t>
        </is>
      </c>
    </row>
    <row r="4">
      <c r="A4" s="81" t="inlineStr">
        <is>
          <t>PROJECT OVERVIEW:</t>
        </is>
      </c>
    </row>
    <row r="5">
      <c r="A5" s="82" t="inlineStr">
        <is>
          <t>Investment Amount: USD 6.5 billion</t>
        </is>
      </c>
    </row>
    <row r="6">
      <c r="A6" s="82" t="inlineStr">
        <is>
          <t>Investment Period: 8 years (2026-2033)</t>
        </is>
      </c>
    </row>
    <row r="7">
      <c r="A7" s="82" t="inlineStr">
        <is>
          <t>Exchange Rate: 2.746 GEL/USD</t>
        </is>
      </c>
    </row>
    <row r="8">
      <c r="A8" s="82" t="inlineStr">
        <is>
          <t>Analysis Type: Demand-side impact on GDP</t>
        </is>
      </c>
    </row>
    <row r="10">
      <c r="A10" s="83" t="inlineStr">
        <is>
          <t>STEP-BY-STEP INSTRUCTIONS:</t>
        </is>
      </c>
    </row>
    <row r="12">
      <c r="A12" s="84" t="inlineStr">
        <is>
          <t>STEP 1: Data Collection from IMF WEO Database</t>
        </is>
      </c>
    </row>
    <row r="13">
      <c r="A13" s="85" t="inlineStr">
        <is>
          <t>1. Go to sheet "WEO_Data"</t>
        </is>
      </c>
    </row>
    <row r="14">
      <c r="A14" s="85" t="inlineStr">
        <is>
          <t>2. Visit: https://www.imf.org/en/Publications/WEO/weo-database/2024/October</t>
        </is>
      </c>
    </row>
    <row r="15">
      <c r="A15" s="85" t="inlineStr">
        <is>
          <t>3. Select Country: Georgia</t>
        </is>
      </c>
    </row>
    <row r="16">
      <c r="A16" s="85" t="inlineStr">
        <is>
          <t>4. Select Indicators: Real GDP Growth (%), Nominal GDP (USD bn), GDP Deflator (Index)</t>
        </is>
      </c>
    </row>
    <row r="17">
      <c r="A17" s="85" t="inlineStr">
        <is>
          <t>5. Download data for years 2020-2029</t>
        </is>
      </c>
    </row>
    <row r="18">
      <c r="A18" s="85" t="inlineStr">
        <is>
          <t>6. Populate columns B, C, D in WEO_Data sheet (rows 4-13)</t>
        </is>
      </c>
    </row>
    <row r="19">
      <c r="A19" s="85" t="inlineStr">
        <is>
          <t>7. Formulas will automatically:</t>
        </is>
      </c>
    </row>
    <row r="20">
      <c r="A20" s="85" t="inlineStr">
        <is>
          <t xml:space="preserve">   - Extend 2027 real GDP growth rate to 2043</t>
        </is>
      </c>
    </row>
    <row r="21">
      <c r="A21" s="85" t="inlineStr">
        <is>
          <t xml:space="preserve">   - Extend GDP deflator using average 2020-2023 growth rate</t>
        </is>
      </c>
    </row>
    <row r="22">
      <c r="A22" s="85" t="inlineStr">
        <is>
          <t xml:space="preserve">   - Calculate Nominal GDP in GEL using exchange rate 2.746</t>
        </is>
      </c>
    </row>
    <row r="24">
      <c r="A24" s="84" t="inlineStr">
        <is>
          <t>STEP 2: Data Collection from geostat.ge (Supply and Use Tables)</t>
        </is>
      </c>
    </row>
    <row r="25">
      <c r="A25" s="85" t="inlineStr">
        <is>
          <t>1. Visit: https://www.geostat.ge/en/modules/categories/191/supply-use-tables</t>
        </is>
      </c>
    </row>
    <row r="26">
      <c r="A26" s="85" t="inlineStr">
        <is>
          <t>2. Download the latest Supply and Use Tables (Excel format)</t>
        </is>
      </c>
    </row>
    <row r="27">
      <c r="A27" s="85" t="inlineStr">
        <is>
          <t>3. Copy the SUPPLY table (38x38) to sheet "SUPPLY"</t>
        </is>
      </c>
    </row>
    <row r="28">
      <c r="A28" s="85" t="inlineStr">
        <is>
          <t>4. Copy the USE table (38x38) to sheet "USE"</t>
        </is>
      </c>
    </row>
    <row r="29">
      <c r="A29" s="85" t="inlineStr">
        <is>
          <t>5. Sheet "SUT Calc" will automatically:</t>
        </is>
      </c>
    </row>
    <row r="30">
      <c r="A30" s="85" t="inlineStr">
        <is>
          <t xml:space="preserve">   - Link data from SUPPLY and USE sheets</t>
        </is>
      </c>
    </row>
    <row r="31">
      <c r="A31" s="85" t="inlineStr">
        <is>
          <t xml:space="preserve">   - Calculate import content share (cell C46)</t>
        </is>
      </c>
    </row>
    <row r="32">
      <c r="A32" s="85" t="inlineStr">
        <is>
          <t xml:space="preserve">   - This value feeds into the NA sheet scenarios</t>
        </is>
      </c>
    </row>
    <row r="34">
      <c r="A34" s="84" t="inlineStr">
        <is>
          <t>STEP 3: Review Scenario Analysis</t>
        </is>
      </c>
    </row>
    <row r="35">
      <c r="A35" s="85" t="inlineStr">
        <is>
          <t>1. Go to sheet "NA" (National Accounts)</t>
        </is>
      </c>
    </row>
    <row r="36">
      <c r="A36" s="85" t="inlineStr">
        <is>
          <t>2. Review three scenarios:</t>
        </is>
      </c>
    </row>
    <row r="37">
      <c r="A37" s="85" t="inlineStr">
        <is>
          <t xml:space="preserve">   - Scenario 1 (Base Case): Demand multiplier = 0.8, Import share from SUT Calc</t>
        </is>
      </c>
    </row>
    <row r="38">
      <c r="A38" s="85" t="inlineStr">
        <is>
          <t xml:space="preserve">   - Scenario 2: Demand multiplier = 1.0 (higher multiplier effect)</t>
        </is>
      </c>
    </row>
    <row r="39">
      <c r="A39" s="85" t="inlineStr">
        <is>
          <t xml:space="preserve">   - Scenario 3: Import content share = 0.5 (higher import content)</t>
        </is>
      </c>
    </row>
    <row r="40">
      <c r="A40" s="85" t="inlineStr">
        <is>
          <t>3. All scenarios use bell-shaped project allocation over 8 years</t>
        </is>
      </c>
    </row>
    <row r="41">
      <c r="A41" s="85" t="inlineStr">
        <is>
          <t>4. Results show GDP impact, multiplier effects, and projected growth rates</t>
        </is>
      </c>
    </row>
    <row r="43">
      <c r="A43" s="81" t="inlineStr">
        <is>
          <t>SHEET GUIDE:</t>
        </is>
      </c>
    </row>
    <row r="44">
      <c r="A44" s="85" t="inlineStr">
        <is>
          <t>Instructions - This sheet (overview and guide)</t>
        </is>
      </c>
    </row>
    <row r="45">
      <c r="A45" s="85" t="inlineStr">
        <is>
          <t>WEO_Data - IMF World Economic Outlook data for Georgia</t>
        </is>
      </c>
    </row>
    <row r="46">
      <c r="A46" s="85" t="inlineStr">
        <is>
          <t>SUPPLY - Supply table from geostat (38x38)</t>
        </is>
      </c>
    </row>
    <row r="47">
      <c r="A47" s="85" t="inlineStr">
        <is>
          <t>USE - Use table from geostat (38x38)</t>
        </is>
      </c>
    </row>
    <row r="48">
      <c r="A48" s="85" t="inlineStr">
        <is>
          <t>SUT Calc - Calculations from Supply and Use tables</t>
        </is>
      </c>
    </row>
    <row r="49">
      <c r="A49" s="85" t="inlineStr">
        <is>
          <t>NA - National Accounts analysis with 3 scenarios</t>
        </is>
      </c>
    </row>
    <row r="51">
      <c r="A51" s="86" t="inlineStr">
        <is>
          <t>COLOR CODING:</t>
        </is>
      </c>
    </row>
    <row r="52">
      <c r="A52" s="37" t="inlineStr">
        <is>
          <t>Blue text</t>
        </is>
      </c>
      <c r="B52" s="85">
        <f> Hardcoded inputs (values you enter or assumptions)</f>
        <v/>
      </c>
    </row>
    <row r="53">
      <c r="A53" s="43" t="inlineStr">
        <is>
          <t>Black text</t>
        </is>
      </c>
      <c r="B53" s="85">
        <f> Formulas and calculations</f>
        <v/>
      </c>
    </row>
    <row r="54">
      <c r="A54" s="87" t="inlineStr">
        <is>
          <t>Green text</t>
        </is>
      </c>
      <c r="B54" s="85">
        <f> Links to other sheets within this workbook</f>
        <v/>
      </c>
    </row>
    <row r="55">
      <c r="A55" s="88" t="inlineStr">
        <is>
          <t>Red text</t>
        </is>
      </c>
      <c r="B55" s="85">
        <f> Important notes or external data sources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Georgia - IMF WEO Data</t>
        </is>
      </c>
    </row>
    <row r="2">
      <c r="A2" s="35" t="inlineStr">
        <is>
          <t>Data Source: IMF WEO Database (https://www.imf.org/en/Publications/WEO/weo-database)</t>
        </is>
      </c>
    </row>
    <row r="3">
      <c r="A3" s="32" t="inlineStr">
        <is>
          <t>Year</t>
        </is>
      </c>
      <c r="B3" s="32" t="inlineStr">
        <is>
          <t>Real GDP Growth (%)</t>
        </is>
      </c>
      <c r="C3" s="32" t="inlineStr">
        <is>
          <t>Nominal GDP (USD bn)</t>
        </is>
      </c>
      <c r="D3" s="32" t="inlineStr">
        <is>
          <t>GDP Deflator (Index)</t>
        </is>
      </c>
      <c r="E3" s="32" t="inlineStr">
        <is>
          <t>Nominal GDP (GEL mn)</t>
        </is>
      </c>
      <c r="G3" s="36" t="inlineStr">
        <is>
          <t>Instructions:</t>
        </is>
      </c>
    </row>
    <row r="4">
      <c r="A4" s="33" t="n">
        <v>2020</v>
      </c>
      <c r="E4" s="38">
        <f>C4*1000*$H$11</f>
        <v/>
      </c>
      <c r="G4" s="39" t="inlineStr">
        <is>
          <t>1. Populate columns B-D with IMF WEO data for 2020-2029</t>
        </is>
      </c>
    </row>
    <row r="5">
      <c r="A5" s="33" t="n">
        <v>2021</v>
      </c>
      <c r="E5" s="38">
        <f>C5*1000*$H$11</f>
        <v/>
      </c>
      <c r="G5" s="39" t="inlineStr">
        <is>
          <t>2. Real GDP Growth for 2027 will be extended to 2043 (same rate)</t>
        </is>
      </c>
    </row>
    <row r="6">
      <c r="A6" s="33" t="n">
        <v>2022</v>
      </c>
      <c r="E6" s="38">
        <f>C6*1000*$H$11</f>
        <v/>
      </c>
      <c r="G6" s="39" t="inlineStr">
        <is>
          <t>3. GDP Deflator will be extended using avg growth of 2020-2023</t>
        </is>
      </c>
    </row>
    <row r="7">
      <c r="A7" s="33" t="n">
        <v>2023</v>
      </c>
      <c r="E7" s="38">
        <f>C7*1000*$H$11</f>
        <v/>
      </c>
      <c r="G7" t="inlineStr">
        <is>
          <t>4. Nominal GDP (GEL) will be calculated from USD using exchange rate</t>
        </is>
      </c>
    </row>
    <row r="8">
      <c r="A8" s="74" t="inlineStr">
        <is>
          <t>DATA COLLECTION INSTRUCTIONS:</t>
        </is>
      </c>
      <c r="E8" s="38">
        <f>C8*1000*$H$11</f>
        <v/>
      </c>
    </row>
    <row r="9">
      <c r="A9" s="75" t="inlineStr">
        <is>
          <t>1. Go to IMF WEO Database: https://www.imf.org/en/Publications/WEO/weo-database/2024/October</t>
        </is>
      </c>
      <c r="E9" s="38">
        <f>C9*1000*$H$11</f>
        <v/>
      </c>
      <c r="G9" s="40" t="inlineStr">
        <is>
          <t>GDP Deflator Growth Rate (avg 2020-2023):</t>
        </is>
      </c>
      <c r="H9" s="41">
        <f>AVERAGE(D5/D4-1,D6/D5-1,D7/D6-1,D8/D7-1)</f>
        <v/>
      </c>
    </row>
    <row r="10">
      <c r="A10" s="75" t="inlineStr">
        <is>
          <t>2. Select Country: Georgia</t>
        </is>
      </c>
      <c r="E10" s="38">
        <f>C10*1000*$H$11</f>
        <v/>
      </c>
    </row>
    <row r="11">
      <c r="A11" s="75" t="inlineStr">
        <is>
          <t>3. Select Indicators:</t>
        </is>
      </c>
      <c r="E11" s="38">
        <f>C11*1000*$H$11</f>
        <v/>
      </c>
      <c r="G11" s="40" t="inlineStr">
        <is>
          <t>Exchange Rate (GEL/USD):</t>
        </is>
      </c>
      <c r="H11" s="42" t="n">
        <v>2.746</v>
      </c>
    </row>
    <row r="12">
      <c r="A12" s="75" t="inlineStr">
        <is>
          <t xml:space="preserve">   - NGDP_RPCH: Real GDP growth (Annual percent change)</t>
        </is>
      </c>
      <c r="E12" s="38">
        <f>C12*1000*$H$11</f>
        <v/>
      </c>
    </row>
    <row r="13">
      <c r="A13" s="75" t="inlineStr">
        <is>
          <t xml:space="preserve">   - NGDPD: Nominal GDP (USD billions)</t>
        </is>
      </c>
      <c r="E13" s="38">
        <f>C13*1000*$H$11</f>
        <v/>
      </c>
    </row>
    <row r="14">
      <c r="A14" s="75" t="inlineStr">
        <is>
          <t xml:space="preserve">   - NGDP_D: GDP deflator (Index)</t>
        </is>
      </c>
      <c r="B14" s="43">
        <f>B11</f>
        <v/>
      </c>
      <c r="D14" s="44">
        <f>D13*(1+$H$9)</f>
        <v/>
      </c>
      <c r="E14" s="38">
        <f>C14*1000*$H$11</f>
        <v/>
      </c>
    </row>
    <row r="15">
      <c r="A15" s="75" t="inlineStr">
        <is>
          <t>4. Select Years: 2020-2029</t>
        </is>
      </c>
      <c r="B15" s="43">
        <f>B11</f>
        <v/>
      </c>
      <c r="D15" s="44">
        <f>D14*(1+$H$9)</f>
        <v/>
      </c>
      <c r="E15" s="38">
        <f>C15*1000*$H$11</f>
        <v/>
      </c>
    </row>
    <row r="16">
      <c r="A16" s="75" t="inlineStr">
        <is>
          <t>5. Download and populate columns B, C, D for years 2020-2029</t>
        </is>
      </c>
      <c r="B16" s="43">
        <f>B11</f>
        <v/>
      </c>
      <c r="D16" s="44">
        <f>D15*(1+$H$9)</f>
        <v/>
      </c>
      <c r="E16" s="38">
        <f>C16*1000*$H$11</f>
        <v/>
      </c>
    </row>
    <row r="17">
      <c r="A17" s="75" t="inlineStr">
        <is>
          <t>6. The formulas will automatically extend 2027 growth rate to 2043</t>
        </is>
      </c>
      <c r="B17" s="43">
        <f>B11</f>
        <v/>
      </c>
      <c r="D17" s="44">
        <f>D16*(1+$H$9)</f>
        <v/>
      </c>
      <c r="E17" s="38">
        <f>C17*1000*$H$11</f>
        <v/>
      </c>
    </row>
    <row r="18">
      <c r="A18" s="75" t="inlineStr">
        <is>
          <t>7. The formulas will extend GDP deflator using average 2020-2023 growth rate</t>
        </is>
      </c>
      <c r="B18" s="43">
        <f>B11</f>
        <v/>
      </c>
      <c r="D18" s="44">
        <f>D17*(1+$H$9)</f>
        <v/>
      </c>
      <c r="E18" s="38">
        <f>C18*1000*$H$11</f>
        <v/>
      </c>
    </row>
    <row r="19">
      <c r="A19" s="33" t="n">
        <v>2035</v>
      </c>
      <c r="B19" s="43">
        <f>B11</f>
        <v/>
      </c>
      <c r="D19" s="44">
        <f>D18*(1+$H$9)</f>
        <v/>
      </c>
      <c r="E19" s="38">
        <f>C19*1000*$H$11</f>
        <v/>
      </c>
    </row>
    <row r="20">
      <c r="A20" s="33" t="n">
        <v>2036</v>
      </c>
      <c r="B20" s="43">
        <f>B11</f>
        <v/>
      </c>
      <c r="D20" s="44">
        <f>D19*(1+$H$9)</f>
        <v/>
      </c>
      <c r="E20" s="38">
        <f>C20*1000*$H$11</f>
        <v/>
      </c>
    </row>
    <row r="21">
      <c r="A21" s="33" t="n">
        <v>2037</v>
      </c>
      <c r="B21" s="43">
        <f>B11</f>
        <v/>
      </c>
      <c r="D21" s="44">
        <f>D20*(1+$H$9)</f>
        <v/>
      </c>
      <c r="E21" s="38">
        <f>C21*1000*$H$11</f>
        <v/>
      </c>
    </row>
    <row r="22">
      <c r="A22" s="33" t="n">
        <v>2038</v>
      </c>
      <c r="B22" s="43">
        <f>B11</f>
        <v/>
      </c>
      <c r="D22" s="44">
        <f>D21*(1+$H$9)</f>
        <v/>
      </c>
      <c r="E22" s="38">
        <f>C22*1000*$H$11</f>
        <v/>
      </c>
    </row>
    <row r="23">
      <c r="A23" s="33" t="n">
        <v>2039</v>
      </c>
      <c r="B23" s="43">
        <f>B11</f>
        <v/>
      </c>
      <c r="D23" s="44">
        <f>D22*(1+$H$9)</f>
        <v/>
      </c>
      <c r="E23" s="38">
        <f>C23*1000*$H$11</f>
        <v/>
      </c>
    </row>
    <row r="24">
      <c r="A24" s="33" t="n">
        <v>2040</v>
      </c>
      <c r="B24" s="43">
        <f>B11</f>
        <v/>
      </c>
      <c r="D24" s="44">
        <f>D23*(1+$H$9)</f>
        <v/>
      </c>
      <c r="E24" s="38">
        <f>C24*1000*$H$11</f>
        <v/>
      </c>
    </row>
    <row r="25">
      <c r="A25" s="33" t="n">
        <v>2041</v>
      </c>
      <c r="B25" s="43">
        <f>B11</f>
        <v/>
      </c>
      <c r="D25" s="44">
        <f>D24*(1+$H$9)</f>
        <v/>
      </c>
      <c r="E25" s="38">
        <f>C25*1000*$H$11</f>
        <v/>
      </c>
    </row>
    <row r="26">
      <c r="A26" s="33" t="n">
        <v>2042</v>
      </c>
      <c r="B26" s="43">
        <f>B11</f>
        <v/>
      </c>
      <c r="D26" s="44">
        <f>D25*(1+$H$9)</f>
        <v/>
      </c>
      <c r="E26" s="38">
        <f>C26*1000*$H$11</f>
        <v/>
      </c>
    </row>
    <row r="27">
      <c r="A27" s="33" t="n">
        <v>2043</v>
      </c>
      <c r="B27" s="43">
        <f>B11</f>
        <v/>
      </c>
      <c r="D27" s="44">
        <f>D26*(1+$H$9)</f>
        <v/>
      </c>
      <c r="E27" s="38">
        <f>C27*1000*$H$11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3"/>
  <sheetViews>
    <sheetView tabSelected="1" workbookViewId="0">
      <selection activeCell="E14" sqref="E14"/>
    </sheetView>
  </sheetViews>
  <sheetFormatPr baseColWidth="8" defaultRowHeight="12.45"/>
  <cols>
    <col width="18" customWidth="1" min="3" max="3"/>
    <col width="11" customWidth="1" min="5" max="5"/>
    <col width="11.15234375" customWidth="1" min="7" max="7"/>
    <col width="11.84375" customWidth="1" min="8" max="8"/>
    <col width="14.53515625" customWidth="1" style="14" min="10" max="10"/>
    <col width="17.3828125" bestFit="1" customWidth="1" style="14" min="11" max="11"/>
  </cols>
  <sheetData>
    <row r="1" ht="37.3" customFormat="1" customHeight="1" s="3">
      <c r="A1" s="49" t="inlineStr">
        <is>
          <t>Scenario 1: Base Case</t>
        </is>
      </c>
      <c r="B1" s="30" t="inlineStr">
        <is>
          <t>Year</t>
        </is>
      </c>
      <c r="C1" s="2" t="inlineStr">
        <is>
          <t>Real GDP</t>
        </is>
      </c>
      <c r="D1" s="30" t="inlineStr">
        <is>
          <t>Project Allocation (%)</t>
        </is>
      </c>
      <c r="E1" s="30" t="inlineStr">
        <is>
          <t>Project Investment</t>
        </is>
      </c>
      <c r="F1" s="30" t="inlineStr">
        <is>
          <t>Imports</t>
        </is>
      </c>
      <c r="G1" s="30" t="inlineStr">
        <is>
          <t>GDP impact</t>
        </is>
      </c>
      <c r="H1" s="5" t="n"/>
      <c r="I1" s="34" t="n"/>
      <c r="J1" s="30" t="inlineStr">
        <is>
          <t>Baseline GDP Growth</t>
        </is>
      </c>
      <c r="K1" s="30" t="inlineStr">
        <is>
          <t>Projected Growth</t>
        </is>
      </c>
    </row>
    <row r="2">
      <c r="B2" s="9" t="n"/>
      <c r="C2" s="5" t="n"/>
      <c r="D2" s="5" t="n"/>
      <c r="E2" s="5" t="n"/>
      <c r="F2" s="5" t="n"/>
      <c r="G2" s="4" t="inlineStr">
        <is>
          <t>I-M</t>
        </is>
      </c>
      <c r="H2" s="6" t="inlineStr">
        <is>
          <t>Multiplier</t>
        </is>
      </c>
      <c r="I2" s="4" t="inlineStr">
        <is>
          <t>% of GDP</t>
        </is>
      </c>
      <c r="J2" s="7" t="n"/>
      <c r="K2" s="8" t="n"/>
    </row>
    <row r="3">
      <c r="B3" s="9" t="n">
        <v>2020</v>
      </c>
      <c r="C3" s="50">
        <f>WEO_Data!E4</f>
        <v/>
      </c>
      <c r="D3" s="61" t="n">
        <v>0</v>
      </c>
      <c r="E3" s="62">
        <f>D3*$F$30</f>
        <v/>
      </c>
      <c r="F3" s="62">
        <f>E3*$D$31</f>
        <v/>
      </c>
      <c r="G3" s="62">
        <f>E3-F3</f>
        <v/>
      </c>
      <c r="H3" s="62">
        <f>G3*$D$32</f>
        <v/>
      </c>
      <c r="I3" s="63">
        <f>H3/C3</f>
        <v/>
      </c>
      <c r="J3" s="51">
        <f>WEO_Data!B4</f>
        <v/>
      </c>
      <c r="K3" s="64">
        <f>J3+I3</f>
        <v/>
      </c>
    </row>
    <row r="4">
      <c r="B4" s="13" t="n">
        <v>2021</v>
      </c>
      <c r="C4" s="46">
        <f>WEO_Data!E5</f>
        <v/>
      </c>
      <c r="D4" s="65" t="n">
        <v>0</v>
      </c>
      <c r="E4" s="38">
        <f>D4*$F$30</f>
        <v/>
      </c>
      <c r="F4" s="38">
        <f>E4*$D$31</f>
        <v/>
      </c>
      <c r="G4" s="38">
        <f>E4-F4</f>
        <v/>
      </c>
      <c r="H4" s="38">
        <f>G4*$D$32</f>
        <v/>
      </c>
      <c r="I4" s="66">
        <f>H4/C4</f>
        <v/>
      </c>
      <c r="J4" s="52">
        <f>WEO_Data!B5</f>
        <v/>
      </c>
      <c r="K4" s="67">
        <f>J4+I4</f>
        <v/>
      </c>
    </row>
    <row r="5">
      <c r="B5" s="13" t="n">
        <v>2022</v>
      </c>
      <c r="C5" s="46">
        <f>WEO_Data!E6</f>
        <v/>
      </c>
      <c r="D5" s="65" t="n">
        <v>0</v>
      </c>
      <c r="E5" s="38">
        <f>D5*$F$30</f>
        <v/>
      </c>
      <c r="F5" s="38">
        <f>E5*$D$31</f>
        <v/>
      </c>
      <c r="G5" s="38">
        <f>E5-F5</f>
        <v/>
      </c>
      <c r="H5" s="38">
        <f>G5*$D$32</f>
        <v/>
      </c>
      <c r="I5" s="66">
        <f>H5/C5</f>
        <v/>
      </c>
      <c r="J5" s="52">
        <f>WEO_Data!B6</f>
        <v/>
      </c>
      <c r="K5" s="67">
        <f>J5+I5</f>
        <v/>
      </c>
    </row>
    <row r="6">
      <c r="B6" s="13" t="n">
        <v>2023</v>
      </c>
      <c r="C6" s="46">
        <f>WEO_Data!E7</f>
        <v/>
      </c>
      <c r="D6" s="65" t="n">
        <v>0</v>
      </c>
      <c r="E6" s="38">
        <f>D6*$F$30</f>
        <v/>
      </c>
      <c r="F6" s="38">
        <f>E6*$D$31</f>
        <v/>
      </c>
      <c r="G6" s="38">
        <f>E6-F6</f>
        <v/>
      </c>
      <c r="H6" s="38">
        <f>G6*$D$32</f>
        <v/>
      </c>
      <c r="I6" s="66">
        <f>H6/C6</f>
        <v/>
      </c>
      <c r="J6" s="52">
        <f>WEO_Data!B7</f>
        <v/>
      </c>
      <c r="K6" s="67">
        <f>J6+I6</f>
        <v/>
      </c>
    </row>
    <row r="7">
      <c r="B7" s="13" t="n">
        <v>2024</v>
      </c>
      <c r="C7" s="46">
        <f>WEO_Data!E8</f>
        <v/>
      </c>
      <c r="D7" s="65" t="n">
        <v>0</v>
      </c>
      <c r="E7" s="38">
        <f>D7*$F$30</f>
        <v/>
      </c>
      <c r="F7" s="38">
        <f>E7*$D$31</f>
        <v/>
      </c>
      <c r="G7" s="38">
        <f>E7-F7</f>
        <v/>
      </c>
      <c r="H7" s="38">
        <f>G7*$D$32</f>
        <v/>
      </c>
      <c r="I7" s="66">
        <f>H7/C7</f>
        <v/>
      </c>
      <c r="J7" s="52">
        <f>WEO_Data!B8</f>
        <v/>
      </c>
      <c r="K7" s="67">
        <f>J7+I7</f>
        <v/>
      </c>
    </row>
    <row r="8">
      <c r="B8" s="13" t="n">
        <v>2025</v>
      </c>
      <c r="C8" s="46">
        <f>WEO_Data!E9</f>
        <v/>
      </c>
      <c r="D8" s="65" t="n">
        <v>0</v>
      </c>
      <c r="E8" s="38">
        <f>D8*$F$30</f>
        <v/>
      </c>
      <c r="F8" s="38">
        <f>E8*$D$31</f>
        <v/>
      </c>
      <c r="G8" s="38">
        <f>E8-F8</f>
        <v/>
      </c>
      <c r="H8" s="38">
        <f>G8*$D$32</f>
        <v/>
      </c>
      <c r="I8" s="66">
        <f>H8/C8</f>
        <v/>
      </c>
      <c r="J8" s="52">
        <f>WEO_Data!B9</f>
        <v/>
      </c>
      <c r="K8" s="67">
        <f>J8+I8</f>
        <v/>
      </c>
    </row>
    <row r="9">
      <c r="B9" s="13" t="n">
        <v>2026</v>
      </c>
      <c r="C9" s="46">
        <f>WEO_Data!E10</f>
        <v/>
      </c>
      <c r="D9" s="65" t="n">
        <v>0.05</v>
      </c>
      <c r="E9" s="38">
        <f>D9*$F$30</f>
        <v/>
      </c>
      <c r="F9" s="38">
        <f>E9*$D$31</f>
        <v/>
      </c>
      <c r="G9" s="38">
        <f>E9-F9</f>
        <v/>
      </c>
      <c r="H9" s="38">
        <f>G9*$D$32</f>
        <v/>
      </c>
      <c r="I9" s="66">
        <f>H9/C9</f>
        <v/>
      </c>
      <c r="J9" s="53">
        <f>WEO_Data!B10</f>
        <v/>
      </c>
      <c r="K9" s="67">
        <f>J9+I9</f>
        <v/>
      </c>
    </row>
    <row r="10">
      <c r="B10" s="13" t="n">
        <v>2027</v>
      </c>
      <c r="C10" s="46">
        <f>WEO_Data!E11</f>
        <v/>
      </c>
      <c r="D10" s="65" t="n">
        <v>0.1</v>
      </c>
      <c r="E10" s="38">
        <f>D10*$F$30</f>
        <v/>
      </c>
      <c r="F10" s="38">
        <f>E10*$D$31</f>
        <v/>
      </c>
      <c r="G10" s="38">
        <f>E10-F10</f>
        <v/>
      </c>
      <c r="H10" s="38">
        <f>G10*$D$32</f>
        <v/>
      </c>
      <c r="I10" s="66">
        <f>H10/C10</f>
        <v/>
      </c>
      <c r="J10" s="52">
        <f>WEO_Data!B11</f>
        <v/>
      </c>
      <c r="K10" s="67">
        <f>J10+I10</f>
        <v/>
      </c>
    </row>
    <row r="11">
      <c r="B11" s="13" t="n">
        <v>2028</v>
      </c>
      <c r="C11" s="46">
        <f>WEO_Data!E12</f>
        <v/>
      </c>
      <c r="D11" s="65" t="n">
        <v>0.15</v>
      </c>
      <c r="E11" s="38">
        <f>D11*$F$30</f>
        <v/>
      </c>
      <c r="F11" s="38">
        <f>E11*$D$31</f>
        <v/>
      </c>
      <c r="G11" s="38">
        <f>E11-F11</f>
        <v/>
      </c>
      <c r="H11" s="38">
        <f>G11*$D$32</f>
        <v/>
      </c>
      <c r="I11" s="66">
        <f>H11/C11</f>
        <v/>
      </c>
      <c r="J11" s="52">
        <f>WEO_Data!B12</f>
        <v/>
      </c>
      <c r="K11" s="67">
        <f>J11+I11</f>
        <v/>
      </c>
    </row>
    <row r="12">
      <c r="B12" s="13" t="n">
        <v>2029</v>
      </c>
      <c r="C12" s="46">
        <f>WEO_Data!E13</f>
        <v/>
      </c>
      <c r="D12" s="65" t="n">
        <v>0.2</v>
      </c>
      <c r="E12" s="38">
        <f>D12*$F$30</f>
        <v/>
      </c>
      <c r="F12" s="38">
        <f>E12*$D$31</f>
        <v/>
      </c>
      <c r="G12" s="38">
        <f>E12-F12</f>
        <v/>
      </c>
      <c r="H12" s="38">
        <f>G12*$D$32</f>
        <v/>
      </c>
      <c r="I12" s="66">
        <f>H12/C12</f>
        <v/>
      </c>
      <c r="J12" s="52">
        <f>WEO_Data!B13</f>
        <v/>
      </c>
      <c r="K12" s="67">
        <f>J12+I12</f>
        <v/>
      </c>
    </row>
    <row r="13">
      <c r="B13" s="13" t="n">
        <v>2030</v>
      </c>
      <c r="C13" s="46">
        <f>WEO_Data!E14</f>
        <v/>
      </c>
      <c r="D13" s="65" t="n">
        <v>0.2</v>
      </c>
      <c r="E13" s="38">
        <f>D13*$F$30</f>
        <v/>
      </c>
      <c r="F13" s="38">
        <f>E13*$D$31</f>
        <v/>
      </c>
      <c r="G13" s="38">
        <f>E13-F13</f>
        <v/>
      </c>
      <c r="H13" s="38">
        <f>G13*$D$32</f>
        <v/>
      </c>
      <c r="I13" s="66">
        <f>H13/C13</f>
        <v/>
      </c>
      <c r="J13" s="53">
        <f>WEO_Data!B14</f>
        <v/>
      </c>
      <c r="K13" s="67">
        <f>J13+I13</f>
        <v/>
      </c>
    </row>
    <row r="14">
      <c r="B14" s="13" t="n">
        <v>2031</v>
      </c>
      <c r="C14" s="46">
        <f>WEO_Data!E15</f>
        <v/>
      </c>
      <c r="D14" s="65" t="n">
        <v>0.15</v>
      </c>
      <c r="E14" s="38">
        <f>D14*$F$30</f>
        <v/>
      </c>
      <c r="F14" s="38">
        <f>E14*$D$31</f>
        <v/>
      </c>
      <c r="G14" s="38">
        <f>E14-F14</f>
        <v/>
      </c>
      <c r="H14" s="38">
        <f>G14*$D$32</f>
        <v/>
      </c>
      <c r="I14" s="66">
        <f>H14/C14</f>
        <v/>
      </c>
      <c r="J14" s="53">
        <f>WEO_Data!B15</f>
        <v/>
      </c>
      <c r="K14" s="67">
        <f>J14+I14</f>
        <v/>
      </c>
    </row>
    <row r="15">
      <c r="B15" s="13" t="n">
        <v>2032</v>
      </c>
      <c r="C15" s="46">
        <f>WEO_Data!E16</f>
        <v/>
      </c>
      <c r="D15" s="65" t="n">
        <v>0.1</v>
      </c>
      <c r="E15" s="38">
        <f>D15*$F$30</f>
        <v/>
      </c>
      <c r="F15" s="38">
        <f>E15*$D$31</f>
        <v/>
      </c>
      <c r="G15" s="38">
        <f>E15-F15</f>
        <v/>
      </c>
      <c r="H15" s="38">
        <f>G15*$D$32</f>
        <v/>
      </c>
      <c r="I15" s="66">
        <f>H15/C15</f>
        <v/>
      </c>
      <c r="J15" s="53">
        <f>WEO_Data!B16</f>
        <v/>
      </c>
      <c r="K15" s="67">
        <f>J15+I15</f>
        <v/>
      </c>
    </row>
    <row r="16">
      <c r="B16" s="13" t="n">
        <v>2033</v>
      </c>
      <c r="C16" s="46">
        <f>WEO_Data!E17</f>
        <v/>
      </c>
      <c r="D16" s="65" t="n">
        <v>0.05</v>
      </c>
      <c r="E16" s="38">
        <f>D16*$F$30</f>
        <v/>
      </c>
      <c r="F16" s="38">
        <f>E16*$D$31</f>
        <v/>
      </c>
      <c r="G16" s="38">
        <f>E16-F16</f>
        <v/>
      </c>
      <c r="H16" s="38">
        <f>G16*$D$32</f>
        <v/>
      </c>
      <c r="I16" s="66">
        <f>H16/C16</f>
        <v/>
      </c>
      <c r="J16" s="53">
        <f>WEO_Data!B17</f>
        <v/>
      </c>
      <c r="K16" s="67">
        <f>J16+I16</f>
        <v/>
      </c>
    </row>
    <row r="17">
      <c r="B17" s="13" t="n">
        <v>2034</v>
      </c>
      <c r="C17" s="46">
        <f>WEO_Data!E18</f>
        <v/>
      </c>
      <c r="D17" s="65" t="n">
        <v>0</v>
      </c>
      <c r="E17" s="38">
        <f>D17*$F$30</f>
        <v/>
      </c>
      <c r="F17" s="38">
        <f>E17*$D$31</f>
        <v/>
      </c>
      <c r="G17" s="38">
        <f>E17-F17</f>
        <v/>
      </c>
      <c r="H17" s="38">
        <f>G17*$D$32</f>
        <v/>
      </c>
      <c r="I17" s="66">
        <f>H17/C17</f>
        <v/>
      </c>
      <c r="J17" s="53">
        <f>WEO_Data!B18</f>
        <v/>
      </c>
      <c r="K17" s="67">
        <f>J17+I17</f>
        <v/>
      </c>
    </row>
    <row r="18">
      <c r="B18" s="13" t="n">
        <v>2035</v>
      </c>
      <c r="C18" s="46">
        <f>WEO_Data!E19</f>
        <v/>
      </c>
      <c r="D18" s="65" t="n">
        <v>0</v>
      </c>
      <c r="E18" s="38">
        <f>D18*$F$30</f>
        <v/>
      </c>
      <c r="F18" s="38">
        <f>E18*$D$31</f>
        <v/>
      </c>
      <c r="G18" s="38">
        <f>E18-F18</f>
        <v/>
      </c>
      <c r="H18" s="38">
        <f>G18*$D$32</f>
        <v/>
      </c>
      <c r="I18" s="66">
        <f>H18/C18</f>
        <v/>
      </c>
      <c r="J18" s="53">
        <f>WEO_Data!B19</f>
        <v/>
      </c>
      <c r="K18" s="67">
        <f>J18+I18</f>
        <v/>
      </c>
    </row>
    <row r="19">
      <c r="B19" s="13" t="n">
        <v>2036</v>
      </c>
      <c r="C19" s="46">
        <f>WEO_Data!E20</f>
        <v/>
      </c>
      <c r="D19" s="65" t="n">
        <v>0</v>
      </c>
      <c r="E19" s="38">
        <f>D19*$F$30</f>
        <v/>
      </c>
      <c r="F19" s="38">
        <f>E19*$D$31</f>
        <v/>
      </c>
      <c r="G19" s="38">
        <f>E19-F19</f>
        <v/>
      </c>
      <c r="H19" s="38">
        <f>G19*$D$32</f>
        <v/>
      </c>
      <c r="I19" s="66">
        <f>H19/C19</f>
        <v/>
      </c>
      <c r="J19" s="53">
        <f>WEO_Data!B20</f>
        <v/>
      </c>
      <c r="K19" s="67">
        <f>J19+I19</f>
        <v/>
      </c>
    </row>
    <row r="20">
      <c r="B20" s="13" t="n">
        <v>2037</v>
      </c>
      <c r="C20" s="46">
        <f>WEO_Data!E21</f>
        <v/>
      </c>
      <c r="D20" s="65" t="n">
        <v>0</v>
      </c>
      <c r="E20" s="38">
        <f>D20*$F$30</f>
        <v/>
      </c>
      <c r="F20" s="38">
        <f>E20*$D$31</f>
        <v/>
      </c>
      <c r="G20" s="38">
        <f>E20-F20</f>
        <v/>
      </c>
      <c r="H20" s="38">
        <f>G20*$D$32</f>
        <v/>
      </c>
      <c r="I20" s="66">
        <f>H20/C20</f>
        <v/>
      </c>
      <c r="J20" s="53">
        <f>WEO_Data!B21</f>
        <v/>
      </c>
      <c r="K20" s="67">
        <f>J20+I20</f>
        <v/>
      </c>
    </row>
    <row r="21">
      <c r="B21" s="13" t="n">
        <v>2038</v>
      </c>
      <c r="C21" s="46">
        <f>WEO_Data!E22</f>
        <v/>
      </c>
      <c r="D21" s="65" t="n">
        <v>0</v>
      </c>
      <c r="E21" s="38">
        <f>D21*$F$30</f>
        <v/>
      </c>
      <c r="F21" s="38">
        <f>E21*$D$31</f>
        <v/>
      </c>
      <c r="G21" s="38">
        <f>E21-F21</f>
        <v/>
      </c>
      <c r="H21" s="38">
        <f>G21*$D$32</f>
        <v/>
      </c>
      <c r="I21" s="66">
        <f>H21/C21</f>
        <v/>
      </c>
      <c r="J21" s="53">
        <f>WEO_Data!B22</f>
        <v/>
      </c>
      <c r="K21" s="67">
        <f>J21+I21</f>
        <v/>
      </c>
    </row>
    <row r="22">
      <c r="B22" s="13" t="n">
        <v>2039</v>
      </c>
      <c r="C22" s="46">
        <f>WEO_Data!E23</f>
        <v/>
      </c>
      <c r="D22" s="65" t="n">
        <v>0</v>
      </c>
      <c r="E22" s="38">
        <f>D22*$F$30</f>
        <v/>
      </c>
      <c r="F22" s="38">
        <f>E22*$D$31</f>
        <v/>
      </c>
      <c r="G22" s="38">
        <f>E22-F22</f>
        <v/>
      </c>
      <c r="H22" s="38">
        <f>G22*$D$32</f>
        <v/>
      </c>
      <c r="I22" s="66">
        <f>H22/C22</f>
        <v/>
      </c>
      <c r="J22" s="53">
        <f>WEO_Data!B23</f>
        <v/>
      </c>
      <c r="K22" s="67">
        <f>J22+I22</f>
        <v/>
      </c>
    </row>
    <row r="23">
      <c r="B23" s="13" t="n">
        <v>2040</v>
      </c>
      <c r="C23" s="46">
        <f>WEO_Data!E24</f>
        <v/>
      </c>
      <c r="D23" s="65" t="n">
        <v>0</v>
      </c>
      <c r="E23" s="38">
        <f>D23*$F$30</f>
        <v/>
      </c>
      <c r="F23" s="38">
        <f>E23*$D$31</f>
        <v/>
      </c>
      <c r="G23" s="38">
        <f>E23-F23</f>
        <v/>
      </c>
      <c r="H23" s="38">
        <f>G23*$D$32</f>
        <v/>
      </c>
      <c r="I23" s="66">
        <f>H23/C23</f>
        <v/>
      </c>
      <c r="J23" s="53">
        <f>WEO_Data!B24</f>
        <v/>
      </c>
      <c r="K23" s="67">
        <f>J23+I23</f>
        <v/>
      </c>
    </row>
    <row r="24">
      <c r="B24" s="13" t="n">
        <v>2041</v>
      </c>
      <c r="C24" s="46">
        <f>WEO_Data!E25</f>
        <v/>
      </c>
      <c r="D24" s="65" t="n">
        <v>0</v>
      </c>
      <c r="E24" s="38">
        <f>D24*$F$30</f>
        <v/>
      </c>
      <c r="F24" s="38">
        <f>E24*$D$31</f>
        <v/>
      </c>
      <c r="G24" s="38">
        <f>E24-F24</f>
        <v/>
      </c>
      <c r="H24" s="38">
        <f>G24*$D$32</f>
        <v/>
      </c>
      <c r="I24" s="66">
        <f>H24/C24</f>
        <v/>
      </c>
      <c r="J24" s="53">
        <f>WEO_Data!B25</f>
        <v/>
      </c>
      <c r="K24" s="67">
        <f>J24+I24</f>
        <v/>
      </c>
    </row>
    <row r="25">
      <c r="B25" s="18" t="n">
        <v>2042</v>
      </c>
      <c r="C25" s="54">
        <f>WEO_Data!E26</f>
        <v/>
      </c>
      <c r="D25" s="68" t="n">
        <v>0</v>
      </c>
      <c r="E25" s="69">
        <f>D25*$F$30</f>
        <v/>
      </c>
      <c r="F25" s="69">
        <f>E25*$D$31</f>
        <v/>
      </c>
      <c r="G25" s="69">
        <f>E25-F25</f>
        <v/>
      </c>
      <c r="H25" s="69">
        <f>G25*$D$32</f>
        <v/>
      </c>
      <c r="I25" s="70">
        <f>H25/C25</f>
        <v/>
      </c>
      <c r="J25" s="55">
        <f>WEO_Data!B26</f>
        <v/>
      </c>
      <c r="K25" s="71">
        <f>J25+I25</f>
        <v/>
      </c>
    </row>
    <row r="26">
      <c r="C26" s="46">
        <f>WEO_Data!E27</f>
        <v/>
      </c>
      <c r="J26" s="52">
        <f>WEO_Data!B27</f>
        <v/>
      </c>
    </row>
    <row r="28">
      <c r="C28" s="22" t="inlineStr">
        <is>
          <t>Assumptions</t>
        </is>
      </c>
      <c r="D28" s="23" t="n"/>
      <c r="E28" s="24" t="n"/>
      <c r="F28" s="24" t="n"/>
      <c r="G28" s="24" t="n"/>
      <c r="H28" s="24" t="n"/>
      <c r="I28" s="24" t="n"/>
      <c r="J28" s="25" t="n"/>
      <c r="K28" s="26" t="n"/>
    </row>
    <row r="29">
      <c r="C29" s="13" t="inlineStr">
        <is>
          <t>Exchange Rate:</t>
        </is>
      </c>
      <c r="D29" s="56" t="n">
        <v>2.746</v>
      </c>
      <c r="E29" s="39" t="inlineStr">
        <is>
          <t>GEL/USD</t>
        </is>
      </c>
      <c r="K29" s="15" t="n"/>
    </row>
    <row r="30">
      <c r="C30" s="13" t="inlineStr">
        <is>
          <t>total investment</t>
        </is>
      </c>
      <c r="D30" s="57" t="n">
        <v>6500</v>
      </c>
      <c r="E30" s="39" t="inlineStr">
        <is>
          <t>USD million (converted to GEL at 2.746)</t>
        </is>
      </c>
      <c r="F30" s="38">
        <f>D30*D29</f>
        <v/>
      </c>
      <c r="G30" s="39" t="inlineStr">
        <is>
          <t>GEL million</t>
        </is>
      </c>
      <c r="K30" s="15" t="n"/>
    </row>
    <row r="31">
      <c r="C31" s="13" t="inlineStr">
        <is>
          <t>import content share</t>
        </is>
      </c>
      <c r="D31" s="58">
        <f>"SUT Calc"!C46</f>
        <v/>
      </c>
      <c r="K31" s="15" t="n"/>
    </row>
    <row r="32">
      <c r="C32" s="13" t="inlineStr">
        <is>
          <t>demand multiplier</t>
        </is>
      </c>
      <c r="D32" s="59" t="n">
        <v>0.8</v>
      </c>
      <c r="K32" s="15" t="n"/>
    </row>
    <row r="33">
      <c r="C33" s="18" t="inlineStr">
        <is>
          <t>Project allocation</t>
        </is>
      </c>
      <c r="D33" s="60" t="inlineStr">
        <is>
          <t>Bell shape</t>
        </is>
      </c>
      <c r="E33" s="19" t="n"/>
      <c r="F33" s="19" t="n"/>
      <c r="G33" s="19" t="n"/>
      <c r="H33" s="19" t="n"/>
      <c r="I33" s="19" t="n"/>
      <c r="J33" s="27" t="n"/>
      <c r="K33" s="21" t="n"/>
    </row>
    <row r="35">
      <c r="A35" s="49" t="inlineStr">
        <is>
          <t>Scenario 2: Higher Demand Multiplier (1.0)</t>
        </is>
      </c>
    </row>
    <row r="36">
      <c r="B36" s="32" t="inlineStr">
        <is>
          <t>Year</t>
        </is>
      </c>
      <c r="C36" s="32" t="inlineStr">
        <is>
          <t>Real GDP</t>
        </is>
      </c>
      <c r="D36" s="32" t="inlineStr">
        <is>
          <t>Project Allocation (%)</t>
        </is>
      </c>
      <c r="E36" s="32" t="inlineStr">
        <is>
          <t>Project Investment</t>
        </is>
      </c>
      <c r="F36" s="32" t="inlineStr">
        <is>
          <t>Imports</t>
        </is>
      </c>
      <c r="G36" s="32" t="inlineStr">
        <is>
          <t>GDP impact</t>
        </is>
      </c>
      <c r="H36" s="32" t="n"/>
      <c r="I36" s="32" t="n"/>
      <c r="J36" s="32" t="inlineStr">
        <is>
          <t>Baseline GDP Growth</t>
        </is>
      </c>
      <c r="K36" s="32" t="inlineStr">
        <is>
          <t>Projected Growth</t>
        </is>
      </c>
    </row>
    <row r="37">
      <c r="C37" s="40" t="n"/>
      <c r="D37" s="40" t="n"/>
      <c r="E37" s="40" t="n"/>
      <c r="F37" s="40" t="n"/>
      <c r="G37" s="40" t="inlineStr">
        <is>
          <t>I-M</t>
        </is>
      </c>
      <c r="H37" s="40" t="inlineStr">
        <is>
          <t>Multiplier</t>
        </is>
      </c>
      <c r="I37" s="40" t="inlineStr">
        <is>
          <t>% of GDP</t>
        </is>
      </c>
      <c r="J37" s="40" t="n"/>
      <c r="K37" s="40" t="n"/>
    </row>
    <row r="38">
      <c r="B38" s="33" t="n">
        <v>2020</v>
      </c>
      <c r="C38" s="46">
        <f>WEO_Data!E4</f>
        <v/>
      </c>
      <c r="D38" s="52">
        <f>D3</f>
        <v/>
      </c>
      <c r="E38" s="38">
        <f>D38*$F$30</f>
        <v/>
      </c>
      <c r="F38" s="38">
        <f>E38*$D$31</f>
        <v/>
      </c>
      <c r="G38" s="38">
        <f>E38-F38</f>
        <v/>
      </c>
      <c r="H38" s="38">
        <f>G38*$D$64</f>
        <v/>
      </c>
      <c r="I38" s="66">
        <f>H38/C38</f>
        <v/>
      </c>
      <c r="J38" s="52">
        <f>WEO_Data!B4</f>
        <v/>
      </c>
      <c r="K38" s="66">
        <f>J38+I38</f>
        <v/>
      </c>
    </row>
    <row r="39">
      <c r="B39" s="33" t="n">
        <v>2021</v>
      </c>
      <c r="C39" s="46">
        <f>WEO_Data!E5</f>
        <v/>
      </c>
      <c r="D39" s="52">
        <f>D4</f>
        <v/>
      </c>
      <c r="E39" s="38">
        <f>D39*$F$30</f>
        <v/>
      </c>
      <c r="F39" s="38">
        <f>E39*$D$31</f>
        <v/>
      </c>
      <c r="G39" s="38">
        <f>E39-F39</f>
        <v/>
      </c>
      <c r="H39" s="38">
        <f>G39*$D$64</f>
        <v/>
      </c>
      <c r="I39" s="66">
        <f>H39/C39</f>
        <v/>
      </c>
      <c r="J39" s="52">
        <f>WEO_Data!B5</f>
        <v/>
      </c>
      <c r="K39" s="66">
        <f>J39+I39</f>
        <v/>
      </c>
    </row>
    <row r="40">
      <c r="B40" s="33" t="n">
        <v>2022</v>
      </c>
      <c r="C40" s="46">
        <f>WEO_Data!E6</f>
        <v/>
      </c>
      <c r="D40" s="52">
        <f>D5</f>
        <v/>
      </c>
      <c r="E40" s="38">
        <f>D40*$F$30</f>
        <v/>
      </c>
      <c r="F40" s="38">
        <f>E40*$D$31</f>
        <v/>
      </c>
      <c r="G40" s="38">
        <f>E40-F40</f>
        <v/>
      </c>
      <c r="H40" s="38">
        <f>G40*$D$64</f>
        <v/>
      </c>
      <c r="I40" s="66">
        <f>H40/C40</f>
        <v/>
      </c>
      <c r="J40" s="52">
        <f>WEO_Data!B6</f>
        <v/>
      </c>
      <c r="K40" s="66">
        <f>J40+I40</f>
        <v/>
      </c>
    </row>
    <row r="41">
      <c r="B41" s="33" t="n">
        <v>2023</v>
      </c>
      <c r="C41" s="46">
        <f>WEO_Data!E7</f>
        <v/>
      </c>
      <c r="D41" s="52">
        <f>D6</f>
        <v/>
      </c>
      <c r="E41" s="38">
        <f>D41*$F$30</f>
        <v/>
      </c>
      <c r="F41" s="38">
        <f>E41*$D$31</f>
        <v/>
      </c>
      <c r="G41" s="38">
        <f>E41-F41</f>
        <v/>
      </c>
      <c r="H41" s="38">
        <f>G41*$D$64</f>
        <v/>
      </c>
      <c r="I41" s="66">
        <f>H41/C41</f>
        <v/>
      </c>
      <c r="J41" s="52">
        <f>WEO_Data!B7</f>
        <v/>
      </c>
      <c r="K41" s="66">
        <f>J41+I41</f>
        <v/>
      </c>
    </row>
    <row r="42">
      <c r="B42" s="33" t="n">
        <v>2024</v>
      </c>
      <c r="C42" s="46">
        <f>WEO_Data!E8</f>
        <v/>
      </c>
      <c r="D42" s="52">
        <f>D7</f>
        <v/>
      </c>
      <c r="E42" s="38">
        <f>D42*$F$30</f>
        <v/>
      </c>
      <c r="F42" s="38">
        <f>E42*$D$31</f>
        <v/>
      </c>
      <c r="G42" s="38">
        <f>E42-F42</f>
        <v/>
      </c>
      <c r="H42" s="38">
        <f>G42*$D$64</f>
        <v/>
      </c>
      <c r="I42" s="66">
        <f>H42/C42</f>
        <v/>
      </c>
      <c r="J42" s="52">
        <f>WEO_Data!B8</f>
        <v/>
      </c>
      <c r="K42" s="66">
        <f>J42+I42</f>
        <v/>
      </c>
    </row>
    <row r="43">
      <c r="B43" s="33" t="n">
        <v>2025</v>
      </c>
      <c r="C43" s="46">
        <f>WEO_Data!E9</f>
        <v/>
      </c>
      <c r="D43" s="52">
        <f>D8</f>
        <v/>
      </c>
      <c r="E43" s="38">
        <f>D43*$F$30</f>
        <v/>
      </c>
      <c r="F43" s="38">
        <f>E43*$D$31</f>
        <v/>
      </c>
      <c r="G43" s="38">
        <f>E43-F43</f>
        <v/>
      </c>
      <c r="H43" s="38">
        <f>G43*$D$64</f>
        <v/>
      </c>
      <c r="I43" s="66">
        <f>H43/C43</f>
        <v/>
      </c>
      <c r="J43" s="52">
        <f>WEO_Data!B9</f>
        <v/>
      </c>
      <c r="K43" s="66">
        <f>J43+I43</f>
        <v/>
      </c>
    </row>
    <row r="44">
      <c r="B44" s="33" t="n">
        <v>2026</v>
      </c>
      <c r="C44" s="46">
        <f>WEO_Data!E10</f>
        <v/>
      </c>
      <c r="D44" s="52">
        <f>D9</f>
        <v/>
      </c>
      <c r="E44" s="38">
        <f>D44*$F$30</f>
        <v/>
      </c>
      <c r="F44" s="38">
        <f>E44*$D$31</f>
        <v/>
      </c>
      <c r="G44" s="38">
        <f>E44-F44</f>
        <v/>
      </c>
      <c r="H44" s="38">
        <f>G44*$D$64</f>
        <v/>
      </c>
      <c r="I44" s="66">
        <f>H44/C44</f>
        <v/>
      </c>
      <c r="J44" s="52">
        <f>WEO_Data!B10</f>
        <v/>
      </c>
      <c r="K44" s="66">
        <f>J44+I44</f>
        <v/>
      </c>
    </row>
    <row r="45">
      <c r="B45" s="33" t="n">
        <v>2027</v>
      </c>
      <c r="C45" s="46">
        <f>WEO_Data!E11</f>
        <v/>
      </c>
      <c r="D45" s="52">
        <f>D10</f>
        <v/>
      </c>
      <c r="E45" s="38">
        <f>D45*$F$30</f>
        <v/>
      </c>
      <c r="F45" s="38">
        <f>E45*$D$31</f>
        <v/>
      </c>
      <c r="G45" s="38">
        <f>E45-F45</f>
        <v/>
      </c>
      <c r="H45" s="38">
        <f>G45*$D$64</f>
        <v/>
      </c>
      <c r="I45" s="66">
        <f>H45/C45</f>
        <v/>
      </c>
      <c r="J45" s="52">
        <f>WEO_Data!B11</f>
        <v/>
      </c>
      <c r="K45" s="66">
        <f>J45+I45</f>
        <v/>
      </c>
    </row>
    <row r="46">
      <c r="B46" s="33" t="n">
        <v>2028</v>
      </c>
      <c r="C46" s="46">
        <f>WEO_Data!E12</f>
        <v/>
      </c>
      <c r="D46" s="52">
        <f>D11</f>
        <v/>
      </c>
      <c r="E46" s="38">
        <f>D46*$F$30</f>
        <v/>
      </c>
      <c r="F46" s="38">
        <f>E46*$D$31</f>
        <v/>
      </c>
      <c r="G46" s="38">
        <f>E46-F46</f>
        <v/>
      </c>
      <c r="H46" s="38">
        <f>G46*$D$64</f>
        <v/>
      </c>
      <c r="I46" s="66">
        <f>H46/C46</f>
        <v/>
      </c>
      <c r="J46" s="52">
        <f>WEO_Data!B12</f>
        <v/>
      </c>
      <c r="K46" s="66">
        <f>J46+I46</f>
        <v/>
      </c>
    </row>
    <row r="47">
      <c r="B47" s="33" t="n">
        <v>2029</v>
      </c>
      <c r="C47" s="46">
        <f>WEO_Data!E13</f>
        <v/>
      </c>
      <c r="D47" s="52">
        <f>D12</f>
        <v/>
      </c>
      <c r="E47" s="38">
        <f>D47*$F$30</f>
        <v/>
      </c>
      <c r="F47" s="38">
        <f>E47*$D$31</f>
        <v/>
      </c>
      <c r="G47" s="38">
        <f>E47-F47</f>
        <v/>
      </c>
      <c r="H47" s="38">
        <f>G47*$D$64</f>
        <v/>
      </c>
      <c r="I47" s="66">
        <f>H47/C47</f>
        <v/>
      </c>
      <c r="J47" s="52">
        <f>WEO_Data!B13</f>
        <v/>
      </c>
      <c r="K47" s="66">
        <f>J47+I47</f>
        <v/>
      </c>
    </row>
    <row r="48">
      <c r="B48" s="33" t="n">
        <v>2030</v>
      </c>
      <c r="C48" s="46">
        <f>WEO_Data!E14</f>
        <v/>
      </c>
      <c r="D48" s="52">
        <f>D13</f>
        <v/>
      </c>
      <c r="E48" s="38">
        <f>D48*$F$30</f>
        <v/>
      </c>
      <c r="F48" s="38">
        <f>E48*$D$31</f>
        <v/>
      </c>
      <c r="G48" s="38">
        <f>E48-F48</f>
        <v/>
      </c>
      <c r="H48" s="38">
        <f>G48*$D$64</f>
        <v/>
      </c>
      <c r="I48" s="66">
        <f>H48/C48</f>
        <v/>
      </c>
      <c r="J48" s="52">
        <f>WEO_Data!B14</f>
        <v/>
      </c>
      <c r="K48" s="66">
        <f>J48+I48</f>
        <v/>
      </c>
    </row>
    <row r="49">
      <c r="B49" s="33" t="n">
        <v>2031</v>
      </c>
      <c r="C49" s="46">
        <f>WEO_Data!E15</f>
        <v/>
      </c>
      <c r="D49" s="52">
        <f>D14</f>
        <v/>
      </c>
      <c r="E49" s="38">
        <f>D49*$F$30</f>
        <v/>
      </c>
      <c r="F49" s="38">
        <f>E49*$D$31</f>
        <v/>
      </c>
      <c r="G49" s="38">
        <f>E49-F49</f>
        <v/>
      </c>
      <c r="H49" s="38">
        <f>G49*$D$64</f>
        <v/>
      </c>
      <c r="I49" s="66">
        <f>H49/C49</f>
        <v/>
      </c>
      <c r="J49" s="52">
        <f>WEO_Data!B15</f>
        <v/>
      </c>
      <c r="K49" s="66">
        <f>J49+I49</f>
        <v/>
      </c>
    </row>
    <row r="50">
      <c r="B50" s="33" t="n">
        <v>2032</v>
      </c>
      <c r="C50" s="46">
        <f>WEO_Data!E16</f>
        <v/>
      </c>
      <c r="D50" s="52">
        <f>D15</f>
        <v/>
      </c>
      <c r="E50" s="38">
        <f>D50*$F$30</f>
        <v/>
      </c>
      <c r="F50" s="38">
        <f>E50*$D$31</f>
        <v/>
      </c>
      <c r="G50" s="38">
        <f>E50-F50</f>
        <v/>
      </c>
      <c r="H50" s="38">
        <f>G50*$D$64</f>
        <v/>
      </c>
      <c r="I50" s="66">
        <f>H50/C50</f>
        <v/>
      </c>
      <c r="J50" s="52">
        <f>WEO_Data!B16</f>
        <v/>
      </c>
      <c r="K50" s="66">
        <f>J50+I50</f>
        <v/>
      </c>
    </row>
    <row r="51">
      <c r="B51" s="33" t="n">
        <v>2033</v>
      </c>
      <c r="C51" s="46">
        <f>WEO_Data!E17</f>
        <v/>
      </c>
      <c r="D51" s="52">
        <f>D16</f>
        <v/>
      </c>
      <c r="E51" s="38">
        <f>D51*$F$30</f>
        <v/>
      </c>
      <c r="F51" s="38">
        <f>E51*$D$31</f>
        <v/>
      </c>
      <c r="G51" s="38">
        <f>E51-F51</f>
        <v/>
      </c>
      <c r="H51" s="38">
        <f>G51*$D$64</f>
        <v/>
      </c>
      <c r="I51" s="66">
        <f>H51/C51</f>
        <v/>
      </c>
      <c r="J51" s="52">
        <f>WEO_Data!B17</f>
        <v/>
      </c>
      <c r="K51" s="66">
        <f>J51+I51</f>
        <v/>
      </c>
    </row>
    <row r="52">
      <c r="B52" s="33" t="n">
        <v>2034</v>
      </c>
      <c r="C52" s="46">
        <f>WEO_Data!E18</f>
        <v/>
      </c>
      <c r="D52" s="52">
        <f>D17</f>
        <v/>
      </c>
      <c r="E52" s="38">
        <f>D52*$F$30</f>
        <v/>
      </c>
      <c r="F52" s="38">
        <f>E52*$D$31</f>
        <v/>
      </c>
      <c r="G52" s="38">
        <f>E52-F52</f>
        <v/>
      </c>
      <c r="H52" s="38">
        <f>G52*$D$64</f>
        <v/>
      </c>
      <c r="I52" s="66">
        <f>H52/C52</f>
        <v/>
      </c>
      <c r="J52" s="52">
        <f>WEO_Data!B18</f>
        <v/>
      </c>
      <c r="K52" s="66">
        <f>J52+I52</f>
        <v/>
      </c>
    </row>
    <row r="53">
      <c r="B53" s="33" t="n">
        <v>2035</v>
      </c>
      <c r="C53" s="46">
        <f>WEO_Data!E19</f>
        <v/>
      </c>
      <c r="D53" s="52">
        <f>D18</f>
        <v/>
      </c>
      <c r="E53" s="38">
        <f>D53*$F$30</f>
        <v/>
      </c>
      <c r="F53" s="38">
        <f>E53*$D$31</f>
        <v/>
      </c>
      <c r="G53" s="38">
        <f>E53-F53</f>
        <v/>
      </c>
      <c r="H53" s="38">
        <f>G53*$D$64</f>
        <v/>
      </c>
      <c r="I53" s="66">
        <f>H53/C53</f>
        <v/>
      </c>
      <c r="J53" s="52">
        <f>WEO_Data!B19</f>
        <v/>
      </c>
      <c r="K53" s="66">
        <f>J53+I53</f>
        <v/>
      </c>
    </row>
    <row r="54">
      <c r="B54" s="33" t="n">
        <v>2036</v>
      </c>
      <c r="C54" s="46">
        <f>WEO_Data!E20</f>
        <v/>
      </c>
      <c r="D54" s="52">
        <f>D19</f>
        <v/>
      </c>
      <c r="E54" s="38">
        <f>D54*$F$30</f>
        <v/>
      </c>
      <c r="F54" s="38">
        <f>E54*$D$31</f>
        <v/>
      </c>
      <c r="G54" s="38">
        <f>E54-F54</f>
        <v/>
      </c>
      <c r="H54" s="38">
        <f>G54*$D$64</f>
        <v/>
      </c>
      <c r="I54" s="66">
        <f>H54/C54</f>
        <v/>
      </c>
      <c r="J54" s="52">
        <f>WEO_Data!B20</f>
        <v/>
      </c>
      <c r="K54" s="66">
        <f>J54+I54</f>
        <v/>
      </c>
    </row>
    <row r="55">
      <c r="B55" s="33" t="n">
        <v>2037</v>
      </c>
      <c r="C55" s="46">
        <f>WEO_Data!E21</f>
        <v/>
      </c>
      <c r="D55" s="52">
        <f>D20</f>
        <v/>
      </c>
      <c r="E55" s="38">
        <f>D55*$F$30</f>
        <v/>
      </c>
      <c r="F55" s="38">
        <f>E55*$D$31</f>
        <v/>
      </c>
      <c r="G55" s="38">
        <f>E55-F55</f>
        <v/>
      </c>
      <c r="H55" s="38">
        <f>G55*$D$64</f>
        <v/>
      </c>
      <c r="I55" s="66">
        <f>H55/C55</f>
        <v/>
      </c>
      <c r="J55" s="52">
        <f>WEO_Data!B21</f>
        <v/>
      </c>
      <c r="K55" s="66">
        <f>J55+I55</f>
        <v/>
      </c>
    </row>
    <row r="56">
      <c r="B56" s="33" t="n">
        <v>2038</v>
      </c>
      <c r="C56" s="46">
        <f>WEO_Data!E22</f>
        <v/>
      </c>
      <c r="D56" s="52">
        <f>D21</f>
        <v/>
      </c>
      <c r="E56" s="38">
        <f>D56*$F$30</f>
        <v/>
      </c>
      <c r="F56" s="38">
        <f>E56*$D$31</f>
        <v/>
      </c>
      <c r="G56" s="38">
        <f>E56-F56</f>
        <v/>
      </c>
      <c r="H56" s="38">
        <f>G56*$D$64</f>
        <v/>
      </c>
      <c r="I56" s="66">
        <f>H56/C56</f>
        <v/>
      </c>
      <c r="J56" s="52">
        <f>WEO_Data!B22</f>
        <v/>
      </c>
      <c r="K56" s="66">
        <f>J56+I56</f>
        <v/>
      </c>
    </row>
    <row r="57">
      <c r="B57" s="33" t="n">
        <v>2039</v>
      </c>
      <c r="C57" s="46">
        <f>WEO_Data!E23</f>
        <v/>
      </c>
      <c r="D57" s="52">
        <f>D22</f>
        <v/>
      </c>
      <c r="E57" s="38">
        <f>D57*$F$30</f>
        <v/>
      </c>
      <c r="F57" s="38">
        <f>E57*$D$31</f>
        <v/>
      </c>
      <c r="G57" s="38">
        <f>E57-F57</f>
        <v/>
      </c>
      <c r="H57" s="38">
        <f>G57*$D$64</f>
        <v/>
      </c>
      <c r="I57" s="66">
        <f>H57/C57</f>
        <v/>
      </c>
      <c r="J57" s="52">
        <f>WEO_Data!B23</f>
        <v/>
      </c>
      <c r="K57" s="66">
        <f>J57+I57</f>
        <v/>
      </c>
    </row>
    <row r="58">
      <c r="B58" s="33" t="n">
        <v>2040</v>
      </c>
      <c r="C58" s="46">
        <f>WEO_Data!E24</f>
        <v/>
      </c>
      <c r="D58" s="52">
        <f>D23</f>
        <v/>
      </c>
      <c r="E58" s="38">
        <f>D58*$F$30</f>
        <v/>
      </c>
      <c r="F58" s="38">
        <f>E58*$D$31</f>
        <v/>
      </c>
      <c r="G58" s="38">
        <f>E58-F58</f>
        <v/>
      </c>
      <c r="H58" s="38">
        <f>G58*$D$64</f>
        <v/>
      </c>
      <c r="I58" s="66">
        <f>H58/C58</f>
        <v/>
      </c>
      <c r="J58" s="52">
        <f>WEO_Data!B24</f>
        <v/>
      </c>
      <c r="K58" s="66">
        <f>J58+I58</f>
        <v/>
      </c>
    </row>
    <row r="59">
      <c r="B59" s="33" t="n">
        <v>2041</v>
      </c>
      <c r="C59" s="46">
        <f>WEO_Data!E25</f>
        <v/>
      </c>
      <c r="D59" s="52">
        <f>D24</f>
        <v/>
      </c>
      <c r="E59" s="38">
        <f>D59*$F$30</f>
        <v/>
      </c>
      <c r="F59" s="38">
        <f>E59*$D$31</f>
        <v/>
      </c>
      <c r="G59" s="38">
        <f>E59-F59</f>
        <v/>
      </c>
      <c r="H59" s="38">
        <f>G59*$D$64</f>
        <v/>
      </c>
      <c r="I59" s="66">
        <f>H59/C59</f>
        <v/>
      </c>
      <c r="J59" s="52">
        <f>WEO_Data!B25</f>
        <v/>
      </c>
      <c r="K59" s="66">
        <f>J59+I59</f>
        <v/>
      </c>
    </row>
    <row r="60">
      <c r="B60" s="33" t="n">
        <v>2042</v>
      </c>
      <c r="C60" s="46">
        <f>WEO_Data!E26</f>
        <v/>
      </c>
      <c r="D60" s="52">
        <f>D25</f>
        <v/>
      </c>
      <c r="E60" s="38">
        <f>D60*$F$30</f>
        <v/>
      </c>
      <c r="F60" s="38">
        <f>E60*$D$31</f>
        <v/>
      </c>
      <c r="G60" s="38">
        <f>E60-F60</f>
        <v/>
      </c>
      <c r="H60" s="38">
        <f>G60*$D$64</f>
        <v/>
      </c>
      <c r="I60" s="66">
        <f>H60/C60</f>
        <v/>
      </c>
      <c r="J60" s="52">
        <f>WEO_Data!B26</f>
        <v/>
      </c>
      <c r="K60" s="66">
        <f>J60+I60</f>
        <v/>
      </c>
    </row>
    <row r="63">
      <c r="C63" s="36" t="inlineStr">
        <is>
          <t>Assumptions</t>
        </is>
      </c>
    </row>
    <row r="65">
      <c r="C65" t="inlineStr">
        <is>
          <t>total investment</t>
        </is>
      </c>
      <c r="D65" s="46">
        <f>D30</f>
        <v/>
      </c>
    </row>
    <row r="66">
      <c r="C66" t="inlineStr">
        <is>
          <t>import content share</t>
        </is>
      </c>
      <c r="D66" s="52">
        <f>D31</f>
        <v/>
      </c>
    </row>
    <row r="67">
      <c r="C67" t="inlineStr">
        <is>
          <t>demand multiplier</t>
        </is>
      </c>
      <c r="D67" s="59" t="n">
        <v>1</v>
      </c>
    </row>
    <row r="68">
      <c r="C68" t="inlineStr">
        <is>
          <t>Project allocation</t>
        </is>
      </c>
      <c r="D68" s="72" t="inlineStr">
        <is>
          <t>Bell shape</t>
        </is>
      </c>
    </row>
    <row r="70">
      <c r="A70" s="49" t="inlineStr">
        <is>
          <t>Scenario 3: Higher Import Content Share (0.5)</t>
        </is>
      </c>
    </row>
    <row r="71">
      <c r="B71" s="32" t="inlineStr">
        <is>
          <t>Year</t>
        </is>
      </c>
      <c r="C71" s="32" t="inlineStr">
        <is>
          <t>Real GDP</t>
        </is>
      </c>
      <c r="D71" s="32" t="inlineStr">
        <is>
          <t>Project Allocation (%)</t>
        </is>
      </c>
      <c r="E71" s="32" t="inlineStr">
        <is>
          <t>Project Investment</t>
        </is>
      </c>
      <c r="F71" s="32" t="inlineStr">
        <is>
          <t>Imports</t>
        </is>
      </c>
      <c r="G71" s="32" t="inlineStr">
        <is>
          <t>GDP impact</t>
        </is>
      </c>
      <c r="H71" s="32" t="n"/>
      <c r="I71" s="32" t="n"/>
      <c r="J71" s="32" t="inlineStr">
        <is>
          <t>Baseline GDP Growth</t>
        </is>
      </c>
      <c r="K71" s="32" t="inlineStr">
        <is>
          <t>Projected Growth</t>
        </is>
      </c>
    </row>
    <row r="72">
      <c r="C72" s="40" t="n"/>
      <c r="D72" s="40" t="n"/>
      <c r="E72" s="40" t="n"/>
      <c r="F72" s="40" t="n"/>
      <c r="G72" s="40" t="inlineStr">
        <is>
          <t>I-M</t>
        </is>
      </c>
      <c r="H72" s="40" t="inlineStr">
        <is>
          <t>Multiplier</t>
        </is>
      </c>
      <c r="I72" s="40" t="inlineStr">
        <is>
          <t>% of GDP</t>
        </is>
      </c>
      <c r="J72" s="40" t="n"/>
      <c r="K72" s="40" t="n"/>
    </row>
    <row r="73">
      <c r="B73" s="33" t="n">
        <v>2020</v>
      </c>
      <c r="C73" s="46">
        <f>WEO_Data!E4</f>
        <v/>
      </c>
      <c r="D73" s="52">
        <f>D3</f>
        <v/>
      </c>
      <c r="E73" s="38">
        <f>D73*$F$30</f>
        <v/>
      </c>
      <c r="F73" s="38">
        <f>E73*$D$99</f>
        <v/>
      </c>
      <c r="G73" s="38">
        <f>E73-F73</f>
        <v/>
      </c>
      <c r="H73" s="38">
        <f>G73*$D$100</f>
        <v/>
      </c>
      <c r="I73" s="66">
        <f>H73/C73</f>
        <v/>
      </c>
      <c r="J73" s="52">
        <f>WEO_Data!B4</f>
        <v/>
      </c>
      <c r="K73" s="66">
        <f>J73+I73</f>
        <v/>
      </c>
    </row>
    <row r="74">
      <c r="B74" s="33" t="n">
        <v>2021</v>
      </c>
      <c r="C74" s="46">
        <f>WEO_Data!E5</f>
        <v/>
      </c>
      <c r="D74" s="52">
        <f>D4</f>
        <v/>
      </c>
      <c r="E74" s="38">
        <f>D74*$F$30</f>
        <v/>
      </c>
      <c r="F74" s="38">
        <f>E74*$D$99</f>
        <v/>
      </c>
      <c r="G74" s="38">
        <f>E74-F74</f>
        <v/>
      </c>
      <c r="H74" s="38">
        <f>G74*$D$100</f>
        <v/>
      </c>
      <c r="I74" s="66">
        <f>H74/C74</f>
        <v/>
      </c>
      <c r="J74" s="52">
        <f>WEO_Data!B5</f>
        <v/>
      </c>
      <c r="K74" s="66">
        <f>J74+I74</f>
        <v/>
      </c>
    </row>
    <row r="75">
      <c r="B75" s="33" t="n">
        <v>2022</v>
      </c>
      <c r="C75" s="46">
        <f>WEO_Data!E6</f>
        <v/>
      </c>
      <c r="D75" s="52">
        <f>D5</f>
        <v/>
      </c>
      <c r="E75" s="38">
        <f>D75*$F$30</f>
        <v/>
      </c>
      <c r="F75" s="38">
        <f>E75*$D$99</f>
        <v/>
      </c>
      <c r="G75" s="38">
        <f>E75-F75</f>
        <v/>
      </c>
      <c r="H75" s="38">
        <f>G75*$D$100</f>
        <v/>
      </c>
      <c r="I75" s="66">
        <f>H75/C75</f>
        <v/>
      </c>
      <c r="J75" s="52">
        <f>WEO_Data!B6</f>
        <v/>
      </c>
      <c r="K75" s="66">
        <f>J75+I75</f>
        <v/>
      </c>
    </row>
    <row r="76">
      <c r="B76" s="33" t="n">
        <v>2023</v>
      </c>
      <c r="C76" s="46">
        <f>WEO_Data!E7</f>
        <v/>
      </c>
      <c r="D76" s="52">
        <f>D6</f>
        <v/>
      </c>
      <c r="E76" s="38">
        <f>D76*$F$30</f>
        <v/>
      </c>
      <c r="F76" s="38">
        <f>E76*$D$99</f>
        <v/>
      </c>
      <c r="G76" s="38">
        <f>E76-F76</f>
        <v/>
      </c>
      <c r="H76" s="38">
        <f>G76*$D$100</f>
        <v/>
      </c>
      <c r="I76" s="66">
        <f>H76/C76</f>
        <v/>
      </c>
      <c r="J76" s="52">
        <f>WEO_Data!B7</f>
        <v/>
      </c>
      <c r="K76" s="66">
        <f>J76+I76</f>
        <v/>
      </c>
    </row>
    <row r="77">
      <c r="B77" s="33" t="n">
        <v>2024</v>
      </c>
      <c r="C77" s="46">
        <f>WEO_Data!E8</f>
        <v/>
      </c>
      <c r="D77" s="52">
        <f>D7</f>
        <v/>
      </c>
      <c r="E77" s="38">
        <f>D77*$F$30</f>
        <v/>
      </c>
      <c r="F77" s="38">
        <f>E77*$D$99</f>
        <v/>
      </c>
      <c r="G77" s="38">
        <f>E77-F77</f>
        <v/>
      </c>
      <c r="H77" s="38">
        <f>G77*$D$100</f>
        <v/>
      </c>
      <c r="I77" s="66">
        <f>H77/C77</f>
        <v/>
      </c>
      <c r="J77" s="52">
        <f>WEO_Data!B8</f>
        <v/>
      </c>
      <c r="K77" s="66">
        <f>J77+I77</f>
        <v/>
      </c>
    </row>
    <row r="78">
      <c r="B78" s="33" t="n">
        <v>2025</v>
      </c>
      <c r="C78" s="46">
        <f>WEO_Data!E9</f>
        <v/>
      </c>
      <c r="D78" s="52">
        <f>D8</f>
        <v/>
      </c>
      <c r="E78" s="38">
        <f>D78*$F$30</f>
        <v/>
      </c>
      <c r="F78" s="38">
        <f>E78*$D$99</f>
        <v/>
      </c>
      <c r="G78" s="38">
        <f>E78-F78</f>
        <v/>
      </c>
      <c r="H78" s="38">
        <f>G78*$D$100</f>
        <v/>
      </c>
      <c r="I78" s="66">
        <f>H78/C78</f>
        <v/>
      </c>
      <c r="J78" s="52">
        <f>WEO_Data!B9</f>
        <v/>
      </c>
      <c r="K78" s="66">
        <f>J78+I78</f>
        <v/>
      </c>
    </row>
    <row r="79">
      <c r="B79" s="33" t="n">
        <v>2026</v>
      </c>
      <c r="C79" s="46">
        <f>WEO_Data!E10</f>
        <v/>
      </c>
      <c r="D79" s="52">
        <f>D9</f>
        <v/>
      </c>
      <c r="E79" s="38">
        <f>D79*$F$30</f>
        <v/>
      </c>
      <c r="F79" s="38">
        <f>E79*$D$99</f>
        <v/>
      </c>
      <c r="G79" s="38">
        <f>E79-F79</f>
        <v/>
      </c>
      <c r="H79" s="38">
        <f>G79*$D$100</f>
        <v/>
      </c>
      <c r="I79" s="66">
        <f>H79/C79</f>
        <v/>
      </c>
      <c r="J79" s="52">
        <f>WEO_Data!B10</f>
        <v/>
      </c>
      <c r="K79" s="66">
        <f>J79+I79</f>
        <v/>
      </c>
    </row>
    <row r="80">
      <c r="B80" s="33" t="n">
        <v>2027</v>
      </c>
      <c r="C80" s="46">
        <f>WEO_Data!E11</f>
        <v/>
      </c>
      <c r="D80" s="52">
        <f>D10</f>
        <v/>
      </c>
      <c r="E80" s="38">
        <f>D80*$F$30</f>
        <v/>
      </c>
      <c r="F80" s="38">
        <f>E80*$D$99</f>
        <v/>
      </c>
      <c r="G80" s="38">
        <f>E80-F80</f>
        <v/>
      </c>
      <c r="H80" s="38">
        <f>G80*$D$100</f>
        <v/>
      </c>
      <c r="I80" s="66">
        <f>H80/C80</f>
        <v/>
      </c>
      <c r="J80" s="52">
        <f>WEO_Data!B11</f>
        <v/>
      </c>
      <c r="K80" s="66">
        <f>J80+I80</f>
        <v/>
      </c>
    </row>
    <row r="81">
      <c r="B81" s="33" t="n">
        <v>2028</v>
      </c>
      <c r="C81" s="46">
        <f>WEO_Data!E12</f>
        <v/>
      </c>
      <c r="D81" s="52">
        <f>D11</f>
        <v/>
      </c>
      <c r="E81" s="38">
        <f>D81*$F$30</f>
        <v/>
      </c>
      <c r="F81" s="38">
        <f>E81*$D$99</f>
        <v/>
      </c>
      <c r="G81" s="38">
        <f>E81-F81</f>
        <v/>
      </c>
      <c r="H81" s="38">
        <f>G81*$D$100</f>
        <v/>
      </c>
      <c r="I81" s="66">
        <f>H81/C81</f>
        <v/>
      </c>
      <c r="J81" s="52">
        <f>WEO_Data!B12</f>
        <v/>
      </c>
      <c r="K81" s="66">
        <f>J81+I81</f>
        <v/>
      </c>
    </row>
    <row r="82">
      <c r="B82" s="33" t="n">
        <v>2029</v>
      </c>
      <c r="C82" s="46">
        <f>WEO_Data!E13</f>
        <v/>
      </c>
      <c r="D82" s="52">
        <f>D12</f>
        <v/>
      </c>
      <c r="E82" s="38">
        <f>D82*$F$30</f>
        <v/>
      </c>
      <c r="F82" s="38">
        <f>E82*$D$99</f>
        <v/>
      </c>
      <c r="G82" s="38">
        <f>E82-F82</f>
        <v/>
      </c>
      <c r="H82" s="38">
        <f>G82*$D$100</f>
        <v/>
      </c>
      <c r="I82" s="66">
        <f>H82/C82</f>
        <v/>
      </c>
      <c r="J82" s="52">
        <f>WEO_Data!B13</f>
        <v/>
      </c>
      <c r="K82" s="66">
        <f>J82+I82</f>
        <v/>
      </c>
    </row>
    <row r="83">
      <c r="B83" s="33" t="n">
        <v>2030</v>
      </c>
      <c r="C83" s="46">
        <f>WEO_Data!E14</f>
        <v/>
      </c>
      <c r="D83" s="52">
        <f>D13</f>
        <v/>
      </c>
      <c r="E83" s="38">
        <f>D83*$F$30</f>
        <v/>
      </c>
      <c r="F83" s="38">
        <f>E83*$D$99</f>
        <v/>
      </c>
      <c r="G83" s="38">
        <f>E83-F83</f>
        <v/>
      </c>
      <c r="H83" s="38">
        <f>G83*$D$100</f>
        <v/>
      </c>
      <c r="I83" s="66">
        <f>H83/C83</f>
        <v/>
      </c>
      <c r="J83" s="52">
        <f>WEO_Data!B14</f>
        <v/>
      </c>
      <c r="K83" s="66">
        <f>J83+I83</f>
        <v/>
      </c>
    </row>
    <row r="84">
      <c r="B84" s="33" t="n">
        <v>2031</v>
      </c>
      <c r="C84" s="46">
        <f>WEO_Data!E15</f>
        <v/>
      </c>
      <c r="D84" s="52">
        <f>D14</f>
        <v/>
      </c>
      <c r="E84" s="38">
        <f>D84*$F$30</f>
        <v/>
      </c>
      <c r="F84" s="38">
        <f>E84*$D$99</f>
        <v/>
      </c>
      <c r="G84" s="38">
        <f>E84-F84</f>
        <v/>
      </c>
      <c r="H84" s="38">
        <f>G84*$D$100</f>
        <v/>
      </c>
      <c r="I84" s="66">
        <f>H84/C84</f>
        <v/>
      </c>
      <c r="J84" s="52">
        <f>WEO_Data!B15</f>
        <v/>
      </c>
      <c r="K84" s="66">
        <f>J84+I84</f>
        <v/>
      </c>
    </row>
    <row r="85">
      <c r="B85" s="33" t="n">
        <v>2032</v>
      </c>
      <c r="C85" s="46">
        <f>WEO_Data!E16</f>
        <v/>
      </c>
      <c r="D85" s="52">
        <f>D15</f>
        <v/>
      </c>
      <c r="E85" s="38">
        <f>D85*$F$30</f>
        <v/>
      </c>
      <c r="F85" s="38">
        <f>E85*$D$99</f>
        <v/>
      </c>
      <c r="G85" s="38">
        <f>E85-F85</f>
        <v/>
      </c>
      <c r="H85" s="38">
        <f>G85*$D$100</f>
        <v/>
      </c>
      <c r="I85" s="66">
        <f>H85/C85</f>
        <v/>
      </c>
      <c r="J85" s="52">
        <f>WEO_Data!B16</f>
        <v/>
      </c>
      <c r="K85" s="66">
        <f>J85+I85</f>
        <v/>
      </c>
    </row>
    <row r="86">
      <c r="B86" s="33" t="n">
        <v>2033</v>
      </c>
      <c r="C86" s="46">
        <f>WEO_Data!E17</f>
        <v/>
      </c>
      <c r="D86" s="52">
        <f>D16</f>
        <v/>
      </c>
      <c r="E86" s="38">
        <f>D86*$F$30</f>
        <v/>
      </c>
      <c r="F86" s="38">
        <f>E86*$D$99</f>
        <v/>
      </c>
      <c r="G86" s="38">
        <f>E86-F86</f>
        <v/>
      </c>
      <c r="H86" s="38">
        <f>G86*$D$100</f>
        <v/>
      </c>
      <c r="I86" s="66">
        <f>H86/C86</f>
        <v/>
      </c>
      <c r="J86" s="52">
        <f>WEO_Data!B17</f>
        <v/>
      </c>
      <c r="K86" s="66">
        <f>J86+I86</f>
        <v/>
      </c>
    </row>
    <row r="87">
      <c r="B87" s="33" t="n">
        <v>2034</v>
      </c>
      <c r="C87" s="46">
        <f>WEO_Data!E18</f>
        <v/>
      </c>
      <c r="D87" s="52">
        <f>D17</f>
        <v/>
      </c>
      <c r="E87" s="38">
        <f>D87*$F$30</f>
        <v/>
      </c>
      <c r="F87" s="38">
        <f>E87*$D$99</f>
        <v/>
      </c>
      <c r="G87" s="38">
        <f>E87-F87</f>
        <v/>
      </c>
      <c r="H87" s="38">
        <f>G87*$D$100</f>
        <v/>
      </c>
      <c r="I87" s="66">
        <f>H87/C87</f>
        <v/>
      </c>
      <c r="J87" s="52">
        <f>WEO_Data!B18</f>
        <v/>
      </c>
      <c r="K87" s="66">
        <f>J87+I87</f>
        <v/>
      </c>
    </row>
    <row r="88">
      <c r="B88" s="33" t="n">
        <v>2035</v>
      </c>
      <c r="C88" s="46">
        <f>WEO_Data!E19</f>
        <v/>
      </c>
      <c r="D88" s="52">
        <f>D18</f>
        <v/>
      </c>
      <c r="E88" s="38">
        <f>D88*$F$30</f>
        <v/>
      </c>
      <c r="F88" s="38">
        <f>E88*$D$99</f>
        <v/>
      </c>
      <c r="G88" s="38">
        <f>E88-F88</f>
        <v/>
      </c>
      <c r="H88" s="38">
        <f>G88*$D$100</f>
        <v/>
      </c>
      <c r="I88" s="66">
        <f>H88/C88</f>
        <v/>
      </c>
      <c r="J88" s="52">
        <f>WEO_Data!B19</f>
        <v/>
      </c>
      <c r="K88" s="66">
        <f>J88+I88</f>
        <v/>
      </c>
    </row>
    <row r="89">
      <c r="B89" s="33" t="n">
        <v>2036</v>
      </c>
      <c r="C89" s="46">
        <f>WEO_Data!E20</f>
        <v/>
      </c>
      <c r="D89" s="52">
        <f>D19</f>
        <v/>
      </c>
      <c r="E89" s="38">
        <f>D89*$F$30</f>
        <v/>
      </c>
      <c r="F89" s="38">
        <f>E89*$D$99</f>
        <v/>
      </c>
      <c r="G89" s="38">
        <f>E89-F89</f>
        <v/>
      </c>
      <c r="H89" s="38">
        <f>G89*$D$100</f>
        <v/>
      </c>
      <c r="I89" s="66">
        <f>H89/C89</f>
        <v/>
      </c>
      <c r="J89" s="52">
        <f>WEO_Data!B20</f>
        <v/>
      </c>
      <c r="K89" s="66">
        <f>J89+I89</f>
        <v/>
      </c>
    </row>
    <row r="90">
      <c r="B90" s="33" t="n">
        <v>2037</v>
      </c>
      <c r="C90" s="46">
        <f>WEO_Data!E21</f>
        <v/>
      </c>
      <c r="D90" s="52">
        <f>D20</f>
        <v/>
      </c>
      <c r="E90" s="38">
        <f>D90*$F$30</f>
        <v/>
      </c>
      <c r="F90" s="38">
        <f>E90*$D$99</f>
        <v/>
      </c>
      <c r="G90" s="38">
        <f>E90-F90</f>
        <v/>
      </c>
      <c r="H90" s="38">
        <f>G90*$D$100</f>
        <v/>
      </c>
      <c r="I90" s="66">
        <f>H90/C90</f>
        <v/>
      </c>
      <c r="J90" s="52">
        <f>WEO_Data!B21</f>
        <v/>
      </c>
      <c r="K90" s="66">
        <f>J90+I90</f>
        <v/>
      </c>
    </row>
    <row r="91">
      <c r="B91" s="33" t="n">
        <v>2038</v>
      </c>
      <c r="C91" s="46">
        <f>WEO_Data!E22</f>
        <v/>
      </c>
      <c r="D91" s="52">
        <f>D21</f>
        <v/>
      </c>
      <c r="E91" s="38">
        <f>D91*$F$30</f>
        <v/>
      </c>
      <c r="F91" s="38">
        <f>E91*$D$99</f>
        <v/>
      </c>
      <c r="G91" s="38">
        <f>E91-F91</f>
        <v/>
      </c>
      <c r="H91" s="38">
        <f>G91*$D$100</f>
        <v/>
      </c>
      <c r="I91" s="66">
        <f>H91/C91</f>
        <v/>
      </c>
      <c r="J91" s="52">
        <f>WEO_Data!B22</f>
        <v/>
      </c>
      <c r="K91" s="66">
        <f>J91+I91</f>
        <v/>
      </c>
    </row>
    <row r="92">
      <c r="B92" s="33" t="n">
        <v>2039</v>
      </c>
      <c r="C92" s="46">
        <f>WEO_Data!E23</f>
        <v/>
      </c>
      <c r="D92" s="52">
        <f>D22</f>
        <v/>
      </c>
      <c r="E92" s="38">
        <f>D92*$F$30</f>
        <v/>
      </c>
      <c r="F92" s="38">
        <f>E92*$D$99</f>
        <v/>
      </c>
      <c r="G92" s="38">
        <f>E92-F92</f>
        <v/>
      </c>
      <c r="H92" s="38">
        <f>G92*$D$100</f>
        <v/>
      </c>
      <c r="I92" s="66">
        <f>H92/C92</f>
        <v/>
      </c>
      <c r="J92" s="52">
        <f>WEO_Data!B23</f>
        <v/>
      </c>
      <c r="K92" s="66">
        <f>J92+I92</f>
        <v/>
      </c>
    </row>
    <row r="93">
      <c r="B93" s="33" t="n">
        <v>2040</v>
      </c>
      <c r="C93" s="46">
        <f>WEO_Data!E24</f>
        <v/>
      </c>
      <c r="D93" s="52">
        <f>D23</f>
        <v/>
      </c>
      <c r="E93" s="38">
        <f>D93*$F$30</f>
        <v/>
      </c>
      <c r="F93" s="38">
        <f>E93*$D$99</f>
        <v/>
      </c>
      <c r="G93" s="38">
        <f>E93-F93</f>
        <v/>
      </c>
      <c r="H93" s="38">
        <f>G93*$D$100</f>
        <v/>
      </c>
      <c r="I93" s="66">
        <f>H93/C93</f>
        <v/>
      </c>
      <c r="J93" s="52">
        <f>WEO_Data!B24</f>
        <v/>
      </c>
      <c r="K93" s="66">
        <f>J93+I93</f>
        <v/>
      </c>
    </row>
    <row r="94">
      <c r="B94" s="33" t="n">
        <v>2041</v>
      </c>
      <c r="C94" s="46">
        <f>WEO_Data!E25</f>
        <v/>
      </c>
      <c r="D94" s="52">
        <f>D24</f>
        <v/>
      </c>
      <c r="E94" s="38">
        <f>D94*$F$30</f>
        <v/>
      </c>
      <c r="F94" s="38">
        <f>E94*$D$99</f>
        <v/>
      </c>
      <c r="G94" s="38">
        <f>E94-F94</f>
        <v/>
      </c>
      <c r="H94" s="38">
        <f>G94*$D$100</f>
        <v/>
      </c>
      <c r="I94" s="66">
        <f>H94/C94</f>
        <v/>
      </c>
      <c r="J94" s="52">
        <f>WEO_Data!B25</f>
        <v/>
      </c>
      <c r="K94" s="66">
        <f>J94+I94</f>
        <v/>
      </c>
    </row>
    <row r="95">
      <c r="B95" s="33" t="n">
        <v>2042</v>
      </c>
      <c r="C95" s="46">
        <f>WEO_Data!E26</f>
        <v/>
      </c>
      <c r="D95" s="52">
        <f>D25</f>
        <v/>
      </c>
      <c r="E95" s="38">
        <f>D95*$F$30</f>
        <v/>
      </c>
      <c r="F95" s="38">
        <f>E95*$D$99</f>
        <v/>
      </c>
      <c r="G95" s="38">
        <f>E95-F95</f>
        <v/>
      </c>
      <c r="H95" s="38">
        <f>G95*$D$100</f>
        <v/>
      </c>
      <c r="I95" s="66">
        <f>H95/C95</f>
        <v/>
      </c>
      <c r="J95" s="52">
        <f>WEO_Data!B26</f>
        <v/>
      </c>
      <c r="K95" s="66">
        <f>J95+I95</f>
        <v/>
      </c>
    </row>
    <row r="98">
      <c r="C98" s="36" t="inlineStr">
        <is>
          <t>Assumptions</t>
        </is>
      </c>
    </row>
    <row r="100">
      <c r="C100" t="inlineStr">
        <is>
          <t>total investment</t>
        </is>
      </c>
      <c r="D100" s="46">
        <f>D30</f>
        <v/>
      </c>
    </row>
    <row r="101">
      <c r="C101" t="inlineStr">
        <is>
          <t>import content share</t>
        </is>
      </c>
      <c r="D101" s="73" t="n">
        <v>0.5</v>
      </c>
    </row>
    <row r="102">
      <c r="C102" t="inlineStr">
        <is>
          <t>demand multiplier</t>
        </is>
      </c>
      <c r="D102" s="59" t="n">
        <v>0.8</v>
      </c>
    </row>
    <row r="103">
      <c r="C103" t="inlineStr">
        <is>
          <t>Project allocation</t>
        </is>
      </c>
      <c r="D103" s="72" t="inlineStr">
        <is>
          <t>Bell shape</t>
        </is>
      </c>
    </row>
  </sheetData>
  <mergeCells count="1"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Supply Table (38x38)</t>
        </is>
      </c>
    </row>
    <row r="2">
      <c r="A2" s="35" t="inlineStr">
        <is>
          <t>Source: geostat.ge - Supply and Use Tables (Latest available)</t>
        </is>
      </c>
    </row>
    <row r="3">
      <c r="A3" s="35" t="inlineStr">
        <is>
          <t>URL: https://www.geostat.ge/en/modules/categories/191/supply-use-tables</t>
        </is>
      </c>
    </row>
    <row r="5">
      <c r="A5" s="76" t="inlineStr">
        <is>
          <t>DATA COLLECTION INSTRUCTIONS:</t>
        </is>
      </c>
    </row>
    <row r="6">
      <c r="A6" s="39" t="inlineStr">
        <is>
          <t>1. Go to: https://www.geostat.ge/en/modules/categories/191/supply-use-tables</t>
        </is>
      </c>
    </row>
    <row r="7">
      <c r="A7" s="39" t="inlineStr">
        <is>
          <t>2. Download the latest Supply and Use Tables (Excel format)</t>
        </is>
      </c>
    </row>
    <row r="8">
      <c r="A8" s="39" t="inlineStr">
        <is>
          <t>3. Open the downloaded file and locate the SUPPLY table (38x38 matrix)</t>
        </is>
      </c>
    </row>
    <row r="9">
      <c r="A9" s="39" t="inlineStr">
        <is>
          <t>4. Copy the entire SUPPLY table and paste it into this sheet starting at row 10</t>
        </is>
      </c>
    </row>
    <row r="10">
      <c r="A10" s="89" t="inlineStr">
        <is>
          <t>Industry Code</t>
        </is>
      </c>
      <c r="B10" s="89" t="inlineStr">
        <is>
          <t>Industry Name</t>
        </is>
      </c>
      <c r="C10" s="89" t="inlineStr">
        <is>
          <t>Output</t>
        </is>
      </c>
      <c r="D10" s="89" t="inlineStr">
        <is>
          <t>Imports</t>
        </is>
      </c>
      <c r="E10" s="89" t="inlineStr">
        <is>
          <t>Total Supply</t>
        </is>
      </c>
      <c r="F10" s="89" t="inlineStr">
        <is>
          <t>Taxes on Products</t>
        </is>
      </c>
      <c r="G10" s="89" t="inlineStr">
        <is>
          <t>Trade Margins</t>
        </is>
      </c>
      <c r="H10" s="89" t="inlineStr">
        <is>
          <t>Transport Margins</t>
        </is>
      </c>
    </row>
    <row r="11">
      <c r="A11" s="45" t="inlineStr">
        <is>
          <t>IND01</t>
        </is>
      </c>
      <c r="B11" s="45" t="inlineStr">
        <is>
          <t>Industry 1</t>
        </is>
      </c>
    </row>
    <row r="12">
      <c r="A12" s="45" t="inlineStr">
        <is>
          <t>IND02</t>
        </is>
      </c>
      <c r="B12" s="45" t="inlineStr">
        <is>
          <t>Industry 2</t>
        </is>
      </c>
    </row>
    <row r="13">
      <c r="A13" s="45" t="inlineStr">
        <is>
          <t>IND03</t>
        </is>
      </c>
      <c r="B13" s="45" t="inlineStr">
        <is>
          <t>Industry 3</t>
        </is>
      </c>
    </row>
    <row r="14">
      <c r="A14" s="45" t="inlineStr">
        <is>
          <t>IND04</t>
        </is>
      </c>
      <c r="B14" s="45" t="inlineStr">
        <is>
          <t>Industry 4</t>
        </is>
      </c>
    </row>
    <row r="15">
      <c r="A15" s="45" t="inlineStr">
        <is>
          <t>IND05</t>
        </is>
      </c>
      <c r="B15" s="45" t="inlineStr">
        <is>
          <t>Industry 5</t>
        </is>
      </c>
    </row>
    <row r="16">
      <c r="A16" s="45" t="inlineStr">
        <is>
          <t>IND06</t>
        </is>
      </c>
      <c r="B16" s="45" t="inlineStr">
        <is>
          <t>Industry 6</t>
        </is>
      </c>
    </row>
    <row r="17">
      <c r="A17" s="45" t="inlineStr">
        <is>
          <t>IND07</t>
        </is>
      </c>
      <c r="B17" s="45" t="inlineStr">
        <is>
          <t>Industry 7</t>
        </is>
      </c>
    </row>
    <row r="18">
      <c r="A18" s="45" t="inlineStr">
        <is>
          <t>IND08</t>
        </is>
      </c>
      <c r="B18" s="45" t="inlineStr">
        <is>
          <t>Industry 8</t>
        </is>
      </c>
    </row>
    <row r="19">
      <c r="A19" s="45" t="inlineStr">
        <is>
          <t>IND09</t>
        </is>
      </c>
      <c r="B19" s="45" t="inlineStr">
        <is>
          <t>Industry 9</t>
        </is>
      </c>
    </row>
    <row r="20">
      <c r="A20" s="45" t="inlineStr">
        <is>
          <t>IND10</t>
        </is>
      </c>
      <c r="B20" s="45" t="inlineStr">
        <is>
          <t>Industry 10</t>
        </is>
      </c>
    </row>
    <row r="21">
      <c r="A21" s="45" t="inlineStr">
        <is>
          <t>IND11</t>
        </is>
      </c>
      <c r="B21" s="45" t="inlineStr">
        <is>
          <t>Industry 11</t>
        </is>
      </c>
    </row>
    <row r="22">
      <c r="A22" s="45" t="inlineStr">
        <is>
          <t>IND12</t>
        </is>
      </c>
      <c r="B22" s="45" t="inlineStr">
        <is>
          <t>Industry 12</t>
        </is>
      </c>
    </row>
    <row r="23">
      <c r="A23" s="45" t="inlineStr">
        <is>
          <t>IND13</t>
        </is>
      </c>
      <c r="B23" s="45" t="inlineStr">
        <is>
          <t>Industry 13</t>
        </is>
      </c>
    </row>
    <row r="24">
      <c r="A24" s="45" t="inlineStr">
        <is>
          <t>IND14</t>
        </is>
      </c>
      <c r="B24" s="45" t="inlineStr">
        <is>
          <t>Industry 14</t>
        </is>
      </c>
    </row>
    <row r="25">
      <c r="A25" s="45" t="inlineStr">
        <is>
          <t>IND15</t>
        </is>
      </c>
      <c r="B25" s="45" t="inlineStr">
        <is>
          <t>Industry 15</t>
        </is>
      </c>
    </row>
    <row r="26">
      <c r="A26" s="45" t="inlineStr">
        <is>
          <t>IND16</t>
        </is>
      </c>
      <c r="B26" s="45" t="inlineStr">
        <is>
          <t>Industry 16</t>
        </is>
      </c>
    </row>
    <row r="27">
      <c r="A27" s="45" t="inlineStr">
        <is>
          <t>IND17</t>
        </is>
      </c>
      <c r="B27" s="45" t="inlineStr">
        <is>
          <t>Industry 17</t>
        </is>
      </c>
    </row>
    <row r="28">
      <c r="A28" s="45" t="inlineStr">
        <is>
          <t>IND18</t>
        </is>
      </c>
      <c r="B28" s="45" t="inlineStr">
        <is>
          <t>Industry 18</t>
        </is>
      </c>
    </row>
    <row r="29">
      <c r="A29" s="45" t="inlineStr">
        <is>
          <t>IND19</t>
        </is>
      </c>
      <c r="B29" s="45" t="inlineStr">
        <is>
          <t>Industry 19</t>
        </is>
      </c>
    </row>
    <row r="30">
      <c r="A30" s="45" t="inlineStr">
        <is>
          <t>IND20</t>
        </is>
      </c>
      <c r="B30" s="45" t="inlineStr">
        <is>
          <t>Industry 20</t>
        </is>
      </c>
    </row>
    <row r="31">
      <c r="A31" s="45" t="inlineStr">
        <is>
          <t>IND21</t>
        </is>
      </c>
      <c r="B31" s="45" t="inlineStr">
        <is>
          <t>Industry 21</t>
        </is>
      </c>
    </row>
    <row r="32">
      <c r="A32" s="45" t="inlineStr">
        <is>
          <t>IND22</t>
        </is>
      </c>
      <c r="B32" s="45" t="inlineStr">
        <is>
          <t>Industry 22</t>
        </is>
      </c>
    </row>
    <row r="33">
      <c r="A33" s="45" t="inlineStr">
        <is>
          <t>IND23</t>
        </is>
      </c>
      <c r="B33" s="45" t="inlineStr">
        <is>
          <t>Industry 23</t>
        </is>
      </c>
    </row>
    <row r="34">
      <c r="A34" s="45" t="inlineStr">
        <is>
          <t>IND24</t>
        </is>
      </c>
      <c r="B34" s="45" t="inlineStr">
        <is>
          <t>Industry 24</t>
        </is>
      </c>
    </row>
    <row r="35">
      <c r="A35" s="45" t="inlineStr">
        <is>
          <t>IND25</t>
        </is>
      </c>
      <c r="B35" s="45" t="inlineStr">
        <is>
          <t>Industry 25</t>
        </is>
      </c>
    </row>
    <row r="36">
      <c r="A36" s="45" t="inlineStr">
        <is>
          <t>IND26</t>
        </is>
      </c>
      <c r="B36" s="45" t="inlineStr">
        <is>
          <t>Industry 26</t>
        </is>
      </c>
    </row>
    <row r="37">
      <c r="A37" s="45" t="inlineStr">
        <is>
          <t>IND27</t>
        </is>
      </c>
      <c r="B37" s="45" t="inlineStr">
        <is>
          <t>Industry 27</t>
        </is>
      </c>
    </row>
    <row r="38">
      <c r="A38" s="45" t="inlineStr">
        <is>
          <t>IND28</t>
        </is>
      </c>
      <c r="B38" s="45" t="inlineStr">
        <is>
          <t>Industry 28</t>
        </is>
      </c>
    </row>
    <row r="39">
      <c r="A39" s="45" t="inlineStr">
        <is>
          <t>IND29</t>
        </is>
      </c>
      <c r="B39" s="45" t="inlineStr">
        <is>
          <t>Industry 29</t>
        </is>
      </c>
    </row>
    <row r="40">
      <c r="A40" s="45" t="inlineStr">
        <is>
          <t>IND30</t>
        </is>
      </c>
      <c r="B40" s="45" t="inlineStr">
        <is>
          <t>Industry 30</t>
        </is>
      </c>
    </row>
    <row r="41">
      <c r="A41" s="45" t="inlineStr">
        <is>
          <t>IND31</t>
        </is>
      </c>
      <c r="B41" s="45" t="inlineStr">
        <is>
          <t>Industry 31</t>
        </is>
      </c>
    </row>
    <row r="42">
      <c r="A42" s="45" t="inlineStr">
        <is>
          <t>IND32</t>
        </is>
      </c>
      <c r="B42" s="45" t="inlineStr">
        <is>
          <t>Industry 32</t>
        </is>
      </c>
    </row>
    <row r="43">
      <c r="A43" s="45" t="inlineStr">
        <is>
          <t>IND33</t>
        </is>
      </c>
      <c r="B43" s="45" t="inlineStr">
        <is>
          <t>Industry 33</t>
        </is>
      </c>
    </row>
    <row r="44">
      <c r="A44" s="45" t="inlineStr">
        <is>
          <t>IND34</t>
        </is>
      </c>
      <c r="B44" s="45" t="inlineStr">
        <is>
          <t>Industry 34</t>
        </is>
      </c>
    </row>
    <row r="45">
      <c r="A45" s="45" t="inlineStr">
        <is>
          <t>IND35</t>
        </is>
      </c>
      <c r="B45" s="45" t="inlineStr">
        <is>
          <t>Industry 35</t>
        </is>
      </c>
    </row>
    <row r="46">
      <c r="A46" s="45" t="inlineStr">
        <is>
          <t>IND36</t>
        </is>
      </c>
      <c r="B46" s="45" t="inlineStr">
        <is>
          <t>Industry 36</t>
        </is>
      </c>
    </row>
    <row r="47">
      <c r="A47" s="45" t="inlineStr">
        <is>
          <t>IND37</t>
        </is>
      </c>
      <c r="B47" s="45" t="inlineStr">
        <is>
          <t>Industry 37</t>
        </is>
      </c>
    </row>
    <row r="48">
      <c r="A48" s="45" t="inlineStr">
        <is>
          <t>IND38</t>
        </is>
      </c>
      <c r="B48" s="45" t="inlineStr">
        <is>
          <t>Industry 38</t>
        </is>
      </c>
    </row>
    <row r="50">
      <c r="A50" s="35" t="inlineStr">
        <is>
          <t>Note: Replace this placeholder structure with actual data from geostat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Use Table (38x38)</t>
        </is>
      </c>
    </row>
    <row r="2">
      <c r="A2" s="35" t="inlineStr">
        <is>
          <t>Source: geostat.ge - Supply and Use Tables (Latest available)</t>
        </is>
      </c>
    </row>
    <row r="3">
      <c r="A3" s="35" t="inlineStr">
        <is>
          <t>URL: https://www.geostat.ge/en/modules/categories/191/supply-use-tables</t>
        </is>
      </c>
    </row>
    <row r="5">
      <c r="A5" s="76" t="inlineStr">
        <is>
          <t>DATA COLLECTION INSTRUCTIONS:</t>
        </is>
      </c>
    </row>
    <row r="6">
      <c r="A6" s="39" t="inlineStr">
        <is>
          <t>1. From the same geostat Supply and Use Tables file</t>
        </is>
      </c>
    </row>
    <row r="7">
      <c r="A7" s="39" t="inlineStr">
        <is>
          <t>2. Locate the USE table (38x38 matrix)</t>
        </is>
      </c>
    </row>
    <row r="8">
      <c r="A8" s="39" t="inlineStr">
        <is>
          <t>3. Copy the entire USE table and paste it into this sheet starting at row 10</t>
        </is>
      </c>
    </row>
    <row r="9">
      <c r="A9" s="39" t="inlineStr">
        <is>
          <t>4. Ensure the table includes:</t>
        </is>
      </c>
    </row>
    <row r="10">
      <c r="A10" s="89" t="inlineStr">
        <is>
          <t>Industry Code</t>
        </is>
      </c>
      <c r="B10" s="89" t="inlineStr">
        <is>
          <t>Industry Name</t>
        </is>
      </c>
      <c r="C10" s="89" t="inlineStr">
        <is>
          <t>Intermediate Consumption</t>
        </is>
      </c>
      <c r="D10" s="89" t="inlineStr">
        <is>
          <t>Final Consumption</t>
        </is>
      </c>
      <c r="E10" s="89" t="inlineStr">
        <is>
          <t>Government Consumption</t>
        </is>
      </c>
      <c r="F10" s="89" t="inlineStr">
        <is>
          <t>Gross Fixed Capital Formation (GFCF)</t>
        </is>
      </c>
      <c r="G10" s="89" t="inlineStr">
        <is>
          <t>Exports</t>
        </is>
      </c>
      <c r="H10" s="89" t="inlineStr">
        <is>
          <t>Total Use</t>
        </is>
      </c>
    </row>
    <row r="11">
      <c r="A11" s="45" t="inlineStr">
        <is>
          <t>IND01</t>
        </is>
      </c>
      <c r="B11" s="45" t="inlineStr">
        <is>
          <t>Industry 1</t>
        </is>
      </c>
    </row>
    <row r="12">
      <c r="A12" s="45" t="inlineStr">
        <is>
          <t>IND02</t>
        </is>
      </c>
      <c r="B12" s="45" t="inlineStr">
        <is>
          <t>Industry 2</t>
        </is>
      </c>
    </row>
    <row r="13">
      <c r="A13" s="45" t="inlineStr">
        <is>
          <t>IND03</t>
        </is>
      </c>
      <c r="B13" s="45" t="inlineStr">
        <is>
          <t>Industry 3</t>
        </is>
      </c>
    </row>
    <row r="14">
      <c r="A14" s="45" t="inlineStr">
        <is>
          <t>IND04</t>
        </is>
      </c>
      <c r="B14" s="45" t="inlineStr">
        <is>
          <t>Industry 4</t>
        </is>
      </c>
    </row>
    <row r="15">
      <c r="A15" s="45" t="inlineStr">
        <is>
          <t>IND05</t>
        </is>
      </c>
      <c r="B15" s="45" t="inlineStr">
        <is>
          <t>Industry 5</t>
        </is>
      </c>
    </row>
    <row r="16">
      <c r="A16" s="45" t="inlineStr">
        <is>
          <t>IND06</t>
        </is>
      </c>
      <c r="B16" s="45" t="inlineStr">
        <is>
          <t>Industry 6</t>
        </is>
      </c>
    </row>
    <row r="17">
      <c r="A17" s="45" t="inlineStr">
        <is>
          <t>IND07</t>
        </is>
      </c>
      <c r="B17" s="45" t="inlineStr">
        <is>
          <t>Industry 7</t>
        </is>
      </c>
    </row>
    <row r="18">
      <c r="A18" s="45" t="inlineStr">
        <is>
          <t>IND08</t>
        </is>
      </c>
      <c r="B18" s="45" t="inlineStr">
        <is>
          <t>Industry 8</t>
        </is>
      </c>
    </row>
    <row r="19">
      <c r="A19" s="45" t="inlineStr">
        <is>
          <t>IND09</t>
        </is>
      </c>
      <c r="B19" s="45" t="inlineStr">
        <is>
          <t>Industry 9</t>
        </is>
      </c>
    </row>
    <row r="20">
      <c r="A20" s="45" t="inlineStr">
        <is>
          <t>IND10</t>
        </is>
      </c>
      <c r="B20" s="45" t="inlineStr">
        <is>
          <t>Industry 10</t>
        </is>
      </c>
    </row>
    <row r="21">
      <c r="A21" s="45" t="inlineStr">
        <is>
          <t>IND11</t>
        </is>
      </c>
      <c r="B21" s="45" t="inlineStr">
        <is>
          <t>Industry 11</t>
        </is>
      </c>
    </row>
    <row r="22">
      <c r="A22" s="45" t="inlineStr">
        <is>
          <t>IND12</t>
        </is>
      </c>
      <c r="B22" s="45" t="inlineStr">
        <is>
          <t>Industry 12</t>
        </is>
      </c>
    </row>
    <row r="23">
      <c r="A23" s="45" t="inlineStr">
        <is>
          <t>IND13</t>
        </is>
      </c>
      <c r="B23" s="45" t="inlineStr">
        <is>
          <t>Industry 13</t>
        </is>
      </c>
    </row>
    <row r="24">
      <c r="A24" s="45" t="inlineStr">
        <is>
          <t>IND14</t>
        </is>
      </c>
      <c r="B24" s="45" t="inlineStr">
        <is>
          <t>Industry 14</t>
        </is>
      </c>
    </row>
    <row r="25">
      <c r="A25" s="45" t="inlineStr">
        <is>
          <t>IND15</t>
        </is>
      </c>
      <c r="B25" s="45" t="inlineStr">
        <is>
          <t>Industry 15</t>
        </is>
      </c>
    </row>
    <row r="26">
      <c r="A26" s="45" t="inlineStr">
        <is>
          <t>IND16</t>
        </is>
      </c>
      <c r="B26" s="45" t="inlineStr">
        <is>
          <t>Industry 16</t>
        </is>
      </c>
    </row>
    <row r="27">
      <c r="A27" s="45" t="inlineStr">
        <is>
          <t>IND17</t>
        </is>
      </c>
      <c r="B27" s="45" t="inlineStr">
        <is>
          <t>Industry 17</t>
        </is>
      </c>
    </row>
    <row r="28">
      <c r="A28" s="45" t="inlineStr">
        <is>
          <t>IND18</t>
        </is>
      </c>
      <c r="B28" s="45" t="inlineStr">
        <is>
          <t>Industry 18</t>
        </is>
      </c>
    </row>
    <row r="29">
      <c r="A29" s="45" t="inlineStr">
        <is>
          <t>IND19</t>
        </is>
      </c>
      <c r="B29" s="45" t="inlineStr">
        <is>
          <t>Industry 19</t>
        </is>
      </c>
    </row>
    <row r="30">
      <c r="A30" s="45" t="inlineStr">
        <is>
          <t>IND20</t>
        </is>
      </c>
      <c r="B30" s="45" t="inlineStr">
        <is>
          <t>Industry 20</t>
        </is>
      </c>
    </row>
    <row r="31">
      <c r="A31" s="45" t="inlineStr">
        <is>
          <t>IND21</t>
        </is>
      </c>
      <c r="B31" s="45" t="inlineStr">
        <is>
          <t>Industry 21</t>
        </is>
      </c>
    </row>
    <row r="32">
      <c r="A32" s="45" t="inlineStr">
        <is>
          <t>IND22</t>
        </is>
      </c>
      <c r="B32" s="45" t="inlineStr">
        <is>
          <t>Industry 22</t>
        </is>
      </c>
    </row>
    <row r="33">
      <c r="A33" s="45" t="inlineStr">
        <is>
          <t>IND23</t>
        </is>
      </c>
      <c r="B33" s="45" t="inlineStr">
        <is>
          <t>Industry 23</t>
        </is>
      </c>
    </row>
    <row r="34">
      <c r="A34" s="45" t="inlineStr">
        <is>
          <t>IND24</t>
        </is>
      </c>
      <c r="B34" s="45" t="inlineStr">
        <is>
          <t>Industry 24</t>
        </is>
      </c>
    </row>
    <row r="35">
      <c r="A35" s="45" t="inlineStr">
        <is>
          <t>IND25</t>
        </is>
      </c>
      <c r="B35" s="45" t="inlineStr">
        <is>
          <t>Industry 25</t>
        </is>
      </c>
    </row>
    <row r="36">
      <c r="A36" s="45" t="inlineStr">
        <is>
          <t>IND26</t>
        </is>
      </c>
      <c r="B36" s="45" t="inlineStr">
        <is>
          <t>Industry 26</t>
        </is>
      </c>
    </row>
    <row r="37">
      <c r="A37" s="45" t="inlineStr">
        <is>
          <t>IND27</t>
        </is>
      </c>
      <c r="B37" s="45" t="inlineStr">
        <is>
          <t>Industry 27</t>
        </is>
      </c>
    </row>
    <row r="38">
      <c r="A38" s="45" t="inlineStr">
        <is>
          <t>IND28</t>
        </is>
      </c>
      <c r="B38" s="45" t="inlineStr">
        <is>
          <t>Industry 28</t>
        </is>
      </c>
    </row>
    <row r="39">
      <c r="A39" s="45" t="inlineStr">
        <is>
          <t>IND29</t>
        </is>
      </c>
      <c r="B39" s="45" t="inlineStr">
        <is>
          <t>Industry 29</t>
        </is>
      </c>
    </row>
    <row r="40">
      <c r="A40" s="45" t="inlineStr">
        <is>
          <t>IND30</t>
        </is>
      </c>
      <c r="B40" s="45" t="inlineStr">
        <is>
          <t>Industry 30</t>
        </is>
      </c>
    </row>
    <row r="41">
      <c r="A41" s="45" t="inlineStr">
        <is>
          <t>IND31</t>
        </is>
      </c>
      <c r="B41" s="45" t="inlineStr">
        <is>
          <t>Industry 31</t>
        </is>
      </c>
    </row>
    <row r="42">
      <c r="A42" s="45" t="inlineStr">
        <is>
          <t>IND32</t>
        </is>
      </c>
      <c r="B42" s="45" t="inlineStr">
        <is>
          <t>Industry 32</t>
        </is>
      </c>
    </row>
    <row r="43">
      <c r="A43" s="45" t="inlineStr">
        <is>
          <t>IND33</t>
        </is>
      </c>
      <c r="B43" s="45" t="inlineStr">
        <is>
          <t>Industry 33</t>
        </is>
      </c>
    </row>
    <row r="44">
      <c r="A44" s="45" t="inlineStr">
        <is>
          <t>IND34</t>
        </is>
      </c>
      <c r="B44" s="45" t="inlineStr">
        <is>
          <t>Industry 34</t>
        </is>
      </c>
    </row>
    <row r="45">
      <c r="A45" s="45" t="inlineStr">
        <is>
          <t>IND35</t>
        </is>
      </c>
      <c r="B45" s="45" t="inlineStr">
        <is>
          <t>Industry 35</t>
        </is>
      </c>
    </row>
    <row r="46">
      <c r="A46" s="45" t="inlineStr">
        <is>
          <t>IND36</t>
        </is>
      </c>
      <c r="B46" s="45" t="inlineStr">
        <is>
          <t>Industry 36</t>
        </is>
      </c>
    </row>
    <row r="47">
      <c r="A47" s="45" t="inlineStr">
        <is>
          <t>IND37</t>
        </is>
      </c>
      <c r="B47" s="45" t="inlineStr">
        <is>
          <t>Industry 37</t>
        </is>
      </c>
    </row>
    <row r="48">
      <c r="A48" s="45" t="inlineStr">
        <is>
          <t>IND38</t>
        </is>
      </c>
      <c r="B48" s="45" t="inlineStr">
        <is>
          <t>Industry 38</t>
        </is>
      </c>
    </row>
    <row r="50">
      <c r="A50" s="35" t="inlineStr">
        <is>
          <t>Note: Replace this placeholder structure with actual data from geostat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31" t="inlineStr">
        <is>
          <t>Supply and Use Table Calculations</t>
        </is>
      </c>
    </row>
    <row r="2">
      <c r="A2" s="77" t="inlineStr">
        <is>
          <t>This sheet automatically links data from SUPPLY and USE sheets</t>
        </is>
      </c>
    </row>
    <row r="3">
      <c r="B3" s="32" t="inlineStr">
        <is>
          <t>Item</t>
        </is>
      </c>
      <c r="C3" s="32" t="inlineStr">
        <is>
          <t>Output</t>
        </is>
      </c>
      <c r="D3" s="32" t="inlineStr">
        <is>
          <t>Imports</t>
        </is>
      </c>
      <c r="E3" s="32" t="inlineStr">
        <is>
          <t>Total Supply</t>
        </is>
      </c>
      <c r="F3" s="32" t="inlineStr">
        <is>
          <t>Intermediate Consumption</t>
        </is>
      </c>
      <c r="G3" s="32" t="inlineStr">
        <is>
          <t>Final Consumption</t>
        </is>
      </c>
      <c r="H3" s="32" t="inlineStr">
        <is>
          <t>Gross Fixed Capital Formation</t>
        </is>
      </c>
      <c r="I3" s="32" t="inlineStr">
        <is>
          <t>Total Use</t>
        </is>
      </c>
    </row>
    <row r="4">
      <c r="A4" s="45" t="inlineStr">
        <is>
          <t>Industry 1</t>
        </is>
      </c>
      <c r="C4" s="46">
        <f>SUPPLY!C11</f>
        <v/>
      </c>
      <c r="D4" s="46">
        <f>SUPPLY!D11</f>
        <v/>
      </c>
      <c r="E4" s="46">
        <f>SUPPLY!E11</f>
        <v/>
      </c>
      <c r="F4" s="46">
        <f>USE!C11</f>
        <v/>
      </c>
      <c r="G4" s="46">
        <f>USE!D11</f>
        <v/>
      </c>
      <c r="H4" s="46">
        <f>USE!F11</f>
        <v/>
      </c>
      <c r="I4" s="38">
        <f>F4+G4+H4</f>
        <v/>
      </c>
    </row>
    <row r="5">
      <c r="A5" s="45" t="inlineStr">
        <is>
          <t>Industry 2</t>
        </is>
      </c>
      <c r="C5" s="46">
        <f>SUPPLY!C12</f>
        <v/>
      </c>
      <c r="D5" s="46">
        <f>SUPPLY!D12</f>
        <v/>
      </c>
      <c r="E5" s="46">
        <f>SUPPLY!E12</f>
        <v/>
      </c>
      <c r="F5" s="46">
        <f>USE!C12</f>
        <v/>
      </c>
      <c r="G5" s="46">
        <f>USE!D12</f>
        <v/>
      </c>
      <c r="H5" s="46">
        <f>USE!F12</f>
        <v/>
      </c>
      <c r="I5" s="38">
        <f>F5+G5+H5</f>
        <v/>
      </c>
    </row>
    <row r="6">
      <c r="A6" s="45" t="inlineStr">
        <is>
          <t>Industry 3</t>
        </is>
      </c>
      <c r="C6" s="46">
        <f>SUPPLY!C13</f>
        <v/>
      </c>
      <c r="D6" s="46">
        <f>SUPPLY!D13</f>
        <v/>
      </c>
      <c r="E6" s="46">
        <f>SUPPLY!E13</f>
        <v/>
      </c>
      <c r="F6" s="46">
        <f>USE!C13</f>
        <v/>
      </c>
      <c r="G6" s="46">
        <f>USE!D13</f>
        <v/>
      </c>
      <c r="H6" s="46">
        <f>USE!F13</f>
        <v/>
      </c>
      <c r="I6" s="38">
        <f>F6+G6+H6</f>
        <v/>
      </c>
    </row>
    <row r="7">
      <c r="A7" s="45" t="inlineStr">
        <is>
          <t>Industry 4</t>
        </is>
      </c>
      <c r="C7" s="46">
        <f>SUPPLY!C14</f>
        <v/>
      </c>
      <c r="D7" s="46">
        <f>SUPPLY!D14</f>
        <v/>
      </c>
      <c r="E7" s="46">
        <f>SUPPLY!E14</f>
        <v/>
      </c>
      <c r="F7" s="46">
        <f>USE!C14</f>
        <v/>
      </c>
      <c r="G7" s="46">
        <f>USE!D14</f>
        <v/>
      </c>
      <c r="H7" s="46">
        <f>USE!F14</f>
        <v/>
      </c>
      <c r="I7" s="38">
        <f>F7+G7+H7</f>
        <v/>
      </c>
    </row>
    <row r="8">
      <c r="A8" s="45" t="inlineStr">
        <is>
          <t>Industry 5</t>
        </is>
      </c>
      <c r="C8" s="46">
        <f>SUPPLY!C15</f>
        <v/>
      </c>
      <c r="D8" s="46">
        <f>SUPPLY!D15</f>
        <v/>
      </c>
      <c r="E8" s="46">
        <f>SUPPLY!E15</f>
        <v/>
      </c>
      <c r="F8" s="46">
        <f>USE!C15</f>
        <v/>
      </c>
      <c r="G8" s="46">
        <f>USE!D15</f>
        <v/>
      </c>
      <c r="H8" s="46">
        <f>USE!F15</f>
        <v/>
      </c>
      <c r="I8" s="38">
        <f>F8+G8+H8</f>
        <v/>
      </c>
    </row>
    <row r="9">
      <c r="A9" s="45" t="inlineStr">
        <is>
          <t>Industry 6</t>
        </is>
      </c>
      <c r="C9" s="46">
        <f>SUPPLY!C16</f>
        <v/>
      </c>
      <c r="D9" s="46">
        <f>SUPPLY!D16</f>
        <v/>
      </c>
      <c r="E9" s="46">
        <f>SUPPLY!E16</f>
        <v/>
      </c>
      <c r="F9" s="46">
        <f>USE!C16</f>
        <v/>
      </c>
      <c r="G9" s="46">
        <f>USE!D16</f>
        <v/>
      </c>
      <c r="H9" s="46">
        <f>USE!F16</f>
        <v/>
      </c>
      <c r="I9" s="38">
        <f>F9+G9+H9</f>
        <v/>
      </c>
    </row>
    <row r="10">
      <c r="A10" s="45" t="inlineStr">
        <is>
          <t>Industry 7</t>
        </is>
      </c>
      <c r="C10" s="46">
        <f>SUPPLY!C17</f>
        <v/>
      </c>
      <c r="D10" s="46">
        <f>SUPPLY!D17</f>
        <v/>
      </c>
      <c r="E10" s="46">
        <f>SUPPLY!E17</f>
        <v/>
      </c>
      <c r="F10" s="46">
        <f>USE!C17</f>
        <v/>
      </c>
      <c r="G10" s="46">
        <f>USE!D17</f>
        <v/>
      </c>
      <c r="H10" s="46">
        <f>USE!F17</f>
        <v/>
      </c>
      <c r="I10" s="38">
        <f>F10+G10+H10</f>
        <v/>
      </c>
    </row>
    <row r="11">
      <c r="A11" s="45" t="inlineStr">
        <is>
          <t>Industry 8</t>
        </is>
      </c>
      <c r="C11" s="46">
        <f>SUPPLY!C18</f>
        <v/>
      </c>
      <c r="D11" s="46">
        <f>SUPPLY!D18</f>
        <v/>
      </c>
      <c r="E11" s="46">
        <f>SUPPLY!E18</f>
        <v/>
      </c>
      <c r="F11" s="46">
        <f>USE!C18</f>
        <v/>
      </c>
      <c r="G11" s="46">
        <f>USE!D18</f>
        <v/>
      </c>
      <c r="H11" s="46">
        <f>USE!F18</f>
        <v/>
      </c>
      <c r="I11" s="38">
        <f>F11+G11+H11</f>
        <v/>
      </c>
    </row>
    <row r="12">
      <c r="A12" s="45" t="inlineStr">
        <is>
          <t>Industry 9</t>
        </is>
      </c>
      <c r="C12" s="46">
        <f>SUPPLY!C19</f>
        <v/>
      </c>
      <c r="D12" s="46">
        <f>SUPPLY!D19</f>
        <v/>
      </c>
      <c r="E12" s="46">
        <f>SUPPLY!E19</f>
        <v/>
      </c>
      <c r="F12" s="46">
        <f>USE!C19</f>
        <v/>
      </c>
      <c r="G12" s="46">
        <f>USE!D19</f>
        <v/>
      </c>
      <c r="H12" s="46">
        <f>USE!F19</f>
        <v/>
      </c>
      <c r="I12" s="38">
        <f>F12+G12+H12</f>
        <v/>
      </c>
    </row>
    <row r="13">
      <c r="A13" s="45" t="inlineStr">
        <is>
          <t>Industry 10</t>
        </is>
      </c>
      <c r="C13" s="46">
        <f>SUPPLY!C20</f>
        <v/>
      </c>
      <c r="D13" s="46">
        <f>SUPPLY!D20</f>
        <v/>
      </c>
      <c r="E13" s="46">
        <f>SUPPLY!E20</f>
        <v/>
      </c>
      <c r="F13" s="46">
        <f>USE!C20</f>
        <v/>
      </c>
      <c r="G13" s="46">
        <f>USE!D20</f>
        <v/>
      </c>
      <c r="H13" s="46">
        <f>USE!F20</f>
        <v/>
      </c>
      <c r="I13" s="38">
        <f>F13+G13+H13</f>
        <v/>
      </c>
    </row>
    <row r="14">
      <c r="A14" s="45" t="inlineStr">
        <is>
          <t>Industry 11</t>
        </is>
      </c>
      <c r="C14" s="46">
        <f>SUPPLY!C21</f>
        <v/>
      </c>
      <c r="D14" s="46">
        <f>SUPPLY!D21</f>
        <v/>
      </c>
      <c r="E14" s="46">
        <f>SUPPLY!E21</f>
        <v/>
      </c>
      <c r="F14" s="46">
        <f>USE!C21</f>
        <v/>
      </c>
      <c r="G14" s="46">
        <f>USE!D21</f>
        <v/>
      </c>
      <c r="H14" s="46">
        <f>USE!F21</f>
        <v/>
      </c>
      <c r="I14" s="38">
        <f>F14+G14+H14</f>
        <v/>
      </c>
    </row>
    <row r="15">
      <c r="A15" s="45" t="inlineStr">
        <is>
          <t>Industry 12</t>
        </is>
      </c>
      <c r="C15" s="46">
        <f>SUPPLY!C22</f>
        <v/>
      </c>
      <c r="D15" s="46">
        <f>SUPPLY!D22</f>
        <v/>
      </c>
      <c r="E15" s="46">
        <f>SUPPLY!E22</f>
        <v/>
      </c>
      <c r="F15" s="46">
        <f>USE!C22</f>
        <v/>
      </c>
      <c r="G15" s="46">
        <f>USE!D22</f>
        <v/>
      </c>
      <c r="H15" s="46">
        <f>USE!F22</f>
        <v/>
      </c>
      <c r="I15" s="38">
        <f>F15+G15+H15</f>
        <v/>
      </c>
    </row>
    <row r="16">
      <c r="A16" s="45" t="inlineStr">
        <is>
          <t>Industry 13</t>
        </is>
      </c>
      <c r="C16" s="46">
        <f>SUPPLY!C23</f>
        <v/>
      </c>
      <c r="D16" s="46">
        <f>SUPPLY!D23</f>
        <v/>
      </c>
      <c r="E16" s="46">
        <f>SUPPLY!E23</f>
        <v/>
      </c>
      <c r="F16" s="46">
        <f>USE!C23</f>
        <v/>
      </c>
      <c r="G16" s="46">
        <f>USE!D23</f>
        <v/>
      </c>
      <c r="H16" s="46">
        <f>USE!F23</f>
        <v/>
      </c>
      <c r="I16" s="38">
        <f>F16+G16+H16</f>
        <v/>
      </c>
    </row>
    <row r="17">
      <c r="A17" s="45" t="inlineStr">
        <is>
          <t>Industry 14</t>
        </is>
      </c>
      <c r="C17" s="46">
        <f>SUPPLY!C24</f>
        <v/>
      </c>
      <c r="D17" s="46">
        <f>SUPPLY!D24</f>
        <v/>
      </c>
      <c r="E17" s="46">
        <f>SUPPLY!E24</f>
        <v/>
      </c>
      <c r="F17" s="46">
        <f>USE!C24</f>
        <v/>
      </c>
      <c r="G17" s="46">
        <f>USE!D24</f>
        <v/>
      </c>
      <c r="H17" s="46">
        <f>USE!F24</f>
        <v/>
      </c>
      <c r="I17" s="38">
        <f>F17+G17+H17</f>
        <v/>
      </c>
    </row>
    <row r="18">
      <c r="A18" s="45" t="inlineStr">
        <is>
          <t>Industry 15</t>
        </is>
      </c>
      <c r="C18" s="46">
        <f>SUPPLY!C25</f>
        <v/>
      </c>
      <c r="D18" s="46">
        <f>SUPPLY!D25</f>
        <v/>
      </c>
      <c r="E18" s="46">
        <f>SUPPLY!E25</f>
        <v/>
      </c>
      <c r="F18" s="46">
        <f>USE!C25</f>
        <v/>
      </c>
      <c r="G18" s="46">
        <f>USE!D25</f>
        <v/>
      </c>
      <c r="H18" s="46">
        <f>USE!F25</f>
        <v/>
      </c>
      <c r="I18" s="38">
        <f>F18+G18+H18</f>
        <v/>
      </c>
    </row>
    <row r="19">
      <c r="A19" s="45" t="inlineStr">
        <is>
          <t>Industry 16</t>
        </is>
      </c>
      <c r="C19" s="46">
        <f>SUPPLY!C26</f>
        <v/>
      </c>
      <c r="D19" s="46">
        <f>SUPPLY!D26</f>
        <v/>
      </c>
      <c r="E19" s="46">
        <f>SUPPLY!E26</f>
        <v/>
      </c>
      <c r="F19" s="46">
        <f>USE!C26</f>
        <v/>
      </c>
      <c r="G19" s="46">
        <f>USE!D26</f>
        <v/>
      </c>
      <c r="H19" s="46">
        <f>USE!F26</f>
        <v/>
      </c>
      <c r="I19" s="38">
        <f>F19+G19+H19</f>
        <v/>
      </c>
    </row>
    <row r="20">
      <c r="A20" s="45" t="inlineStr">
        <is>
          <t>Industry 17</t>
        </is>
      </c>
      <c r="C20" s="46">
        <f>SUPPLY!C27</f>
        <v/>
      </c>
      <c r="D20" s="46">
        <f>SUPPLY!D27</f>
        <v/>
      </c>
      <c r="E20" s="46">
        <f>SUPPLY!E27</f>
        <v/>
      </c>
      <c r="F20" s="46">
        <f>USE!C27</f>
        <v/>
      </c>
      <c r="G20" s="46">
        <f>USE!D27</f>
        <v/>
      </c>
      <c r="H20" s="46">
        <f>USE!F27</f>
        <v/>
      </c>
      <c r="I20" s="38">
        <f>F20+G20+H20</f>
        <v/>
      </c>
    </row>
    <row r="21">
      <c r="A21" s="45" t="inlineStr">
        <is>
          <t>Industry 18</t>
        </is>
      </c>
      <c r="C21" s="46">
        <f>SUPPLY!C28</f>
        <v/>
      </c>
      <c r="D21" s="46">
        <f>SUPPLY!D28</f>
        <v/>
      </c>
      <c r="E21" s="46">
        <f>SUPPLY!E28</f>
        <v/>
      </c>
      <c r="F21" s="46">
        <f>USE!C28</f>
        <v/>
      </c>
      <c r="G21" s="46">
        <f>USE!D28</f>
        <v/>
      </c>
      <c r="H21" s="46">
        <f>USE!F28</f>
        <v/>
      </c>
      <c r="I21" s="38">
        <f>F21+G21+H21</f>
        <v/>
      </c>
    </row>
    <row r="22">
      <c r="A22" s="45" t="inlineStr">
        <is>
          <t>Industry 19</t>
        </is>
      </c>
      <c r="C22" s="46">
        <f>SUPPLY!C29</f>
        <v/>
      </c>
      <c r="D22" s="46">
        <f>SUPPLY!D29</f>
        <v/>
      </c>
      <c r="E22" s="46">
        <f>SUPPLY!E29</f>
        <v/>
      </c>
      <c r="F22" s="46">
        <f>USE!C29</f>
        <v/>
      </c>
      <c r="G22" s="46">
        <f>USE!D29</f>
        <v/>
      </c>
      <c r="H22" s="46">
        <f>USE!F29</f>
        <v/>
      </c>
      <c r="I22" s="38">
        <f>F22+G22+H22</f>
        <v/>
      </c>
    </row>
    <row r="23">
      <c r="A23" s="45" t="inlineStr">
        <is>
          <t>Industry 20</t>
        </is>
      </c>
      <c r="C23" s="46">
        <f>SUPPLY!C30</f>
        <v/>
      </c>
      <c r="D23" s="46">
        <f>SUPPLY!D30</f>
        <v/>
      </c>
      <c r="E23" s="46">
        <f>SUPPLY!E30</f>
        <v/>
      </c>
      <c r="F23" s="46">
        <f>USE!C30</f>
        <v/>
      </c>
      <c r="G23" s="46">
        <f>USE!D30</f>
        <v/>
      </c>
      <c r="H23" s="46">
        <f>USE!F30</f>
        <v/>
      </c>
      <c r="I23" s="38">
        <f>F23+G23+H23</f>
        <v/>
      </c>
    </row>
    <row r="24">
      <c r="A24" s="45" t="inlineStr">
        <is>
          <t>Industry 21</t>
        </is>
      </c>
      <c r="C24" s="46">
        <f>SUPPLY!C31</f>
        <v/>
      </c>
      <c r="D24" s="46">
        <f>SUPPLY!D31</f>
        <v/>
      </c>
      <c r="E24" s="46">
        <f>SUPPLY!E31</f>
        <v/>
      </c>
      <c r="F24" s="46">
        <f>USE!C31</f>
        <v/>
      </c>
      <c r="G24" s="46">
        <f>USE!D31</f>
        <v/>
      </c>
      <c r="H24" s="46">
        <f>USE!F31</f>
        <v/>
      </c>
      <c r="I24" s="38">
        <f>F24+G24+H24</f>
        <v/>
      </c>
    </row>
    <row r="25">
      <c r="A25" s="45" t="inlineStr">
        <is>
          <t>Industry 22</t>
        </is>
      </c>
      <c r="C25" s="46">
        <f>SUPPLY!C32</f>
        <v/>
      </c>
      <c r="D25" s="46">
        <f>SUPPLY!D32</f>
        <v/>
      </c>
      <c r="E25" s="46">
        <f>SUPPLY!E32</f>
        <v/>
      </c>
      <c r="F25" s="46">
        <f>USE!C32</f>
        <v/>
      </c>
      <c r="G25" s="46">
        <f>USE!D32</f>
        <v/>
      </c>
      <c r="H25" s="46">
        <f>USE!F32</f>
        <v/>
      </c>
      <c r="I25" s="38">
        <f>F25+G25+H25</f>
        <v/>
      </c>
    </row>
    <row r="26">
      <c r="A26" s="45" t="inlineStr">
        <is>
          <t>Industry 23</t>
        </is>
      </c>
      <c r="C26" s="46">
        <f>SUPPLY!C33</f>
        <v/>
      </c>
      <c r="D26" s="46">
        <f>SUPPLY!D33</f>
        <v/>
      </c>
      <c r="E26" s="46">
        <f>SUPPLY!E33</f>
        <v/>
      </c>
      <c r="F26" s="46">
        <f>USE!C33</f>
        <v/>
      </c>
      <c r="G26" s="46">
        <f>USE!D33</f>
        <v/>
      </c>
      <c r="H26" s="46">
        <f>USE!F33</f>
        <v/>
      </c>
      <c r="I26" s="38">
        <f>F26+G26+H26</f>
        <v/>
      </c>
    </row>
    <row r="27">
      <c r="A27" s="45" t="inlineStr">
        <is>
          <t>Industry 24</t>
        </is>
      </c>
      <c r="C27" s="46">
        <f>SUPPLY!C34</f>
        <v/>
      </c>
      <c r="D27" s="46">
        <f>SUPPLY!D34</f>
        <v/>
      </c>
      <c r="E27" s="46">
        <f>SUPPLY!E34</f>
        <v/>
      </c>
      <c r="F27" s="46">
        <f>USE!C34</f>
        <v/>
      </c>
      <c r="G27" s="46">
        <f>USE!D34</f>
        <v/>
      </c>
      <c r="H27" s="46">
        <f>USE!F34</f>
        <v/>
      </c>
      <c r="I27" s="38">
        <f>F27+G27+H27</f>
        <v/>
      </c>
    </row>
    <row r="28">
      <c r="A28" s="45" t="inlineStr">
        <is>
          <t>Industry 25</t>
        </is>
      </c>
      <c r="C28" s="46">
        <f>SUPPLY!C35</f>
        <v/>
      </c>
      <c r="D28" s="46">
        <f>SUPPLY!D35</f>
        <v/>
      </c>
      <c r="E28" s="46">
        <f>SUPPLY!E35</f>
        <v/>
      </c>
      <c r="F28" s="46">
        <f>USE!C35</f>
        <v/>
      </c>
      <c r="G28" s="46">
        <f>USE!D35</f>
        <v/>
      </c>
      <c r="H28" s="46">
        <f>USE!F35</f>
        <v/>
      </c>
      <c r="I28" s="38">
        <f>F28+G28+H28</f>
        <v/>
      </c>
    </row>
    <row r="29">
      <c r="A29" s="45" t="inlineStr">
        <is>
          <t>Industry 26</t>
        </is>
      </c>
      <c r="C29" s="46">
        <f>SUPPLY!C36</f>
        <v/>
      </c>
      <c r="D29" s="46">
        <f>SUPPLY!D36</f>
        <v/>
      </c>
      <c r="E29" s="46">
        <f>SUPPLY!E36</f>
        <v/>
      </c>
      <c r="F29" s="46">
        <f>USE!C36</f>
        <v/>
      </c>
      <c r="G29" s="46">
        <f>USE!D36</f>
        <v/>
      </c>
      <c r="H29" s="46">
        <f>USE!F36</f>
        <v/>
      </c>
      <c r="I29" s="38">
        <f>F29+G29+H29</f>
        <v/>
      </c>
    </row>
    <row r="30">
      <c r="A30" s="45" t="inlineStr">
        <is>
          <t>Industry 27</t>
        </is>
      </c>
      <c r="C30" s="46">
        <f>SUPPLY!C37</f>
        <v/>
      </c>
      <c r="D30" s="46">
        <f>SUPPLY!D37</f>
        <v/>
      </c>
      <c r="E30" s="46">
        <f>SUPPLY!E37</f>
        <v/>
      </c>
      <c r="F30" s="46">
        <f>USE!C37</f>
        <v/>
      </c>
      <c r="G30" s="46">
        <f>USE!D37</f>
        <v/>
      </c>
      <c r="H30" s="46">
        <f>USE!F37</f>
        <v/>
      </c>
      <c r="I30" s="38">
        <f>F30+G30+H30</f>
        <v/>
      </c>
    </row>
    <row r="31">
      <c r="A31" s="45" t="inlineStr">
        <is>
          <t>Industry 28</t>
        </is>
      </c>
      <c r="C31" s="46">
        <f>SUPPLY!C38</f>
        <v/>
      </c>
      <c r="D31" s="46">
        <f>SUPPLY!D38</f>
        <v/>
      </c>
      <c r="E31" s="46">
        <f>SUPPLY!E38</f>
        <v/>
      </c>
      <c r="F31" s="46">
        <f>USE!C38</f>
        <v/>
      </c>
      <c r="G31" s="46">
        <f>USE!D38</f>
        <v/>
      </c>
      <c r="H31" s="46">
        <f>USE!F38</f>
        <v/>
      </c>
      <c r="I31" s="38">
        <f>F31+G31+H31</f>
        <v/>
      </c>
    </row>
    <row r="32">
      <c r="A32" s="45" t="inlineStr">
        <is>
          <t>Industry 29</t>
        </is>
      </c>
      <c r="C32" s="46">
        <f>SUPPLY!C39</f>
        <v/>
      </c>
      <c r="D32" s="46">
        <f>SUPPLY!D39</f>
        <v/>
      </c>
      <c r="E32" s="46">
        <f>SUPPLY!E39</f>
        <v/>
      </c>
      <c r="F32" s="46">
        <f>USE!C39</f>
        <v/>
      </c>
      <c r="G32" s="46">
        <f>USE!D39</f>
        <v/>
      </c>
      <c r="H32" s="46">
        <f>USE!F39</f>
        <v/>
      </c>
      <c r="I32" s="38">
        <f>F32+G32+H32</f>
        <v/>
      </c>
    </row>
    <row r="33">
      <c r="A33" s="45" t="inlineStr">
        <is>
          <t>Industry 30</t>
        </is>
      </c>
      <c r="C33" s="46">
        <f>SUPPLY!C40</f>
        <v/>
      </c>
      <c r="D33" s="46">
        <f>SUPPLY!D40</f>
        <v/>
      </c>
      <c r="E33" s="46">
        <f>SUPPLY!E40</f>
        <v/>
      </c>
      <c r="F33" s="46">
        <f>USE!C40</f>
        <v/>
      </c>
      <c r="G33" s="46">
        <f>USE!D40</f>
        <v/>
      </c>
      <c r="H33" s="46">
        <f>USE!F40</f>
        <v/>
      </c>
      <c r="I33" s="38">
        <f>F33+G33+H33</f>
        <v/>
      </c>
    </row>
    <row r="34">
      <c r="A34" s="45" t="inlineStr">
        <is>
          <t>Industry 31</t>
        </is>
      </c>
      <c r="C34" s="46">
        <f>SUPPLY!C41</f>
        <v/>
      </c>
      <c r="D34" s="46">
        <f>SUPPLY!D41</f>
        <v/>
      </c>
      <c r="E34" s="46">
        <f>SUPPLY!E41</f>
        <v/>
      </c>
      <c r="F34" s="46">
        <f>USE!C41</f>
        <v/>
      </c>
      <c r="G34" s="46">
        <f>USE!D41</f>
        <v/>
      </c>
      <c r="H34" s="46">
        <f>USE!F41</f>
        <v/>
      </c>
      <c r="I34" s="38">
        <f>F34+G34+H34</f>
        <v/>
      </c>
    </row>
    <row r="35">
      <c r="A35" s="45" t="inlineStr">
        <is>
          <t>Industry 32</t>
        </is>
      </c>
      <c r="C35" s="46">
        <f>SUPPLY!C42</f>
        <v/>
      </c>
      <c r="D35" s="46">
        <f>SUPPLY!D42</f>
        <v/>
      </c>
      <c r="E35" s="46">
        <f>SUPPLY!E42</f>
        <v/>
      </c>
      <c r="F35" s="46">
        <f>USE!C42</f>
        <v/>
      </c>
      <c r="G35" s="46">
        <f>USE!D42</f>
        <v/>
      </c>
      <c r="H35" s="46">
        <f>USE!F42</f>
        <v/>
      </c>
      <c r="I35" s="38">
        <f>F35+G35+H35</f>
        <v/>
      </c>
    </row>
    <row r="36">
      <c r="A36" s="45" t="inlineStr">
        <is>
          <t>Industry 33</t>
        </is>
      </c>
      <c r="C36" s="46">
        <f>SUPPLY!C43</f>
        <v/>
      </c>
      <c r="D36" s="46">
        <f>SUPPLY!D43</f>
        <v/>
      </c>
      <c r="E36" s="46">
        <f>SUPPLY!E43</f>
        <v/>
      </c>
      <c r="F36" s="46">
        <f>USE!C43</f>
        <v/>
      </c>
      <c r="G36" s="46">
        <f>USE!D43</f>
        <v/>
      </c>
      <c r="H36" s="46">
        <f>USE!F43</f>
        <v/>
      </c>
      <c r="I36" s="38">
        <f>F36+G36+H36</f>
        <v/>
      </c>
    </row>
    <row r="37">
      <c r="A37" s="45" t="inlineStr">
        <is>
          <t>Industry 34</t>
        </is>
      </c>
      <c r="C37" s="46">
        <f>SUPPLY!C44</f>
        <v/>
      </c>
      <c r="D37" s="46">
        <f>SUPPLY!D44</f>
        <v/>
      </c>
      <c r="E37" s="46">
        <f>SUPPLY!E44</f>
        <v/>
      </c>
      <c r="F37" s="46">
        <f>USE!C44</f>
        <v/>
      </c>
      <c r="G37" s="46">
        <f>USE!D44</f>
        <v/>
      </c>
      <c r="H37" s="46">
        <f>USE!F44</f>
        <v/>
      </c>
      <c r="I37" s="38">
        <f>F37+G37+H37</f>
        <v/>
      </c>
    </row>
    <row r="38">
      <c r="A38" s="45" t="inlineStr">
        <is>
          <t>Industry 35</t>
        </is>
      </c>
      <c r="C38" s="46">
        <f>SUPPLY!C45</f>
        <v/>
      </c>
      <c r="D38" s="46">
        <f>SUPPLY!D45</f>
        <v/>
      </c>
      <c r="E38" s="46">
        <f>SUPPLY!E45</f>
        <v/>
      </c>
      <c r="F38" s="46">
        <f>USE!C45</f>
        <v/>
      </c>
      <c r="G38" s="46">
        <f>USE!D45</f>
        <v/>
      </c>
      <c r="H38" s="46">
        <f>USE!F45</f>
        <v/>
      </c>
      <c r="I38" s="38">
        <f>F38+G38+H38</f>
        <v/>
      </c>
    </row>
    <row r="39">
      <c r="A39" s="45" t="inlineStr">
        <is>
          <t>Industry 36</t>
        </is>
      </c>
      <c r="C39" s="46">
        <f>SUPPLY!C46</f>
        <v/>
      </c>
      <c r="D39" s="46">
        <f>SUPPLY!D46</f>
        <v/>
      </c>
      <c r="E39" s="46">
        <f>SUPPLY!E46</f>
        <v/>
      </c>
      <c r="F39" s="46">
        <f>USE!C46</f>
        <v/>
      </c>
      <c r="G39" s="46">
        <f>USE!D46</f>
        <v/>
      </c>
      <c r="H39" s="46">
        <f>USE!F46</f>
        <v/>
      </c>
      <c r="I39" s="38">
        <f>F39+G39+H39</f>
        <v/>
      </c>
    </row>
    <row r="40">
      <c r="A40" s="45" t="inlineStr">
        <is>
          <t>Industry 37</t>
        </is>
      </c>
      <c r="C40" s="46">
        <f>SUPPLY!C47</f>
        <v/>
      </c>
      <c r="D40" s="46">
        <f>SUPPLY!D47</f>
        <v/>
      </c>
      <c r="E40" s="46">
        <f>SUPPLY!E47</f>
        <v/>
      </c>
      <c r="F40" s="46">
        <f>USE!C47</f>
        <v/>
      </c>
      <c r="G40" s="46">
        <f>USE!D47</f>
        <v/>
      </c>
      <c r="H40" s="46">
        <f>USE!F47</f>
        <v/>
      </c>
      <c r="I40" s="38">
        <f>F40+G40+H40</f>
        <v/>
      </c>
    </row>
    <row r="41">
      <c r="A41" s="45" t="inlineStr">
        <is>
          <t>Industry 38</t>
        </is>
      </c>
      <c r="C41" s="46">
        <f>SUPPLY!C48</f>
        <v/>
      </c>
      <c r="D41" s="46">
        <f>SUPPLY!D48</f>
        <v/>
      </c>
      <c r="E41" s="46">
        <f>SUPPLY!E48</f>
        <v/>
      </c>
      <c r="F41" s="46">
        <f>USE!C48</f>
        <v/>
      </c>
      <c r="G41" s="46">
        <f>USE!D48</f>
        <v/>
      </c>
      <c r="H41" s="46">
        <f>USE!F48</f>
        <v/>
      </c>
      <c r="I41" s="38">
        <f>F41+G41+H41</f>
        <v/>
      </c>
    </row>
    <row r="42">
      <c r="A42" s="36" t="inlineStr">
        <is>
          <t>TOTAL</t>
        </is>
      </c>
      <c r="C42" s="47">
        <f>SUM(C4:C41)</f>
        <v/>
      </c>
      <c r="D42" s="47">
        <f>SUM(D4:D41)</f>
        <v/>
      </c>
      <c r="E42" s="47">
        <f>SUM(E4:E41)</f>
        <v/>
      </c>
      <c r="F42" s="47">
        <f>SUM(F4:F41)</f>
        <v/>
      </c>
      <c r="G42" s="47">
        <f>SUM(G4:G41)</f>
        <v/>
      </c>
      <c r="H42" s="47">
        <f>SUM(H4:H41)</f>
        <v/>
      </c>
      <c r="I42" s="47">
        <f>SUM(I4:I41)</f>
        <v/>
      </c>
    </row>
    <row r="46">
      <c r="A46" s="36" t="inlineStr">
        <is>
          <t>Import Content Share</t>
        </is>
      </c>
      <c r="B46" s="36" t="inlineStr">
        <is>
          <t>Import Content Share:</t>
        </is>
      </c>
      <c r="C46" s="48">
        <f>D42/H42</f>
        <v/>
      </c>
    </row>
    <row r="48">
      <c r="A48" s="78" t="inlineStr">
        <is>
          <t>INSTRUCTIONS:</t>
        </is>
      </c>
    </row>
    <row r="49">
      <c r="A49" s="39" t="inlineStr">
        <is>
          <t>1. After populating SUPPLY and USE sheets with geostat data</t>
        </is>
      </c>
    </row>
    <row r="50">
      <c r="A50" s="39" t="inlineStr">
        <is>
          <t>2. This sheet will automatically calculate the import content share</t>
        </is>
      </c>
    </row>
    <row r="51">
      <c r="A51" s="39" t="inlineStr">
        <is>
          <t>3. The import content share (C46) will be used in the NA sheet scenarios</t>
        </is>
      </c>
    </row>
    <row r="52">
      <c r="A52" s="39" t="inlineStr">
        <is>
          <t>4. Verify that all formulas are calculating correctly (no errors)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2026-01-15T21:01:40Z</dcterms:created>
  <dcterms:modified xsi:type="dcterms:W3CDTF">2026-01-29T06:05:24Z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2026-01-15T21:08:21Z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a7f43044-04cc-4a22-bdae-ed404f682e4f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