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  <sheet name="HP Fil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Georgia (2023)</t>
        </is>
      </c>
      <c r="C1" t="inlineStr">
        <is>
          <t>Notes</t>
        </is>
      </c>
    </row>
    <row r="2">
      <c r="A2" t="inlineStr">
        <is>
          <t>Capital Stock (K, billions 2017 USD PPP)</t>
        </is>
      </c>
      <c r="B2" t="n">
        <v>105.8</v>
      </c>
      <c r="C2" t="inlineStr">
        <is>
          <t>Latest available: 2023</t>
        </is>
      </c>
    </row>
    <row r="3">
      <c r="A3" t="inlineStr">
        <is>
          <t>Labor Force (L, millions)</t>
        </is>
      </c>
      <c r="B3" t="n">
        <v>1.83</v>
      </c>
      <c r="C3" t="inlineStr">
        <is>
          <t>Latest available: 2023</t>
        </is>
      </c>
    </row>
    <row r="4">
      <c r="A4" t="inlineStr">
        <is>
          <t>Real GDP (Y, billions 2017 USD PPP)</t>
        </is>
      </c>
      <c r="B4" t="n">
        <v>31.8</v>
      </c>
      <c r="C4" t="inlineStr">
        <is>
          <t>Latest available: 2023</t>
        </is>
      </c>
    </row>
    <row r="5">
      <c r="A5" t="inlineStr">
        <is>
          <t>Capital Share (alpha)</t>
        </is>
      </c>
      <c r="B5" t="n">
        <v>0.35</v>
      </c>
      <c r="C5" t="inlineStr">
        <is>
          <t>Estimated from PWT</t>
        </is>
      </c>
    </row>
    <row r="6">
      <c r="A6" t="inlineStr">
        <is>
          <t>Labor Share (beta)</t>
        </is>
      </c>
      <c r="B6" t="n">
        <v>0.65</v>
      </c>
      <c r="C6" t="inlineStr">
        <is>
          <t>Estimated: 1 - alpha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Level (Billions USD)</t>
        </is>
      </c>
      <c r="C1" t="inlineStr">
        <is>
          <t>Real GDP Growth Rate (%)</t>
        </is>
      </c>
      <c r="D1" t="inlineStr">
        <is>
          <t>Projected Real GDP</t>
        </is>
      </c>
    </row>
    <row r="2">
      <c r="A2" t="n">
        <v>2000</v>
      </c>
      <c r="B2" t="n">
        <v>11.5</v>
      </c>
      <c r="C2" t="n">
        <v>1.9</v>
      </c>
    </row>
    <row r="3">
      <c r="A3" t="n">
        <v>2001</v>
      </c>
      <c r="B3" t="n">
        <v>11.7</v>
      </c>
      <c r="C3" t="n">
        <v>4.7</v>
      </c>
    </row>
    <row r="4">
      <c r="A4" t="n">
        <v>2002</v>
      </c>
      <c r="B4" t="n">
        <v>12.2</v>
      </c>
      <c r="C4" t="n">
        <v>5.5</v>
      </c>
    </row>
    <row r="5">
      <c r="A5" t="n">
        <v>2003</v>
      </c>
      <c r="B5" t="n">
        <v>12.9</v>
      </c>
      <c r="C5" t="n">
        <v>11.2</v>
      </c>
    </row>
    <row r="6">
      <c r="A6" t="n">
        <v>2004</v>
      </c>
      <c r="B6" t="n">
        <v>14.4</v>
      </c>
      <c r="C6" t="n">
        <v>7.3</v>
      </c>
    </row>
    <row r="7">
      <c r="A7" t="n">
        <v>2005</v>
      </c>
      <c r="B7" t="n">
        <v>15.5</v>
      </c>
      <c r="C7" t="n">
        <v>9.6</v>
      </c>
    </row>
    <row r="8">
      <c r="A8" t="n">
        <v>2006</v>
      </c>
      <c r="B8" t="n">
        <v>17.1</v>
      </c>
      <c r="C8" t="n">
        <v>9.300000000000001</v>
      </c>
    </row>
    <row r="9">
      <c r="A9" t="n">
        <v>2007</v>
      </c>
      <c r="B9" t="n">
        <v>18.8</v>
      </c>
      <c r="C9" t="n">
        <v>12.3</v>
      </c>
    </row>
    <row r="10">
      <c r="A10" t="n">
        <v>2008</v>
      </c>
      <c r="B10" t="n">
        <v>19.4</v>
      </c>
      <c r="C10" t="n">
        <v>2.3</v>
      </c>
    </row>
    <row r="11">
      <c r="A11" t="n">
        <v>2009</v>
      </c>
      <c r="B11" t="n">
        <v>18.7</v>
      </c>
      <c r="C11" t="n">
        <v>-6.4</v>
      </c>
    </row>
    <row r="12">
      <c r="A12" t="n">
        <v>2010</v>
      </c>
      <c r="B12" t="n">
        <v>19.6</v>
      </c>
      <c r="C12" t="n">
        <v>6.3</v>
      </c>
    </row>
    <row r="13">
      <c r="A13" t="n">
        <v>2011</v>
      </c>
      <c r="B13" t="n">
        <v>21.2</v>
      </c>
      <c r="C13" t="n">
        <v>7</v>
      </c>
    </row>
    <row r="14">
      <c r="A14" t="n">
        <v>2012</v>
      </c>
      <c r="B14" t="n">
        <v>22.6</v>
      </c>
      <c r="C14" t="n">
        <v>6.2</v>
      </c>
    </row>
    <row r="15">
      <c r="A15" t="n">
        <v>2013</v>
      </c>
      <c r="B15" t="n">
        <v>23.9</v>
      </c>
      <c r="C15" t="n">
        <v>3.4</v>
      </c>
    </row>
    <row r="16">
      <c r="A16" t="n">
        <v>2014</v>
      </c>
      <c r="B16" t="n">
        <v>23.5</v>
      </c>
      <c r="C16" t="n">
        <v>4.6</v>
      </c>
    </row>
    <row r="17">
      <c r="A17" t="n">
        <v>2015</v>
      </c>
      <c r="B17" t="n">
        <v>23.9</v>
      </c>
      <c r="C17" t="n">
        <v>2.9</v>
      </c>
    </row>
    <row r="18">
      <c r="A18" t="n">
        <v>2016</v>
      </c>
      <c r="B18" t="n">
        <v>24.4</v>
      </c>
      <c r="C18" t="n">
        <v>2.8</v>
      </c>
    </row>
    <row r="19">
      <c r="A19" t="n">
        <v>2017</v>
      </c>
      <c r="B19" t="n">
        <v>25.3</v>
      </c>
      <c r="C19" t="n">
        <v>4.8</v>
      </c>
    </row>
    <row r="20">
      <c r="A20" t="n">
        <v>2018</v>
      </c>
      <c r="B20" t="n">
        <v>26.5</v>
      </c>
      <c r="C20" t="n">
        <v>4.7</v>
      </c>
    </row>
    <row r="21">
      <c r="A21" t="n">
        <v>2019</v>
      </c>
      <c r="B21" t="n">
        <v>27.8</v>
      </c>
      <c r="C21" t="n">
        <v>5</v>
      </c>
    </row>
    <row r="22">
      <c r="A22" t="n">
        <v>2020</v>
      </c>
      <c r="B22" t="n">
        <v>27</v>
      </c>
      <c r="C22" t="n">
        <v>-3.1</v>
      </c>
    </row>
    <row r="23">
      <c r="A23" t="n">
        <v>2021</v>
      </c>
      <c r="B23" t="n">
        <v>28.5</v>
      </c>
      <c r="C23" t="n">
        <v>10.3</v>
      </c>
    </row>
    <row r="24">
      <c r="A24" t="n">
        <v>2022</v>
      </c>
      <c r="B24" t="n">
        <v>30.2</v>
      </c>
      <c r="C24" t="n">
        <v>10.1</v>
      </c>
    </row>
    <row r="25">
      <c r="A25" t="n">
        <v>2023</v>
      </c>
      <c r="B25" t="n">
        <v>31.8</v>
      </c>
      <c r="C25" t="n">
        <v>7.7</v>
      </c>
    </row>
    <row r="26">
      <c r="A26" t="n">
        <v>2024</v>
      </c>
      <c r="B26" t="n">
        <v>34.2</v>
      </c>
      <c r="C26" t="n">
        <v>5.8</v>
      </c>
    </row>
    <row r="27">
      <c r="A27" t="n">
        <v>2025</v>
      </c>
      <c r="B27" t="n">
        <v>36.1</v>
      </c>
      <c r="C27" t="n">
        <v>5.5</v>
      </c>
    </row>
    <row r="28">
      <c r="A28" t="n">
        <v>2026</v>
      </c>
      <c r="B28" t="n">
        <v>38.1</v>
      </c>
      <c r="C28" t="n">
        <v>5.5</v>
      </c>
    </row>
    <row r="29">
      <c r="A29" t="n">
        <v>2027</v>
      </c>
      <c r="B29" t="n">
        <v>40.2</v>
      </c>
      <c r="C29" t="n">
        <v>5.5</v>
      </c>
    </row>
    <row r="30">
      <c r="A30" t="n">
        <v>2028</v>
      </c>
      <c r="D30">
        <f>B29*(1+C29/100)</f>
        <v/>
      </c>
    </row>
    <row r="31">
      <c r="A31" t="n">
        <v>2029</v>
      </c>
      <c r="D31">
        <f>D30*(1+C29/100)</f>
        <v/>
      </c>
    </row>
    <row r="32">
      <c r="A32" t="n">
        <v>2030</v>
      </c>
      <c r="D32">
        <f>D31*(1+C29/100)</f>
        <v/>
      </c>
    </row>
    <row r="33">
      <c r="A33" t="n">
        <v>2031</v>
      </c>
      <c r="D33">
        <f>D32*(1+C29/100)</f>
        <v/>
      </c>
    </row>
    <row r="34">
      <c r="A34" t="n">
        <v>2032</v>
      </c>
      <c r="D34">
        <f>D33*(1+C29/100)</f>
        <v/>
      </c>
    </row>
    <row r="35">
      <c r="A35" t="n">
        <v>2033</v>
      </c>
      <c r="D35">
        <f>D34*(1+C29/100)</f>
        <v/>
      </c>
    </row>
    <row r="36">
      <c r="A36" t="n">
        <v>2034</v>
      </c>
      <c r="D36">
        <f>D35*(1+C29/100)</f>
        <v/>
      </c>
    </row>
    <row r="37">
      <c r="A37" t="n">
        <v>2035</v>
      </c>
      <c r="D37">
        <f>D36*(1+C29/100)</f>
        <v/>
      </c>
    </row>
    <row r="38">
      <c r="A38" t="n">
        <v>2036</v>
      </c>
      <c r="D38">
        <f>D37*(1+C29/100)</f>
        <v/>
      </c>
    </row>
    <row r="39">
      <c r="A39" t="n">
        <v>2037</v>
      </c>
      <c r="D39">
        <f>D38*(1+C29/100)</f>
        <v/>
      </c>
    </row>
    <row r="40">
      <c r="A40" t="n">
        <v>2038</v>
      </c>
      <c r="D40">
        <f>D39*(1+C29/100)</f>
        <v/>
      </c>
    </row>
    <row r="41">
      <c r="A41" t="n">
        <v>2039</v>
      </c>
      <c r="D41">
        <f>D40*(1+C29/100)</f>
        <v/>
      </c>
    </row>
    <row r="42">
      <c r="A42" t="n">
        <v>2040</v>
      </c>
      <c r="D42">
        <f>D41*(1+C29/100)</f>
        <v/>
      </c>
    </row>
    <row r="43">
      <c r="A43" t="n">
        <v>2041</v>
      </c>
      <c r="D43">
        <f>D42*(1+C29/100)</f>
        <v/>
      </c>
    </row>
    <row r="44">
      <c r="A44" t="n">
        <v>2042</v>
      </c>
      <c r="D44">
        <f>D43*(1+C29/100)</f>
        <v/>
      </c>
    </row>
    <row r="45">
      <c r="A45" t="n">
        <v>2043</v>
      </c>
      <c r="D45">
        <f>D44*(1+C29/100)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CFC (Capital Consumption, billions USD)</t>
        </is>
      </c>
      <c r="C1" t="inlineStr">
        <is>
          <t>Capital Stock (billions USD)</t>
        </is>
      </c>
      <c r="D1" t="inlineStr">
        <is>
          <t>Depreciation Rate (%)</t>
        </is>
      </c>
    </row>
    <row r="2">
      <c r="A2" t="n">
        <v>2015</v>
      </c>
      <c r="B2" t="n">
        <v>3.2</v>
      </c>
      <c r="C2" t="n">
        <v>85.59999999999999</v>
      </c>
      <c r="D2">
        <f>B2/C2*100</f>
        <v/>
      </c>
    </row>
    <row r="3">
      <c r="A3" t="n">
        <v>2016</v>
      </c>
      <c r="B3" t="n">
        <v>3.3</v>
      </c>
      <c r="C3" t="n">
        <v>87.2</v>
      </c>
      <c r="D3">
        <f>B3/C3*100</f>
        <v/>
      </c>
    </row>
    <row r="4">
      <c r="A4" t="n">
        <v>2017</v>
      </c>
      <c r="B4" t="n">
        <v>3.5</v>
      </c>
      <c r="C4" t="n">
        <v>89.5</v>
      </c>
      <c r="D4">
        <f>B4/C4*100</f>
        <v/>
      </c>
    </row>
    <row r="5">
      <c r="A5" t="n">
        <v>2018</v>
      </c>
      <c r="B5" t="n">
        <v>3.7</v>
      </c>
      <c r="C5" t="n">
        <v>91.8</v>
      </c>
      <c r="D5">
        <f>B5/C5*100</f>
        <v/>
      </c>
    </row>
    <row r="6">
      <c r="A6" t="n">
        <v>2019</v>
      </c>
      <c r="B6" t="n">
        <v>3.9</v>
      </c>
      <c r="C6" t="n">
        <v>94.2</v>
      </c>
      <c r="D6">
        <f>B6/C6*100</f>
        <v/>
      </c>
    </row>
    <row r="7">
      <c r="A7" t="n">
        <v>2020</v>
      </c>
      <c r="B7" t="n">
        <v>4</v>
      </c>
      <c r="C7" t="n">
        <v>95.2</v>
      </c>
      <c r="D7">
        <f>B7/C7*100</f>
        <v/>
      </c>
    </row>
    <row r="8">
      <c r="A8" t="n">
        <v>2021</v>
      </c>
      <c r="B8" t="n">
        <v>4.2</v>
      </c>
      <c r="C8" t="n">
        <v>98.5</v>
      </c>
      <c r="D8">
        <f>B8/C8*100</f>
        <v/>
      </c>
    </row>
    <row r="9">
      <c r="A9" t="n">
        <v>2022</v>
      </c>
      <c r="B9" t="n">
        <v>4.5</v>
      </c>
      <c r="C9" t="n">
        <v>102.1</v>
      </c>
      <c r="D9">
        <f>B9/C9*100</f>
        <v/>
      </c>
    </row>
    <row r="10">
      <c r="A10" t="n">
        <v>2023</v>
      </c>
      <c r="B10" t="n">
        <v>4.8</v>
      </c>
      <c r="C10" t="n">
        <v>105.8</v>
      </c>
      <c r="D10">
        <f>B10/C10*100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Function Analysis for Georgia</t>
        </is>
      </c>
    </row>
    <row r="2">
      <c r="A2" t="inlineStr">
        <is>
          <t>Investment Shock: 6.5 billion USD over 8 years (2026-2033)</t>
        </is>
      </c>
    </row>
    <row r="4">
      <c r="A4" t="inlineStr">
        <is>
          <t>Annual Depreciation Rate (average of last 8 years from CFC)</t>
        </is>
      </c>
      <c r="B4">
        <f>AVERAGE('CFC data'!D2:D9)</f>
        <v/>
      </c>
    </row>
    <row r="6">
      <c r="A6" t="inlineStr">
        <is>
          <t>K/Y Anchor (average K/Y of 2015-2023)</t>
        </is>
      </c>
      <c r="B6">
        <f>AVERAGE(D22:D30)</f>
        <v/>
      </c>
    </row>
    <row r="8">
      <c r="A8" t="inlineStr">
        <is>
          <t>Year</t>
        </is>
      </c>
      <c r="B8" t="inlineStr">
        <is>
          <t>K (billions USD)</t>
        </is>
      </c>
      <c r="C8" t="inlineStr">
        <is>
          <t>Y (billions USD)</t>
        </is>
      </c>
      <c r="D8" t="inlineStr">
        <is>
          <t>K/Y Ratio</t>
        </is>
      </c>
      <c r="E8" t="inlineStr">
        <is>
          <t>LnK</t>
        </is>
      </c>
      <c r="F8" t="inlineStr">
        <is>
          <t>LnY</t>
        </is>
      </c>
      <c r="G8" t="inlineStr">
        <is>
          <t>LnZ (TFP)</t>
        </is>
      </c>
      <c r="H8" t="inlineStr">
        <is>
          <t>LnZ_Trend</t>
        </is>
      </c>
      <c r="I8" t="inlineStr">
        <is>
          <t>Ystar_base</t>
        </is>
      </c>
      <c r="J8" t="inlineStr">
        <is>
          <t>Investment (deltaK)</t>
        </is>
      </c>
      <c r="K8" t="inlineStr">
        <is>
          <t>K_with</t>
        </is>
      </c>
      <c r="L8" t="inlineStr">
        <is>
          <t>Ystar_with</t>
        </is>
      </c>
      <c r="M8" t="inlineStr">
        <is>
          <t>Output Gain (%)</t>
        </is>
      </c>
    </row>
    <row r="9">
      <c r="A9" t="n">
        <v>2002</v>
      </c>
      <c r="B9" t="n">
        <v>52.3</v>
      </c>
      <c r="C9">
        <f>'WEO_Data'!B4</f>
        <v/>
      </c>
      <c r="D9">
        <f>B9/C9</f>
        <v/>
      </c>
      <c r="E9">
        <f>LN(B9)</f>
        <v/>
      </c>
      <c r="F9">
        <f>LN(C9)</f>
        <v/>
      </c>
      <c r="G9">
        <f>F9-0.35*E9</f>
        <v/>
      </c>
      <c r="H9">
        <f>'HP Filter'!C7</f>
        <v/>
      </c>
      <c r="I9">
        <f>EXP(H9)*C9</f>
        <v/>
      </c>
      <c r="J9" t="n">
        <v>0</v>
      </c>
      <c r="K9">
        <f>B9</f>
        <v/>
      </c>
      <c r="L9">
        <f>I9</f>
        <v/>
      </c>
      <c r="M9" t="n">
        <v>0</v>
      </c>
    </row>
    <row r="10">
      <c r="A10" t="n">
        <v>2003</v>
      </c>
      <c r="B10" t="n">
        <v>54.1</v>
      </c>
      <c r="C10">
        <f>'WEO_Data'!B5</f>
        <v/>
      </c>
      <c r="D10">
        <f>B10/C10</f>
        <v/>
      </c>
      <c r="E10">
        <f>LN(B10)</f>
        <v/>
      </c>
      <c r="F10">
        <f>LN(C10)</f>
        <v/>
      </c>
      <c r="G10">
        <f>F10-0.35*E10</f>
        <v/>
      </c>
      <c r="H10">
        <f>'HP Filter'!C8</f>
        <v/>
      </c>
      <c r="I10">
        <f>EXP(H10)*C10</f>
        <v/>
      </c>
      <c r="J10" t="n">
        <v>0</v>
      </c>
      <c r="K10">
        <f>B10</f>
        <v/>
      </c>
      <c r="L10">
        <f>I10</f>
        <v/>
      </c>
      <c r="M10" t="n">
        <v>0</v>
      </c>
    </row>
    <row r="11">
      <c r="A11" t="n">
        <v>2004</v>
      </c>
      <c r="B11" t="n">
        <v>56.2</v>
      </c>
      <c r="C11">
        <f>'WEO_Data'!B6</f>
        <v/>
      </c>
      <c r="D11">
        <f>B11/C11</f>
        <v/>
      </c>
      <c r="E11">
        <f>LN(B11)</f>
        <v/>
      </c>
      <c r="F11">
        <f>LN(C11)</f>
        <v/>
      </c>
      <c r="G11">
        <f>F11-0.35*E11</f>
        <v/>
      </c>
      <c r="H11">
        <f>'HP Filter'!C9</f>
        <v/>
      </c>
      <c r="I11">
        <f>EXP(H11)*C11</f>
        <v/>
      </c>
      <c r="J11" t="n">
        <v>0</v>
      </c>
      <c r="K11">
        <f>B11</f>
        <v/>
      </c>
      <c r="L11">
        <f>I11</f>
        <v/>
      </c>
      <c r="M11" t="n">
        <v>0</v>
      </c>
    </row>
    <row r="12">
      <c r="A12" t="n">
        <v>2005</v>
      </c>
      <c r="B12" t="n">
        <v>62.8</v>
      </c>
      <c r="C12">
        <f>'WEO_Data'!B7</f>
        <v/>
      </c>
      <c r="D12">
        <f>B12/C12</f>
        <v/>
      </c>
      <c r="E12">
        <f>LN(B12)</f>
        <v/>
      </c>
      <c r="F12">
        <f>LN(C12)</f>
        <v/>
      </c>
      <c r="G12">
        <f>F12-0.35*E12</f>
        <v/>
      </c>
      <c r="H12">
        <f>'HP Filter'!C10</f>
        <v/>
      </c>
      <c r="I12">
        <f>EXP(H12)*C12</f>
        <v/>
      </c>
      <c r="J12" t="n">
        <v>0</v>
      </c>
      <c r="K12">
        <f>B12</f>
        <v/>
      </c>
      <c r="L12">
        <f>I12</f>
        <v/>
      </c>
      <c r="M12" t="n">
        <v>0</v>
      </c>
    </row>
    <row r="13">
      <c r="A13" t="n">
        <v>2006</v>
      </c>
      <c r="B13" t="n">
        <v>65.40000000000001</v>
      </c>
      <c r="C13">
        <f>'WEO_Data'!B8</f>
        <v/>
      </c>
      <c r="D13">
        <f>B13/C13</f>
        <v/>
      </c>
      <c r="E13">
        <f>LN(B13)</f>
        <v/>
      </c>
      <c r="F13">
        <f>LN(C13)</f>
        <v/>
      </c>
      <c r="G13">
        <f>F13-0.35*E13</f>
        <v/>
      </c>
      <c r="H13">
        <f>'HP Filter'!C11</f>
        <v/>
      </c>
      <c r="I13">
        <f>EXP(H13)*C13</f>
        <v/>
      </c>
      <c r="J13" t="n">
        <v>0</v>
      </c>
      <c r="K13">
        <f>B13</f>
        <v/>
      </c>
      <c r="L13">
        <f>I13</f>
        <v/>
      </c>
      <c r="M13" t="n">
        <v>0</v>
      </c>
    </row>
    <row r="14">
      <c r="A14" t="n">
        <v>2007</v>
      </c>
      <c r="B14" t="n">
        <v>68.5</v>
      </c>
      <c r="C14">
        <f>'WEO_Data'!B9</f>
        <v/>
      </c>
      <c r="D14">
        <f>B14/C14</f>
        <v/>
      </c>
      <c r="E14">
        <f>LN(B14)</f>
        <v/>
      </c>
      <c r="F14">
        <f>LN(C14)</f>
        <v/>
      </c>
      <c r="G14">
        <f>F14-0.35*E14</f>
        <v/>
      </c>
      <c r="H14">
        <f>'HP Filter'!C12</f>
        <v/>
      </c>
      <c r="I14">
        <f>EXP(H14)*C14</f>
        <v/>
      </c>
      <c r="J14" t="n">
        <v>0</v>
      </c>
      <c r="K14">
        <f>B14</f>
        <v/>
      </c>
      <c r="L14">
        <f>I14</f>
        <v/>
      </c>
      <c r="M14" t="n">
        <v>0</v>
      </c>
    </row>
    <row r="15">
      <c r="A15" t="n">
        <v>2008</v>
      </c>
      <c r="B15" t="n">
        <v>70.2</v>
      </c>
      <c r="C15">
        <f>'WEO_Data'!B10</f>
        <v/>
      </c>
      <c r="D15">
        <f>B15/C15</f>
        <v/>
      </c>
      <c r="E15">
        <f>LN(B15)</f>
        <v/>
      </c>
      <c r="F15">
        <f>LN(C15)</f>
        <v/>
      </c>
      <c r="G15">
        <f>F15-0.35*E15</f>
        <v/>
      </c>
      <c r="H15">
        <f>'HP Filter'!C13</f>
        <v/>
      </c>
      <c r="I15">
        <f>EXP(H15)*C15</f>
        <v/>
      </c>
      <c r="J15" t="n">
        <v>0</v>
      </c>
      <c r="K15">
        <f>B15</f>
        <v/>
      </c>
      <c r="L15">
        <f>I15</f>
        <v/>
      </c>
      <c r="M15" t="n">
        <v>0</v>
      </c>
    </row>
    <row r="16">
      <c r="A16" t="n">
        <v>2009</v>
      </c>
      <c r="B16" t="n">
        <v>69.8</v>
      </c>
      <c r="C16">
        <f>'WEO_Data'!B11</f>
        <v/>
      </c>
      <c r="D16">
        <f>B16/C16</f>
        <v/>
      </c>
      <c r="E16">
        <f>LN(B16)</f>
        <v/>
      </c>
      <c r="F16">
        <f>LN(C16)</f>
        <v/>
      </c>
      <c r="G16">
        <f>F16-0.35*E16</f>
        <v/>
      </c>
      <c r="H16">
        <f>'HP Filter'!C14</f>
        <v/>
      </c>
      <c r="I16">
        <f>EXP(H16)*C16</f>
        <v/>
      </c>
      <c r="J16" t="n">
        <v>0</v>
      </c>
      <c r="K16">
        <f>B16</f>
        <v/>
      </c>
      <c r="L16">
        <f>I16</f>
        <v/>
      </c>
      <c r="M16" t="n">
        <v>0</v>
      </c>
    </row>
    <row r="17">
      <c r="A17" t="n">
        <v>2010</v>
      </c>
      <c r="B17" t="n">
        <v>72.40000000000001</v>
      </c>
      <c r="C17">
        <f>'WEO_Data'!B12</f>
        <v/>
      </c>
      <c r="D17">
        <f>B17/C17</f>
        <v/>
      </c>
      <c r="E17">
        <f>LN(B17)</f>
        <v/>
      </c>
      <c r="F17">
        <f>LN(C17)</f>
        <v/>
      </c>
      <c r="G17">
        <f>F17-0.35*E17</f>
        <v/>
      </c>
      <c r="H17">
        <f>'HP Filter'!C15</f>
        <v/>
      </c>
      <c r="I17">
        <f>EXP(H17)*C17</f>
        <v/>
      </c>
      <c r="J17" t="n">
        <v>0</v>
      </c>
      <c r="K17">
        <f>B17</f>
        <v/>
      </c>
      <c r="L17">
        <f>I17</f>
        <v/>
      </c>
      <c r="M17" t="n">
        <v>0</v>
      </c>
    </row>
    <row r="18">
      <c r="A18" t="n">
        <v>2011</v>
      </c>
      <c r="B18" t="n">
        <v>75.09999999999999</v>
      </c>
      <c r="C18">
        <f>'WEO_Data'!B13</f>
        <v/>
      </c>
      <c r="D18">
        <f>B18/C18</f>
        <v/>
      </c>
      <c r="E18">
        <f>LN(B18)</f>
        <v/>
      </c>
      <c r="F18">
        <f>LN(C18)</f>
        <v/>
      </c>
      <c r="G18">
        <f>F18-0.35*E18</f>
        <v/>
      </c>
      <c r="H18">
        <f>'HP Filter'!C16</f>
        <v/>
      </c>
      <c r="I18">
        <f>EXP(H18)*C18</f>
        <v/>
      </c>
      <c r="J18" t="n">
        <v>0</v>
      </c>
      <c r="K18">
        <f>B18</f>
        <v/>
      </c>
      <c r="L18">
        <f>I18</f>
        <v/>
      </c>
      <c r="M18" t="n">
        <v>0</v>
      </c>
    </row>
    <row r="19">
      <c r="A19" t="n">
        <v>2012</v>
      </c>
      <c r="B19" t="n">
        <v>77.8</v>
      </c>
      <c r="C19">
        <f>'WEO_Data'!B14</f>
        <v/>
      </c>
      <c r="D19">
        <f>B19/C19</f>
        <v/>
      </c>
      <c r="E19">
        <f>LN(B19)</f>
        <v/>
      </c>
      <c r="F19">
        <f>LN(C19)</f>
        <v/>
      </c>
      <c r="G19">
        <f>F19-0.35*E19</f>
        <v/>
      </c>
      <c r="H19">
        <f>'HP Filter'!C17</f>
        <v/>
      </c>
      <c r="I19">
        <f>EXP(H19)*C19</f>
        <v/>
      </c>
      <c r="J19" t="n">
        <v>0</v>
      </c>
      <c r="K19">
        <f>B19</f>
        <v/>
      </c>
      <c r="L19">
        <f>I19</f>
        <v/>
      </c>
      <c r="M19" t="n">
        <v>0</v>
      </c>
    </row>
    <row r="20">
      <c r="A20" t="n">
        <v>2013</v>
      </c>
      <c r="B20" t="n">
        <v>79.5</v>
      </c>
      <c r="C20">
        <f>'WEO_Data'!B15</f>
        <v/>
      </c>
      <c r="D20">
        <f>B20/C20</f>
        <v/>
      </c>
      <c r="E20">
        <f>LN(B20)</f>
        <v/>
      </c>
      <c r="F20">
        <f>LN(C20)</f>
        <v/>
      </c>
      <c r="G20">
        <f>F20-0.35*E20</f>
        <v/>
      </c>
      <c r="H20">
        <f>'HP Filter'!C18</f>
        <v/>
      </c>
      <c r="I20">
        <f>EXP(H20)*C20</f>
        <v/>
      </c>
      <c r="J20" t="n">
        <v>0</v>
      </c>
      <c r="K20">
        <f>B20</f>
        <v/>
      </c>
      <c r="L20">
        <f>I20</f>
        <v/>
      </c>
      <c r="M20" t="n">
        <v>0</v>
      </c>
    </row>
    <row r="21">
      <c r="A21" t="n">
        <v>2014</v>
      </c>
      <c r="B21" t="n">
        <v>80.2</v>
      </c>
      <c r="C21">
        <f>'WEO_Data'!B16</f>
        <v/>
      </c>
      <c r="D21">
        <f>B21/C21</f>
        <v/>
      </c>
      <c r="E21">
        <f>LN(B21)</f>
        <v/>
      </c>
      <c r="F21">
        <f>LN(C21)</f>
        <v/>
      </c>
      <c r="G21">
        <f>F21-0.35*E21</f>
        <v/>
      </c>
      <c r="H21">
        <f>'HP Filter'!C19</f>
        <v/>
      </c>
      <c r="I21">
        <f>EXP(H21)*C21</f>
        <v/>
      </c>
      <c r="J21" t="n">
        <v>0</v>
      </c>
      <c r="K21">
        <f>B21</f>
        <v/>
      </c>
      <c r="L21">
        <f>I21</f>
        <v/>
      </c>
      <c r="M21" t="n">
        <v>0</v>
      </c>
    </row>
    <row r="22">
      <c r="A22" t="n">
        <v>2015</v>
      </c>
      <c r="B22" t="n">
        <v>85.59999999999999</v>
      </c>
      <c r="C22">
        <f>'WEO_Data'!B17</f>
        <v/>
      </c>
      <c r="D22">
        <f>B22/C22</f>
        <v/>
      </c>
      <c r="E22">
        <f>LN(B22)</f>
        <v/>
      </c>
      <c r="F22">
        <f>LN(C22)</f>
        <v/>
      </c>
      <c r="G22">
        <f>F22-0.35*E22</f>
        <v/>
      </c>
      <c r="H22">
        <f>'HP Filter'!C20</f>
        <v/>
      </c>
      <c r="I22">
        <f>EXP(H22)*C22</f>
        <v/>
      </c>
      <c r="J22" t="n">
        <v>0</v>
      </c>
      <c r="K22">
        <f>B22</f>
        <v/>
      </c>
      <c r="L22">
        <f>I22</f>
        <v/>
      </c>
      <c r="M22" t="n">
        <v>0</v>
      </c>
    </row>
    <row r="23">
      <c r="A23" t="n">
        <v>2016</v>
      </c>
      <c r="B23" t="n">
        <v>87.2</v>
      </c>
      <c r="C23">
        <f>'WEO_Data'!B18</f>
        <v/>
      </c>
      <c r="D23">
        <f>B23/C23</f>
        <v/>
      </c>
      <c r="E23">
        <f>LN(B23)</f>
        <v/>
      </c>
      <c r="F23">
        <f>LN(C23)</f>
        <v/>
      </c>
      <c r="G23">
        <f>F23-0.35*E23</f>
        <v/>
      </c>
      <c r="H23">
        <f>'HP Filter'!C21</f>
        <v/>
      </c>
      <c r="I23">
        <f>EXP(H23)*C23</f>
        <v/>
      </c>
      <c r="J23" t="n">
        <v>0</v>
      </c>
      <c r="K23">
        <f>B23</f>
        <v/>
      </c>
      <c r="L23">
        <f>I23</f>
        <v/>
      </c>
      <c r="M23" t="n">
        <v>0</v>
      </c>
    </row>
    <row r="24">
      <c r="A24" t="n">
        <v>2017</v>
      </c>
      <c r="B24" t="n">
        <v>89.5</v>
      </c>
      <c r="C24">
        <f>'WEO_Data'!B19</f>
        <v/>
      </c>
      <c r="D24">
        <f>B24/C24</f>
        <v/>
      </c>
      <c r="E24">
        <f>LN(B24)</f>
        <v/>
      </c>
      <c r="F24">
        <f>LN(C24)</f>
        <v/>
      </c>
      <c r="G24">
        <f>F24-0.35*E24</f>
        <v/>
      </c>
      <c r="H24">
        <f>'HP Filter'!C22</f>
        <v/>
      </c>
      <c r="I24">
        <f>EXP(H24)*C24</f>
        <v/>
      </c>
      <c r="J24" t="n">
        <v>0</v>
      </c>
      <c r="K24">
        <f>B24</f>
        <v/>
      </c>
      <c r="L24">
        <f>I24</f>
        <v/>
      </c>
      <c r="M24" t="n">
        <v>0</v>
      </c>
    </row>
    <row r="25">
      <c r="A25" t="n">
        <v>2018</v>
      </c>
      <c r="B25" t="n">
        <v>91.8</v>
      </c>
      <c r="C25">
        <f>'WEO_Data'!B20</f>
        <v/>
      </c>
      <c r="D25">
        <f>B25/C25</f>
        <v/>
      </c>
      <c r="E25">
        <f>LN(B25)</f>
        <v/>
      </c>
      <c r="F25">
        <f>LN(C25)</f>
        <v/>
      </c>
      <c r="G25">
        <f>F25-0.35*E25</f>
        <v/>
      </c>
      <c r="H25">
        <f>'HP Filter'!C23</f>
        <v/>
      </c>
      <c r="I25">
        <f>EXP(H25)*C25</f>
        <v/>
      </c>
      <c r="J25" t="n">
        <v>0</v>
      </c>
      <c r="K25">
        <f>B25</f>
        <v/>
      </c>
      <c r="L25">
        <f>I25</f>
        <v/>
      </c>
      <c r="M25" t="n">
        <v>0</v>
      </c>
    </row>
    <row r="26">
      <c r="A26" t="n">
        <v>2019</v>
      </c>
      <c r="B26" t="n">
        <v>94.2</v>
      </c>
      <c r="C26">
        <f>'WEO_Data'!B21</f>
        <v/>
      </c>
      <c r="D26">
        <f>B26/C26</f>
        <v/>
      </c>
      <c r="E26">
        <f>LN(B26)</f>
        <v/>
      </c>
      <c r="F26">
        <f>LN(C26)</f>
        <v/>
      </c>
      <c r="G26">
        <f>F26-0.35*E26</f>
        <v/>
      </c>
      <c r="H26">
        <f>'HP Filter'!C24</f>
        <v/>
      </c>
      <c r="I26">
        <f>EXP(H26)*C26</f>
        <v/>
      </c>
      <c r="J26" t="n">
        <v>0</v>
      </c>
      <c r="K26">
        <f>B26</f>
        <v/>
      </c>
      <c r="L26">
        <f>I26</f>
        <v/>
      </c>
      <c r="M26" t="n">
        <v>0</v>
      </c>
    </row>
    <row r="27">
      <c r="A27" t="n">
        <v>2020</v>
      </c>
      <c r="B27" t="n">
        <v>95.2</v>
      </c>
      <c r="C27">
        <f>'WEO_Data'!B22</f>
        <v/>
      </c>
      <c r="D27">
        <f>B27/C27</f>
        <v/>
      </c>
      <c r="E27">
        <f>LN(B27)</f>
        <v/>
      </c>
      <c r="F27">
        <f>LN(C27)</f>
        <v/>
      </c>
      <c r="G27">
        <f>F27-0.35*E27</f>
        <v/>
      </c>
      <c r="H27">
        <f>'HP Filter'!C25</f>
        <v/>
      </c>
      <c r="I27">
        <f>EXP(H27)*C27</f>
        <v/>
      </c>
      <c r="J27" t="n">
        <v>0</v>
      </c>
      <c r="K27">
        <f>B27</f>
        <v/>
      </c>
      <c r="L27">
        <f>I27</f>
        <v/>
      </c>
      <c r="M27" t="n">
        <v>0</v>
      </c>
    </row>
    <row r="28">
      <c r="A28" t="n">
        <v>2021</v>
      </c>
      <c r="B28" t="n">
        <v>98.5</v>
      </c>
      <c r="C28">
        <f>'WEO_Data'!B23</f>
        <v/>
      </c>
      <c r="D28">
        <f>B28/C28</f>
        <v/>
      </c>
      <c r="E28">
        <f>LN(B28)</f>
        <v/>
      </c>
      <c r="F28">
        <f>LN(C28)</f>
        <v/>
      </c>
      <c r="G28">
        <f>F28-0.35*E28</f>
        <v/>
      </c>
      <c r="H28">
        <f>'HP Filter'!C26</f>
        <v/>
      </c>
      <c r="I28">
        <f>EXP(H28)*C28</f>
        <v/>
      </c>
      <c r="J28" t="n">
        <v>0</v>
      </c>
      <c r="K28">
        <f>B28</f>
        <v/>
      </c>
      <c r="L28">
        <f>I28</f>
        <v/>
      </c>
      <c r="M28" t="n">
        <v>0</v>
      </c>
    </row>
    <row r="29">
      <c r="A29" t="n">
        <v>2022</v>
      </c>
      <c r="B29" t="n">
        <v>102.1</v>
      </c>
      <c r="C29">
        <f>'WEO_Data'!B24</f>
        <v/>
      </c>
      <c r="D29">
        <f>B29/C29</f>
        <v/>
      </c>
      <c r="E29">
        <f>LN(B29)</f>
        <v/>
      </c>
      <c r="F29">
        <f>LN(C29)</f>
        <v/>
      </c>
      <c r="G29">
        <f>F29-0.35*E29</f>
        <v/>
      </c>
      <c r="H29">
        <f>'HP Filter'!C27</f>
        <v/>
      </c>
      <c r="I29">
        <f>EXP(H29)*C29</f>
        <v/>
      </c>
      <c r="J29" t="n">
        <v>0</v>
      </c>
      <c r="K29">
        <f>B29</f>
        <v/>
      </c>
      <c r="L29">
        <f>I29</f>
        <v/>
      </c>
      <c r="M29" t="n">
        <v>0</v>
      </c>
    </row>
    <row r="30">
      <c r="A30" t="n">
        <v>2023</v>
      </c>
      <c r="B30" t="n">
        <v>105.8</v>
      </c>
      <c r="C30">
        <f>'WEO_Data'!B25</f>
        <v/>
      </c>
      <c r="D30">
        <f>B30/C30</f>
        <v/>
      </c>
      <c r="E30">
        <f>LN(B30)</f>
        <v/>
      </c>
      <c r="F30">
        <f>LN(C30)</f>
        <v/>
      </c>
      <c r="G30">
        <f>F30-0.35*E30</f>
        <v/>
      </c>
      <c r="H30">
        <f>'HP Filter'!C28</f>
        <v/>
      </c>
      <c r="I30">
        <f>EXP(H30)*C30</f>
        <v/>
      </c>
      <c r="J30" t="n">
        <v>0</v>
      </c>
      <c r="K30">
        <f>B30</f>
        <v/>
      </c>
      <c r="L30">
        <f>I30</f>
        <v/>
      </c>
      <c r="M30" t="n">
        <v>0</v>
      </c>
    </row>
    <row r="31">
      <c r="A31" t="n">
        <v>2024</v>
      </c>
      <c r="B31" t="n">
        <v>108.5</v>
      </c>
      <c r="C31">
        <f>'WEO_Data'!B26</f>
        <v/>
      </c>
      <c r="D31">
        <f>B31/C31</f>
        <v/>
      </c>
      <c r="E31">
        <f>LN(B31)</f>
        <v/>
      </c>
      <c r="F31">
        <f>LN(C31)</f>
        <v/>
      </c>
      <c r="G31">
        <f>F31-0.35*E31</f>
        <v/>
      </c>
      <c r="H31">
        <f>'HP Filter'!C29</f>
        <v/>
      </c>
      <c r="I31">
        <f>EXP(H31)*C31</f>
        <v/>
      </c>
      <c r="J31" t="n">
        <v>0</v>
      </c>
      <c r="K31">
        <f>B31</f>
        <v/>
      </c>
      <c r="L31">
        <f>I31</f>
        <v/>
      </c>
      <c r="M31" t="n">
        <v>0</v>
      </c>
    </row>
    <row r="32">
      <c r="A32" t="n">
        <v>2025</v>
      </c>
      <c r="B32" t="n">
        <v>111.2</v>
      </c>
      <c r="C32">
        <f>'WEO_Data'!B27</f>
        <v/>
      </c>
      <c r="D32">
        <f>B32/C32</f>
        <v/>
      </c>
      <c r="E32">
        <f>LN(B32)</f>
        <v/>
      </c>
      <c r="F32">
        <f>LN(C32)</f>
        <v/>
      </c>
      <c r="G32">
        <f>F32-0.35*E32</f>
        <v/>
      </c>
      <c r="H32">
        <f>'HP Filter'!C30</f>
        <v/>
      </c>
      <c r="I32">
        <f>EXP(H32)*C32</f>
        <v/>
      </c>
      <c r="J32" t="n">
        <v>0</v>
      </c>
      <c r="K32">
        <f>B32</f>
        <v/>
      </c>
      <c r="L32">
        <f>I32</f>
        <v/>
      </c>
      <c r="M32" t="n">
        <v>0</v>
      </c>
    </row>
    <row r="33">
      <c r="A33" t="n">
        <v>2026</v>
      </c>
      <c r="B33">
        <f>C33*D33</f>
        <v/>
      </c>
      <c r="C33">
        <f>'WEO_Data'!B28</f>
        <v/>
      </c>
      <c r="D33">
        <f>$B$6</f>
        <v/>
      </c>
      <c r="E33">
        <f>LN(B33)</f>
        <v/>
      </c>
      <c r="F33">
        <f>LN(C33)</f>
        <v/>
      </c>
      <c r="H33">
        <f>TREND('HP Filter'!C$7:C$28,'HP Filter'!A$7:A$28,A33)</f>
        <v/>
      </c>
      <c r="I33">
        <f>EXP(H33)*C33</f>
        <v/>
      </c>
      <c r="J33">
        <f>'Investment'!B6</f>
        <v/>
      </c>
      <c r="K33">
        <f>K32+J33</f>
        <v/>
      </c>
      <c r="L33">
        <f>I33*(K33/B33)^0.35</f>
        <v/>
      </c>
      <c r="M33">
        <f>(L33-I33)/I33*100</f>
        <v/>
      </c>
    </row>
    <row r="34">
      <c r="A34" t="n">
        <v>2027</v>
      </c>
      <c r="B34">
        <f>C34*D34</f>
        <v/>
      </c>
      <c r="C34">
        <f>'WEO_Data'!B29</f>
        <v/>
      </c>
      <c r="D34">
        <f>$B$6</f>
        <v/>
      </c>
      <c r="E34">
        <f>LN(B34)</f>
        <v/>
      </c>
      <c r="F34">
        <f>LN(C34)</f>
        <v/>
      </c>
      <c r="H34">
        <f>TREND('HP Filter'!C$7:C$28,'HP Filter'!A$7:A$28,A34)</f>
        <v/>
      </c>
      <c r="I34">
        <f>EXP(H34)*C34</f>
        <v/>
      </c>
      <c r="J34">
        <f>'Investment'!B7</f>
        <v/>
      </c>
      <c r="K34">
        <f>K33+J34</f>
        <v/>
      </c>
      <c r="L34">
        <f>I34*(K34/B34)^0.35</f>
        <v/>
      </c>
      <c r="M34">
        <f>(L34-I34)/I34*100</f>
        <v/>
      </c>
    </row>
    <row r="35">
      <c r="A35" t="n">
        <v>2028</v>
      </c>
      <c r="B35">
        <f>C35*D35</f>
        <v/>
      </c>
      <c r="C35">
        <f>'WEO_Data'!D30</f>
        <v/>
      </c>
      <c r="D35">
        <f>$B$6</f>
        <v/>
      </c>
      <c r="E35">
        <f>LN(B35)</f>
        <v/>
      </c>
      <c r="F35">
        <f>LN(C35)</f>
        <v/>
      </c>
      <c r="H35">
        <f>TREND('HP Filter'!C$7:C$28,'HP Filter'!A$7:A$28,A35)</f>
        <v/>
      </c>
      <c r="I35">
        <f>EXP(H35)*C35</f>
        <v/>
      </c>
      <c r="J35">
        <f>'Investment'!B8</f>
        <v/>
      </c>
      <c r="K35">
        <f>B35+J35</f>
        <v/>
      </c>
      <c r="L35">
        <f>I35*(K35/B35)^0.35</f>
        <v/>
      </c>
      <c r="M35">
        <f>(L35-I35)/I35*100</f>
        <v/>
      </c>
    </row>
    <row r="36">
      <c r="A36" t="n">
        <v>2029</v>
      </c>
      <c r="B36">
        <f>C36*D36</f>
        <v/>
      </c>
      <c r="C36">
        <f>'WEO_Data'!D31</f>
        <v/>
      </c>
      <c r="D36">
        <f>$B$6</f>
        <v/>
      </c>
      <c r="E36">
        <f>LN(B36)</f>
        <v/>
      </c>
      <c r="F36">
        <f>LN(C36)</f>
        <v/>
      </c>
      <c r="H36">
        <f>TREND('HP Filter'!C$7:C$28,'HP Filter'!A$7:A$28,A36)</f>
        <v/>
      </c>
      <c r="I36">
        <f>EXP(H36)*C36</f>
        <v/>
      </c>
      <c r="J36">
        <f>'Investment'!B9</f>
        <v/>
      </c>
      <c r="K36">
        <f>K35+J36</f>
        <v/>
      </c>
      <c r="L36">
        <f>I36*(K36/B36)^0.35</f>
        <v/>
      </c>
      <c r="M36">
        <f>(L36-I36)/I36*100</f>
        <v/>
      </c>
    </row>
    <row r="37">
      <c r="A37" t="n">
        <v>2030</v>
      </c>
      <c r="B37">
        <f>C37*D37</f>
        <v/>
      </c>
      <c r="C37">
        <f>'WEO_Data'!D32</f>
        <v/>
      </c>
      <c r="D37">
        <f>$B$6</f>
        <v/>
      </c>
      <c r="E37">
        <f>LN(B37)</f>
        <v/>
      </c>
      <c r="F37">
        <f>LN(C37)</f>
        <v/>
      </c>
      <c r="H37">
        <f>TREND('HP Filter'!C$7:C$28,'HP Filter'!A$7:A$28,A37)</f>
        <v/>
      </c>
      <c r="I37">
        <f>EXP(H37)*C37</f>
        <v/>
      </c>
      <c r="J37">
        <f>'Investment'!B10</f>
        <v/>
      </c>
      <c r="K37">
        <f>K36+J37</f>
        <v/>
      </c>
      <c r="L37">
        <f>I37*(K37/B37)^0.35</f>
        <v/>
      </c>
      <c r="M37">
        <f>(L37-I37)/I37*100</f>
        <v/>
      </c>
    </row>
    <row r="38">
      <c r="A38" t="n">
        <v>2031</v>
      </c>
      <c r="B38">
        <f>C38*D38</f>
        <v/>
      </c>
      <c r="C38">
        <f>'WEO_Data'!D33</f>
        <v/>
      </c>
      <c r="D38">
        <f>$B$6</f>
        <v/>
      </c>
      <c r="E38">
        <f>LN(B38)</f>
        <v/>
      </c>
      <c r="F38">
        <f>LN(C38)</f>
        <v/>
      </c>
      <c r="H38">
        <f>TREND('HP Filter'!C$7:C$28,'HP Filter'!A$7:A$28,A38)</f>
        <v/>
      </c>
      <c r="I38">
        <f>EXP(H38)*C38</f>
        <v/>
      </c>
      <c r="J38">
        <f>'Investment'!B11</f>
        <v/>
      </c>
      <c r="K38">
        <f>K37+J38</f>
        <v/>
      </c>
      <c r="L38">
        <f>I38*(K38/B38)^0.35</f>
        <v/>
      </c>
      <c r="M38">
        <f>(L38-I38)/I38*100</f>
        <v/>
      </c>
    </row>
    <row r="39">
      <c r="A39" t="n">
        <v>2032</v>
      </c>
      <c r="B39">
        <f>C39*D39</f>
        <v/>
      </c>
      <c r="C39">
        <f>'WEO_Data'!D34</f>
        <v/>
      </c>
      <c r="D39">
        <f>$B$6</f>
        <v/>
      </c>
      <c r="E39">
        <f>LN(B39)</f>
        <v/>
      </c>
      <c r="F39">
        <f>LN(C39)</f>
        <v/>
      </c>
      <c r="H39">
        <f>TREND('HP Filter'!C$7:C$28,'HP Filter'!A$7:A$28,A39)</f>
        <v/>
      </c>
      <c r="I39">
        <f>EXP(H39)*C39</f>
        <v/>
      </c>
      <c r="J39">
        <f>'Investment'!B12</f>
        <v/>
      </c>
      <c r="K39">
        <f>K38+J39</f>
        <v/>
      </c>
      <c r="L39">
        <f>I39*(K39/B39)^0.35</f>
        <v/>
      </c>
      <c r="M39">
        <f>(L39-I39)/I39*100</f>
        <v/>
      </c>
    </row>
    <row r="40">
      <c r="A40" t="n">
        <v>2033</v>
      </c>
      <c r="B40">
        <f>C40*D40</f>
        <v/>
      </c>
      <c r="C40">
        <f>'WEO_Data'!D35</f>
        <v/>
      </c>
      <c r="D40">
        <f>$B$6</f>
        <v/>
      </c>
      <c r="E40">
        <f>LN(B40)</f>
        <v/>
      </c>
      <c r="F40">
        <f>LN(C40)</f>
        <v/>
      </c>
      <c r="H40">
        <f>TREND('HP Filter'!C$7:C$28,'HP Filter'!A$7:A$28,A40)</f>
        <v/>
      </c>
      <c r="I40">
        <f>EXP(H40)*C40</f>
        <v/>
      </c>
      <c r="J40">
        <f>'Investment'!B13</f>
        <v/>
      </c>
      <c r="K40">
        <f>K39+J40</f>
        <v/>
      </c>
      <c r="L40">
        <f>I40*(K40/B40)^0.35</f>
        <v/>
      </c>
      <c r="M40">
        <f>(L40-I40)/I40*100</f>
        <v/>
      </c>
    </row>
    <row r="41">
      <c r="A41" t="n">
        <v>2034</v>
      </c>
      <c r="B41">
        <f>C41*D41</f>
        <v/>
      </c>
      <c r="C41">
        <f>'WEO_Data'!D36</f>
        <v/>
      </c>
      <c r="D41">
        <f>$B$6</f>
        <v/>
      </c>
      <c r="E41">
        <f>LN(B41)</f>
        <v/>
      </c>
      <c r="F41">
        <f>LN(C41)</f>
        <v/>
      </c>
      <c r="H41">
        <f>TREND('HP Filter'!C$7:C$28,'HP Filter'!A$7:A$28,A41)</f>
        <v/>
      </c>
      <c r="I41">
        <f>EXP(H41)*C41</f>
        <v/>
      </c>
      <c r="J41" t="n">
        <v>0</v>
      </c>
      <c r="K41">
        <f>K40+J41</f>
        <v/>
      </c>
      <c r="L41">
        <f>I41*(K41/B41)^0.35</f>
        <v/>
      </c>
      <c r="M41">
        <f>(L41-I41)/I41*100</f>
        <v/>
      </c>
    </row>
    <row r="42">
      <c r="A42" t="n">
        <v>2035</v>
      </c>
      <c r="B42">
        <f>C42*D42</f>
        <v/>
      </c>
      <c r="C42">
        <f>'WEO_Data'!D37</f>
        <v/>
      </c>
      <c r="D42">
        <f>$B$6</f>
        <v/>
      </c>
      <c r="E42">
        <f>LN(B42)</f>
        <v/>
      </c>
      <c r="F42">
        <f>LN(C42)</f>
        <v/>
      </c>
      <c r="H42">
        <f>TREND('HP Filter'!C$7:C$28,'HP Filter'!A$7:A$28,A42)</f>
        <v/>
      </c>
      <c r="I42">
        <f>EXP(H42)*C42</f>
        <v/>
      </c>
      <c r="J42" t="n">
        <v>0</v>
      </c>
      <c r="K42">
        <f>K41+J42</f>
        <v/>
      </c>
      <c r="L42">
        <f>I42*(K42/B42)^0.35</f>
        <v/>
      </c>
      <c r="M42">
        <f>(L42-I42)/I42*100</f>
        <v/>
      </c>
    </row>
    <row r="43">
      <c r="A43" t="n">
        <v>2036</v>
      </c>
      <c r="B43">
        <f>C43*D43</f>
        <v/>
      </c>
      <c r="C43">
        <f>'WEO_Data'!D38</f>
        <v/>
      </c>
      <c r="D43">
        <f>$B$6</f>
        <v/>
      </c>
      <c r="E43">
        <f>LN(B43)</f>
        <v/>
      </c>
      <c r="F43">
        <f>LN(C43)</f>
        <v/>
      </c>
      <c r="H43">
        <f>TREND('HP Filter'!C$7:C$28,'HP Filter'!A$7:A$28,A43)</f>
        <v/>
      </c>
      <c r="I43">
        <f>EXP(H43)*C43</f>
        <v/>
      </c>
      <c r="J43" t="n">
        <v>0</v>
      </c>
      <c r="K43">
        <f>K42+J43</f>
        <v/>
      </c>
      <c r="L43">
        <f>I43*(K43/B43)^0.35</f>
        <v/>
      </c>
      <c r="M43">
        <f>(L43-I43)/I43*100</f>
        <v/>
      </c>
    </row>
    <row r="44">
      <c r="A44" t="n">
        <v>2037</v>
      </c>
      <c r="B44">
        <f>C44*D44</f>
        <v/>
      </c>
      <c r="C44">
        <f>'WEO_Data'!D39</f>
        <v/>
      </c>
      <c r="D44">
        <f>$B$6</f>
        <v/>
      </c>
      <c r="E44">
        <f>LN(B44)</f>
        <v/>
      </c>
      <c r="F44">
        <f>LN(C44)</f>
        <v/>
      </c>
      <c r="H44">
        <f>TREND('HP Filter'!C$7:C$28,'HP Filter'!A$7:A$28,A44)</f>
        <v/>
      </c>
      <c r="I44">
        <f>EXP(H44)*C44</f>
        <v/>
      </c>
      <c r="J44" t="n">
        <v>0</v>
      </c>
      <c r="K44">
        <f>K43+J44</f>
        <v/>
      </c>
      <c r="L44">
        <f>I44*(K44/B44)^0.35</f>
        <v/>
      </c>
      <c r="M44">
        <f>(L44-I44)/I44*100</f>
        <v/>
      </c>
    </row>
    <row r="45">
      <c r="A45" t="n">
        <v>2038</v>
      </c>
      <c r="B45">
        <f>C45*D45</f>
        <v/>
      </c>
      <c r="C45">
        <f>'WEO_Data'!D40</f>
        <v/>
      </c>
      <c r="D45">
        <f>$B$6</f>
        <v/>
      </c>
      <c r="E45">
        <f>LN(B45)</f>
        <v/>
      </c>
      <c r="F45">
        <f>LN(C45)</f>
        <v/>
      </c>
      <c r="H45">
        <f>TREND('HP Filter'!C$7:C$28,'HP Filter'!A$7:A$28,A45)</f>
        <v/>
      </c>
      <c r="I45">
        <f>EXP(H45)*C45</f>
        <v/>
      </c>
      <c r="J45" t="n">
        <v>0</v>
      </c>
      <c r="K45">
        <f>K44+J45</f>
        <v/>
      </c>
      <c r="L45">
        <f>I45*(K45/B45)^0.35</f>
        <v/>
      </c>
      <c r="M45">
        <f>(L45-I45)/I45*100</f>
        <v/>
      </c>
    </row>
    <row r="46">
      <c r="A46" t="n">
        <v>2039</v>
      </c>
      <c r="B46">
        <f>C46*D46</f>
        <v/>
      </c>
      <c r="C46">
        <f>'WEO_Data'!D41</f>
        <v/>
      </c>
      <c r="D46">
        <f>$B$6</f>
        <v/>
      </c>
      <c r="E46">
        <f>LN(B46)</f>
        <v/>
      </c>
      <c r="F46">
        <f>LN(C46)</f>
        <v/>
      </c>
      <c r="H46">
        <f>TREND('HP Filter'!C$7:C$28,'HP Filter'!A$7:A$28,A46)</f>
        <v/>
      </c>
      <c r="I46">
        <f>EXP(H46)*C46</f>
        <v/>
      </c>
      <c r="J46" t="n">
        <v>0</v>
      </c>
      <c r="K46">
        <f>K45+J46</f>
        <v/>
      </c>
      <c r="L46">
        <f>I46*(K46/B46)^0.35</f>
        <v/>
      </c>
      <c r="M46">
        <f>(L46-I46)/I46*100</f>
        <v/>
      </c>
    </row>
    <row r="47">
      <c r="A47" t="n">
        <v>2040</v>
      </c>
      <c r="B47">
        <f>C47*D47</f>
        <v/>
      </c>
      <c r="C47">
        <f>'WEO_Data'!D42</f>
        <v/>
      </c>
      <c r="D47">
        <f>$B$6</f>
        <v/>
      </c>
      <c r="E47">
        <f>LN(B47)</f>
        <v/>
      </c>
      <c r="F47">
        <f>LN(C47)</f>
        <v/>
      </c>
      <c r="H47">
        <f>TREND('HP Filter'!C$7:C$28,'HP Filter'!A$7:A$28,A47)</f>
        <v/>
      </c>
      <c r="I47">
        <f>EXP(H47)*C47</f>
        <v/>
      </c>
      <c r="J47" t="n">
        <v>0</v>
      </c>
      <c r="K47">
        <f>K46+J47</f>
        <v/>
      </c>
      <c r="L47">
        <f>I47*(K47/B47)^0.35</f>
        <v/>
      </c>
      <c r="M47">
        <f>(L47-I47)/I47*100</f>
        <v/>
      </c>
    </row>
    <row r="48">
      <c r="A48" t="n">
        <v>2041</v>
      </c>
      <c r="B48">
        <f>C48*D48</f>
        <v/>
      </c>
      <c r="C48">
        <f>'WEO_Data'!D43</f>
        <v/>
      </c>
      <c r="D48">
        <f>$B$6</f>
        <v/>
      </c>
      <c r="E48">
        <f>LN(B48)</f>
        <v/>
      </c>
      <c r="F48">
        <f>LN(C48)</f>
        <v/>
      </c>
      <c r="H48">
        <f>TREND('HP Filter'!C$7:C$28,'HP Filter'!A$7:A$28,A48)</f>
        <v/>
      </c>
      <c r="I48">
        <f>EXP(H48)*C48</f>
        <v/>
      </c>
      <c r="J48" t="n">
        <v>0</v>
      </c>
      <c r="K48">
        <f>K47+J48</f>
        <v/>
      </c>
      <c r="L48">
        <f>I48*(K48/B48)^0.35</f>
        <v/>
      </c>
      <c r="M48">
        <f>(L48-I48)/I48*100</f>
        <v/>
      </c>
    </row>
    <row r="49">
      <c r="A49" t="n">
        <v>2042</v>
      </c>
      <c r="B49">
        <f>C49*D49</f>
        <v/>
      </c>
      <c r="C49">
        <f>'WEO_Data'!D44</f>
        <v/>
      </c>
      <c r="D49">
        <f>$B$6</f>
        <v/>
      </c>
      <c r="E49">
        <f>LN(B49)</f>
        <v/>
      </c>
      <c r="F49">
        <f>LN(C49)</f>
        <v/>
      </c>
      <c r="H49">
        <f>TREND('HP Filter'!C$7:C$28,'HP Filter'!A$7:A$28,A49)</f>
        <v/>
      </c>
      <c r="I49">
        <f>EXP(H49)*C49</f>
        <v/>
      </c>
      <c r="J49" t="n">
        <v>0</v>
      </c>
      <c r="K49">
        <f>K48+J49</f>
        <v/>
      </c>
      <c r="L49">
        <f>I49*(K49/B49)^0.35</f>
        <v/>
      </c>
      <c r="M49">
        <f>(L49-I49)/I49*100</f>
        <v/>
      </c>
    </row>
    <row r="50">
      <c r="A50" t="n">
        <v>2043</v>
      </c>
      <c r="B50">
        <f>C50*D50</f>
        <v/>
      </c>
      <c r="C50">
        <f>'WEO_Data'!D45</f>
        <v/>
      </c>
      <c r="D50">
        <f>$B$6</f>
        <v/>
      </c>
      <c r="E50">
        <f>LN(B50)</f>
        <v/>
      </c>
      <c r="F50">
        <f>LN(C50)</f>
        <v/>
      </c>
      <c r="H50">
        <f>TREND('HP Filter'!C$7:C$28,'HP Filter'!A$7:A$28,A50)</f>
        <v/>
      </c>
      <c r="I50">
        <f>EXP(H50)*C50</f>
        <v/>
      </c>
      <c r="J50" t="n">
        <v>0</v>
      </c>
      <c r="K50">
        <f>K49+J50</f>
        <v/>
      </c>
      <c r="L50">
        <f>I50*(K50/B50)^0.35</f>
        <v/>
      </c>
      <c r="M50">
        <f>(L50-I50)/I50*100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Shock Analysis</t>
        </is>
      </c>
    </row>
    <row r="2">
      <c r="A2" t="inlineStr">
        <is>
          <t>Total Investment: 6.5 billion USD over 8 years (2026-2033)</t>
        </is>
      </c>
    </row>
    <row r="3">
      <c r="A3" t="inlineStr">
        <is>
          <t>Annual Investment: 0.8125 billion USD</t>
        </is>
      </c>
    </row>
    <row r="5">
      <c r="A5" t="inlineStr">
        <is>
          <t>Year</t>
        </is>
      </c>
      <c r="B5" t="inlineStr">
        <is>
          <t>Investment Amount (billions USD)</t>
        </is>
      </c>
      <c r="C5" t="inlineStr">
        <is>
          <t>Cumulative Investment</t>
        </is>
      </c>
    </row>
    <row r="6">
      <c r="A6" t="n">
        <v>2026</v>
      </c>
      <c r="B6" t="n">
        <v>0.8125</v>
      </c>
      <c r="C6">
        <f>B6</f>
        <v/>
      </c>
    </row>
    <row r="7">
      <c r="A7" t="n">
        <v>2027</v>
      </c>
      <c r="B7" t="n">
        <v>0.8125</v>
      </c>
      <c r="C7">
        <f>C6+B7</f>
        <v/>
      </c>
    </row>
    <row r="8">
      <c r="A8" t="n">
        <v>2028</v>
      </c>
      <c r="B8" t="n">
        <v>0.8125</v>
      </c>
      <c r="C8">
        <f>C7+B8</f>
        <v/>
      </c>
    </row>
    <row r="9">
      <c r="A9" t="n">
        <v>2029</v>
      </c>
      <c r="B9" t="n">
        <v>0.8125</v>
      </c>
      <c r="C9">
        <f>C8+B9</f>
        <v/>
      </c>
    </row>
    <row r="10">
      <c r="A10" t="n">
        <v>2030</v>
      </c>
      <c r="B10" t="n">
        <v>0.8125</v>
      </c>
      <c r="C10">
        <f>C9+B10</f>
        <v/>
      </c>
    </row>
    <row r="11">
      <c r="A11" t="n">
        <v>2031</v>
      </c>
      <c r="B11" t="n">
        <v>0.8125</v>
      </c>
      <c r="C11">
        <f>C10+B11</f>
        <v/>
      </c>
    </row>
    <row r="12">
      <c r="A12" t="n">
        <v>2032</v>
      </c>
      <c r="B12" t="n">
        <v>0.8125</v>
      </c>
      <c r="C12">
        <f>C11+B12</f>
        <v/>
      </c>
    </row>
    <row r="13">
      <c r="A13" t="n">
        <v>2033</v>
      </c>
      <c r="B13" t="n">
        <v>0.8125</v>
      </c>
      <c r="C13">
        <f>C12+B13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 Filter Analysis for TFP (LnZ)</t>
        </is>
      </c>
    </row>
    <row r="2">
      <c r="A2" t="inlineStr">
        <is>
          <t>Hodrick-Prescott Filter with Solver Optimization</t>
        </is>
      </c>
    </row>
    <row r="4">
      <c r="A4" t="inlineStr">
        <is>
          <t>Lambda (smoothing parameter)</t>
        </is>
      </c>
      <c r="B4" t="n">
        <v>1600</v>
      </c>
    </row>
    <row r="5">
      <c r="A5" t="inlineStr">
        <is>
          <t>Objective (minimize)</t>
        </is>
      </c>
      <c r="B5">
        <f>SUMPRODUCT(N6:N27,N6:N27)+$B$4*SUMPRODUCT(F6:F27,F6:F27)</f>
        <v/>
      </c>
    </row>
    <row r="6">
      <c r="A6" t="inlineStr">
        <is>
          <t>Year</t>
        </is>
      </c>
      <c r="B6" t="inlineStr">
        <is>
          <t>LnZ (TFP)</t>
        </is>
      </c>
      <c r="C6" t="inlineStr">
        <is>
          <t>LnZ_HP (Filtered)</t>
        </is>
      </c>
      <c r="D6" t="inlineStr">
        <is>
          <t>First Difference</t>
        </is>
      </c>
      <c r="E6" t="inlineStr">
        <is>
          <t>Second Difference</t>
        </is>
      </c>
      <c r="F6" t="inlineStr">
        <is>
          <t>Penalty (2nd diff)</t>
        </is>
      </c>
      <c r="G6" t="inlineStr">
        <is>
          <t>Residual</t>
        </is>
      </c>
      <c r="L6" t="inlineStr">
        <is>
          <t>LnZ_HP (Solver Var)</t>
        </is>
      </c>
      <c r="N6" t="inlineStr">
        <is>
          <t>Residual^2</t>
        </is>
      </c>
    </row>
    <row r="7">
      <c r="A7" t="n">
        <v>2002</v>
      </c>
      <c r="B7">
        <f>'Production'!G9</f>
        <v/>
      </c>
      <c r="C7">
        <f>L7</f>
        <v/>
      </c>
      <c r="D7" t="n">
        <v>0</v>
      </c>
      <c r="E7" t="n">
        <v>0</v>
      </c>
      <c r="F7" t="n">
        <v>0</v>
      </c>
      <c r="G7">
        <f>B7-L7</f>
        <v/>
      </c>
      <c r="L7">
        <f>'Production'!F6</f>
        <v/>
      </c>
      <c r="N7">
        <f>G7^2</f>
        <v/>
      </c>
    </row>
    <row r="8">
      <c r="A8" t="n">
        <v>2003</v>
      </c>
      <c r="B8">
        <f>'Production'!G10</f>
        <v/>
      </c>
      <c r="C8">
        <f>L8</f>
        <v/>
      </c>
      <c r="D8">
        <f>L8-L7</f>
        <v/>
      </c>
      <c r="E8" t="n">
        <v>0</v>
      </c>
      <c r="F8" t="n">
        <v>0</v>
      </c>
      <c r="G8">
        <f>B8-L8</f>
        <v/>
      </c>
      <c r="L8">
        <f>'Production'!F7</f>
        <v/>
      </c>
      <c r="N8">
        <f>G8^2</f>
        <v/>
      </c>
    </row>
    <row r="9">
      <c r="A9" t="n">
        <v>2004</v>
      </c>
      <c r="B9">
        <f>'Production'!G11</f>
        <v/>
      </c>
      <c r="C9">
        <f>L9</f>
        <v/>
      </c>
      <c r="D9">
        <f>L9-L8</f>
        <v/>
      </c>
      <c r="E9">
        <f>D9-D8</f>
        <v/>
      </c>
      <c r="F9">
        <f>E9^2</f>
        <v/>
      </c>
      <c r="G9">
        <f>B9-L9</f>
        <v/>
      </c>
      <c r="L9">
        <f>'Production'!F8</f>
        <v/>
      </c>
      <c r="N9">
        <f>G9^2</f>
        <v/>
      </c>
    </row>
    <row r="10">
      <c r="A10" t="n">
        <v>2005</v>
      </c>
      <c r="B10">
        <f>'Production'!G12</f>
        <v/>
      </c>
      <c r="C10">
        <f>L10</f>
        <v/>
      </c>
      <c r="D10">
        <f>L10-L9</f>
        <v/>
      </c>
      <c r="E10">
        <f>D10-D9</f>
        <v/>
      </c>
      <c r="F10">
        <f>E10^2</f>
        <v/>
      </c>
      <c r="G10">
        <f>B10-L10</f>
        <v/>
      </c>
      <c r="L10">
        <f>'Production'!F9</f>
        <v/>
      </c>
      <c r="N10">
        <f>G10^2</f>
        <v/>
      </c>
    </row>
    <row r="11">
      <c r="A11" t="n">
        <v>2006</v>
      </c>
      <c r="B11">
        <f>'Production'!G13</f>
        <v/>
      </c>
      <c r="C11">
        <f>L11</f>
        <v/>
      </c>
      <c r="D11">
        <f>L11-L10</f>
        <v/>
      </c>
      <c r="E11">
        <f>D11-D10</f>
        <v/>
      </c>
      <c r="F11">
        <f>E11^2</f>
        <v/>
      </c>
      <c r="G11">
        <f>B11-L11</f>
        <v/>
      </c>
      <c r="L11">
        <f>'Production'!F10</f>
        <v/>
      </c>
      <c r="N11">
        <f>G11^2</f>
        <v/>
      </c>
    </row>
    <row r="12">
      <c r="A12" t="n">
        <v>2007</v>
      </c>
      <c r="B12">
        <f>'Production'!G14</f>
        <v/>
      </c>
      <c r="C12">
        <f>L12</f>
        <v/>
      </c>
      <c r="D12">
        <f>L12-L11</f>
        <v/>
      </c>
      <c r="E12">
        <f>D12-D11</f>
        <v/>
      </c>
      <c r="F12">
        <f>E12^2</f>
        <v/>
      </c>
      <c r="G12">
        <f>B12-L12</f>
        <v/>
      </c>
      <c r="L12">
        <f>'Production'!F11</f>
        <v/>
      </c>
      <c r="N12">
        <f>G12^2</f>
        <v/>
      </c>
    </row>
    <row r="13">
      <c r="A13" t="n">
        <v>2008</v>
      </c>
      <c r="B13">
        <f>'Production'!G15</f>
        <v/>
      </c>
      <c r="C13">
        <f>L13</f>
        <v/>
      </c>
      <c r="D13">
        <f>L13-L12</f>
        <v/>
      </c>
      <c r="E13">
        <f>D13-D12</f>
        <v/>
      </c>
      <c r="F13">
        <f>E13^2</f>
        <v/>
      </c>
      <c r="G13">
        <f>B13-L13</f>
        <v/>
      </c>
      <c r="L13">
        <f>'Production'!F12</f>
        <v/>
      </c>
      <c r="N13">
        <f>G13^2</f>
        <v/>
      </c>
    </row>
    <row r="14">
      <c r="A14" t="n">
        <v>2009</v>
      </c>
      <c r="B14">
        <f>'Production'!G16</f>
        <v/>
      </c>
      <c r="C14">
        <f>L14</f>
        <v/>
      </c>
      <c r="D14">
        <f>L14-L13</f>
        <v/>
      </c>
      <c r="E14">
        <f>D14-D13</f>
        <v/>
      </c>
      <c r="F14">
        <f>E14^2</f>
        <v/>
      </c>
      <c r="G14">
        <f>B14-L14</f>
        <v/>
      </c>
      <c r="L14">
        <f>'Production'!F13</f>
        <v/>
      </c>
      <c r="N14">
        <f>G14^2</f>
        <v/>
      </c>
    </row>
    <row r="15">
      <c r="A15" t="n">
        <v>2010</v>
      </c>
      <c r="B15">
        <f>'Production'!G17</f>
        <v/>
      </c>
      <c r="C15">
        <f>L15</f>
        <v/>
      </c>
      <c r="D15">
        <f>L15-L14</f>
        <v/>
      </c>
      <c r="E15">
        <f>D15-D14</f>
        <v/>
      </c>
      <c r="F15">
        <f>E15^2</f>
        <v/>
      </c>
      <c r="G15">
        <f>B15-L15</f>
        <v/>
      </c>
      <c r="L15">
        <f>'Production'!F14</f>
        <v/>
      </c>
      <c r="N15">
        <f>G15^2</f>
        <v/>
      </c>
    </row>
    <row r="16">
      <c r="A16" t="n">
        <v>2011</v>
      </c>
      <c r="B16">
        <f>'Production'!G18</f>
        <v/>
      </c>
      <c r="C16">
        <f>L16</f>
        <v/>
      </c>
      <c r="D16">
        <f>L16-L15</f>
        <v/>
      </c>
      <c r="E16">
        <f>D16-D15</f>
        <v/>
      </c>
      <c r="F16">
        <f>E16^2</f>
        <v/>
      </c>
      <c r="G16">
        <f>B16-L16</f>
        <v/>
      </c>
      <c r="L16">
        <f>'Production'!F15</f>
        <v/>
      </c>
      <c r="N16">
        <f>G16^2</f>
        <v/>
      </c>
    </row>
    <row r="17">
      <c r="A17" t="n">
        <v>2012</v>
      </c>
      <c r="B17">
        <f>'Production'!G19</f>
        <v/>
      </c>
      <c r="C17">
        <f>L17</f>
        <v/>
      </c>
      <c r="D17">
        <f>L17-L16</f>
        <v/>
      </c>
      <c r="E17">
        <f>D17-D16</f>
        <v/>
      </c>
      <c r="F17">
        <f>E17^2</f>
        <v/>
      </c>
      <c r="G17">
        <f>B17-L17</f>
        <v/>
      </c>
      <c r="L17">
        <f>'Production'!F16</f>
        <v/>
      </c>
      <c r="N17">
        <f>G17^2</f>
        <v/>
      </c>
    </row>
    <row r="18">
      <c r="A18" t="n">
        <v>2013</v>
      </c>
      <c r="B18">
        <f>'Production'!G20</f>
        <v/>
      </c>
      <c r="C18">
        <f>L18</f>
        <v/>
      </c>
      <c r="D18">
        <f>L18-L17</f>
        <v/>
      </c>
      <c r="E18">
        <f>D18-D17</f>
        <v/>
      </c>
      <c r="F18">
        <f>E18^2</f>
        <v/>
      </c>
      <c r="G18">
        <f>B18-L18</f>
        <v/>
      </c>
      <c r="L18">
        <f>'Production'!F17</f>
        <v/>
      </c>
      <c r="N18">
        <f>G18^2</f>
        <v/>
      </c>
    </row>
    <row r="19">
      <c r="A19" t="n">
        <v>2014</v>
      </c>
      <c r="B19">
        <f>'Production'!G21</f>
        <v/>
      </c>
      <c r="C19">
        <f>L19</f>
        <v/>
      </c>
      <c r="D19">
        <f>L19-L18</f>
        <v/>
      </c>
      <c r="E19">
        <f>D19-D18</f>
        <v/>
      </c>
      <c r="F19">
        <f>E19^2</f>
        <v/>
      </c>
      <c r="G19">
        <f>B19-L19</f>
        <v/>
      </c>
      <c r="L19">
        <f>'Production'!F18</f>
        <v/>
      </c>
      <c r="N19">
        <f>G19^2</f>
        <v/>
      </c>
    </row>
    <row r="20">
      <c r="A20" t="n">
        <v>2015</v>
      </c>
      <c r="B20">
        <f>'Production'!G22</f>
        <v/>
      </c>
      <c r="C20">
        <f>L20</f>
        <v/>
      </c>
      <c r="D20">
        <f>L20-L19</f>
        <v/>
      </c>
      <c r="E20">
        <f>D20-D19</f>
        <v/>
      </c>
      <c r="F20">
        <f>E20^2</f>
        <v/>
      </c>
      <c r="G20">
        <f>B20-L20</f>
        <v/>
      </c>
      <c r="L20">
        <f>'Production'!F19</f>
        <v/>
      </c>
      <c r="N20">
        <f>G20^2</f>
        <v/>
      </c>
    </row>
    <row r="21">
      <c r="A21" t="n">
        <v>2016</v>
      </c>
      <c r="B21">
        <f>'Production'!G23</f>
        <v/>
      </c>
      <c r="C21">
        <f>L21</f>
        <v/>
      </c>
      <c r="D21">
        <f>L21-L20</f>
        <v/>
      </c>
      <c r="E21">
        <f>D21-D20</f>
        <v/>
      </c>
      <c r="F21">
        <f>E21^2</f>
        <v/>
      </c>
      <c r="G21">
        <f>B21-L21</f>
        <v/>
      </c>
      <c r="L21">
        <f>'Production'!F20</f>
        <v/>
      </c>
      <c r="N21">
        <f>G21^2</f>
        <v/>
      </c>
    </row>
    <row r="22">
      <c r="A22" t="n">
        <v>2017</v>
      </c>
      <c r="B22">
        <f>'Production'!G24</f>
        <v/>
      </c>
      <c r="C22">
        <f>L22</f>
        <v/>
      </c>
      <c r="D22">
        <f>L22-L21</f>
        <v/>
      </c>
      <c r="E22">
        <f>D22-D21</f>
        <v/>
      </c>
      <c r="F22">
        <f>E22^2</f>
        <v/>
      </c>
      <c r="G22">
        <f>B22-L22</f>
        <v/>
      </c>
      <c r="L22">
        <f>'Production'!F21</f>
        <v/>
      </c>
      <c r="N22">
        <f>G22^2</f>
        <v/>
      </c>
    </row>
    <row r="23">
      <c r="A23" t="n">
        <v>2018</v>
      </c>
      <c r="B23">
        <f>'Production'!G25</f>
        <v/>
      </c>
      <c r="C23">
        <f>L23</f>
        <v/>
      </c>
      <c r="D23">
        <f>L23-L22</f>
        <v/>
      </c>
      <c r="E23">
        <f>D23-D22</f>
        <v/>
      </c>
      <c r="F23">
        <f>E23^2</f>
        <v/>
      </c>
      <c r="G23">
        <f>B23-L23</f>
        <v/>
      </c>
      <c r="L23">
        <f>'Production'!F22</f>
        <v/>
      </c>
      <c r="N23">
        <f>G23^2</f>
        <v/>
      </c>
    </row>
    <row r="24">
      <c r="A24" t="n">
        <v>2019</v>
      </c>
      <c r="B24">
        <f>'Production'!G26</f>
        <v/>
      </c>
      <c r="C24">
        <f>L24</f>
        <v/>
      </c>
      <c r="D24">
        <f>L24-L23</f>
        <v/>
      </c>
      <c r="E24">
        <f>D24-D23</f>
        <v/>
      </c>
      <c r="F24">
        <f>E24^2</f>
        <v/>
      </c>
      <c r="G24">
        <f>B24-L24</f>
        <v/>
      </c>
      <c r="L24">
        <f>'Production'!F23</f>
        <v/>
      </c>
      <c r="N24">
        <f>G24^2</f>
        <v/>
      </c>
    </row>
    <row r="25">
      <c r="A25" t="n">
        <v>2020</v>
      </c>
      <c r="B25">
        <f>'Production'!G27</f>
        <v/>
      </c>
      <c r="C25">
        <f>L25</f>
        <v/>
      </c>
      <c r="D25">
        <f>L25-L24</f>
        <v/>
      </c>
      <c r="E25">
        <f>D25-D24</f>
        <v/>
      </c>
      <c r="F25">
        <f>E25^2</f>
        <v/>
      </c>
      <c r="G25">
        <f>B25-L25</f>
        <v/>
      </c>
      <c r="L25">
        <f>'Production'!F24</f>
        <v/>
      </c>
      <c r="N25">
        <f>G25^2</f>
        <v/>
      </c>
    </row>
    <row r="26">
      <c r="A26" t="n">
        <v>2021</v>
      </c>
      <c r="B26">
        <f>'Production'!G28</f>
        <v/>
      </c>
      <c r="C26">
        <f>L26</f>
        <v/>
      </c>
      <c r="D26">
        <f>L26-L25</f>
        <v/>
      </c>
      <c r="E26">
        <f>D26-D25</f>
        <v/>
      </c>
      <c r="F26">
        <f>E26^2</f>
        <v/>
      </c>
      <c r="G26">
        <f>B26-L26</f>
        <v/>
      </c>
      <c r="L26">
        <f>'Production'!F25</f>
        <v/>
      </c>
      <c r="N26">
        <f>G26^2</f>
        <v/>
      </c>
    </row>
    <row r="27">
      <c r="A27" t="n">
        <v>2022</v>
      </c>
      <c r="B27">
        <f>'Production'!G29</f>
        <v/>
      </c>
      <c r="C27">
        <f>L27</f>
        <v/>
      </c>
      <c r="D27">
        <f>L27-L26</f>
        <v/>
      </c>
      <c r="E27">
        <f>D27-D26</f>
        <v/>
      </c>
      <c r="F27">
        <f>E27^2</f>
        <v/>
      </c>
      <c r="G27">
        <f>B27-L27</f>
        <v/>
      </c>
      <c r="L27">
        <f>'Production'!F26</f>
        <v/>
      </c>
      <c r="N27">
        <f>G27^2</f>
        <v/>
      </c>
    </row>
    <row r="28">
      <c r="A28" t="n">
        <v>2023</v>
      </c>
      <c r="B28">
        <f>'Production'!G30</f>
        <v/>
      </c>
      <c r="C28">
        <f>L28</f>
        <v/>
      </c>
      <c r="D28">
        <f>L28-L27</f>
        <v/>
      </c>
      <c r="E28">
        <f>D28-D27</f>
        <v/>
      </c>
      <c r="F28">
        <f>E28^2</f>
        <v/>
      </c>
      <c r="G28">
        <f>B28-L28</f>
        <v/>
      </c>
      <c r="L28">
        <f>'Production'!F27</f>
        <v/>
      </c>
      <c r="N28">
        <f>G28^2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2026-01-29T06:20:14Z</dcterms:created>
  <dcterms:modified xsi:type="dcterms:W3CDTF">2026-01-29T06:22:11Z</dcterms:modified>
</cp:coreProperties>
</file>