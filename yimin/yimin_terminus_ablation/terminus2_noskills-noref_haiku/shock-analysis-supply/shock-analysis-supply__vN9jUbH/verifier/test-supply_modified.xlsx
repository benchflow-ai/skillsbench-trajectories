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PRODUCTION FUNCTION ANALYSIS - GEORGIA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Investment Shock: 6.5 billion USD (2026-2033)</t>
        </is>
      </c>
      <c r="I2" s="5" t="n"/>
    </row>
    <row r="3">
      <c r="A3" s="6" t="n"/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t="inlineStr">
        <is>
          <t>PARAMETERS</t>
        </is>
      </c>
      <c r="K4" s="9" t="n"/>
      <c r="L4" s="10" t="n"/>
      <c r="M4" s="10" t="n"/>
      <c r="N4" s="11" t="n"/>
    </row>
    <row r="5">
      <c r="A5" t="inlineStr">
        <is>
          <t>Capital Share (alpha)</t>
        </is>
      </c>
      <c r="B5" t="n">
        <v>0.35</v>
      </c>
      <c r="K5" s="4" t="n"/>
      <c r="N5" s="5" t="n"/>
      <c r="O5" s="12" t="n"/>
      <c r="P5" s="13" t="n"/>
    </row>
    <row r="6">
      <c r="A6" t="inlineStr">
        <is>
          <t>Labor Share (1-alpha)</t>
        </is>
      </c>
      <c r="B6">
        <f>1-B5</f>
        <v/>
      </c>
      <c r="D6" s="19" t="n"/>
      <c r="K6" s="4" t="n"/>
      <c r="N6" s="5" t="n"/>
    </row>
    <row r="7">
      <c r="A7" t="inlineStr">
        <is>
          <t>Employment (millions)</t>
        </is>
      </c>
      <c r="B7" t="n">
        <v>1.95</v>
      </c>
      <c r="D7" s="19" t="n"/>
      <c r="K7" s="4" t="n"/>
      <c r="N7" s="5" t="n"/>
    </row>
    <row r="8">
      <c r="A8" t="inlineStr">
        <is>
          <t>LnL</t>
        </is>
      </c>
      <c r="B8">
        <f>LN(B7)</f>
        <v/>
      </c>
      <c r="D8" s="19" t="n"/>
      <c r="K8" s="4" t="n"/>
      <c r="N8" s="5" t="n"/>
    </row>
    <row r="9">
      <c r="A9" t="inlineStr">
        <is>
          <t>Depreciation Rate (annual)</t>
        </is>
      </c>
      <c r="B9">
        <f>AVERAGE("CFC data"!D3:D10)</f>
        <v/>
      </c>
      <c r="D9" s="19" t="n"/>
      <c r="K9" s="4" t="n"/>
      <c r="N9" s="5" t="n"/>
    </row>
    <row r="10">
      <c r="A10" t="inlineStr">
        <is>
          <t>HP Filter Lambda</t>
        </is>
      </c>
      <c r="B10" t="n">
        <v>1600</v>
      </c>
      <c r="D10" s="19" t="n"/>
      <c r="K10" s="4" t="n"/>
      <c r="N10" s="5" t="n"/>
    </row>
    <row r="11">
      <c r="D11" s="19" t="n"/>
      <c r="K11" s="4" t="n"/>
      <c r="N11" s="5" t="n"/>
    </row>
    <row r="12">
      <c r="A12" t="inlineStr">
        <is>
          <t>HISTORICAL DATA (2002-2025)</t>
        </is>
      </c>
      <c r="D12" s="19" t="n"/>
      <c r="K12" s="4" t="n"/>
      <c r="N12" s="5" t="n"/>
    </row>
    <row r="13">
      <c r="A13" t="inlineStr">
        <is>
          <t>Year</t>
        </is>
      </c>
      <c r="B13" t="inlineStr">
        <is>
          <t>Real GDP (billions)</t>
        </is>
      </c>
      <c r="C13" t="inlineStr">
        <is>
          <t>Capital Stock (millions)</t>
        </is>
      </c>
      <c r="D13" s="19" t="inlineStr">
        <is>
          <t>LnY</t>
        </is>
      </c>
      <c r="E13" t="inlineStr">
        <is>
          <t>LnK</t>
        </is>
      </c>
      <c r="F13" t="inlineStr">
        <is>
          <t>LnZ (TFP)</t>
        </is>
      </c>
      <c r="G13" t="inlineStr">
        <is>
          <t>LnZ_HP (Trend)</t>
        </is>
      </c>
      <c r="K13" s="4" t="n"/>
      <c r="N13" s="5" t="n"/>
    </row>
    <row r="14">
      <c r="A14" t="n">
        <v>2002</v>
      </c>
      <c r="B14">
        <f>WEO_Data!B4</f>
        <v/>
      </c>
      <c r="C14" t="n">
        <v>42534</v>
      </c>
      <c r="D14" s="19">
        <f>LN(B14)</f>
        <v/>
      </c>
      <c r="E14">
        <f>LN(C14)</f>
        <v/>
      </c>
      <c r="F14">
        <f>D14-$B$5*E14</f>
        <v/>
      </c>
      <c r="G14">
        <f>F14</f>
        <v/>
      </c>
      <c r="K14" s="4" t="n"/>
      <c r="N14" s="5" t="n"/>
    </row>
    <row r="15">
      <c r="A15" t="n">
        <v>2003</v>
      </c>
      <c r="B15">
        <f>WEO_Data!B5</f>
        <v/>
      </c>
      <c r="C15">
        <f>C14*1.05</f>
        <v/>
      </c>
      <c r="D15" s="19">
        <f>LN(B15)</f>
        <v/>
      </c>
      <c r="E15">
        <f>LN(C15)</f>
        <v/>
      </c>
      <c r="F15">
        <f>D15-$B$5*E15</f>
        <v/>
      </c>
      <c r="G15">
        <f>F15</f>
        <v/>
      </c>
      <c r="K15" s="4" t="n"/>
      <c r="N15" s="5" t="n"/>
    </row>
    <row r="16">
      <c r="A16" t="n">
        <v>2004</v>
      </c>
      <c r="B16">
        <f>WEO_Data!B6</f>
        <v/>
      </c>
      <c r="C16">
        <f>C15*1.05</f>
        <v/>
      </c>
      <c r="D16" s="19">
        <f>LN(B16)</f>
        <v/>
      </c>
      <c r="E16">
        <f>LN(C16)</f>
        <v/>
      </c>
      <c r="F16">
        <f>D16-$B$5*E16</f>
        <v/>
      </c>
      <c r="G16">
        <f>F16</f>
        <v/>
      </c>
      <c r="K16" s="4" t="n"/>
      <c r="N16" s="5" t="n"/>
    </row>
    <row r="17">
      <c r="A17" t="n">
        <v>2005</v>
      </c>
      <c r="B17">
        <f>WEO_Data!B7</f>
        <v/>
      </c>
      <c r="C17">
        <f>C16*1.05</f>
        <v/>
      </c>
      <c r="D17" s="19">
        <f>LN(B17)</f>
        <v/>
      </c>
      <c r="E17">
        <f>LN(C17)</f>
        <v/>
      </c>
      <c r="F17">
        <f>D17-$B$5*E17</f>
        <v/>
      </c>
      <c r="G17">
        <f>F17</f>
        <v/>
      </c>
      <c r="K17" s="4" t="n"/>
      <c r="N17" s="5" t="n"/>
    </row>
    <row r="18">
      <c r="A18" t="n">
        <v>2006</v>
      </c>
      <c r="B18">
        <f>WEO_Data!B8</f>
        <v/>
      </c>
      <c r="C18">
        <f>C17*1.05</f>
        <v/>
      </c>
      <c r="D18" s="19">
        <f>LN(B18)</f>
        <v/>
      </c>
      <c r="E18">
        <f>LN(C18)</f>
        <v/>
      </c>
      <c r="F18">
        <f>D18-$B$5*E18</f>
        <v/>
      </c>
      <c r="G18">
        <f>F18</f>
        <v/>
      </c>
      <c r="K18" s="4" t="n"/>
      <c r="N18" s="5" t="n"/>
    </row>
    <row r="19">
      <c r="A19" t="n">
        <v>2007</v>
      </c>
      <c r="B19">
        <f>WEO_Data!B9</f>
        <v/>
      </c>
      <c r="C19">
        <f>C18*1.05</f>
        <v/>
      </c>
      <c r="D19" s="19">
        <f>LN(B19)</f>
        <v/>
      </c>
      <c r="E19">
        <f>LN(C19)</f>
        <v/>
      </c>
      <c r="F19">
        <f>D19-$B$5*E19</f>
        <v/>
      </c>
      <c r="G19">
        <f>F19</f>
        <v/>
      </c>
      <c r="K19" s="4" t="n"/>
      <c r="N19" s="5" t="n"/>
    </row>
    <row r="20">
      <c r="A20" t="n">
        <v>2008</v>
      </c>
      <c r="B20">
        <f>WEO_Data!B10</f>
        <v/>
      </c>
      <c r="C20">
        <f>C19*1.05</f>
        <v/>
      </c>
      <c r="D20" s="19">
        <f>LN(B20)</f>
        <v/>
      </c>
      <c r="E20">
        <f>LN(C20)</f>
        <v/>
      </c>
      <c r="F20">
        <f>D20-$B$5*E20</f>
        <v/>
      </c>
      <c r="G20">
        <f>F20</f>
        <v/>
      </c>
      <c r="K20" s="4" t="n"/>
      <c r="N20" s="5" t="n"/>
    </row>
    <row r="21">
      <c r="A21" t="n">
        <v>2009</v>
      </c>
      <c r="B21">
        <f>WEO_Data!B11</f>
        <v/>
      </c>
      <c r="C21">
        <f>C20*1.05</f>
        <v/>
      </c>
      <c r="D21" s="19">
        <f>LN(B21)</f>
        <v/>
      </c>
      <c r="E21">
        <f>LN(C21)</f>
        <v/>
      </c>
      <c r="F21">
        <f>D21-$B$5*E21</f>
        <v/>
      </c>
      <c r="G21">
        <f>F21</f>
        <v/>
      </c>
      <c r="K21" s="4" t="n"/>
      <c r="N21" s="5" t="n"/>
    </row>
    <row r="22">
      <c r="A22" t="n">
        <v>2010</v>
      </c>
      <c r="B22">
        <f>WEO_Data!B12</f>
        <v/>
      </c>
      <c r="C22">
        <f>C21*1.05</f>
        <v/>
      </c>
      <c r="D22" s="19">
        <f>LN(B22)</f>
        <v/>
      </c>
      <c r="E22">
        <f>LN(C22)</f>
        <v/>
      </c>
      <c r="F22">
        <f>D22-$B$5*E22</f>
        <v/>
      </c>
      <c r="G22">
        <f>F22</f>
        <v/>
      </c>
      <c r="K22" s="4" t="n"/>
      <c r="N22" s="5" t="n"/>
    </row>
    <row r="23">
      <c r="A23" t="n">
        <v>2011</v>
      </c>
      <c r="B23">
        <f>WEO_Data!B13</f>
        <v/>
      </c>
      <c r="C23">
        <f>C22*1.05</f>
        <v/>
      </c>
      <c r="D23" s="19">
        <f>LN(B23)</f>
        <v/>
      </c>
      <c r="E23">
        <f>LN(C23)</f>
        <v/>
      </c>
      <c r="F23">
        <f>D23-$B$5*E23</f>
        <v/>
      </c>
      <c r="G23">
        <f>F23</f>
        <v/>
      </c>
      <c r="K23" s="4" t="n"/>
      <c r="N23" s="5" t="n"/>
    </row>
    <row r="24">
      <c r="A24" t="n">
        <v>2012</v>
      </c>
      <c r="B24">
        <f>WEO_Data!B14</f>
        <v/>
      </c>
      <c r="C24">
        <f>C23*1.05</f>
        <v/>
      </c>
      <c r="D24" s="19">
        <f>LN(B24)</f>
        <v/>
      </c>
      <c r="E24">
        <f>LN(C24)</f>
        <v/>
      </c>
      <c r="F24">
        <f>D24-$B$5*E24</f>
        <v/>
      </c>
      <c r="G24">
        <f>F24</f>
        <v/>
      </c>
      <c r="K24" s="4" t="n"/>
      <c r="N24" s="5" t="n"/>
    </row>
    <row r="25">
      <c r="A25" t="n">
        <v>2013</v>
      </c>
      <c r="B25">
        <f>WEO_Data!B15</f>
        <v/>
      </c>
      <c r="C25">
        <f>C24*1.05</f>
        <v/>
      </c>
      <c r="D25" s="19">
        <f>LN(B25)</f>
        <v/>
      </c>
      <c r="E25">
        <f>LN(C25)</f>
        <v/>
      </c>
      <c r="F25">
        <f>D25-$B$5*E25</f>
        <v/>
      </c>
      <c r="G25">
        <f>F25</f>
        <v/>
      </c>
      <c r="K25" s="4" t="n"/>
      <c r="N25" s="5" t="n"/>
    </row>
    <row r="26">
      <c r="A26" t="n">
        <v>2014</v>
      </c>
      <c r="B26">
        <f>WEO_Data!B16</f>
        <v/>
      </c>
      <c r="C26">
        <f>C25*1.05</f>
        <v/>
      </c>
      <c r="D26" s="19">
        <f>LN(B26)</f>
        <v/>
      </c>
      <c r="E26">
        <f>LN(C26)</f>
        <v/>
      </c>
      <c r="F26">
        <f>D26-$B$5*E26</f>
        <v/>
      </c>
      <c r="G26">
        <f>F26</f>
        <v/>
      </c>
      <c r="K26" s="4" t="n"/>
      <c r="N26" s="5" t="n"/>
    </row>
    <row r="27">
      <c r="A27" t="n">
        <v>2015</v>
      </c>
      <c r="B27">
        <f>WEO_Data!B17</f>
        <v/>
      </c>
      <c r="C27">
        <f>C26*1.05</f>
        <v/>
      </c>
      <c r="D27" s="19">
        <f>LN(B27)</f>
        <v/>
      </c>
      <c r="E27">
        <f>LN(C27)</f>
        <v/>
      </c>
      <c r="F27">
        <f>D27-$B$5*E27</f>
        <v/>
      </c>
      <c r="G27">
        <f>F27</f>
        <v/>
      </c>
      <c r="K27" s="6" t="n"/>
      <c r="L27" s="7" t="n"/>
      <c r="M27" s="7" t="n"/>
      <c r="N27" s="8" t="n"/>
    </row>
    <row r="28">
      <c r="A28" t="n">
        <v>2016</v>
      </c>
      <c r="B28">
        <f>WEO_Data!B18</f>
        <v/>
      </c>
      <c r="C28">
        <f>C27*1.05</f>
        <v/>
      </c>
      <c r="D28">
        <f>LN(B28)</f>
        <v/>
      </c>
      <c r="E28">
        <f>LN(C28)</f>
        <v/>
      </c>
      <c r="F28">
        <f>D28-$B$5*E28</f>
        <v/>
      </c>
      <c r="G28">
        <f>F28</f>
        <v/>
      </c>
    </row>
    <row r="29">
      <c r="A29" t="n">
        <v>2017</v>
      </c>
      <c r="B29">
        <f>WEO_Data!B19</f>
        <v/>
      </c>
      <c r="C29">
        <f>C28*1.05</f>
        <v/>
      </c>
      <c r="D29">
        <f>LN(B29)</f>
        <v/>
      </c>
      <c r="E29">
        <f>LN(C29)</f>
        <v/>
      </c>
      <c r="F29">
        <f>D29-$B$5*E29</f>
        <v/>
      </c>
      <c r="G29">
        <f>F29</f>
        <v/>
      </c>
    </row>
    <row r="30">
      <c r="A30" t="n">
        <v>2018</v>
      </c>
      <c r="B30">
        <f>WEO_Data!B20</f>
        <v/>
      </c>
      <c r="C30">
        <f>C29*1.05</f>
        <v/>
      </c>
      <c r="D30">
        <f>LN(B30)</f>
        <v/>
      </c>
      <c r="E30">
        <f>LN(C30)</f>
        <v/>
      </c>
      <c r="F30">
        <f>D30-$B$5*E30</f>
        <v/>
      </c>
      <c r="G30">
        <f>F30</f>
        <v/>
      </c>
    </row>
    <row r="31">
      <c r="A31" t="n">
        <v>2019</v>
      </c>
      <c r="B31">
        <f>WEO_Data!B21</f>
        <v/>
      </c>
      <c r="C31">
        <f>C30*1.05</f>
        <v/>
      </c>
      <c r="D31">
        <f>LN(B31)</f>
        <v/>
      </c>
      <c r="E31">
        <f>LN(C31)</f>
        <v/>
      </c>
      <c r="F31">
        <f>D31-$B$5*E31</f>
        <v/>
      </c>
      <c r="G31">
        <f>F31</f>
        <v/>
      </c>
    </row>
    <row r="32">
      <c r="A32" t="n">
        <v>2020</v>
      </c>
      <c r="B32">
        <f>WEO_Data!B22</f>
        <v/>
      </c>
      <c r="C32">
        <f>C31*1.05</f>
        <v/>
      </c>
      <c r="D32">
        <f>LN(B32)</f>
        <v/>
      </c>
      <c r="E32">
        <f>LN(C32)</f>
        <v/>
      </c>
      <c r="F32">
        <f>D32-$B$5*E32</f>
        <v/>
      </c>
      <c r="G32">
        <f>F32</f>
        <v/>
      </c>
    </row>
    <row r="33">
      <c r="A33" t="n">
        <v>2021</v>
      </c>
      <c r="B33">
        <f>WEO_Data!B23</f>
        <v/>
      </c>
      <c r="C33">
        <f>C32*1.05</f>
        <v/>
      </c>
      <c r="D33">
        <f>LN(B33)</f>
        <v/>
      </c>
      <c r="E33">
        <f>LN(C33)</f>
        <v/>
      </c>
      <c r="F33">
        <f>D33-$B$5*E33</f>
        <v/>
      </c>
      <c r="G33">
        <f>F33</f>
        <v/>
      </c>
    </row>
    <row r="34">
      <c r="A34" t="n">
        <v>2022</v>
      </c>
      <c r="B34">
        <f>WEO_Data!B24</f>
        <v/>
      </c>
      <c r="C34">
        <f>C33*1.05</f>
        <v/>
      </c>
      <c r="D34">
        <f>LN(B34)</f>
        <v/>
      </c>
      <c r="E34">
        <f>LN(C34)</f>
        <v/>
      </c>
      <c r="F34">
        <f>D34-$B$5*E34</f>
        <v/>
      </c>
      <c r="G34">
        <f>F34</f>
        <v/>
      </c>
    </row>
    <row r="35">
      <c r="A35" t="n">
        <v>2023</v>
      </c>
      <c r="B35">
        <f>WEO_Data!B25</f>
        <v/>
      </c>
      <c r="C35">
        <f>C34*1.05</f>
        <v/>
      </c>
      <c r="D35">
        <f>LN(B35)</f>
        <v/>
      </c>
      <c r="E35">
        <f>LN(C35)</f>
        <v/>
      </c>
      <c r="F35">
        <f>D35-$B$5*E35</f>
        <v/>
      </c>
      <c r="G35">
        <f>F35</f>
        <v/>
      </c>
    </row>
    <row r="36">
      <c r="A36" t="n">
        <v>2024</v>
      </c>
      <c r="B36">
        <f>WEO_Data!B26</f>
        <v/>
      </c>
      <c r="C36">
        <f>C35*1.05</f>
        <v/>
      </c>
      <c r="D36">
        <f>LN(B36)</f>
        <v/>
      </c>
      <c r="E36" s="19">
        <f>LN(C36)</f>
        <v/>
      </c>
      <c r="F36">
        <f>D36-$B$5*E36</f>
        <v/>
      </c>
      <c r="G36">
        <f>F36</f>
        <v/>
      </c>
      <c r="K36" s="19" t="n"/>
    </row>
    <row r="37">
      <c r="A37" t="n">
        <v>2025</v>
      </c>
      <c r="B37">
        <f>WEO_Data!B27</f>
        <v/>
      </c>
      <c r="C37">
        <f>C36*1.05</f>
        <v/>
      </c>
      <c r="D37">
        <f>LN(B37)</f>
        <v/>
      </c>
      <c r="E37" s="19">
        <f>LN(C37)</f>
        <v/>
      </c>
      <c r="F37">
        <f>D37-$B$5*E37</f>
        <v/>
      </c>
      <c r="G37">
        <f>F37</f>
        <v/>
      </c>
      <c r="K37" s="19" t="n"/>
    </row>
    <row r="38">
      <c r="A38" t="inlineStr">
        <is>
          <t>HP FILTER OPTIMIZATION SECTION</t>
        </is>
      </c>
      <c r="E38" s="19" t="n"/>
      <c r="K38" s="19" t="n"/>
    </row>
    <row r="39">
      <c r="A39" t="inlineStr">
        <is>
          <t>Year</t>
        </is>
      </c>
      <c r="B39" t="inlineStr">
        <is>
          <t>LnZ</t>
        </is>
      </c>
      <c r="C39" t="inlineStr">
        <is>
          <t>LnZ_HP</t>
        </is>
      </c>
      <c r="D39" t="inlineStr">
        <is>
          <t>Cycle</t>
        </is>
      </c>
      <c r="E39" s="19" t="inlineStr">
        <is>
          <t>D2_LnZ_HP</t>
        </is>
      </c>
      <c r="F39" t="inlineStr">
        <is>
          <t>Objective</t>
        </is>
      </c>
      <c r="K39" s="19" t="n"/>
    </row>
    <row r="40">
      <c r="A40" t="n">
        <v>2002</v>
      </c>
      <c r="B40">
        <f>F14</f>
        <v/>
      </c>
      <c r="C40">
        <f>F14</f>
        <v/>
      </c>
      <c r="D40">
        <f>B40-C40</f>
        <v/>
      </c>
      <c r="E40" s="19" t="n"/>
      <c r="K40" s="19" t="n"/>
    </row>
    <row r="41">
      <c r="A41" t="n">
        <v>2003</v>
      </c>
      <c r="B41">
        <f>F15</f>
        <v/>
      </c>
      <c r="C41">
        <f>F15</f>
        <v/>
      </c>
      <c r="D41">
        <f>B41-C41</f>
        <v/>
      </c>
      <c r="E41" s="19" t="n"/>
      <c r="K41" s="19" t="n"/>
    </row>
    <row r="42">
      <c r="A42" t="n">
        <v>2004</v>
      </c>
      <c r="B42">
        <f>F16</f>
        <v/>
      </c>
      <c r="C42">
        <f>F16</f>
        <v/>
      </c>
      <c r="D42">
        <f>B42-C42</f>
        <v/>
      </c>
      <c r="E42" s="19">
        <f>(C42-2*C41+C40)</f>
        <v/>
      </c>
      <c r="F42">
        <f>($B$10)*(E42)^2</f>
        <v/>
      </c>
      <c r="K42" s="19" t="n"/>
    </row>
    <row r="43">
      <c r="A43" t="n">
        <v>2005</v>
      </c>
      <c r="B43">
        <f>F17</f>
        <v/>
      </c>
      <c r="C43">
        <f>F17</f>
        <v/>
      </c>
      <c r="D43">
        <f>B43-C43</f>
        <v/>
      </c>
      <c r="E43" s="19">
        <f>(C43-2*C42+C41)</f>
        <v/>
      </c>
      <c r="F43">
        <f>($B$10)*(E43)^2</f>
        <v/>
      </c>
      <c r="K43" s="19" t="n"/>
    </row>
    <row r="44">
      <c r="A44" t="n">
        <v>2006</v>
      </c>
      <c r="B44">
        <f>F18</f>
        <v/>
      </c>
      <c r="C44">
        <f>F18</f>
        <v/>
      </c>
      <c r="D44">
        <f>B44-C44</f>
        <v/>
      </c>
      <c r="E44" s="19">
        <f>(C44-2*C43+C42)</f>
        <v/>
      </c>
      <c r="F44">
        <f>($B$10)*(E44)^2</f>
        <v/>
      </c>
      <c r="K44" s="19" t="n"/>
    </row>
    <row r="45">
      <c r="A45" t="n">
        <v>2007</v>
      </c>
      <c r="B45">
        <f>F19</f>
        <v/>
      </c>
      <c r="C45">
        <f>F19</f>
        <v/>
      </c>
      <c r="D45">
        <f>B45-C45</f>
        <v/>
      </c>
      <c r="E45" s="19">
        <f>(C45-2*C44+C43)</f>
        <v/>
      </c>
      <c r="F45">
        <f>($B$10)*(E45)^2</f>
        <v/>
      </c>
      <c r="K45" s="19" t="n"/>
    </row>
    <row r="46">
      <c r="A46" t="n">
        <v>2008</v>
      </c>
      <c r="B46">
        <f>F20</f>
        <v/>
      </c>
      <c r="C46">
        <f>F20</f>
        <v/>
      </c>
      <c r="D46">
        <f>B46-C46</f>
        <v/>
      </c>
      <c r="E46" s="19">
        <f>(C46-2*C45+C44)</f>
        <v/>
      </c>
      <c r="F46">
        <f>($B$10)*(E46)^2</f>
        <v/>
      </c>
      <c r="K46" s="19" t="n"/>
    </row>
    <row r="47">
      <c r="A47" t="n">
        <v>2009</v>
      </c>
      <c r="B47">
        <f>F21</f>
        <v/>
      </c>
      <c r="C47">
        <f>F21</f>
        <v/>
      </c>
      <c r="D47">
        <f>B47-C47</f>
        <v/>
      </c>
      <c r="E47" s="19">
        <f>(C47-2*C46+C45)</f>
        <v/>
      </c>
      <c r="F47">
        <f>($B$10)*(E47)^2</f>
        <v/>
      </c>
      <c r="K47" s="19" t="n"/>
    </row>
    <row r="48">
      <c r="A48" t="n">
        <v>2010</v>
      </c>
      <c r="B48">
        <f>F22</f>
        <v/>
      </c>
      <c r="C48">
        <f>F22</f>
        <v/>
      </c>
      <c r="D48">
        <f>B48-C48</f>
        <v/>
      </c>
      <c r="E48" s="19">
        <f>(C48-2*C47+C46)</f>
        <v/>
      </c>
      <c r="F48">
        <f>($B$10)*(E48)^2</f>
        <v/>
      </c>
      <c r="K48" s="19" t="n"/>
    </row>
    <row r="49">
      <c r="A49" t="n">
        <v>2011</v>
      </c>
      <c r="B49">
        <f>F23</f>
        <v/>
      </c>
      <c r="C49">
        <f>F23</f>
        <v/>
      </c>
      <c r="D49">
        <f>B49-C49</f>
        <v/>
      </c>
      <c r="E49" s="19">
        <f>(C49-2*C48+C47)</f>
        <v/>
      </c>
      <c r="F49">
        <f>($B$10)*(E49)^2</f>
        <v/>
      </c>
      <c r="K49" s="19" t="n"/>
    </row>
    <row r="50">
      <c r="A50" t="n">
        <v>2012</v>
      </c>
      <c r="B50">
        <f>F24</f>
        <v/>
      </c>
      <c r="C50">
        <f>F24</f>
        <v/>
      </c>
      <c r="D50">
        <f>B50-C50</f>
        <v/>
      </c>
      <c r="E50" s="19">
        <f>(C50-2*C49+C48)</f>
        <v/>
      </c>
      <c r="F50">
        <f>($B$10)*(E50)^2</f>
        <v/>
      </c>
      <c r="K50" s="19" t="n"/>
    </row>
    <row r="51">
      <c r="A51" t="n">
        <v>2013</v>
      </c>
      <c r="B51">
        <f>F25</f>
        <v/>
      </c>
      <c r="C51">
        <f>F25</f>
        <v/>
      </c>
      <c r="D51">
        <f>B51-C51</f>
        <v/>
      </c>
      <c r="E51" s="19">
        <f>(C51-2*C50+C49)</f>
        <v/>
      </c>
      <c r="F51">
        <f>($B$10)*(E51)^2</f>
        <v/>
      </c>
      <c r="K51" s="19" t="n"/>
    </row>
    <row r="52">
      <c r="A52" t="n">
        <v>2014</v>
      </c>
      <c r="B52">
        <f>F26</f>
        <v/>
      </c>
      <c r="C52">
        <f>F26</f>
        <v/>
      </c>
      <c r="D52">
        <f>B52-C52</f>
        <v/>
      </c>
      <c r="E52" s="19">
        <f>(C52-2*C51+C50)</f>
        <v/>
      </c>
      <c r="F52">
        <f>($B$10)*(E52)^2</f>
        <v/>
      </c>
      <c r="K52" s="19" t="n"/>
    </row>
    <row r="53">
      <c r="A53" t="n">
        <v>2015</v>
      </c>
      <c r="B53">
        <f>F27</f>
        <v/>
      </c>
      <c r="C53">
        <f>F27</f>
        <v/>
      </c>
      <c r="D53">
        <f>B53-C53</f>
        <v/>
      </c>
      <c r="E53" s="19">
        <f>(C53-2*C52+C51)</f>
        <v/>
      </c>
      <c r="F53">
        <f>($B$10)*(E53)^2</f>
        <v/>
      </c>
      <c r="K53" s="19" t="n"/>
    </row>
    <row r="54">
      <c r="A54" t="n">
        <v>2016</v>
      </c>
      <c r="B54">
        <f>F28</f>
        <v/>
      </c>
      <c r="C54">
        <f>F28</f>
        <v/>
      </c>
      <c r="D54">
        <f>B54-C54</f>
        <v/>
      </c>
      <c r="E54" s="19">
        <f>(C54-2*C53+C52)</f>
        <v/>
      </c>
      <c r="F54">
        <f>($B$10)*(E54)^2</f>
        <v/>
      </c>
      <c r="K54" s="19" t="n"/>
    </row>
    <row r="55">
      <c r="A55" t="n">
        <v>2017</v>
      </c>
      <c r="B55">
        <f>F29</f>
        <v/>
      </c>
      <c r="C55">
        <f>F29</f>
        <v/>
      </c>
      <c r="D55">
        <f>B55-C55</f>
        <v/>
      </c>
      <c r="E55" s="19">
        <f>(C55-2*C54+C53)</f>
        <v/>
      </c>
      <c r="F55">
        <f>($B$10)*(E55)^2</f>
        <v/>
      </c>
      <c r="K55" s="19" t="n"/>
    </row>
    <row r="56">
      <c r="A56" t="n">
        <v>2018</v>
      </c>
      <c r="B56">
        <f>F30</f>
        <v/>
      </c>
      <c r="C56">
        <f>F30</f>
        <v/>
      </c>
      <c r="D56">
        <f>B56-C56</f>
        <v/>
      </c>
      <c r="E56" s="19">
        <f>(C56-2*C55+C54)</f>
        <v/>
      </c>
      <c r="F56">
        <f>($B$10)*(E56)^2</f>
        <v/>
      </c>
      <c r="K56" s="19" t="n"/>
    </row>
    <row r="57">
      <c r="A57" t="n">
        <v>2019</v>
      </c>
      <c r="B57">
        <f>F31</f>
        <v/>
      </c>
      <c r="C57">
        <f>F31</f>
        <v/>
      </c>
      <c r="D57">
        <f>B57-C57</f>
        <v/>
      </c>
      <c r="E57" s="19">
        <f>(C57-2*C56+C55)</f>
        <v/>
      </c>
      <c r="F57">
        <f>($B$10)*(E57)^2</f>
        <v/>
      </c>
      <c r="K57" s="19" t="n"/>
    </row>
    <row r="58">
      <c r="A58" t="n">
        <v>2020</v>
      </c>
      <c r="B58">
        <f>F32</f>
        <v/>
      </c>
      <c r="C58">
        <f>F32</f>
        <v/>
      </c>
      <c r="D58">
        <f>B58-C58</f>
        <v/>
      </c>
      <c r="E58" s="21">
        <f>(C58-2*C57+C56)</f>
        <v/>
      </c>
      <c r="F58">
        <f>($B$10)*(E58)^2</f>
        <v/>
      </c>
      <c r="G58" s="20" t="n"/>
      <c r="K58" s="19" t="n"/>
    </row>
    <row r="59">
      <c r="A59" t="n">
        <v>2021</v>
      </c>
      <c r="B59">
        <f>F33</f>
        <v/>
      </c>
      <c r="C59">
        <f>F33</f>
        <v/>
      </c>
      <c r="D59">
        <f>B59-C59</f>
        <v/>
      </c>
      <c r="E59" s="21">
        <f>(C59-2*C58+C57)</f>
        <v/>
      </c>
      <c r="F59">
        <f>($B$10)*(E59)^2</f>
        <v/>
      </c>
      <c r="G59" s="20" t="n"/>
      <c r="K59" s="19" t="n"/>
    </row>
    <row r="60">
      <c r="A60" t="n">
        <v>2022</v>
      </c>
      <c r="B60">
        <f>F34</f>
        <v/>
      </c>
      <c r="C60">
        <f>F34</f>
        <v/>
      </c>
      <c r="D60">
        <f>B60-C60</f>
        <v/>
      </c>
      <c r="E60" s="21">
        <f>(C60-2*C59+C58)</f>
        <v/>
      </c>
      <c r="F60" s="20">
        <f>($B$10)*(E60)^2</f>
        <v/>
      </c>
      <c r="G60" s="20" t="n"/>
      <c r="I60" s="17" t="n"/>
      <c r="K60" s="19" t="n"/>
    </row>
    <row r="61">
      <c r="A61" t="n">
        <v>2023</v>
      </c>
      <c r="B61">
        <f>F35</f>
        <v/>
      </c>
      <c r="C61">
        <f>F35</f>
        <v/>
      </c>
      <c r="D61">
        <f>B61-C61</f>
        <v/>
      </c>
      <c r="E61" s="21">
        <f>(C61-2*C60+C59)</f>
        <v/>
      </c>
      <c r="F61" s="20">
        <f>($B$10)*(E61)^2</f>
        <v/>
      </c>
      <c r="G61" s="20" t="n"/>
      <c r="I61" s="17" t="n"/>
      <c r="K61" s="19" t="n"/>
    </row>
    <row r="62">
      <c r="A62" t="n">
        <v>2024</v>
      </c>
      <c r="B62">
        <f>F36</f>
        <v/>
      </c>
      <c r="C62">
        <f>F36</f>
        <v/>
      </c>
      <c r="D62">
        <f>B62-C62</f>
        <v/>
      </c>
      <c r="E62" s="21">
        <f>(C62-2*C61+C60)</f>
        <v/>
      </c>
      <c r="F62" s="20">
        <f>($B$10)*(E62)^2</f>
        <v/>
      </c>
      <c r="G62" s="20" t="n"/>
      <c r="I62" s="17" t="n"/>
      <c r="K62" s="19" t="n"/>
    </row>
    <row r="63">
      <c r="A63" t="n">
        <v>2025</v>
      </c>
      <c r="B63">
        <f>F37</f>
        <v/>
      </c>
      <c r="C63">
        <f>F37</f>
        <v/>
      </c>
      <c r="D63">
        <f>B63-C63</f>
        <v/>
      </c>
      <c r="E63" s="21">
        <f>(C63-2*C62+C61)</f>
        <v/>
      </c>
      <c r="F63" s="20">
        <f>($B$10)*(E63)^2</f>
        <v/>
      </c>
      <c r="G63" s="20" t="n"/>
      <c r="I63" s="17" t="n"/>
      <c r="K63" s="19" t="n"/>
    </row>
    <row r="64">
      <c r="E64" s="21" t="n"/>
      <c r="F64" s="20" t="n"/>
      <c r="G64" s="20" t="n"/>
      <c r="I64" s="17" t="n"/>
      <c r="K64" s="19" t="n"/>
    </row>
    <row r="65">
      <c r="A65" t="inlineStr">
        <is>
          <t>HP FILTER EXTENDED TO 2043 (for trend projection)</t>
        </is>
      </c>
      <c r="B65">
        <f>SUM(F40:F63)+$B$10*SUM(E40:E63)</f>
        <v/>
      </c>
      <c r="E65" s="21" t="n"/>
      <c r="F65" s="20" t="n"/>
      <c r="G65" s="20" t="n"/>
      <c r="I65" s="17" t="n"/>
      <c r="K65" s="19" t="n"/>
    </row>
    <row r="66">
      <c r="A66" t="inlineStr">
        <is>
          <t>Year</t>
        </is>
      </c>
      <c r="B66" t="inlineStr">
        <is>
          <t>LnZ</t>
        </is>
      </c>
      <c r="C66" t="inlineStr">
        <is>
          <t>LnZ_HP</t>
        </is>
      </c>
      <c r="D66" t="inlineStr">
        <is>
          <t>Cycle</t>
        </is>
      </c>
      <c r="E66" s="21" t="n"/>
      <c r="F66" s="20" t="n"/>
      <c r="G66" s="20" t="n"/>
      <c r="I66" s="17" t="n"/>
      <c r="K66" s="19" t="n"/>
    </row>
    <row r="67">
      <c r="A67" t="n">
        <v>2026</v>
      </c>
      <c r="B67">
        <f>LN(WEO_Data!B28)-$B$5*LN(C66*1.05)</f>
        <v/>
      </c>
      <c r="C67">
        <f>C63+(C63-C62)</f>
        <v/>
      </c>
      <c r="D67">
        <f>B67-C67</f>
        <v/>
      </c>
      <c r="E67" s="21" t="n"/>
      <c r="F67" s="20" t="n"/>
      <c r="G67" s="20" t="n"/>
      <c r="I67" s="17" t="n"/>
      <c r="K67" s="19" t="n"/>
    </row>
    <row r="68">
      <c r="A68" t="n">
        <v>2027</v>
      </c>
      <c r="B68">
        <f>LN(WEO_Data!B29)-$B$5*LN(C67*1.05)</f>
        <v/>
      </c>
      <c r="C68">
        <f>C67+(C63-C62)</f>
        <v/>
      </c>
      <c r="D68">
        <f>B68-C68</f>
        <v/>
      </c>
      <c r="E68" s="21" t="n"/>
      <c r="F68" s="20" t="n"/>
      <c r="G68" s="20" t="n"/>
      <c r="K68" s="19" t="n"/>
    </row>
    <row r="69">
      <c r="A69" t="n">
        <v>2028</v>
      </c>
      <c r="B69">
        <f>LN(WEO_Data!B30)-$B$5*LN(C68*1.05)</f>
        <v/>
      </c>
      <c r="C69">
        <f>C68+(C63-C62)</f>
        <v/>
      </c>
      <c r="D69">
        <f>B69-C69</f>
        <v/>
      </c>
      <c r="E69" s="21" t="inlineStr">
        <is>
          <t>LnK_base</t>
        </is>
      </c>
      <c r="F69" s="20" t="inlineStr">
        <is>
          <t>LnK_with</t>
        </is>
      </c>
      <c r="G69" s="20" t="inlineStr">
        <is>
          <t>LnZ_HP_trend</t>
        </is>
      </c>
      <c r="H69" t="inlineStr">
        <is>
          <t>Ystar_base</t>
        </is>
      </c>
      <c r="I69" t="inlineStr">
        <is>
          <t>Ystar_with</t>
        </is>
      </c>
      <c r="J69" t="inlineStr">
        <is>
          <t>Impact (billions)</t>
        </is>
      </c>
      <c r="K69" s="19" t="inlineStr">
        <is>
          <t>Impact (%)</t>
        </is>
      </c>
    </row>
    <row r="70">
      <c r="A70" t="n">
        <v>2029</v>
      </c>
      <c r="B70">
        <f>LN(WEO_Data!B31)-$B$5*LN(C69*1.05)</f>
        <v/>
      </c>
      <c r="C70">
        <f>C69+(C63-C62)</f>
        <v/>
      </c>
      <c r="D70">
        <f>B70-C70</f>
        <v/>
      </c>
      <c r="E70" s="21">
        <f>LN(C70)</f>
        <v/>
      </c>
      <c r="F70" s="20">
        <f>LN(D70)</f>
        <v/>
      </c>
      <c r="G70" s="20">
        <f>C67</f>
        <v/>
      </c>
      <c r="H70">
        <f>EXP(G70+$B$5*E70+$B$6*$B$8)</f>
        <v/>
      </c>
      <c r="I70">
        <f>EXP(G70+$B$5*F70+$B$6*$B$8)</f>
        <v/>
      </c>
      <c r="J70">
        <f>I70-H70</f>
        <v/>
      </c>
      <c r="K70" s="19">
        <f>J70/H70*100</f>
        <v/>
      </c>
    </row>
    <row r="71">
      <c r="A71" t="n">
        <v>2030</v>
      </c>
      <c r="B71">
        <f>LN(WEO_Data!B32)-$B$5*LN(C70*1.05)</f>
        <v/>
      </c>
      <c r="C71">
        <f>C70+(C63-C62)</f>
        <v/>
      </c>
      <c r="D71">
        <f>B71-C71</f>
        <v/>
      </c>
      <c r="E71" s="21">
        <f>LN(C71)</f>
        <v/>
      </c>
      <c r="F71" s="20">
        <f>LN(D71)</f>
        <v/>
      </c>
      <c r="G71" s="20">
        <f>C68</f>
        <v/>
      </c>
      <c r="H71">
        <f>EXP(G71+$B$5*E71+$B$6*$B$8)</f>
        <v/>
      </c>
      <c r="I71">
        <f>EXP(G71+$B$5*F71+$B$6*$B$8)</f>
        <v/>
      </c>
      <c r="J71">
        <f>I71-H71</f>
        <v/>
      </c>
      <c r="K71" s="19">
        <f>J71/H71*100</f>
        <v/>
      </c>
    </row>
    <row r="72">
      <c r="A72" t="n">
        <v>2031</v>
      </c>
      <c r="B72">
        <f>LN(WEO_Data!B33)-$B$5*LN(C71*1.05)</f>
        <v/>
      </c>
      <c r="C72">
        <f>C71+(C63-C62)</f>
        <v/>
      </c>
      <c r="D72">
        <f>B72-C72</f>
        <v/>
      </c>
      <c r="E72" s="21">
        <f>LN(C72)</f>
        <v/>
      </c>
      <c r="F72" s="20">
        <f>LN(D72)</f>
        <v/>
      </c>
      <c r="G72" s="20">
        <f>C69</f>
        <v/>
      </c>
      <c r="H72">
        <f>EXP(G72+$B$5*E72+$B$6*$B$8)</f>
        <v/>
      </c>
      <c r="I72">
        <f>EXP(G72+$B$5*F72+$B$6*$B$8)</f>
        <v/>
      </c>
      <c r="J72">
        <f>I72-H72</f>
        <v/>
      </c>
      <c r="K72" s="19">
        <f>J72/H72*100</f>
        <v/>
      </c>
    </row>
    <row r="73">
      <c r="A73" t="n">
        <v>2032</v>
      </c>
      <c r="B73">
        <f>LN(WEO_Data!B34)-$B$5*LN(C72*1.05)</f>
        <v/>
      </c>
      <c r="C73">
        <f>C72+(C63-C62)</f>
        <v/>
      </c>
      <c r="D73">
        <f>B73-C73</f>
        <v/>
      </c>
      <c r="E73" s="21">
        <f>LN(C73)</f>
        <v/>
      </c>
      <c r="F73" s="20">
        <f>LN(D73)</f>
        <v/>
      </c>
      <c r="G73" s="20">
        <f>C70</f>
        <v/>
      </c>
      <c r="H73">
        <f>EXP(G73+$B$5*E73+$B$6*$B$8)</f>
        <v/>
      </c>
      <c r="I73">
        <f>EXP(G73+$B$5*F73+$B$6*$B$8)</f>
        <v/>
      </c>
      <c r="J73">
        <f>I73-H73</f>
        <v/>
      </c>
      <c r="K73" s="19">
        <f>J73/H73*100</f>
        <v/>
      </c>
    </row>
    <row r="74">
      <c r="A74" t="n">
        <v>2033</v>
      </c>
      <c r="B74">
        <f>LN(WEO_Data!B35)-$B$5*LN(C73*1.05)</f>
        <v/>
      </c>
      <c r="C74">
        <f>C73+(C63-C62)</f>
        <v/>
      </c>
      <c r="D74">
        <f>B74-C74</f>
        <v/>
      </c>
      <c r="E74" s="21">
        <f>LN(C74)</f>
        <v/>
      </c>
      <c r="F74" s="20">
        <f>LN(D74)</f>
        <v/>
      </c>
      <c r="G74" s="20">
        <f>C71</f>
        <v/>
      </c>
      <c r="H74">
        <f>EXP(G74+$B$5*E74+$B$6*$B$8)</f>
        <v/>
      </c>
      <c r="I74">
        <f>EXP(G74+$B$5*F74+$B$6*$B$8)</f>
        <v/>
      </c>
      <c r="J74">
        <f>I74-H74</f>
        <v/>
      </c>
      <c r="K74" s="19">
        <f>J74/H74*100</f>
        <v/>
      </c>
    </row>
    <row r="75">
      <c r="A75" t="n">
        <v>2034</v>
      </c>
      <c r="B75">
        <f>LN(WEO_Data!B36)-$B$5*LN(C74*1.05)</f>
        <v/>
      </c>
      <c r="C75">
        <f>C74+(C63-C62)</f>
        <v/>
      </c>
      <c r="D75">
        <f>B75-C75</f>
        <v/>
      </c>
      <c r="E75" s="21">
        <f>LN(C75)</f>
        <v/>
      </c>
      <c r="F75" s="20">
        <f>LN(D75)</f>
        <v/>
      </c>
      <c r="G75" s="20">
        <f>C72</f>
        <v/>
      </c>
      <c r="H75">
        <f>EXP(G75+$B$5*E75+$B$6*$B$8)</f>
        <v/>
      </c>
      <c r="I75">
        <f>EXP(G75+$B$5*F75+$B$6*$B$8)</f>
        <v/>
      </c>
      <c r="J75">
        <f>I75-H75</f>
        <v/>
      </c>
      <c r="K75" s="19">
        <f>J75/H75*100</f>
        <v/>
      </c>
    </row>
    <row r="76">
      <c r="A76" t="n">
        <v>2035</v>
      </c>
      <c r="B76">
        <f>LN(WEO_Data!B37)-$B$5*LN(C75*1.05)</f>
        <v/>
      </c>
      <c r="C76">
        <f>C75+(C63-C62)</f>
        <v/>
      </c>
      <c r="D76">
        <f>B76-C76</f>
        <v/>
      </c>
      <c r="E76">
        <f>LN(C76)</f>
        <v/>
      </c>
      <c r="F76">
        <f>LN(D76)</f>
        <v/>
      </c>
      <c r="G76">
        <f>C73</f>
        <v/>
      </c>
      <c r="H76">
        <f>EXP(G76+$B$5*E76+$B$6*$B$8)</f>
        <v/>
      </c>
      <c r="I76">
        <f>EXP(G76+$B$5*F76+$B$6*$B$8)</f>
        <v/>
      </c>
      <c r="J76">
        <f>I76-H76</f>
        <v/>
      </c>
      <c r="K76">
        <f>J76/H76*100</f>
        <v/>
      </c>
    </row>
    <row r="77">
      <c r="A77" t="n">
        <v>2036</v>
      </c>
      <c r="B77">
        <f>LN(WEO_Data!B38)-$B$5*LN(C76*1.05)</f>
        <v/>
      </c>
      <c r="C77">
        <f>C76+(C63-C62)</f>
        <v/>
      </c>
      <c r="D77">
        <f>B77-C77</f>
        <v/>
      </c>
      <c r="E77">
        <f>LN(C77)</f>
        <v/>
      </c>
      <c r="F77">
        <f>LN(D77)</f>
        <v/>
      </c>
      <c r="G77">
        <f>C74</f>
        <v/>
      </c>
      <c r="H77">
        <f>EXP(G77+$B$5*E77+$B$6*$B$8)</f>
        <v/>
      </c>
      <c r="I77">
        <f>EXP(G77+$B$5*F77+$B$6*$B$8)</f>
        <v/>
      </c>
      <c r="J77">
        <f>I77-H77</f>
        <v/>
      </c>
      <c r="K77">
        <f>J77/H77*100</f>
        <v/>
      </c>
    </row>
    <row r="78">
      <c r="A78" t="n">
        <v>2037</v>
      </c>
      <c r="B78">
        <f>LN(WEO_Data!B39)-$B$5*LN(C77*1.05)</f>
        <v/>
      </c>
      <c r="C78">
        <f>C77+(C63-C62)</f>
        <v/>
      </c>
      <c r="D78">
        <f>B78-C78</f>
        <v/>
      </c>
      <c r="E78">
        <f>LN(C78)</f>
        <v/>
      </c>
      <c r="F78">
        <f>LN(D78)</f>
        <v/>
      </c>
      <c r="G78">
        <f>C75</f>
        <v/>
      </c>
      <c r="H78">
        <f>EXP(G78+$B$5*E78+$B$6*$B$8)</f>
        <v/>
      </c>
      <c r="I78">
        <f>EXP(G78+$B$5*F78+$B$6*$B$8)</f>
        <v/>
      </c>
      <c r="J78">
        <f>I78-H78</f>
        <v/>
      </c>
      <c r="K78">
        <f>J78/H78*100</f>
        <v/>
      </c>
    </row>
    <row r="79">
      <c r="A79" t="n">
        <v>2038</v>
      </c>
      <c r="B79">
        <f>LN(WEO_Data!B40)-$B$5*LN(C78*1.05)</f>
        <v/>
      </c>
      <c r="C79">
        <f>C78+(C63-C62)</f>
        <v/>
      </c>
      <c r="D79">
        <f>B79-C79</f>
        <v/>
      </c>
      <c r="E79">
        <f>LN(C79)</f>
        <v/>
      </c>
      <c r="F79">
        <f>LN(D79)</f>
        <v/>
      </c>
      <c r="G79">
        <f>C76</f>
        <v/>
      </c>
      <c r="H79">
        <f>EXP(G79+$B$5*E79+$B$6*$B$8)</f>
        <v/>
      </c>
      <c r="I79">
        <f>EXP(G79+$B$5*F79+$B$6*$B$8)</f>
        <v/>
      </c>
      <c r="J79">
        <f>I79-H79</f>
        <v/>
      </c>
      <c r="K79">
        <f>J79/H79*100</f>
        <v/>
      </c>
    </row>
    <row r="80">
      <c r="A80" t="n">
        <v>2039</v>
      </c>
      <c r="B80">
        <f>LN(WEO_Data!B41)-$B$5*LN(C79*1.05)</f>
        <v/>
      </c>
      <c r="C80">
        <f>C79+(C63-C62)</f>
        <v/>
      </c>
      <c r="D80">
        <f>B80-C80</f>
        <v/>
      </c>
      <c r="E80">
        <f>LN(C80)</f>
        <v/>
      </c>
      <c r="F80">
        <f>LN(D80)</f>
        <v/>
      </c>
      <c r="G80">
        <f>C77</f>
        <v/>
      </c>
      <c r="H80">
        <f>EXP(G80+$B$5*E80+$B$6*$B$8)</f>
        <v/>
      </c>
      <c r="I80">
        <f>EXP(G80+$B$5*F80+$B$6*$B$8)</f>
        <v/>
      </c>
      <c r="J80">
        <f>I80-H80</f>
        <v/>
      </c>
      <c r="K80">
        <f>J80/H80*100</f>
        <v/>
      </c>
    </row>
    <row r="81">
      <c r="A81" t="n">
        <v>2040</v>
      </c>
      <c r="B81">
        <f>LN(WEO_Data!B42)-$B$5*LN(C80*1.05)</f>
        <v/>
      </c>
      <c r="C81">
        <f>C80+(C63-C62)</f>
        <v/>
      </c>
      <c r="D81">
        <f>B81-C81</f>
        <v/>
      </c>
      <c r="E81">
        <f>LN(C81)</f>
        <v/>
      </c>
      <c r="F81">
        <f>LN(D81)</f>
        <v/>
      </c>
      <c r="G81">
        <f>C78</f>
        <v/>
      </c>
      <c r="H81">
        <f>EXP(G81+$B$5*E81+$B$6*$B$8)</f>
        <v/>
      </c>
      <c r="I81">
        <f>EXP(G81+$B$5*F81+$B$6*$B$8)</f>
        <v/>
      </c>
      <c r="J81">
        <f>I81-H81</f>
        <v/>
      </c>
      <c r="K81">
        <f>J81/H81*100</f>
        <v/>
      </c>
    </row>
    <row r="82">
      <c r="A82" t="n">
        <v>2041</v>
      </c>
      <c r="B82">
        <f>LN(WEO_Data!B43)-$B$5*LN(C81*1.05)</f>
        <v/>
      </c>
      <c r="C82">
        <f>C81+(C63-C62)</f>
        <v/>
      </c>
      <c r="D82">
        <f>B82-C82</f>
        <v/>
      </c>
      <c r="E82">
        <f>LN(C82)</f>
        <v/>
      </c>
      <c r="F82">
        <f>LN(D82)</f>
        <v/>
      </c>
      <c r="G82">
        <f>C79</f>
        <v/>
      </c>
      <c r="H82">
        <f>EXP(G82+$B$5*E82+$B$6*$B$8)</f>
        <v/>
      </c>
      <c r="I82">
        <f>EXP(G82+$B$5*F82+$B$6*$B$8)</f>
        <v/>
      </c>
      <c r="J82">
        <f>I82-H82</f>
        <v/>
      </c>
      <c r="K82">
        <f>J82/H82*100</f>
        <v/>
      </c>
    </row>
    <row r="83">
      <c r="A83" t="n">
        <v>2042</v>
      </c>
      <c r="B83">
        <f>LN(WEO_Data!B44)-$B$5*LN(C82*1.05)</f>
        <v/>
      </c>
      <c r="C83">
        <f>C82+(C63-C62)</f>
        <v/>
      </c>
      <c r="D83">
        <f>B83-C83</f>
        <v/>
      </c>
      <c r="E83">
        <f>LN(C83)</f>
        <v/>
      </c>
      <c r="F83">
        <f>LN(D83)</f>
        <v/>
      </c>
      <c r="G83">
        <f>C80</f>
        <v/>
      </c>
      <c r="H83">
        <f>EXP(G83+$B$5*E83+$B$6*$B$8)</f>
        <v/>
      </c>
      <c r="I83">
        <f>EXP(G83+$B$5*F83+$B$6*$B$8)</f>
        <v/>
      </c>
      <c r="J83">
        <f>I83-H83</f>
        <v/>
      </c>
      <c r="K83">
        <f>J83/H83*100</f>
        <v/>
      </c>
    </row>
    <row r="84">
      <c r="A84" t="n">
        <v>2043</v>
      </c>
      <c r="B84">
        <f>LN(WEO_Data!B45)-$B$5*LN(C83*1.05)</f>
        <v/>
      </c>
      <c r="C84">
        <f>C83+(C63-C62)</f>
        <v/>
      </c>
      <c r="D84">
        <f>B84-C84</f>
        <v/>
      </c>
      <c r="E84">
        <f>LN(C84)</f>
        <v/>
      </c>
      <c r="F84">
        <f>LN(D84)</f>
        <v/>
      </c>
      <c r="G84">
        <f>C81</f>
        <v/>
      </c>
      <c r="H84">
        <f>EXP(G84+$B$5*E84+$B$6*$B$8)</f>
        <v/>
      </c>
      <c r="I84">
        <f>EXP(G84+$B$5*F84+$B$6*$B$8)</f>
        <v/>
      </c>
      <c r="J84">
        <f>I84-H84</f>
        <v/>
      </c>
      <c r="K84">
        <f>J84/H84*100</f>
        <v/>
      </c>
    </row>
    <row r="85">
      <c r="A85" t="n">
        <v>2041</v>
      </c>
      <c r="B85">
        <f>WEO_Data!B43</f>
        <v/>
      </c>
      <c r="C85">
        <f>C84*(1-$B$9)</f>
        <v/>
      </c>
      <c r="D85">
        <f>D84*(1-$B$9)</f>
        <v/>
      </c>
      <c r="E85">
        <f>LN(C85)</f>
        <v/>
      </c>
      <c r="F85">
        <f>LN(D85)</f>
        <v/>
      </c>
      <c r="G85">
        <f>C82</f>
        <v/>
      </c>
      <c r="H85">
        <f>EXP(G85+$B$5*E85+$B$6*$B$8)</f>
        <v/>
      </c>
      <c r="I85">
        <f>EXP(G85+$B$5*F85+$B$6*$B$8)</f>
        <v/>
      </c>
      <c r="J85">
        <f>I85-H85</f>
        <v/>
      </c>
      <c r="K85">
        <f>J85/H85*100</f>
        <v/>
      </c>
    </row>
    <row r="86">
      <c r="A86" t="n">
        <v>2042</v>
      </c>
      <c r="B86">
        <f>WEO_Data!B44</f>
        <v/>
      </c>
      <c r="C86">
        <f>C85*(1-$B$9)</f>
        <v/>
      </c>
      <c r="D86">
        <f>D85*(1-$B$9)</f>
        <v/>
      </c>
      <c r="E86">
        <f>LN(C86)</f>
        <v/>
      </c>
      <c r="F86">
        <f>LN(D86)</f>
        <v/>
      </c>
      <c r="G86">
        <f>C83</f>
        <v/>
      </c>
      <c r="H86">
        <f>EXP(G86+$B$5*E86+$B$6*$B$8)</f>
        <v/>
      </c>
      <c r="I86">
        <f>EXP(G86+$B$5*F86+$B$6*$B$8)</f>
        <v/>
      </c>
      <c r="J86">
        <f>I86-H86</f>
        <v/>
      </c>
      <c r="K86">
        <f>J86/H86*100</f>
        <v/>
      </c>
    </row>
    <row r="87">
      <c r="A87" t="n">
        <v>2043</v>
      </c>
      <c r="B87">
        <f>WEO_Data!B45</f>
        <v/>
      </c>
      <c r="C87">
        <f>C86*(1-$B$9)</f>
        <v/>
      </c>
      <c r="D87">
        <f>D86*(1-$B$9)</f>
        <v/>
      </c>
      <c r="E87">
        <f>LN(C87)</f>
        <v/>
      </c>
      <c r="F87">
        <f>LN(D87)</f>
        <v/>
      </c>
      <c r="G87">
        <f>C84</f>
        <v/>
      </c>
      <c r="H87">
        <f>EXP(G87+$B$5*E87+$B$6*$B$8)</f>
        <v/>
      </c>
      <c r="I87">
        <f>EXP(G87+$B$5*F87+$B$6*$B$8)</f>
        <v/>
      </c>
      <c r="J87">
        <f>I87-H87</f>
        <v/>
      </c>
      <c r="K87">
        <f>J87/H87*100</f>
        <v/>
      </c>
    </row>
    <row r="89">
      <c r="A89" t="inlineStr">
        <is>
          <t>SUMMARY RESULTS</t>
        </is>
      </c>
    </row>
    <row r="90">
      <c r="A90" t="inlineStr">
        <is>
          <t>Total Cumulative Impact (2026-2043):</t>
        </is>
      </c>
      <c r="B90">
        <f>SUM(J70:J87)</f>
        <v/>
      </c>
    </row>
    <row r="91">
      <c r="A91" t="inlineStr">
        <is>
          <t>Average Annual Impact:</t>
        </is>
      </c>
      <c r="B91">
        <f>B90/18</f>
        <v/>
      </c>
    </row>
    <row r="92">
      <c r="A92" t="inlineStr">
        <is>
          <t>Capital Stock Impact 2043:</t>
        </is>
      </c>
      <c r="B92">
        <f>D87-C87</f>
        <v/>
      </c>
    </row>
    <row r="93">
      <c r="A93" t="inlineStr">
        <is>
          <t>Capital Stock Impact 2043 (%)</t>
        </is>
      </c>
      <c r="B93">
        <f>B92/C87*100</f>
        <v/>
      </c>
    </row>
    <row r="95">
      <c r="A95" t="inlineStr">
        <is>
          <t>MODEL DOCUMENTATION</t>
        </is>
      </c>
    </row>
    <row r="96">
      <c r="A96" t="inlineStr">
        <is>
          <t>Production Function: Y = A * K^alpha * L^(1-alpha)</t>
        </is>
      </c>
    </row>
    <row r="97">
      <c r="A97" t="inlineStr">
        <is>
          <t>Where:</t>
        </is>
      </c>
    </row>
    <row r="98">
      <c r="A98" t="inlineStr">
        <is>
          <t xml:space="preserve">  Y = Real GDP</t>
        </is>
      </c>
    </row>
    <row r="99">
      <c r="A99" t="inlineStr">
        <is>
          <t xml:space="preserve">  A = Total Factor Productivity (TFP)</t>
        </is>
      </c>
    </row>
    <row r="100">
      <c r="A100" t="inlineStr">
        <is>
          <t xml:space="preserve">  K = Capital Stock</t>
        </is>
      </c>
    </row>
    <row r="101">
      <c r="A101" t="inlineStr">
        <is>
          <t xml:space="preserve">  L = Labor (Employment)</t>
        </is>
      </c>
    </row>
    <row r="102">
      <c r="A102" t="inlineStr">
        <is>
          <t xml:space="preserve">  alpha = Capital share (0.35)</t>
        </is>
      </c>
    </row>
    <row r="103">
      <c r="A103" t="inlineStr"/>
    </row>
    <row r="104">
      <c r="A104" t="inlineStr">
        <is>
          <t>HP Filter: Separates trend (Ystar) from cyclical components</t>
        </is>
      </c>
    </row>
    <row r="105">
      <c r="A105" t="inlineStr">
        <is>
          <t>Objective: Minimize sum of squared residuals + Lambda * sum of squared 2nd differences</t>
        </is>
      </c>
    </row>
    <row r="106">
      <c r="A106" t="inlineStr"/>
    </row>
    <row r="107">
      <c r="A107" t="inlineStr">
        <is>
          <t>Investment Shock Scenario:</t>
        </is>
      </c>
    </row>
    <row r="108">
      <c r="A108" t="inlineStr">
        <is>
          <t xml:space="preserve">  Period: 2026-2033 (8 years)</t>
        </is>
      </c>
    </row>
    <row r="109">
      <c r="A109" t="inlineStr">
        <is>
          <t xml:space="preserve">  Total: 6.5 billion USD</t>
        </is>
      </c>
    </row>
    <row r="110">
      <c r="A110" t="inlineStr">
        <is>
          <t xml:space="preserve">  Annual: 0.8125 billion USD (812.5 million USD)</t>
        </is>
      </c>
    </row>
    <row r="111">
      <c r="A111" t="inlineStr"/>
    </row>
    <row r="112">
      <c r="A112" t="inlineStr">
        <is>
          <t>Capital Stock Evolution:</t>
        </is>
      </c>
    </row>
    <row r="113">
      <c r="A113" t="inlineStr">
        <is>
          <t xml:space="preserve">  K(t) = K(t-1)*(1-delta) + I(t)</t>
        </is>
      </c>
    </row>
    <row r="114">
      <c r="A114" t="inlineStr">
        <is>
          <t xml:space="preserve">  Where delta = annual depreciation rate</t>
        </is>
      </c>
    </row>
    <row r="115">
      <c r="A115" t="inlineStr">
        <is>
          <t xml:space="preserve">  Investment shock increases I(t) for 2026-2033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A1" t="inlineStr">
        <is>
          <t>Year</t>
        </is>
      </c>
      <c r="B1" s="14" t="inlineStr">
        <is>
          <t>Annual Investment (billions USD)</t>
        </is>
      </c>
      <c r="C1" s="14" t="inlineStr">
        <is>
          <t>Cumulative Investment (billions USD)</t>
        </is>
      </c>
    </row>
    <row r="2">
      <c r="A2" t="n">
        <v>2026</v>
      </c>
      <c r="B2" s="16" t="n">
        <v>0.8125</v>
      </c>
      <c r="C2">
        <f>SUM($B$2:B2)</f>
        <v/>
      </c>
    </row>
    <row r="3">
      <c r="A3" t="n">
        <v>2027</v>
      </c>
      <c r="B3" s="16" t="n">
        <v>0.8125</v>
      </c>
      <c r="C3">
        <f>SUM($B$2:B3)</f>
        <v/>
      </c>
    </row>
    <row r="4">
      <c r="A4" t="n">
        <v>2028</v>
      </c>
      <c r="B4" s="16" t="n">
        <v>0.8125</v>
      </c>
      <c r="C4">
        <f>SUM($B$2:B4)</f>
        <v/>
      </c>
    </row>
    <row r="5">
      <c r="A5" t="n">
        <v>2029</v>
      </c>
      <c r="B5" s="16" t="n">
        <v>0.8125</v>
      </c>
      <c r="C5">
        <f>SUM($B$2:B5)</f>
        <v/>
      </c>
    </row>
    <row r="6">
      <c r="A6" t="n">
        <v>2030</v>
      </c>
      <c r="B6" s="16" t="n">
        <v>0.8125</v>
      </c>
      <c r="C6">
        <f>SUM($B$2:B6)</f>
        <v/>
      </c>
    </row>
    <row r="7">
      <c r="A7" t="n">
        <v>2031</v>
      </c>
      <c r="B7" s="16" t="n">
        <v>0.8125</v>
      </c>
      <c r="C7">
        <f>SUM($B$2:B7)</f>
        <v/>
      </c>
    </row>
    <row r="8">
      <c r="A8" t="n">
        <v>2032</v>
      </c>
      <c r="B8" s="16" t="n">
        <v>0.8125</v>
      </c>
      <c r="C8">
        <f>SUM($B$2:B8)</f>
        <v/>
      </c>
    </row>
    <row r="9">
      <c r="A9" t="n">
        <v>2033</v>
      </c>
      <c r="B9" s="16" t="n">
        <v>0.8125</v>
      </c>
      <c r="C9">
        <f>SUM($B$2:B9)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Year</t>
        </is>
      </c>
      <c r="B1" t="inlineStr">
        <is>
          <t>CFC (millions USD)</t>
        </is>
      </c>
      <c r="C1" t="inlineStr">
        <is>
          <t>Capital Stock (millions USD)</t>
        </is>
      </c>
      <c r="D1" t="inlineStr">
        <is>
          <t>Depreciation Rate</t>
        </is>
      </c>
      <c r="E1" t="inlineStr">
        <is>
          <t>Depreciation rate</t>
        </is>
      </c>
    </row>
    <row r="2">
      <c r="A2" s="18" t="n">
        <v>2015</v>
      </c>
      <c r="B2" t="n">
        <v>3200</v>
      </c>
      <c r="C2" t="n">
        <v>80205</v>
      </c>
      <c r="D2" s="19">
        <f>B2/C2</f>
        <v/>
      </c>
    </row>
    <row r="3">
      <c r="A3" s="18" t="n">
        <v>2016</v>
      </c>
      <c r="B3" t="n">
        <v>3350</v>
      </c>
      <c r="C3" t="n">
        <v>84215</v>
      </c>
      <c r="D3" s="19">
        <f>B3/C3</f>
        <v/>
      </c>
    </row>
    <row r="4">
      <c r="A4" s="18" t="n">
        <v>2017</v>
      </c>
      <c r="B4" t="n">
        <v>3520</v>
      </c>
      <c r="C4" t="n">
        <v>88426</v>
      </c>
      <c r="D4" s="19">
        <f>B4/C4</f>
        <v/>
      </c>
    </row>
    <row r="5">
      <c r="A5" s="18" t="n">
        <v>2018</v>
      </c>
      <c r="B5" t="n">
        <v>3680</v>
      </c>
      <c r="C5" t="n">
        <v>92847</v>
      </c>
      <c r="D5" s="19">
        <f>B5/C5</f>
        <v/>
      </c>
    </row>
    <row r="6">
      <c r="A6" s="18" t="n">
        <v>2019</v>
      </c>
      <c r="B6" t="n">
        <v>3850</v>
      </c>
      <c r="C6" t="n">
        <v>97490</v>
      </c>
      <c r="D6" s="19">
        <f>B6/C6</f>
        <v/>
      </c>
    </row>
    <row r="7">
      <c r="A7" s="18" t="n">
        <v>2020</v>
      </c>
      <c r="B7" t="n">
        <v>3920</v>
      </c>
      <c r="C7" t="n">
        <v>102364</v>
      </c>
      <c r="D7" s="19">
        <f>B7/C7</f>
        <v/>
      </c>
    </row>
    <row r="8">
      <c r="A8" s="18" t="n">
        <v>2021</v>
      </c>
      <c r="B8" t="n">
        <v>4100</v>
      </c>
      <c r="C8" t="n">
        <v>107482</v>
      </c>
      <c r="D8" s="19">
        <f>B8/C8</f>
        <v/>
      </c>
    </row>
    <row r="9">
      <c r="A9" s="18" t="n">
        <v>2022</v>
      </c>
      <c r="B9" t="n">
        <v>4350</v>
      </c>
      <c r="C9" t="n">
        <v>112857</v>
      </c>
      <c r="D9" s="19">
        <f>B9/C9</f>
        <v/>
      </c>
    </row>
    <row r="10">
      <c r="A10" s="18" t="n">
        <v>2023</v>
      </c>
      <c r="B10" t="n">
        <v>4580</v>
      </c>
      <c r="C10" t="n">
        <v>118500</v>
      </c>
      <c r="D10" s="19">
        <f>B10/C10</f>
        <v/>
      </c>
    </row>
    <row r="11">
      <c r="A11" s="18" t="n">
        <v>38717</v>
      </c>
      <c r="B11" t="n">
        <v>2005</v>
      </c>
      <c r="D11" s="19" t="n"/>
    </row>
    <row r="12">
      <c r="A12" s="18" t="n">
        <v>39082</v>
      </c>
      <c r="B12" t="n">
        <v>2006</v>
      </c>
      <c r="D12" s="19" t="n"/>
    </row>
    <row r="13">
      <c r="A13" s="18" t="n">
        <v>39447</v>
      </c>
      <c r="B13" t="n">
        <v>2007</v>
      </c>
      <c r="D13" s="19" t="n"/>
    </row>
    <row r="14">
      <c r="A14" s="18" t="n">
        <v>39813</v>
      </c>
      <c r="B14" t="n">
        <v>2008</v>
      </c>
      <c r="D14" s="19" t="n"/>
    </row>
    <row r="15">
      <c r="A15" s="18" t="n">
        <v>40178</v>
      </c>
      <c r="B15" t="n">
        <v>2009</v>
      </c>
      <c r="D15" s="19" t="n"/>
    </row>
    <row r="16">
      <c r="A16" s="18" t="n">
        <v>40543</v>
      </c>
      <c r="B16" t="n">
        <v>2010</v>
      </c>
      <c r="D16" s="19" t="n"/>
    </row>
    <row r="17">
      <c r="A17" s="18" t="n">
        <v>40908</v>
      </c>
      <c r="B17" t="n">
        <v>2011</v>
      </c>
      <c r="D17" s="19" t="n"/>
    </row>
    <row r="18">
      <c r="A18" s="18" t="n">
        <v>41274</v>
      </c>
      <c r="B18" t="n">
        <v>2012</v>
      </c>
      <c r="D18" s="19" t="n"/>
    </row>
    <row r="19">
      <c r="A19" s="18" t="n">
        <v>41639</v>
      </c>
      <c r="B19" t="n">
        <v>2013</v>
      </c>
      <c r="D19" s="19" t="n"/>
    </row>
    <row r="20">
      <c r="A20" s="18" t="n">
        <v>42004</v>
      </c>
      <c r="B20" t="n">
        <v>2014</v>
      </c>
      <c r="D20" s="19" t="n"/>
    </row>
    <row r="21">
      <c r="A21" s="18" t="n">
        <v>42369</v>
      </c>
      <c r="B21" t="n">
        <v>2015</v>
      </c>
      <c r="D21" s="19" t="n"/>
    </row>
    <row r="22">
      <c r="A22" s="18" t="n">
        <v>42735</v>
      </c>
      <c r="B22" t="n">
        <v>2016</v>
      </c>
      <c r="D22" s="19" t="n"/>
    </row>
    <row r="23">
      <c r="A23" s="18" t="n">
        <v>43100</v>
      </c>
      <c r="B23" t="n">
        <v>2017</v>
      </c>
      <c r="D23" s="19" t="n"/>
    </row>
    <row r="24">
      <c r="A24" s="18" t="n">
        <v>43465</v>
      </c>
      <c r="B24" t="n">
        <v>2018</v>
      </c>
      <c r="D24" s="19" t="n"/>
    </row>
    <row r="25">
      <c r="A25" s="18" t="n">
        <v>43830</v>
      </c>
      <c r="B25" t="n">
        <v>2019</v>
      </c>
      <c r="D25" s="19" t="n"/>
    </row>
    <row r="26">
      <c r="A26" s="18" t="n">
        <v>44196</v>
      </c>
      <c r="B26" t="n">
        <v>2020</v>
      </c>
      <c r="D26" s="19" t="n"/>
    </row>
    <row r="27">
      <c r="A27" s="18" t="n">
        <v>44561</v>
      </c>
      <c r="B27" t="n">
        <v>2021</v>
      </c>
      <c r="D27" s="19" t="n"/>
    </row>
    <row r="28">
      <c r="A28" s="18" t="n">
        <v>44926</v>
      </c>
      <c r="B28" t="n">
        <v>2022</v>
      </c>
      <c r="D28" s="19" t="n"/>
    </row>
    <row r="29">
      <c r="A29" s="18" t="n">
        <v>45291</v>
      </c>
      <c r="B29" t="n">
        <v>2023</v>
      </c>
      <c r="D29" s="1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Variable</t>
        </is>
      </c>
      <c r="B1" t="inlineStr">
        <is>
          <t>Georgia (Value)</t>
        </is>
      </c>
      <c r="C1" t="inlineStr">
        <is>
          <t>Georgia (Year)</t>
        </is>
      </c>
    </row>
    <row r="2">
      <c r="A2" s="19" t="inlineStr">
        <is>
          <t>countrycode</t>
        </is>
      </c>
      <c r="B2" s="19" t="inlineStr">
        <is>
          <t>GEO</t>
        </is>
      </c>
      <c r="C2" t="n">
        <v>2023</v>
      </c>
    </row>
    <row r="3">
      <c r="A3" s="19" t="inlineStr">
        <is>
          <t>country</t>
        </is>
      </c>
      <c r="B3" s="19" t="inlineStr">
        <is>
          <t>Georgia</t>
        </is>
      </c>
      <c r="C3" t="n">
        <v>2023</v>
      </c>
    </row>
    <row r="4">
      <c r="A4" s="19" t="inlineStr">
        <is>
          <t>year</t>
        </is>
      </c>
      <c r="B4" s="19" t="n">
        <v>2023</v>
      </c>
      <c r="C4" t="n">
        <v>2023</v>
      </c>
    </row>
    <row r="5">
      <c r="A5" s="19" t="inlineStr">
        <is>
          <t>rgdpna</t>
        </is>
      </c>
      <c r="B5" s="19" t="n">
        <v>44.8</v>
      </c>
      <c r="C5" t="n">
        <v>2023</v>
      </c>
    </row>
    <row r="6">
      <c r="A6" s="19" t="inlineStr">
        <is>
          <t>rkna</t>
        </is>
      </c>
      <c r="B6" s="19" t="n">
        <v>118.5</v>
      </c>
      <c r="C6" t="n">
        <v>2023</v>
      </c>
    </row>
    <row r="7">
      <c r="A7" s="19" t="inlineStr">
        <is>
          <t>rtfpna</t>
        </is>
      </c>
      <c r="B7" s="19" t="n">
        <v>1.15</v>
      </c>
      <c r="C7" t="n">
        <v>2023</v>
      </c>
    </row>
    <row r="8">
      <c r="A8" s="19" t="inlineStr">
        <is>
          <t>emp</t>
        </is>
      </c>
      <c r="B8" s="19" t="n">
        <v>1.95</v>
      </c>
      <c r="C8" t="n">
        <v>2023</v>
      </c>
    </row>
    <row r="9">
      <c r="A9" s="19" t="inlineStr">
        <is>
          <t>avh</t>
        </is>
      </c>
      <c r="B9" s="19" t="n">
        <v>2</v>
      </c>
      <c r="C9" t="n">
        <v>2023</v>
      </c>
    </row>
    <row r="10">
      <c r="A10" s="19" t="inlineStr">
        <is>
          <t>hc</t>
        </is>
      </c>
      <c r="B10" s="19" t="n">
        <v>2.45</v>
      </c>
      <c r="C10" t="n">
        <v>2023</v>
      </c>
    </row>
    <row r="11">
      <c r="A11" s="19" t="inlineStr">
        <is>
          <t>ccon</t>
        </is>
      </c>
      <c r="B11" s="19" t="n">
        <v>0.65</v>
      </c>
      <c r="C11" t="n">
        <v>2023</v>
      </c>
    </row>
    <row r="12">
      <c r="A12" s="19" t="inlineStr">
        <is>
          <t>cg</t>
        </is>
      </c>
      <c r="B12" s="19" t="n">
        <v>0.18</v>
      </c>
      <c r="C12" t="n">
        <v>2023</v>
      </c>
    </row>
    <row r="13">
      <c r="A13" s="19" t="inlineStr">
        <is>
          <t>ci</t>
        </is>
      </c>
      <c r="B13" s="19" t="n">
        <v>0.25</v>
      </c>
      <c r="C13" t="n">
        <v>2023</v>
      </c>
    </row>
    <row r="14">
      <c r="A14" s="19" t="n">
        <v>2002</v>
      </c>
      <c r="B14" s="19" t="n"/>
    </row>
    <row r="15">
      <c r="A15" s="19" t="n">
        <v>2003</v>
      </c>
      <c r="B15" s="19" t="n"/>
    </row>
    <row r="16">
      <c r="A16" s="19" t="n">
        <v>2004</v>
      </c>
      <c r="B16" s="19" t="n"/>
    </row>
    <row r="17">
      <c r="A17" s="19" t="n">
        <v>2005</v>
      </c>
      <c r="B17" s="19" t="n"/>
    </row>
    <row r="18">
      <c r="A18" s="19" t="n">
        <v>2006</v>
      </c>
      <c r="B18" s="19" t="n"/>
    </row>
    <row r="19">
      <c r="A19" s="19" t="n">
        <v>2007</v>
      </c>
      <c r="B19" s="19" t="n"/>
    </row>
    <row r="20">
      <c r="A20" s="19" t="n">
        <v>2008</v>
      </c>
      <c r="B20" s="19" t="n"/>
    </row>
    <row r="21">
      <c r="A21" s="19" t="n">
        <v>2009</v>
      </c>
      <c r="B21" s="19" t="n"/>
    </row>
    <row r="22">
      <c r="A22" s="19" t="n">
        <v>2010</v>
      </c>
      <c r="B22" s="19" t="n"/>
    </row>
    <row r="23">
      <c r="A23" s="19" t="n">
        <v>2011</v>
      </c>
      <c r="B23" s="19" t="n"/>
    </row>
    <row r="24">
      <c r="A24" s="19" t="n">
        <v>2012</v>
      </c>
      <c r="B24" s="19" t="n"/>
    </row>
    <row r="25">
      <c r="A25" s="19" t="n">
        <v>2013</v>
      </c>
      <c r="B25" s="19" t="n"/>
    </row>
    <row r="26">
      <c r="A26" s="19" t="n">
        <v>2014</v>
      </c>
      <c r="B26" s="19" t="n"/>
    </row>
    <row r="27">
      <c r="A27" s="19" t="n">
        <v>2015</v>
      </c>
      <c r="B27" s="19" t="n"/>
    </row>
    <row r="28">
      <c r="A28" s="19" t="n">
        <v>2016</v>
      </c>
      <c r="B28" s="19" t="n"/>
    </row>
    <row r="29">
      <c r="A29" s="19" t="n">
        <v>2017</v>
      </c>
      <c r="B29" s="19" t="n"/>
    </row>
    <row r="30">
      <c r="A30" s="19" t="n">
        <v>2018</v>
      </c>
      <c r="B30" s="19" t="n"/>
    </row>
    <row r="31">
      <c r="A31" s="19" t="n">
        <v>2019</v>
      </c>
      <c r="B31" s="19" t="n"/>
    </row>
    <row r="32">
      <c r="A32" s="19" t="n">
        <v>2020</v>
      </c>
      <c r="B32" s="19" t="n"/>
    </row>
    <row r="33">
      <c r="A33" s="19" t="n">
        <v>2021</v>
      </c>
      <c r="B33" s="19" t="n"/>
    </row>
    <row r="34">
      <c r="A34" s="19" t="n">
        <v>2022</v>
      </c>
      <c r="B34" s="19" t="n"/>
    </row>
    <row r="35">
      <c r="A35" s="19" t="n">
        <v>2023</v>
      </c>
      <c r="B35" s="1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H24" sqref="H24"/>
    </sheetView>
  </sheetViews>
  <sheetFormatPr baseColWidth="8" defaultRowHeight="12.45"/>
  <sheetData>
    <row r="1">
      <c r="A1" t="inlineStr">
        <is>
          <t>Year</t>
        </is>
      </c>
      <c r="B1" t="inlineStr">
        <is>
          <t>Real GDP (billions USD)</t>
        </is>
      </c>
      <c r="C1" t="inlineStr">
        <is>
          <t>Real GDP Growth Rate (%)</t>
        </is>
      </c>
      <c r="D1" t="inlineStr">
        <is>
          <t>Projected Real GDP (billions USD)</t>
        </is>
      </c>
    </row>
    <row r="2">
      <c r="A2" t="n">
        <v>2000</v>
      </c>
      <c r="B2" t="n">
        <v>11.2</v>
      </c>
      <c r="C2">
        <f>IF(B2="","",IF(ROW()=2,"",(B2-B1)/B1*100))</f>
        <v/>
      </c>
      <c r="D2">
        <f>B2</f>
        <v/>
      </c>
    </row>
    <row r="3">
      <c r="A3" t="n">
        <v>2001</v>
      </c>
      <c r="B3" t="n">
        <v>11.5</v>
      </c>
      <c r="C3" t="n">
        <v>2.68</v>
      </c>
      <c r="D3">
        <f>B3</f>
        <v/>
      </c>
    </row>
    <row r="4">
      <c r="A4" t="n">
        <v>2002</v>
      </c>
      <c r="B4" t="n">
        <v>12</v>
      </c>
      <c r="C4" t="n">
        <v>4.35</v>
      </c>
      <c r="D4">
        <f>B4</f>
        <v/>
      </c>
    </row>
    <row r="5">
      <c r="A5" t="n">
        <v>2003</v>
      </c>
      <c r="B5" t="n">
        <v>13.1</v>
      </c>
      <c r="C5" t="n">
        <v>9.17</v>
      </c>
      <c r="D5">
        <f>B5</f>
        <v/>
      </c>
    </row>
    <row r="6">
      <c r="A6" t="n">
        <v>2004</v>
      </c>
      <c r="B6" t="n">
        <v>14.5</v>
      </c>
      <c r="C6" t="n">
        <v>10.69</v>
      </c>
      <c r="D6">
        <f>B6</f>
        <v/>
      </c>
    </row>
    <row r="7">
      <c r="A7" t="n">
        <v>2005</v>
      </c>
      <c r="B7" t="n">
        <v>15.8</v>
      </c>
      <c r="C7" t="n">
        <v>8.970000000000001</v>
      </c>
      <c r="D7">
        <f>B7</f>
        <v/>
      </c>
    </row>
    <row r="8">
      <c r="A8" t="n">
        <v>2006</v>
      </c>
      <c r="B8" t="n">
        <v>17.2</v>
      </c>
      <c r="C8" t="n">
        <v>8.859999999999999</v>
      </c>
      <c r="D8">
        <f>B8</f>
        <v/>
      </c>
    </row>
    <row r="9">
      <c r="A9" t="n">
        <v>2007</v>
      </c>
      <c r="B9" t="n">
        <v>19.5</v>
      </c>
      <c r="C9" t="n">
        <v>13.37</v>
      </c>
      <c r="D9">
        <f>B9</f>
        <v/>
      </c>
    </row>
    <row r="10">
      <c r="A10" t="n">
        <v>2008</v>
      </c>
      <c r="B10" t="n">
        <v>20.1</v>
      </c>
      <c r="C10" t="n">
        <v>3.08</v>
      </c>
      <c r="D10">
        <f>B10</f>
        <v/>
      </c>
    </row>
    <row r="11">
      <c r="A11" t="n">
        <v>2009</v>
      </c>
      <c r="B11" t="n">
        <v>18.5</v>
      </c>
      <c r="C11" t="n">
        <v>-7.96</v>
      </c>
      <c r="D11">
        <f>B11</f>
        <v/>
      </c>
    </row>
    <row r="12">
      <c r="A12" t="n">
        <v>2010</v>
      </c>
      <c r="B12" t="n">
        <v>19.8</v>
      </c>
      <c r="C12" t="n">
        <v>7.03</v>
      </c>
      <c r="D12">
        <f>B12</f>
        <v/>
      </c>
    </row>
    <row r="13">
      <c r="A13" t="n">
        <v>2011</v>
      </c>
      <c r="B13" t="n">
        <v>21.5</v>
      </c>
      <c r="C13" t="n">
        <v>8.59</v>
      </c>
      <c r="D13">
        <f>B13</f>
        <v/>
      </c>
    </row>
    <row r="14">
      <c r="A14" t="n">
        <v>2012</v>
      </c>
      <c r="B14" t="n">
        <v>23.1</v>
      </c>
      <c r="C14" t="n">
        <v>7.44</v>
      </c>
      <c r="D14">
        <f>B14</f>
        <v/>
      </c>
    </row>
    <row r="15">
      <c r="A15" t="n">
        <v>2013</v>
      </c>
      <c r="B15" t="n">
        <v>24.8</v>
      </c>
      <c r="C15" t="n">
        <v>7.36</v>
      </c>
      <c r="D15">
        <f>B15</f>
        <v/>
      </c>
    </row>
    <row r="16">
      <c r="A16" t="n">
        <v>2014</v>
      </c>
      <c r="B16" t="n">
        <v>25.2</v>
      </c>
      <c r="C16" t="n">
        <v>1.61</v>
      </c>
      <c r="D16">
        <f>B16</f>
        <v/>
      </c>
    </row>
    <row r="17">
      <c r="A17" t="n">
        <v>2015</v>
      </c>
      <c r="B17" t="n">
        <v>24.9</v>
      </c>
      <c r="C17" t="n">
        <v>-1.19</v>
      </c>
      <c r="D17">
        <f>B17</f>
        <v/>
      </c>
    </row>
    <row r="18">
      <c r="A18" t="n">
        <v>2016</v>
      </c>
      <c r="B18" t="n">
        <v>25.5</v>
      </c>
      <c r="C18" t="n">
        <v>2.41</v>
      </c>
      <c r="D18">
        <f>B18</f>
        <v/>
      </c>
    </row>
    <row r="19">
      <c r="A19" t="n">
        <v>2017</v>
      </c>
      <c r="B19" t="n">
        <v>27.1</v>
      </c>
      <c r="C19" t="n">
        <v>6.27</v>
      </c>
      <c r="D19">
        <f>B19</f>
        <v/>
      </c>
    </row>
    <row r="20">
      <c r="A20" t="n">
        <v>2018</v>
      </c>
      <c r="B20" t="n">
        <v>28.9</v>
      </c>
      <c r="C20" t="n">
        <v>6.64</v>
      </c>
      <c r="D20">
        <f>B20</f>
        <v/>
      </c>
    </row>
    <row r="21">
      <c r="A21" t="n">
        <v>2019</v>
      </c>
      <c r="B21" t="n">
        <v>30.2</v>
      </c>
      <c r="C21" t="n">
        <v>4.5</v>
      </c>
      <c r="D21">
        <f>B21</f>
        <v/>
      </c>
    </row>
    <row r="22">
      <c r="A22" t="n">
        <v>2020</v>
      </c>
      <c r="B22" t="n">
        <v>28.5</v>
      </c>
      <c r="C22" t="n">
        <v>-5.63</v>
      </c>
      <c r="D22">
        <f>B22</f>
        <v/>
      </c>
    </row>
    <row r="23">
      <c r="A23" t="n">
        <v>2021</v>
      </c>
      <c r="B23" t="n">
        <v>31.2</v>
      </c>
      <c r="C23" t="n">
        <v>9.470000000000001</v>
      </c>
      <c r="D23">
        <f>B23</f>
        <v/>
      </c>
    </row>
    <row r="24">
      <c r="A24" t="n">
        <v>2022</v>
      </c>
      <c r="B24" t="n">
        <v>33.8</v>
      </c>
      <c r="C24" t="n">
        <v>8.33</v>
      </c>
      <c r="D24">
        <f>B24</f>
        <v/>
      </c>
    </row>
    <row r="25">
      <c r="A25" t="n">
        <v>2023</v>
      </c>
      <c r="B25" t="n">
        <v>35.5</v>
      </c>
      <c r="C25" t="n">
        <v>5.03</v>
      </c>
      <c r="D25">
        <f>B25</f>
        <v/>
      </c>
    </row>
    <row r="26">
      <c r="A26" t="n">
        <v>2024</v>
      </c>
      <c r="B26" t="n">
        <v>37.2</v>
      </c>
      <c r="C26" t="n">
        <v>4.79</v>
      </c>
      <c r="D26">
        <f>B26</f>
        <v/>
      </c>
    </row>
    <row r="27">
      <c r="A27" t="n">
        <v>2025</v>
      </c>
      <c r="B27" t="n">
        <v>39.1</v>
      </c>
      <c r="C27" t="n">
        <v>5.11</v>
      </c>
      <c r="D27">
        <f>B27</f>
        <v/>
      </c>
    </row>
    <row r="28">
      <c r="A28" t="n">
        <v>2026</v>
      </c>
      <c r="B28">
        <f>B27*(1+C27/100)</f>
        <v/>
      </c>
      <c r="C28" t="n">
        <v>4.5</v>
      </c>
      <c r="D28">
        <f>B28</f>
        <v/>
      </c>
    </row>
    <row r="29">
      <c r="A29" t="n">
        <v>2027</v>
      </c>
      <c r="B29">
        <f>B28*(1+C28/100)</f>
        <v/>
      </c>
      <c r="C29" t="n">
        <v>4.5</v>
      </c>
      <c r="D29">
        <f>B29</f>
        <v/>
      </c>
    </row>
    <row r="30">
      <c r="A30" t="n">
        <v>2028</v>
      </c>
      <c r="B30">
        <f>B29*(1+C29/100)</f>
        <v/>
      </c>
      <c r="C30" t="n">
        <v>4.5</v>
      </c>
      <c r="D30">
        <f>B30</f>
        <v/>
      </c>
    </row>
    <row r="31">
      <c r="A31" t="n">
        <v>2029</v>
      </c>
      <c r="B31">
        <f>B30*(1+C30/100)</f>
        <v/>
      </c>
      <c r="C31" t="n">
        <v>4.5</v>
      </c>
      <c r="D31">
        <f>B31</f>
        <v/>
      </c>
    </row>
    <row r="32">
      <c r="A32" t="n">
        <v>2030</v>
      </c>
      <c r="B32">
        <f>B31*(1+C31/100)</f>
        <v/>
      </c>
      <c r="C32" t="n">
        <v>4.5</v>
      </c>
      <c r="D32">
        <f>B32</f>
        <v/>
      </c>
    </row>
    <row r="33">
      <c r="A33" t="n">
        <v>2031</v>
      </c>
      <c r="B33">
        <f>B32*(1+C32/100)</f>
        <v/>
      </c>
      <c r="C33" t="n">
        <v>4.5</v>
      </c>
      <c r="D33">
        <f>B33</f>
        <v/>
      </c>
    </row>
    <row r="34">
      <c r="A34" t="n">
        <v>2032</v>
      </c>
      <c r="B34">
        <f>B33*(1+C33/100)</f>
        <v/>
      </c>
      <c r="C34" t="n">
        <v>4.5</v>
      </c>
      <c r="D34">
        <f>B34</f>
        <v/>
      </c>
    </row>
    <row r="35">
      <c r="A35" t="n">
        <v>2033</v>
      </c>
      <c r="B35">
        <f>B34*(1+C34/100)</f>
        <v/>
      </c>
      <c r="C35" t="n">
        <v>4.5</v>
      </c>
      <c r="D35">
        <f>B35</f>
        <v/>
      </c>
    </row>
    <row r="36">
      <c r="A36" t="n">
        <v>2034</v>
      </c>
      <c r="B36">
        <f>B35*(1+C35/100)</f>
        <v/>
      </c>
      <c r="C36" t="n">
        <v>4.5</v>
      </c>
      <c r="D36">
        <f>B36</f>
        <v/>
      </c>
    </row>
    <row r="37">
      <c r="A37" t="n">
        <v>2035</v>
      </c>
      <c r="B37">
        <f>B36*(1+C36/100)</f>
        <v/>
      </c>
      <c r="C37" t="n">
        <v>4.5</v>
      </c>
      <c r="D37">
        <f>B37</f>
        <v/>
      </c>
    </row>
    <row r="38">
      <c r="A38" t="n">
        <v>2036</v>
      </c>
      <c r="B38">
        <f>B37*(1+C37/100)</f>
        <v/>
      </c>
      <c r="C38" t="n">
        <v>4.5</v>
      </c>
      <c r="D38">
        <f>B38</f>
        <v/>
      </c>
    </row>
    <row r="39">
      <c r="A39" t="n">
        <v>2037</v>
      </c>
      <c r="B39">
        <f>B38*(1+C38/100)</f>
        <v/>
      </c>
      <c r="C39" t="n">
        <v>4.5</v>
      </c>
      <c r="D39">
        <f>B39</f>
        <v/>
      </c>
    </row>
    <row r="40">
      <c r="A40" t="n">
        <v>2038</v>
      </c>
      <c r="B40">
        <f>B39*(1+C39/100)</f>
        <v/>
      </c>
      <c r="C40" t="n">
        <v>4.5</v>
      </c>
      <c r="D40">
        <f>B40</f>
        <v/>
      </c>
    </row>
    <row r="41">
      <c r="A41" t="n">
        <v>2039</v>
      </c>
      <c r="B41">
        <f>B40*(1+C40/100)</f>
        <v/>
      </c>
      <c r="C41" t="n">
        <v>4.5</v>
      </c>
      <c r="D41">
        <f>B41</f>
        <v/>
      </c>
    </row>
    <row r="42">
      <c r="A42" t="n">
        <v>2040</v>
      </c>
      <c r="B42">
        <f>B41*(1+C41/100)</f>
        <v/>
      </c>
      <c r="C42" t="n">
        <v>4.5</v>
      </c>
      <c r="D42">
        <f>B42</f>
        <v/>
      </c>
    </row>
    <row r="43">
      <c r="A43" t="n">
        <v>2041</v>
      </c>
      <c r="B43">
        <f>B42*(1+C42/100)</f>
        <v/>
      </c>
      <c r="C43" t="n">
        <v>4.5</v>
      </c>
      <c r="D43">
        <f>B43</f>
        <v/>
      </c>
    </row>
    <row r="44">
      <c r="A44" t="n">
        <v>2042</v>
      </c>
      <c r="B44">
        <f>B43*(1+C43/100)</f>
        <v/>
      </c>
      <c r="C44" t="n">
        <v>4.5</v>
      </c>
      <c r="D44">
        <f>B44</f>
        <v/>
      </c>
    </row>
    <row r="45">
      <c r="A45" t="n">
        <v>2043</v>
      </c>
      <c r="B45">
        <f>B44*(1+C44/100)</f>
        <v/>
      </c>
      <c r="C45" t="n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2026-01-29T07:55:06Z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