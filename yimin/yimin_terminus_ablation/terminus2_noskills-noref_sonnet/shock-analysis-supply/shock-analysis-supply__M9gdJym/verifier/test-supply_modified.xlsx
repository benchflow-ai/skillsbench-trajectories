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B4" t="inlineStr">
        <is>
          <t>Average K/Y (2011-2019)</t>
        </is>
      </c>
      <c r="C4">
        <f>AVERAGE(D45:D53)</f>
        <v/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100*SUMSQ(M7:M26)+SUMSQ(N6:N27)</f>
        <v/>
      </c>
    </row>
    <row r="6">
      <c r="C6" t="n">
        <v>2002</v>
      </c>
      <c r="D6" s="19">
        <f>PWT!B14</f>
        <v/>
      </c>
      <c r="E6">
        <f>'WEO_Data'!C10</f>
        <v/>
      </c>
      <c r="F6">
        <f>LN(D6)</f>
        <v/>
      </c>
      <c r="G6">
        <f>LN(E6)</f>
        <v/>
      </c>
      <c r="K6" s="4">
        <f>G6-$B$2*F6</f>
        <v/>
      </c>
      <c r="L6" t="n">
        <v>-1.084089744840723</v>
      </c>
      <c r="N6" s="5">
        <f>K6-L6</f>
        <v/>
      </c>
    </row>
    <row r="7">
      <c r="C7" t="n">
        <v>2003</v>
      </c>
      <c r="D7" s="19">
        <f>PWT!B15</f>
        <v/>
      </c>
      <c r="E7">
        <f>'WEO_Data'!C11</f>
        <v/>
      </c>
      <c r="F7">
        <f>LN(D7)</f>
        <v/>
      </c>
      <c r="G7">
        <f>LN(E7)</f>
        <v/>
      </c>
      <c r="K7" s="4">
        <f>G7-$B$2*F7</f>
        <v/>
      </c>
      <c r="L7" t="n">
        <v>-1.020544263722728</v>
      </c>
      <c r="M7">
        <f>L8-2*L7+L6</f>
        <v/>
      </c>
      <c r="N7" s="5">
        <f>K7-L7</f>
        <v/>
      </c>
    </row>
    <row r="8">
      <c r="C8" t="n">
        <v>2004</v>
      </c>
      <c r="D8" s="19">
        <f>PWT!B16</f>
        <v/>
      </c>
      <c r="E8">
        <f>'WEO_Data'!C12</f>
        <v/>
      </c>
      <c r="F8">
        <f>LN(D8)</f>
        <v/>
      </c>
      <c r="G8">
        <f>LN(E8)</f>
        <v/>
      </c>
      <c r="K8" s="4">
        <f>G8-$B$2*F8</f>
        <v/>
      </c>
      <c r="L8" t="n">
        <v>-0.9574897906439257</v>
      </c>
      <c r="M8">
        <f>L9-2*L8+L7</f>
        <v/>
      </c>
      <c r="N8" s="5">
        <f>K8-L8</f>
        <v/>
      </c>
    </row>
    <row r="9">
      <c r="C9" t="n">
        <v>2005</v>
      </c>
      <c r="D9" s="19">
        <f>PWT!B17</f>
        <v/>
      </c>
      <c r="E9">
        <f>'WEO_Data'!C13</f>
        <v/>
      </c>
      <c r="F9">
        <f>LN(D9)</f>
        <v/>
      </c>
      <c r="G9">
        <f>LN(E9)</f>
        <v/>
      </c>
      <c r="K9" s="4">
        <f>G9-$B$2*F9</f>
        <v/>
      </c>
      <c r="L9" t="n">
        <v>-0.895524123893903</v>
      </c>
      <c r="M9">
        <f>L10-2*L9+L8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'WEO_Data'!C14</f>
        <v/>
      </c>
      <c r="F10">
        <f>LN(D10)</f>
        <v/>
      </c>
      <c r="G10">
        <f>LN(E10)</f>
        <v/>
      </c>
      <c r="K10" s="4">
        <f>G10-$B$2*F10</f>
        <v/>
      </c>
      <c r="L10" t="n">
        <v>-0.8354671063121391</v>
      </c>
      <c r="M10">
        <f>L11-2*L10+L9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'WEO_Data'!C15</f>
        <v/>
      </c>
      <c r="F11">
        <f>LN(D11)</f>
        <v/>
      </c>
      <c r="G11">
        <f>LN(E11)</f>
        <v/>
      </c>
      <c r="K11" s="4">
        <f>G11-$B$2*F11</f>
        <v/>
      </c>
      <c r="L11" t="n">
        <v>-0.7781297125077447</v>
      </c>
      <c r="M11">
        <f>L12-2*L11+L10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'WEO_Data'!C16</f>
        <v/>
      </c>
      <c r="F12">
        <f>LN(D12)</f>
        <v/>
      </c>
      <c r="G12">
        <f>LN(E12)</f>
        <v/>
      </c>
      <c r="K12" s="4">
        <f>G12-$B$2*F12</f>
        <v/>
      </c>
      <c r="L12" t="n">
        <v>-0.7240701656835089</v>
      </c>
      <c r="M12">
        <f>L13-2*L12+L11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'WEO_Data'!C17</f>
        <v/>
      </c>
      <c r="F13">
        <f>LN(D13)</f>
        <v/>
      </c>
      <c r="G13">
        <f>LN(E13)</f>
        <v/>
      </c>
      <c r="K13" s="4">
        <f>G13-$B$2*F13</f>
        <v/>
      </c>
      <c r="L13" t="n">
        <v>-0.673050347596492</v>
      </c>
      <c r="M13">
        <f>L14-2*L13+L12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'WEO_Data'!C18</f>
        <v/>
      </c>
      <c r="F14">
        <f>LN(D14)</f>
        <v/>
      </c>
      <c r="G14">
        <f>LN(E14)</f>
        <v/>
      </c>
      <c r="K14" s="4">
        <f>G14-$B$2*F14</f>
        <v/>
      </c>
      <c r="L14" t="n">
        <v>-0.6243739174876366</v>
      </c>
      <c r="M14">
        <f>L15-2*L14+L13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'WEO_Data'!C19</f>
        <v/>
      </c>
      <c r="F15">
        <f>LN(D15)</f>
        <v/>
      </c>
      <c r="G15">
        <f>LN(E15)</f>
        <v/>
      </c>
      <c r="K15" s="4">
        <f>G15-$B$2*F15</f>
        <v/>
      </c>
      <c r="L15" t="n">
        <v>-0.5777504989552832</v>
      </c>
      <c r="M15">
        <f>L16-2*L15+L14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'WEO_Data'!C20</f>
        <v/>
      </c>
      <c r="F16">
        <f>LN(D16)</f>
        <v/>
      </c>
      <c r="G16">
        <f>LN(E16)</f>
        <v/>
      </c>
      <c r="K16" s="4">
        <f>G16-$B$2*F16</f>
        <v/>
      </c>
      <c r="L16" t="n">
        <v>-0.533135565541875</v>
      </c>
      <c r="M16">
        <f>L17-2*L16+L15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'WEO_Data'!C21</f>
        <v/>
      </c>
      <c r="F17">
        <f>LN(D17)</f>
        <v/>
      </c>
      <c r="G17">
        <f>LN(E17)</f>
        <v/>
      </c>
      <c r="K17" s="4">
        <f>G17-$B$2*F17</f>
        <v/>
      </c>
      <c r="L17" t="n">
        <v>-0.4904778144653617</v>
      </c>
      <c r="M17">
        <f>L18-2*L17+L16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'WEO_Data'!C22</f>
        <v/>
      </c>
      <c r="F18">
        <f>LN(D18)</f>
        <v/>
      </c>
      <c r="G18">
        <f>LN(E18)</f>
        <v/>
      </c>
      <c r="K18" s="4">
        <f>G18-$B$2*F18</f>
        <v/>
      </c>
      <c r="L18" t="n">
        <v>-0.4495755809424218</v>
      </c>
      <c r="M18">
        <f>L19-2*L18+L17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'WEO_Data'!C23</f>
        <v/>
      </c>
      <c r="F19">
        <f>LN(D19)</f>
        <v/>
      </c>
      <c r="G19">
        <f>LN(E19)</f>
        <v/>
      </c>
      <c r="K19" s="4">
        <f>G19-$B$2*F19</f>
        <v/>
      </c>
      <c r="L19" t="n">
        <v>-0.410036582005156</v>
      </c>
      <c r="M19">
        <f>L20-2*L19+L18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'WEO_Data'!C24</f>
        <v/>
      </c>
      <c r="F20">
        <f>LN(D20)</f>
        <v/>
      </c>
      <c r="G20">
        <f>LN(E20)</f>
        <v/>
      </c>
      <c r="K20" s="4">
        <f>G20-$B$2*F20</f>
        <v/>
      </c>
      <c r="L20" t="n">
        <v>-0.3713542566940739</v>
      </c>
      <c r="M20">
        <f>L21-2*L20+L19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'WEO_Data'!C25</f>
        <v/>
      </c>
      <c r="F21">
        <f>LN(D21)</f>
        <v/>
      </c>
      <c r="G21">
        <f>LN(E21)</f>
        <v/>
      </c>
      <c r="K21" s="4">
        <f>G21-$B$2*F21</f>
        <v/>
      </c>
      <c r="L21" t="n">
        <v>-0.3330654292439466</v>
      </c>
      <c r="M21">
        <f>L22-2*L21+L20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'WEO_Data'!C26</f>
        <v/>
      </c>
      <c r="F22">
        <f>LN(D22)</f>
        <v/>
      </c>
      <c r="G22">
        <f>LN(E22)</f>
        <v/>
      </c>
      <c r="K22" s="4">
        <f>G22-$B$2*F22</f>
        <v/>
      </c>
      <c r="L22" t="n">
        <v>-0.2949057932756525</v>
      </c>
      <c r="M22">
        <f>L23-2*L22+L21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'WEO_Data'!C27</f>
        <v/>
      </c>
      <c r="F23">
        <f>LN(D23)</f>
        <v/>
      </c>
      <c r="G23">
        <f>LN(E23)</f>
        <v/>
      </c>
      <c r="K23" s="4">
        <f>G23-$B$2*F23</f>
        <v/>
      </c>
      <c r="L23" t="n">
        <v>-0.2567829906636223</v>
      </c>
      <c r="M23">
        <f>L24-2*L23+L22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'WEO_Data'!C28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'WEO_Data'!C29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'WEO_Data'!C30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'WEO_Data'!C31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'WEO_Data'!C10</f>
        <v/>
      </c>
      <c r="G36">
        <f>L6</f>
        <v/>
      </c>
      <c r="H36">
        <f>EXP(G36+$B$2*LN(E36))</f>
        <v/>
      </c>
      <c r="I36" t="n">
        <v>0</v>
      </c>
      <c r="J36">
        <f>I36-$B$3*E36</f>
        <v/>
      </c>
      <c r="K36" s="19">
        <f>E36</f>
        <v/>
      </c>
      <c r="L36">
        <f>EXP(G36+$B$2*LN(K36))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PWT!B15</f>
        <v/>
      </c>
      <c r="F37">
        <f>'WEO_Data'!C11</f>
        <v/>
      </c>
      <c r="G37">
        <f>L7</f>
        <v/>
      </c>
      <c r="H37">
        <f>EXP(G37+$B$2*LN(E37))</f>
        <v/>
      </c>
      <c r="I37" t="n">
        <v>0</v>
      </c>
      <c r="J37">
        <f>I37-$B$3*E37</f>
        <v/>
      </c>
      <c r="K37" s="19">
        <f>K36+J37</f>
        <v/>
      </c>
      <c r="L37">
        <f>EXP(G37+$B$2*LN(K37))</f>
        <v/>
      </c>
      <c r="M37">
        <f>L37-H37</f>
        <v/>
      </c>
      <c r="N37">
        <f>L37</f>
        <v/>
      </c>
      <c r="O37">
        <f>(N37-N36)/N36*100</f>
        <v/>
      </c>
    </row>
    <row r="38">
      <c r="C38" t="n">
        <v>2004</v>
      </c>
      <c r="D38">
        <f>E38/F38</f>
        <v/>
      </c>
      <c r="E38" s="19">
        <f>PWT!B16</f>
        <v/>
      </c>
      <c r="F38">
        <f>'WEO_Data'!C12</f>
        <v/>
      </c>
      <c r="G38">
        <f>L8</f>
        <v/>
      </c>
      <c r="H38">
        <f>EXP(G38+$B$2*LN(E38))</f>
        <v/>
      </c>
      <c r="I38" t="n">
        <v>0</v>
      </c>
      <c r="J38">
        <f>I38-$B$3*E38</f>
        <v/>
      </c>
      <c r="K38" s="19">
        <f>K37+J38</f>
        <v/>
      </c>
      <c r="L38">
        <f>EXP(G38+$B$2*LN(K38))</f>
        <v/>
      </c>
      <c r="M38">
        <f>L38-H38</f>
        <v/>
      </c>
      <c r="N38">
        <f>L38</f>
        <v/>
      </c>
      <c r="O38">
        <f>(N38-N37)/N37*100</f>
        <v/>
      </c>
    </row>
    <row r="39">
      <c r="C39" t="n">
        <v>2005</v>
      </c>
      <c r="D39">
        <f>E39/F39</f>
        <v/>
      </c>
      <c r="E39" s="19">
        <f>PWT!B17</f>
        <v/>
      </c>
      <c r="F39">
        <f>'WEO_Data'!C13</f>
        <v/>
      </c>
      <c r="G39">
        <f>L9</f>
        <v/>
      </c>
      <c r="H39">
        <f>EXP(G39+$B$2*LN(E39))</f>
        <v/>
      </c>
      <c r="I39" t="n">
        <v>0</v>
      </c>
      <c r="J39">
        <f>I39-$B$3*E39</f>
        <v/>
      </c>
      <c r="K39" s="19">
        <f>K38+J39</f>
        <v/>
      </c>
      <c r="L39">
        <f>EXP(G39+$B$2*LN(K39))</f>
        <v/>
      </c>
      <c r="M39">
        <f>L39-H39</f>
        <v/>
      </c>
      <c r="N39">
        <f>L39</f>
        <v/>
      </c>
      <c r="O39">
        <f>(N39-N38)/N38*100</f>
        <v/>
      </c>
    </row>
    <row r="40">
      <c r="C40" t="n">
        <v>2006</v>
      </c>
      <c r="D40">
        <f>E40/F40</f>
        <v/>
      </c>
      <c r="E40" s="19">
        <f>PWT!B18</f>
        <v/>
      </c>
      <c r="F40">
        <f>'WEO_Data'!C14</f>
        <v/>
      </c>
      <c r="G40">
        <f>L10</f>
        <v/>
      </c>
      <c r="H40">
        <f>EXP(G40+$B$2*LN(E40))</f>
        <v/>
      </c>
      <c r="I40" t="n">
        <v>0</v>
      </c>
      <c r="J40">
        <f>I40-$B$3*E40</f>
        <v/>
      </c>
      <c r="K40" s="19">
        <f>K39+J40</f>
        <v/>
      </c>
      <c r="L40">
        <f>EXP(G40+$B$2*LN(K40))</f>
        <v/>
      </c>
      <c r="M40">
        <f>L40-H40</f>
        <v/>
      </c>
      <c r="N40">
        <f>L40</f>
        <v/>
      </c>
      <c r="O40">
        <f>(N40-N39)/N39*100</f>
        <v/>
      </c>
    </row>
    <row r="41">
      <c r="C41" t="n">
        <v>2007</v>
      </c>
      <c r="D41">
        <f>E41/F41</f>
        <v/>
      </c>
      <c r="E41" s="19">
        <f>PWT!B19</f>
        <v/>
      </c>
      <c r="F41">
        <f>'WEO_Data'!C15</f>
        <v/>
      </c>
      <c r="G41">
        <f>L11</f>
        <v/>
      </c>
      <c r="H41">
        <f>EXP(G41+$B$2*LN(E41))</f>
        <v/>
      </c>
      <c r="I41" t="n">
        <v>0</v>
      </c>
      <c r="J41">
        <f>I41-$B$3*E41</f>
        <v/>
      </c>
      <c r="K41" s="19">
        <f>K40+J41</f>
        <v/>
      </c>
      <c r="L41">
        <f>EXP(G41+$B$2*LN(K41))</f>
        <v/>
      </c>
      <c r="M41">
        <f>L41-H41</f>
        <v/>
      </c>
      <c r="N41">
        <f>L41</f>
        <v/>
      </c>
      <c r="O41">
        <f>(N41-N40)/N40*100</f>
        <v/>
      </c>
    </row>
    <row r="42">
      <c r="C42" t="n">
        <v>2008</v>
      </c>
      <c r="D42">
        <f>E42/F42</f>
        <v/>
      </c>
      <c r="E42" s="19">
        <f>PWT!B20</f>
        <v/>
      </c>
      <c r="F42">
        <f>'WEO_Data'!C16</f>
        <v/>
      </c>
      <c r="G42">
        <f>L12</f>
        <v/>
      </c>
      <c r="H42">
        <f>EXP(G42+$B$2*LN(E42))</f>
        <v/>
      </c>
      <c r="I42" t="n">
        <v>0</v>
      </c>
      <c r="J42">
        <f>I42-$B$3*E42</f>
        <v/>
      </c>
      <c r="K42" s="19">
        <f>K41+J42</f>
        <v/>
      </c>
      <c r="L42">
        <f>EXP(G42+$B$2*LN(K42))</f>
        <v/>
      </c>
      <c r="M42">
        <f>L42-H42</f>
        <v/>
      </c>
      <c r="N42">
        <f>L42</f>
        <v/>
      </c>
      <c r="O42">
        <f>(N42-N41)/N41*100</f>
        <v/>
      </c>
    </row>
    <row r="43">
      <c r="C43" t="n">
        <v>2009</v>
      </c>
      <c r="D43">
        <f>E43/F43</f>
        <v/>
      </c>
      <c r="E43" s="19">
        <f>PWT!B21</f>
        <v/>
      </c>
      <c r="F43">
        <f>'WEO_Data'!C17</f>
        <v/>
      </c>
      <c r="G43">
        <f>L13</f>
        <v/>
      </c>
      <c r="H43">
        <f>EXP(G43+$B$2*LN(E43))</f>
        <v/>
      </c>
      <c r="I43" t="n">
        <v>0</v>
      </c>
      <c r="J43">
        <f>I43-$B$3*E43</f>
        <v/>
      </c>
      <c r="K43" s="19">
        <f>K42+J43</f>
        <v/>
      </c>
      <c r="L43">
        <f>EXP(G43+$B$2*LN(K43))</f>
        <v/>
      </c>
      <c r="M43">
        <f>L43-H43</f>
        <v/>
      </c>
      <c r="N43">
        <f>L43</f>
        <v/>
      </c>
      <c r="O43">
        <f>(N43-N42)/N42*100</f>
        <v/>
      </c>
    </row>
    <row r="44">
      <c r="C44" t="n">
        <v>2010</v>
      </c>
      <c r="D44">
        <f>E44/F44</f>
        <v/>
      </c>
      <c r="E44" s="19">
        <f>PWT!B22</f>
        <v/>
      </c>
      <c r="F44">
        <f>'WEO_Data'!C18</f>
        <v/>
      </c>
      <c r="G44">
        <f>L14</f>
        <v/>
      </c>
      <c r="H44">
        <f>EXP(G44+$B$2*LN(E44))</f>
        <v/>
      </c>
      <c r="I44" t="n">
        <v>0</v>
      </c>
      <c r="J44">
        <f>I44-$B$3*E44</f>
        <v/>
      </c>
      <c r="K44" s="19">
        <f>K43+J44</f>
        <v/>
      </c>
      <c r="L44">
        <f>EXP(G44+$B$2*LN(K44))</f>
        <v/>
      </c>
      <c r="M44">
        <f>L44-H44</f>
        <v/>
      </c>
      <c r="N44">
        <f>L44</f>
        <v/>
      </c>
      <c r="O44">
        <f>(N44-N43)/N43*100</f>
        <v/>
      </c>
    </row>
    <row r="45">
      <c r="C45" t="n">
        <v>2011</v>
      </c>
      <c r="D45">
        <f>E45/F45</f>
        <v/>
      </c>
      <c r="E45" s="19">
        <f>PWT!B23</f>
        <v/>
      </c>
      <c r="F45">
        <f>'WEO_Data'!C19</f>
        <v/>
      </c>
      <c r="G45">
        <f>L15</f>
        <v/>
      </c>
      <c r="H45">
        <f>EXP(G45+$B$2*LN(E45))</f>
        <v/>
      </c>
      <c r="I45" t="n">
        <v>0</v>
      </c>
      <c r="J45">
        <f>I45-$B$3*E45</f>
        <v/>
      </c>
      <c r="K45" s="19">
        <f>K44+J45</f>
        <v/>
      </c>
      <c r="L45">
        <f>EXP(G45+$B$2*LN(K45))</f>
        <v/>
      </c>
      <c r="M45">
        <f>L45-H45</f>
        <v/>
      </c>
      <c r="N45">
        <f>L45</f>
        <v/>
      </c>
      <c r="O45">
        <f>(N45-N44)/N44*100</f>
        <v/>
      </c>
    </row>
    <row r="46">
      <c r="C46" t="n">
        <v>2012</v>
      </c>
      <c r="D46">
        <f>E46/F46</f>
        <v/>
      </c>
      <c r="E46" s="19">
        <f>PWT!B24</f>
        <v/>
      </c>
      <c r="F46">
        <f>'WEO_Data'!C20</f>
        <v/>
      </c>
      <c r="G46">
        <f>L16</f>
        <v/>
      </c>
      <c r="H46">
        <f>EXP(G46+$B$2*LN(E46))</f>
        <v/>
      </c>
      <c r="I46" t="n">
        <v>0</v>
      </c>
      <c r="J46">
        <f>I46-$B$3*E46</f>
        <v/>
      </c>
      <c r="K46" s="19">
        <f>K45+J46</f>
        <v/>
      </c>
      <c r="L46">
        <f>EXP(G46+$B$2*LN(K46))</f>
        <v/>
      </c>
      <c r="M46">
        <f>L46-H46</f>
        <v/>
      </c>
      <c r="N46">
        <f>L46</f>
        <v/>
      </c>
      <c r="O46">
        <f>(N46-N45)/N45*100</f>
        <v/>
      </c>
    </row>
    <row r="47">
      <c r="C47" t="n">
        <v>2013</v>
      </c>
      <c r="D47">
        <f>E47/F47</f>
        <v/>
      </c>
      <c r="E47" s="19">
        <f>PWT!B25</f>
        <v/>
      </c>
      <c r="F47">
        <f>'WEO_Data'!C21</f>
        <v/>
      </c>
      <c r="G47">
        <f>L17</f>
        <v/>
      </c>
      <c r="H47">
        <f>EXP(G47+$B$2*LN(E47))</f>
        <v/>
      </c>
      <c r="I47" t="n">
        <v>0</v>
      </c>
      <c r="J47">
        <f>I47-$B$3*E47</f>
        <v/>
      </c>
      <c r="K47" s="19">
        <f>K46+J47</f>
        <v/>
      </c>
      <c r="L47">
        <f>EXP(G47+$B$2*LN(K47))</f>
        <v/>
      </c>
      <c r="M47">
        <f>L47-H47</f>
        <v/>
      </c>
      <c r="N47">
        <f>L47</f>
        <v/>
      </c>
      <c r="O47">
        <f>(N47-N46)/N46*100</f>
        <v/>
      </c>
    </row>
    <row r="48">
      <c r="C48" t="n">
        <v>2014</v>
      </c>
      <c r="D48">
        <f>E48/F48</f>
        <v/>
      </c>
      <c r="E48" s="19">
        <f>PWT!B26</f>
        <v/>
      </c>
      <c r="F48">
        <f>'WEO_Data'!C22</f>
        <v/>
      </c>
      <c r="G48">
        <f>L18</f>
        <v/>
      </c>
      <c r="H48">
        <f>EXP(G48+$B$2*LN(E48))</f>
        <v/>
      </c>
      <c r="I48" t="n">
        <v>0</v>
      </c>
      <c r="J48">
        <f>I48-$B$3*E48</f>
        <v/>
      </c>
      <c r="K48" s="19">
        <f>K47+J48</f>
        <v/>
      </c>
      <c r="L48">
        <f>EXP(G48+$B$2*LN(K48))</f>
        <v/>
      </c>
      <c r="M48">
        <f>L48-H48</f>
        <v/>
      </c>
      <c r="N48">
        <f>L48</f>
        <v/>
      </c>
      <c r="O48">
        <f>(N48-N47)/N47*100</f>
        <v/>
      </c>
    </row>
    <row r="49">
      <c r="C49" t="n">
        <v>2015</v>
      </c>
      <c r="D49">
        <f>E49/F49</f>
        <v/>
      </c>
      <c r="E49" s="19">
        <f>PWT!B27</f>
        <v/>
      </c>
      <c r="F49">
        <f>'WEO_Data'!C23</f>
        <v/>
      </c>
      <c r="G49">
        <f>L19</f>
        <v/>
      </c>
      <c r="H49">
        <f>EXP(G49+$B$2*LN(E49))</f>
        <v/>
      </c>
      <c r="I49" t="n">
        <v>0</v>
      </c>
      <c r="J49">
        <f>I49-$B$3*E49</f>
        <v/>
      </c>
      <c r="K49" s="19">
        <f>K48+J49</f>
        <v/>
      </c>
      <c r="L49">
        <f>EXP(G49+$B$2*LN(K49))</f>
        <v/>
      </c>
      <c r="M49">
        <f>L49-H49</f>
        <v/>
      </c>
      <c r="N49">
        <f>L49</f>
        <v/>
      </c>
      <c r="O49">
        <f>(N49-N48)/N48*100</f>
        <v/>
      </c>
    </row>
    <row r="50">
      <c r="C50" t="n">
        <v>2016</v>
      </c>
      <c r="D50">
        <f>E50/F50</f>
        <v/>
      </c>
      <c r="E50" s="19">
        <f>PWT!B28</f>
        <v/>
      </c>
      <c r="F50">
        <f>'WEO_Data'!C24</f>
        <v/>
      </c>
      <c r="G50">
        <f>L20</f>
        <v/>
      </c>
      <c r="H50">
        <f>EXP(G50+$B$2*LN(E50))</f>
        <v/>
      </c>
      <c r="I50" t="n">
        <v>0</v>
      </c>
      <c r="J50">
        <f>I50-$B$3*E50</f>
        <v/>
      </c>
      <c r="K50" s="19">
        <f>K49+J50</f>
        <v/>
      </c>
      <c r="L50">
        <f>EXP(G50+$B$2*LN(K50))</f>
        <v/>
      </c>
      <c r="M50">
        <f>L50-H50</f>
        <v/>
      </c>
      <c r="N50">
        <f>L50</f>
        <v/>
      </c>
      <c r="O50">
        <f>(N50-N49)/N49*100</f>
        <v/>
      </c>
    </row>
    <row r="51">
      <c r="C51" t="n">
        <v>2017</v>
      </c>
      <c r="D51">
        <f>E51/F51</f>
        <v/>
      </c>
      <c r="E51" s="19">
        <f>PWT!B29</f>
        <v/>
      </c>
      <c r="F51">
        <f>'WEO_Data'!C25</f>
        <v/>
      </c>
      <c r="G51">
        <f>L21</f>
        <v/>
      </c>
      <c r="H51">
        <f>EXP(G51+$B$2*LN(E51))</f>
        <v/>
      </c>
      <c r="I51" t="n">
        <v>0</v>
      </c>
      <c r="J51">
        <f>I51-$B$3*E51</f>
        <v/>
      </c>
      <c r="K51" s="19">
        <f>K50+J51</f>
        <v/>
      </c>
      <c r="L51">
        <f>EXP(G51+$B$2*LN(K51))</f>
        <v/>
      </c>
      <c r="M51">
        <f>L51-H51</f>
        <v/>
      </c>
      <c r="N51">
        <f>L51</f>
        <v/>
      </c>
      <c r="O51">
        <f>(N51-N50)/N50*100</f>
        <v/>
      </c>
    </row>
    <row r="52">
      <c r="C52" t="n">
        <v>2018</v>
      </c>
      <c r="D52">
        <f>E52/F52</f>
        <v/>
      </c>
      <c r="E52" s="19">
        <f>PWT!B30</f>
        <v/>
      </c>
      <c r="F52">
        <f>'WEO_Data'!C26</f>
        <v/>
      </c>
      <c r="G52">
        <f>L22</f>
        <v/>
      </c>
      <c r="H52">
        <f>EXP(G52+$B$2*LN(E52))</f>
        <v/>
      </c>
      <c r="I52" t="n">
        <v>0</v>
      </c>
      <c r="J52">
        <f>I52-$B$3*E52</f>
        <v/>
      </c>
      <c r="K52" s="19">
        <f>K51+J52</f>
        <v/>
      </c>
      <c r="L52">
        <f>EXP(G52+$B$2*LN(K52))</f>
        <v/>
      </c>
      <c r="M52">
        <f>L52-H52</f>
        <v/>
      </c>
      <c r="N52">
        <f>L52</f>
        <v/>
      </c>
      <c r="O52">
        <f>(N52-N51)/N51*100</f>
        <v/>
      </c>
    </row>
    <row r="53">
      <c r="C53" t="n">
        <v>2019</v>
      </c>
      <c r="D53">
        <f>E53/F53</f>
        <v/>
      </c>
      <c r="E53" s="19">
        <f>PWT!B31</f>
        <v/>
      </c>
      <c r="F53">
        <f>'WEO_Data'!C27</f>
        <v/>
      </c>
      <c r="G53">
        <f>L23</f>
        <v/>
      </c>
      <c r="H53">
        <f>EXP(G53+$B$2*LN(E53))</f>
        <v/>
      </c>
      <c r="I53" t="n">
        <v>0</v>
      </c>
      <c r="J53">
        <f>I53-$B$3*E53</f>
        <v/>
      </c>
      <c r="K53" s="19">
        <f>K52+J53</f>
        <v/>
      </c>
      <c r="L53">
        <f>EXP(G53+$B$2*LN(K53))</f>
        <v/>
      </c>
      <c r="M53">
        <f>L53-H53</f>
        <v/>
      </c>
      <c r="N53">
        <f>L53</f>
        <v/>
      </c>
      <c r="O53">
        <f>(N53-N52)/N52*100</f>
        <v/>
      </c>
    </row>
    <row r="54">
      <c r="C54" t="n">
        <v>2020</v>
      </c>
      <c r="D54">
        <f>E54/F54</f>
        <v/>
      </c>
      <c r="E54" s="19">
        <f>$C$4*F54</f>
        <v/>
      </c>
      <c r="F54">
        <f>'WEO_Data'!C28</f>
        <v/>
      </c>
      <c r="G54">
        <f>TREND($G$36:$G$53,$C$36:$C$53,C54)</f>
        <v/>
      </c>
      <c r="H54">
        <f>EXP(G54+$B$2*LN(E54))</f>
        <v/>
      </c>
      <c r="I54" t="n">
        <v>0</v>
      </c>
      <c r="J54">
        <f>I54-$B$3*E54</f>
        <v/>
      </c>
      <c r="K54" s="19">
        <f>K53+J54</f>
        <v/>
      </c>
      <c r="L54">
        <f>EXP(G54+$B$2*LN(K54))</f>
        <v/>
      </c>
      <c r="M54">
        <f>L54-H54</f>
        <v/>
      </c>
      <c r="N54">
        <f>L54</f>
        <v/>
      </c>
      <c r="O54">
        <f>(N54-N53)/N53*100</f>
        <v/>
      </c>
    </row>
    <row r="55">
      <c r="C55" t="n">
        <v>2021</v>
      </c>
      <c r="D55">
        <f>E55/F55</f>
        <v/>
      </c>
      <c r="E55" s="19">
        <f>$C$4*F55</f>
        <v/>
      </c>
      <c r="F55">
        <f>'WEO_Data'!C29</f>
        <v/>
      </c>
      <c r="G55">
        <f>TREND($G$36:$G$53,$C$36:$C$53,C55)</f>
        <v/>
      </c>
      <c r="H55">
        <f>EXP(G55+$B$2*LN(E55))</f>
        <v/>
      </c>
      <c r="I55" t="n">
        <v>0</v>
      </c>
      <c r="J55">
        <f>I55-$B$3*E55</f>
        <v/>
      </c>
      <c r="K55" s="19">
        <f>K54+J55</f>
        <v/>
      </c>
      <c r="L55">
        <f>EXP(G55+$B$2*LN(K55))</f>
        <v/>
      </c>
      <c r="M55">
        <f>L55-H55</f>
        <v/>
      </c>
      <c r="N55">
        <f>L55</f>
        <v/>
      </c>
      <c r="O55">
        <f>(N55-N54)/N54*100</f>
        <v/>
      </c>
    </row>
    <row r="56">
      <c r="C56" t="n">
        <v>2022</v>
      </c>
      <c r="D56">
        <f>E56/F56</f>
        <v/>
      </c>
      <c r="E56" s="19">
        <f>$C$4*F56</f>
        <v/>
      </c>
      <c r="F56">
        <f>'WEO_Data'!C30</f>
        <v/>
      </c>
      <c r="G56">
        <f>TREND($G$36:$G$53,$C$36:$C$53,C56)</f>
        <v/>
      </c>
      <c r="H56">
        <f>EXP(G56+$B$2*LN(E56))</f>
        <v/>
      </c>
      <c r="I56" t="n">
        <v>0</v>
      </c>
      <c r="J56">
        <f>I56-$B$3*E56</f>
        <v/>
      </c>
      <c r="K56" s="19">
        <f>K55+J56</f>
        <v/>
      </c>
      <c r="L56">
        <f>EXP(G56+$B$2*LN(K56))</f>
        <v/>
      </c>
      <c r="M56">
        <f>L56-H56</f>
        <v/>
      </c>
      <c r="N56">
        <f>L56</f>
        <v/>
      </c>
      <c r="O56">
        <f>(N56-N55)/N55*100</f>
        <v/>
      </c>
    </row>
    <row r="57">
      <c r="C57" t="n">
        <v>2023</v>
      </c>
      <c r="D57">
        <f>E57/F57</f>
        <v/>
      </c>
      <c r="E57" s="19">
        <f>$C$4*F57</f>
        <v/>
      </c>
      <c r="F57">
        <f>'WEO_Data'!C31</f>
        <v/>
      </c>
      <c r="G57">
        <f>TREND($G$36:$G$53,$C$36:$C$53,C57)</f>
        <v/>
      </c>
      <c r="H57">
        <f>EXP(G57+$B$2*LN(E57))</f>
        <v/>
      </c>
      <c r="I57" t="n">
        <v>0</v>
      </c>
      <c r="J57">
        <f>I57-$B$3*E57</f>
        <v/>
      </c>
      <c r="K57" s="19">
        <f>K56+J57</f>
        <v/>
      </c>
      <c r="L57">
        <f>EXP(G57+$B$2*LN(K57))</f>
        <v/>
      </c>
      <c r="M57">
        <f>L57-H57</f>
        <v/>
      </c>
      <c r="N57">
        <f>L57</f>
        <v/>
      </c>
      <c r="O57">
        <f>(N57-N56)/N56*100</f>
        <v/>
      </c>
    </row>
    <row r="58">
      <c r="C58" t="n">
        <v>2024</v>
      </c>
      <c r="D58">
        <f>E58/F58</f>
        <v/>
      </c>
      <c r="E58" s="21">
        <f>$C$4*F58</f>
        <v/>
      </c>
      <c r="F58">
        <f>'WEO_Data'!C32</f>
        <v/>
      </c>
      <c r="G58" s="20">
        <f>TREND($G$36:$G$53,$C$36:$C$53,C58)</f>
        <v/>
      </c>
      <c r="H58">
        <f>EXP(G58+$B$2*LN(E58))</f>
        <v/>
      </c>
      <c r="I58" t="n">
        <v>0</v>
      </c>
      <c r="J58">
        <f>I58-$B$3*E58</f>
        <v/>
      </c>
      <c r="K58" s="19">
        <f>K57+J58</f>
        <v/>
      </c>
      <c r="L58">
        <f>EXP(G58+$B$2*LN(K58))</f>
        <v/>
      </c>
      <c r="M58">
        <f>L58-H58</f>
        <v/>
      </c>
      <c r="N58">
        <f>L58</f>
        <v/>
      </c>
      <c r="O58">
        <f>(N58-N57)/N57*100</f>
        <v/>
      </c>
    </row>
    <row r="59">
      <c r="C59" t="n">
        <v>2025</v>
      </c>
      <c r="D59">
        <f>E59/F59</f>
        <v/>
      </c>
      <c r="E59" s="21">
        <f>$C$4*F59</f>
        <v/>
      </c>
      <c r="F59">
        <f>'WEO_Data'!C33</f>
        <v/>
      </c>
      <c r="G59" s="20">
        <f>TREND($G$36:$G$53,$C$36:$C$53,C59)</f>
        <v/>
      </c>
      <c r="H59">
        <f>EXP(G59+$B$2*LN(E59))</f>
        <v/>
      </c>
      <c r="I59" t="n">
        <v>0</v>
      </c>
      <c r="J59">
        <f>I59-$B$3*E59</f>
        <v/>
      </c>
      <c r="K59" s="19">
        <f>K58+J59</f>
        <v/>
      </c>
      <c r="L59">
        <f>EXP(G59+$B$2*LN(K59))</f>
        <v/>
      </c>
      <c r="M59">
        <f>L59-H59</f>
        <v/>
      </c>
      <c r="N59">
        <f>L59</f>
        <v/>
      </c>
      <c r="O59">
        <f>(N59-N58)/N58*100</f>
        <v/>
      </c>
    </row>
    <row r="60">
      <c r="C60" t="n">
        <v>2026</v>
      </c>
      <c r="D60">
        <f>E60/F60</f>
        <v/>
      </c>
      <c r="E60" s="21">
        <f>$C$4*F60</f>
        <v/>
      </c>
      <c r="F60" s="20">
        <f>'WEO_Data'!C34</f>
        <v/>
      </c>
      <c r="G60" s="20">
        <f>TREND($G$36:$G$53,$C$36:$C$53,C60)</f>
        <v/>
      </c>
      <c r="H60">
        <f>EXP(G60+$B$2*LN(E60))</f>
        <v/>
      </c>
      <c r="I60" s="17">
        <f>Investment!C2</f>
        <v/>
      </c>
      <c r="J60">
        <f>I60-$B$3*E60</f>
        <v/>
      </c>
      <c r="K60" s="19">
        <f>K59+J60</f>
        <v/>
      </c>
      <c r="L60">
        <f>EXP(G60+$B$2*LN(K60))</f>
        <v/>
      </c>
      <c r="M60">
        <f>L60-H60</f>
        <v/>
      </c>
      <c r="N60">
        <f>L60</f>
        <v/>
      </c>
      <c r="O60">
        <f>(N60-N59)/N59*100</f>
        <v/>
      </c>
    </row>
    <row r="61">
      <c r="C61" t="n">
        <v>2027</v>
      </c>
      <c r="D61">
        <f>E61/F61</f>
        <v/>
      </c>
      <c r="E61" s="21">
        <f>$C$4*F61</f>
        <v/>
      </c>
      <c r="F61" s="20">
        <f>'WEO_Data'!C35</f>
        <v/>
      </c>
      <c r="G61" s="20">
        <f>TREND($G$36:$G$53,$C$36:$C$53,C61)</f>
        <v/>
      </c>
      <c r="H61">
        <f>EXP(G61+$B$2*LN(E61))</f>
        <v/>
      </c>
      <c r="I61" s="17">
        <f>Investment!C3</f>
        <v/>
      </c>
      <c r="J61">
        <f>I61-$B$3*E61</f>
        <v/>
      </c>
      <c r="K61" s="19">
        <f>K60+J61</f>
        <v/>
      </c>
      <c r="L61">
        <f>EXP(G61+$B$2*LN(K61))</f>
        <v/>
      </c>
      <c r="M61">
        <f>L61-H61</f>
        <v/>
      </c>
      <c r="N61">
        <f>L61</f>
        <v/>
      </c>
      <c r="O61">
        <f>(N61-N60)/N60*100</f>
        <v/>
      </c>
    </row>
    <row r="62">
      <c r="C62" t="n">
        <v>2028</v>
      </c>
      <c r="D62">
        <f>E62/F62</f>
        <v/>
      </c>
      <c r="E62" s="21">
        <f>$C$4*F62</f>
        <v/>
      </c>
      <c r="F62" s="20">
        <f>'WEO_Data'!C36</f>
        <v/>
      </c>
      <c r="G62" s="20">
        <f>TREND($G$36:$G$53,$C$36:$C$53,C62)</f>
        <v/>
      </c>
      <c r="H62">
        <f>EXP(G62+$B$2*LN(E62))</f>
        <v/>
      </c>
      <c r="I62" s="17">
        <f>Investment!C4</f>
        <v/>
      </c>
      <c r="J62">
        <f>I62-$B$3*E62</f>
        <v/>
      </c>
      <c r="K62" s="19">
        <f>K61+J62</f>
        <v/>
      </c>
      <c r="L62">
        <f>EXP(G62+$B$2*LN(K62))</f>
        <v/>
      </c>
      <c r="M62">
        <f>L62-H62</f>
        <v/>
      </c>
      <c r="N62">
        <f>L62</f>
        <v/>
      </c>
      <c r="O62">
        <f>(N62-N61)/N61*100</f>
        <v/>
      </c>
    </row>
    <row r="63">
      <c r="C63" t="n">
        <v>2029</v>
      </c>
      <c r="D63">
        <f>E63/F63</f>
        <v/>
      </c>
      <c r="E63" s="21">
        <f>$C$4*F63</f>
        <v/>
      </c>
      <c r="F63" s="20">
        <f>'WEO_Data'!C37</f>
        <v/>
      </c>
      <c r="G63" s="20">
        <f>TREND($G$36:$G$53,$C$36:$C$53,C63)</f>
        <v/>
      </c>
      <c r="H63">
        <f>EXP(G63+$B$2*LN(E63))</f>
        <v/>
      </c>
      <c r="I63" s="17">
        <f>Investment!C5</f>
        <v/>
      </c>
      <c r="J63">
        <f>I63-$B$3*E63</f>
        <v/>
      </c>
      <c r="K63" s="19">
        <f>K62+J63</f>
        <v/>
      </c>
      <c r="L63">
        <f>EXP(G63+$B$2*LN(K63))</f>
        <v/>
      </c>
      <c r="M63">
        <f>L63-H63</f>
        <v/>
      </c>
      <c r="N63">
        <f>L63</f>
        <v/>
      </c>
      <c r="O63">
        <f>(N63-N62)/N62*100</f>
        <v/>
      </c>
    </row>
    <row r="64">
      <c r="C64" t="n">
        <v>2030</v>
      </c>
      <c r="D64">
        <f>E64/F64</f>
        <v/>
      </c>
      <c r="E64" s="21">
        <f>$C$4*F64</f>
        <v/>
      </c>
      <c r="F64" s="20">
        <f>'WEO_Data'!C38</f>
        <v/>
      </c>
      <c r="G64" s="20">
        <f>TREND($G$36:$G$53,$C$36:$C$53,C64)</f>
        <v/>
      </c>
      <c r="H64">
        <f>EXP(G64+$B$2*LN(E64))</f>
        <v/>
      </c>
      <c r="I64" s="17">
        <f>Investment!C6</f>
        <v/>
      </c>
      <c r="J64">
        <f>I64-$B$3*E64</f>
        <v/>
      </c>
      <c r="K64" s="19">
        <f>K63+J64</f>
        <v/>
      </c>
      <c r="L64">
        <f>EXP(G64+$B$2*LN(K64))</f>
        <v/>
      </c>
      <c r="M64">
        <f>L64-H64</f>
        <v/>
      </c>
      <c r="N64">
        <f>L64</f>
        <v/>
      </c>
      <c r="O64">
        <f>(N64-N63)/N63*100</f>
        <v/>
      </c>
    </row>
    <row r="65">
      <c r="C65" t="n">
        <v>2031</v>
      </c>
      <c r="D65">
        <f>E65/F65</f>
        <v/>
      </c>
      <c r="E65" s="21">
        <f>$C$4*F65</f>
        <v/>
      </c>
      <c r="F65" s="20">
        <f>'WEO_Data'!C39</f>
        <v/>
      </c>
      <c r="G65" s="20">
        <f>TREND($G$36:$G$53,$C$36:$C$53,C65)</f>
        <v/>
      </c>
      <c r="H65">
        <f>EXP(G65+$B$2*LN(E65))</f>
        <v/>
      </c>
      <c r="I65" s="17">
        <f>Investment!C7</f>
        <v/>
      </c>
      <c r="J65">
        <f>I65-$B$3*E65</f>
        <v/>
      </c>
      <c r="K65" s="19">
        <f>K64+J65</f>
        <v/>
      </c>
      <c r="L65">
        <f>EXP(G65+$B$2*LN(K65))</f>
        <v/>
      </c>
      <c r="M65">
        <f>L65-H65</f>
        <v/>
      </c>
      <c r="N65">
        <f>L65</f>
        <v/>
      </c>
      <c r="O65">
        <f>(N65-N64)/N64*100</f>
        <v/>
      </c>
    </row>
    <row r="66">
      <c r="C66" t="n">
        <v>2032</v>
      </c>
      <c r="D66">
        <f>E66/F66</f>
        <v/>
      </c>
      <c r="E66" s="21">
        <f>$C$4*F66</f>
        <v/>
      </c>
      <c r="F66" s="20">
        <f>'WEO_Data'!C40</f>
        <v/>
      </c>
      <c r="G66" s="20">
        <f>TREND($G$36:$G$53,$C$36:$C$53,C66)</f>
        <v/>
      </c>
      <c r="H66">
        <f>EXP(G66+$B$2*LN(E66))</f>
        <v/>
      </c>
      <c r="I66" s="17">
        <f>Investment!C8</f>
        <v/>
      </c>
      <c r="J66">
        <f>I66-$B$3*E66</f>
        <v/>
      </c>
      <c r="K66" s="19">
        <f>K65+J66</f>
        <v/>
      </c>
      <c r="L66">
        <f>EXP(G66+$B$2*LN(K66))</f>
        <v/>
      </c>
      <c r="M66">
        <f>L66-H66</f>
        <v/>
      </c>
      <c r="N66">
        <f>L66</f>
        <v/>
      </c>
      <c r="O66">
        <f>(N66-N65)/N65*100</f>
        <v/>
      </c>
    </row>
    <row r="67">
      <c r="C67" t="n">
        <v>2033</v>
      </c>
      <c r="D67">
        <f>E67/F67</f>
        <v/>
      </c>
      <c r="E67" s="21">
        <f>$C$4*F67</f>
        <v/>
      </c>
      <c r="F67" s="20">
        <f>'WEO_Data'!C41</f>
        <v/>
      </c>
      <c r="G67" s="20">
        <f>TREND($G$36:$G$53,$C$36:$C$53,C67)</f>
        <v/>
      </c>
      <c r="H67">
        <f>EXP(G67+$B$2*LN(E67))</f>
        <v/>
      </c>
      <c r="I67" s="17">
        <f>Investment!C9</f>
        <v/>
      </c>
      <c r="J67">
        <f>I67-$B$3*E67</f>
        <v/>
      </c>
      <c r="K67" s="19">
        <f>K66+J67</f>
        <v/>
      </c>
      <c r="L67">
        <f>EXP(G67+$B$2*LN(K67))</f>
        <v/>
      </c>
      <c r="M67">
        <f>L67-H67</f>
        <v/>
      </c>
      <c r="N67">
        <f>L67</f>
        <v/>
      </c>
      <c r="O67">
        <f>(N67-N66)/N66*100</f>
        <v/>
      </c>
    </row>
    <row r="68">
      <c r="C68" t="n">
        <v>2034</v>
      </c>
      <c r="D68">
        <f>E68/F68</f>
        <v/>
      </c>
      <c r="E68" s="21">
        <f>$C$4*F68</f>
        <v/>
      </c>
      <c r="F68" s="20">
        <f>'WEO_Data'!C42</f>
        <v/>
      </c>
      <c r="G68" s="20">
        <f>TREND($G$36:$G$53,$C$36:$C$53,C68)</f>
        <v/>
      </c>
      <c r="H68">
        <f>EXP(G68+$B$2*LN(E68))</f>
        <v/>
      </c>
      <c r="I68" t="n">
        <v>0</v>
      </c>
      <c r="J68">
        <f>I68-$B$3*E68</f>
        <v/>
      </c>
      <c r="K68" s="19">
        <f>K67+J68</f>
        <v/>
      </c>
      <c r="L68">
        <f>EXP(G68+$B$2*LN(K68))</f>
        <v/>
      </c>
      <c r="M68">
        <f>L68-H68</f>
        <v/>
      </c>
      <c r="N68">
        <f>L68</f>
        <v/>
      </c>
      <c r="O68">
        <f>(N68-N67)/N67*100</f>
        <v/>
      </c>
    </row>
    <row r="69">
      <c r="C69" t="n">
        <v>2035</v>
      </c>
      <c r="D69">
        <f>E69/F69</f>
        <v/>
      </c>
      <c r="E69" s="21">
        <f>$C$4*F69</f>
        <v/>
      </c>
      <c r="F69" s="20">
        <f>'WEO_Data'!C43</f>
        <v/>
      </c>
      <c r="G69" s="20">
        <f>TREND($G$36:$G$53,$C$36:$C$53,C69)</f>
        <v/>
      </c>
      <c r="H69">
        <f>EXP(G69+$B$2*LN(E69))</f>
        <v/>
      </c>
      <c r="I69" t="n">
        <v>0</v>
      </c>
      <c r="J69">
        <f>I69-$B$3*E69</f>
        <v/>
      </c>
      <c r="K69" s="19">
        <f>K68+J69</f>
        <v/>
      </c>
      <c r="L69">
        <f>EXP(G69+$B$2*LN(K69))</f>
        <v/>
      </c>
      <c r="M69">
        <f>L69-H69</f>
        <v/>
      </c>
      <c r="N69">
        <f>L69</f>
        <v/>
      </c>
      <c r="O69">
        <f>(N69-N68)/N68*100</f>
        <v/>
      </c>
    </row>
    <row r="70">
      <c r="C70" t="n">
        <v>2036</v>
      </c>
      <c r="D70">
        <f>E70/F70</f>
        <v/>
      </c>
      <c r="E70" s="21">
        <f>$C$4*F70</f>
        <v/>
      </c>
      <c r="F70" s="20">
        <f>'WEO_Data'!C44</f>
        <v/>
      </c>
      <c r="G70" s="20">
        <f>TREND($G$36:$G$53,$C$36:$C$53,C70)</f>
        <v/>
      </c>
      <c r="H70">
        <f>EXP(G70+$B$2*LN(E70))</f>
        <v/>
      </c>
      <c r="I70" t="n">
        <v>0</v>
      </c>
      <c r="J70">
        <f>I70-$B$3*E70</f>
        <v/>
      </c>
      <c r="K70" s="19">
        <f>K69+J70</f>
        <v/>
      </c>
      <c r="L70">
        <f>EXP(G70+$B$2*LN(K70))</f>
        <v/>
      </c>
      <c r="M70">
        <f>L70-H70</f>
        <v/>
      </c>
      <c r="N70">
        <f>L70</f>
        <v/>
      </c>
      <c r="O70">
        <f>(N70-N69)/N69*100</f>
        <v/>
      </c>
    </row>
    <row r="71">
      <c r="C71" t="n">
        <v>2037</v>
      </c>
      <c r="D71">
        <f>E71/F71</f>
        <v/>
      </c>
      <c r="E71" s="21">
        <f>$C$4*F71</f>
        <v/>
      </c>
      <c r="F71" s="20">
        <f>'WEO_Data'!C45</f>
        <v/>
      </c>
      <c r="G71" s="20">
        <f>TREND($G$36:$G$53,$C$36:$C$53,C71)</f>
        <v/>
      </c>
      <c r="H71">
        <f>EXP(G71+$B$2*LN(E71))</f>
        <v/>
      </c>
      <c r="I71" t="n">
        <v>0</v>
      </c>
      <c r="J71">
        <f>I71-$B$3*E71</f>
        <v/>
      </c>
      <c r="K71" s="19">
        <f>K70+J71</f>
        <v/>
      </c>
      <c r="L71">
        <f>EXP(G71+$B$2*LN(K71))</f>
        <v/>
      </c>
      <c r="M71">
        <f>L71-H71</f>
        <v/>
      </c>
      <c r="N71">
        <f>L71</f>
        <v/>
      </c>
      <c r="O71">
        <f>(N71-N70)/N70*100</f>
        <v/>
      </c>
    </row>
    <row r="72">
      <c r="C72" t="n">
        <v>2038</v>
      </c>
      <c r="D72">
        <f>E72/F72</f>
        <v/>
      </c>
      <c r="E72" s="21">
        <f>$C$4*F72</f>
        <v/>
      </c>
      <c r="F72" s="20">
        <f>'WEO_Data'!C46</f>
        <v/>
      </c>
      <c r="G72" s="20">
        <f>TREND($G$36:$G$53,$C$36:$C$53,C72)</f>
        <v/>
      </c>
      <c r="H72">
        <f>EXP(G72+$B$2*LN(E72))</f>
        <v/>
      </c>
      <c r="I72" t="n">
        <v>0</v>
      </c>
      <c r="J72">
        <f>I72-$B$3*E72</f>
        <v/>
      </c>
      <c r="K72" s="19">
        <f>K71+J72</f>
        <v/>
      </c>
      <c r="L72">
        <f>EXP(G72+$B$2*LN(K72))</f>
        <v/>
      </c>
      <c r="M72">
        <f>L72-H72</f>
        <v/>
      </c>
      <c r="N72">
        <f>L72</f>
        <v/>
      </c>
      <c r="O72">
        <f>(N72-N71)/N71*100</f>
        <v/>
      </c>
    </row>
    <row r="73">
      <c r="C73" t="n">
        <v>2039</v>
      </c>
      <c r="D73">
        <f>E73/F73</f>
        <v/>
      </c>
      <c r="E73" s="21">
        <f>$C$4*F73</f>
        <v/>
      </c>
      <c r="F73" s="20">
        <f>'WEO_Data'!C47</f>
        <v/>
      </c>
      <c r="G73" s="20">
        <f>TREND($G$36:$G$53,$C$36:$C$53,C73)</f>
        <v/>
      </c>
      <c r="H73">
        <f>EXP(G73+$B$2*LN(E73))</f>
        <v/>
      </c>
      <c r="I73" t="n">
        <v>0</v>
      </c>
      <c r="J73">
        <f>I73-$B$3*E73</f>
        <v/>
      </c>
      <c r="K73" s="19">
        <f>K72+J73</f>
        <v/>
      </c>
      <c r="L73">
        <f>EXP(G73+$B$2*LN(K73))</f>
        <v/>
      </c>
      <c r="M73">
        <f>L73-H73</f>
        <v/>
      </c>
      <c r="N73">
        <f>L73</f>
        <v/>
      </c>
      <c r="O73">
        <f>(N73-N72)/N72*100</f>
        <v/>
      </c>
    </row>
    <row r="74">
      <c r="C74" t="n">
        <v>2040</v>
      </c>
      <c r="D74">
        <f>E74/F74</f>
        <v/>
      </c>
      <c r="E74" s="21">
        <f>$C$4*F74</f>
        <v/>
      </c>
      <c r="F74" s="20">
        <f>'WEO_Data'!C48</f>
        <v/>
      </c>
      <c r="G74" s="20">
        <f>TREND($G$36:$G$53,$C$36:$C$53,C74)</f>
        <v/>
      </c>
      <c r="H74">
        <f>EXP(G74+$B$2*LN(E74))</f>
        <v/>
      </c>
      <c r="I74" t="n">
        <v>0</v>
      </c>
      <c r="J74">
        <f>I74-$B$3*E74</f>
        <v/>
      </c>
      <c r="K74" s="19">
        <f>K73+J74</f>
        <v/>
      </c>
      <c r="L74">
        <f>EXP(G74+$B$2*LN(K74))</f>
        <v/>
      </c>
      <c r="M74">
        <f>L74-H74</f>
        <v/>
      </c>
      <c r="N74">
        <f>L74</f>
        <v/>
      </c>
      <c r="O74">
        <f>(N74-N73)/N73*100</f>
        <v/>
      </c>
    </row>
    <row r="75">
      <c r="C75" t="n">
        <v>2041</v>
      </c>
      <c r="D75">
        <f>E75/F75</f>
        <v/>
      </c>
      <c r="E75" s="21">
        <f>$C$4*F75</f>
        <v/>
      </c>
      <c r="F75" s="20">
        <f>'WEO_Data'!C49</f>
        <v/>
      </c>
      <c r="G75" s="20">
        <f>TREND($G$36:$G$53,$C$36:$C$53,C75)</f>
        <v/>
      </c>
      <c r="H75">
        <f>EXP(G75+$B$2*LN(E75))</f>
        <v/>
      </c>
      <c r="I75" t="n">
        <v>0</v>
      </c>
      <c r="J75">
        <f>I75-$B$3*E75</f>
        <v/>
      </c>
      <c r="K75" s="19">
        <f>K74+J75</f>
        <v/>
      </c>
      <c r="L75">
        <f>EXP(G75+$B$2*LN(K75))</f>
        <v/>
      </c>
      <c r="M75">
        <f>L75-H75</f>
        <v/>
      </c>
      <c r="N75">
        <f>L75</f>
        <v/>
      </c>
      <c r="O75">
        <f>(N75-N74)/N74*100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0.3045150917602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0.383641663608596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0.516397121222809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0.6616038344292311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0.63170100088782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0.706983726789065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0.790112565198609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0.932916219671159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0.976818537799271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1.11345005859263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1.30637308413224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1.61702996625711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1.7580492676717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1.75136668488131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2.04641323466733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2.35051240590543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2.64360288796874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1.55593215231816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2.9848904686878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3.65728067254249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4.00482871985304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4.49292133490825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4.84361644028627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5.452957379350041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6.15276926161805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7.07262534889823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7.661448474881071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9.41065784371035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217572.265625</v>
      </c>
    </row>
    <row r="3">
      <c r="A3" s="19" t="n">
        <v>1991</v>
      </c>
      <c r="B3" s="19" t="n">
        <v>219328.421875</v>
      </c>
    </row>
    <row r="4">
      <c r="A4" s="19" t="n">
        <v>1992</v>
      </c>
      <c r="B4" s="19" t="n">
        <v>215882.453125</v>
      </c>
    </row>
    <row r="5">
      <c r="A5" s="19" t="n">
        <v>1993</v>
      </c>
      <c r="B5" s="19" t="n">
        <v>207684.890625</v>
      </c>
    </row>
    <row r="6">
      <c r="A6" s="19" t="n">
        <v>1994</v>
      </c>
      <c r="B6" s="19" t="n">
        <v>202188.8125</v>
      </c>
    </row>
    <row r="7">
      <c r="A7" s="19" t="n">
        <v>1995</v>
      </c>
      <c r="B7" s="19" t="n">
        <v>198953.859375</v>
      </c>
    </row>
    <row r="8">
      <c r="A8" s="19" t="n">
        <v>1996</v>
      </c>
      <c r="B8" s="19" t="n">
        <v>196366.453125</v>
      </c>
    </row>
    <row r="9">
      <c r="A9" s="19" t="n">
        <v>1997</v>
      </c>
      <c r="B9" s="19" t="n">
        <v>194417.84375</v>
      </c>
    </row>
    <row r="10">
      <c r="A10" s="19" t="n">
        <v>1998</v>
      </c>
      <c r="B10" s="19" t="n">
        <v>194516.296875</v>
      </c>
    </row>
    <row r="11">
      <c r="A11" s="19" t="n">
        <v>1999</v>
      </c>
      <c r="B11" s="19" t="n">
        <v>194964.5625</v>
      </c>
    </row>
    <row r="12">
      <c r="A12" s="19" t="n">
        <v>2000</v>
      </c>
      <c r="B12" s="19" t="n">
        <v>195327.078125</v>
      </c>
    </row>
    <row r="13">
      <c r="A13" s="19" t="n">
        <v>2001</v>
      </c>
      <c r="B13" s="19" t="n">
        <v>196512.453125</v>
      </c>
    </row>
    <row r="14">
      <c r="A14" s="19" t="n">
        <v>2002</v>
      </c>
      <c r="B14" s="19" t="n">
        <v>197317.59375</v>
      </c>
    </row>
    <row r="15">
      <c r="A15" s="19" t="n">
        <v>2003</v>
      </c>
      <c r="B15" s="19" t="n">
        <v>199678.921875</v>
      </c>
    </row>
    <row r="16">
      <c r="A16" s="19" t="n">
        <v>2004</v>
      </c>
      <c r="B16" s="19" t="n">
        <v>202658.8125</v>
      </c>
    </row>
    <row r="17">
      <c r="A17" s="19" t="n">
        <v>2005</v>
      </c>
      <c r="B17" s="19" t="n">
        <v>206400.5</v>
      </c>
    </row>
    <row r="18">
      <c r="A18" s="19" t="n">
        <v>2006</v>
      </c>
      <c r="B18" s="19" t="n">
        <v>209660.25</v>
      </c>
    </row>
    <row r="19">
      <c r="A19" s="19" t="n">
        <v>2007</v>
      </c>
      <c r="B19" s="19" t="n">
        <v>213821.375</v>
      </c>
    </row>
    <row r="20">
      <c r="A20" s="19" t="n">
        <v>2008</v>
      </c>
      <c r="B20" s="19" t="n">
        <v>215825.90625</v>
      </c>
    </row>
    <row r="21">
      <c r="A21" s="19" t="n">
        <v>2009</v>
      </c>
      <c r="B21" s="19" t="n">
        <v>214505.90625</v>
      </c>
    </row>
    <row r="22">
      <c r="A22" s="19" t="n">
        <v>2010</v>
      </c>
      <c r="B22" s="19" t="n">
        <v>215740.28125</v>
      </c>
    </row>
    <row r="23">
      <c r="A23" s="19" t="n">
        <v>2011</v>
      </c>
      <c r="B23" s="19" t="n">
        <v>218333.703125</v>
      </c>
    </row>
    <row r="24">
      <c r="A24" s="19" t="n">
        <v>2012</v>
      </c>
      <c r="B24" s="19" t="n">
        <v>221570.09375</v>
      </c>
    </row>
    <row r="25">
      <c r="A25" s="19" t="n">
        <v>2013</v>
      </c>
      <c r="B25" s="19" t="n">
        <v>223431.875</v>
      </c>
    </row>
    <row r="26">
      <c r="A26" s="19" t="n">
        <v>2014</v>
      </c>
      <c r="B26" s="19" t="n">
        <v>227911.96875</v>
      </c>
    </row>
    <row r="27">
      <c r="A27" s="19" t="n">
        <v>2015</v>
      </c>
      <c r="B27" s="19" t="n">
        <v>234164.859375</v>
      </c>
    </row>
    <row r="28">
      <c r="A28" s="19" t="n">
        <v>2016</v>
      </c>
      <c r="B28" s="19" t="n">
        <v>241138.375</v>
      </c>
    </row>
    <row r="29">
      <c r="A29" s="19" t="n">
        <v>2017</v>
      </c>
      <c r="B29" s="19" t="n">
        <v>248033.09375</v>
      </c>
    </row>
    <row r="30">
      <c r="A30" s="19" t="n">
        <v>2018</v>
      </c>
      <c r="B30" s="19" t="n">
        <v>254809.796875</v>
      </c>
    </row>
    <row r="31">
      <c r="A31" s="19" t="n">
        <v>2019</v>
      </c>
      <c r="B31" s="19" t="n">
        <v>264125.5625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20.77739873165611</v>
      </c>
      <c r="D8" t="n">
        <v>1.9</v>
      </c>
    </row>
    <row r="9">
      <c r="B9" t="n">
        <v>2001</v>
      </c>
      <c r="C9" t="n">
        <v>21.7747138707756</v>
      </c>
      <c r="D9" t="n">
        <v>4.8</v>
      </c>
    </row>
    <row r="10">
      <c r="B10" t="n">
        <v>2002</v>
      </c>
      <c r="C10" t="n">
        <v>22.97232313366825</v>
      </c>
      <c r="D10" t="n">
        <v>5.5</v>
      </c>
    </row>
    <row r="11">
      <c r="B11" t="n">
        <v>2003</v>
      </c>
      <c r="C11" t="n">
        <v>25.5452233246391</v>
      </c>
      <c r="D11" t="n">
        <v>11.2</v>
      </c>
    </row>
    <row r="12">
      <c r="B12" t="n">
        <v>2004</v>
      </c>
      <c r="C12" t="n">
        <v>27.02684627746817</v>
      </c>
      <c r="D12" t="n">
        <v>5.8</v>
      </c>
    </row>
    <row r="13">
      <c r="B13" t="n">
        <v>2005</v>
      </c>
      <c r="C13" t="n">
        <v>29.62142352010512</v>
      </c>
      <c r="D13" t="n">
        <v>9.6</v>
      </c>
    </row>
    <row r="14">
      <c r="B14" t="n">
        <v>2006</v>
      </c>
      <c r="C14" t="n">
        <v>32.40583733099501</v>
      </c>
      <c r="D14" t="n">
        <v>9.4</v>
      </c>
    </row>
    <row r="15">
      <c r="B15" t="n">
        <v>2007</v>
      </c>
      <c r="C15" t="n">
        <v>36.48897283470037</v>
      </c>
      <c r="D15" t="n">
        <v>12.6</v>
      </c>
    </row>
    <row r="16">
      <c r="B16" t="n">
        <v>2008</v>
      </c>
      <c r="C16" t="n">
        <v>37.36470818273318</v>
      </c>
      <c r="D16" t="n">
        <v>2.4</v>
      </c>
    </row>
    <row r="17">
      <c r="B17" t="n">
        <v>2009</v>
      </c>
      <c r="C17" t="n">
        <v>35.98221397997205</v>
      </c>
      <c r="D17" t="n">
        <v>-3.7</v>
      </c>
    </row>
    <row r="18">
      <c r="B18" t="n">
        <v>2010</v>
      </c>
      <c r="C18" t="n">
        <v>38.46498674459012</v>
      </c>
      <c r="D18" t="n">
        <v>6.9</v>
      </c>
    </row>
    <row r="19">
      <c r="B19" t="n">
        <v>2011</v>
      </c>
      <c r="C19" t="n">
        <v>41.50372069741274</v>
      </c>
      <c r="D19" t="n">
        <v>7.9</v>
      </c>
    </row>
    <row r="20">
      <c r="B20" t="n">
        <v>2012</v>
      </c>
      <c r="C20" t="n">
        <v>44.24296626344198</v>
      </c>
      <c r="D20" t="n">
        <v>6.6</v>
      </c>
    </row>
    <row r="21">
      <c r="B21" t="n">
        <v>2013</v>
      </c>
      <c r="C21" t="n">
        <v>46.49935754287752</v>
      </c>
      <c r="D21" t="n">
        <v>5.1</v>
      </c>
    </row>
    <row r="22">
      <c r="B22" t="n">
        <v>2014</v>
      </c>
      <c r="C22" t="n">
        <v>48.4058312021355</v>
      </c>
      <c r="D22" t="n">
        <v>4.1</v>
      </c>
    </row>
    <row r="23">
      <c r="B23" t="n">
        <v>2015</v>
      </c>
      <c r="C23" t="n">
        <v>50.0516294630081</v>
      </c>
      <c r="D23" t="n">
        <v>3.4</v>
      </c>
    </row>
    <row r="24">
      <c r="B24" t="n">
        <v>2016</v>
      </c>
      <c r="C24" t="n">
        <v>51.75338486475038</v>
      </c>
      <c r="D24" t="n">
        <v>3.4</v>
      </c>
    </row>
    <row r="25">
      <c r="B25" t="n">
        <v>2017</v>
      </c>
      <c r="C25" t="n">
        <v>54.4445608777174</v>
      </c>
      <c r="D25" t="n">
        <v>5.2</v>
      </c>
    </row>
    <row r="26">
      <c r="B26" t="n">
        <v>2018</v>
      </c>
      <c r="C26" t="n">
        <v>57.76567909125816</v>
      </c>
      <c r="D26" t="n">
        <v>6.1</v>
      </c>
    </row>
    <row r="27">
      <c r="B27" t="n">
        <v>2019</v>
      </c>
      <c r="C27" t="n">
        <v>60.8850257621861</v>
      </c>
      <c r="D27" t="n">
        <v>5.4</v>
      </c>
    </row>
    <row r="28">
      <c r="B28" t="n">
        <v>2020</v>
      </c>
      <c r="C28" t="n">
        <v>57.04926913916838</v>
      </c>
      <c r="D28" t="n">
        <v>-6.3</v>
      </c>
    </row>
    <row r="29">
      <c r="B29" t="n">
        <v>2021</v>
      </c>
      <c r="C29" t="n">
        <v>63.09649166792023</v>
      </c>
      <c r="D29" t="n">
        <v>10.6</v>
      </c>
    </row>
    <row r="30">
      <c r="B30" t="n">
        <v>2022</v>
      </c>
      <c r="C30" t="n">
        <v>70.03710575139146</v>
      </c>
      <c r="D30" t="n">
        <v>11</v>
      </c>
    </row>
    <row r="31">
      <c r="B31" t="n">
        <v>2023</v>
      </c>
      <c r="C31" t="n">
        <v>75.5</v>
      </c>
      <c r="D31" t="n">
        <v>7.8</v>
      </c>
    </row>
    <row r="32">
      <c r="B32" t="n">
        <v>2024</v>
      </c>
      <c r="C32" t="n">
        <v>82.59700000000001</v>
      </c>
      <c r="D32" t="n">
        <v>9.4</v>
      </c>
    </row>
    <row r="33">
      <c r="B33" t="n">
        <v>2025</v>
      </c>
      <c r="C33" t="n">
        <v>88.54398400000001</v>
      </c>
      <c r="D33" t="n">
        <v>7.2</v>
      </c>
    </row>
    <row r="34">
      <c r="B34" t="n">
        <v>2026</v>
      </c>
      <c r="C34" t="n">
        <v>93.23681515200001</v>
      </c>
      <c r="D34" t="n">
        <v>5.3</v>
      </c>
    </row>
    <row r="35">
      <c r="B35" t="n">
        <v>2027</v>
      </c>
      <c r="C35" t="n">
        <v>97.89865590960001</v>
      </c>
      <c r="D35" t="n">
        <v>5</v>
      </c>
    </row>
    <row r="36">
      <c r="B36" t="n">
        <v>2028</v>
      </c>
      <c r="C36" t="n">
        <v>102.79358870508</v>
      </c>
      <c r="D36" t="n">
        <v>5</v>
      </c>
    </row>
    <row r="37">
      <c r="B37" t="n">
        <v>2029</v>
      </c>
      <c r="C37" t="n">
        <v>107.933268140334</v>
      </c>
      <c r="D37" t="n">
        <v>5</v>
      </c>
    </row>
    <row r="38">
      <c r="B38" t="n">
        <v>2030</v>
      </c>
      <c r="C38" t="n">
        <v>113.3299315473507</v>
      </c>
      <c r="D38" t="n">
        <v>5</v>
      </c>
    </row>
    <row r="39">
      <c r="B39" t="n">
        <v>2031</v>
      </c>
      <c r="C39" t="n">
        <v>118.9964281247183</v>
      </c>
      <c r="D39" t="n">
        <v>5</v>
      </c>
    </row>
    <row r="40">
      <c r="B40" t="n">
        <v>2032</v>
      </c>
      <c r="C40" t="n">
        <v>124.9462495309542</v>
      </c>
      <c r="D40" t="n">
        <v>5</v>
      </c>
    </row>
    <row r="41">
      <c r="B41" t="n">
        <v>2033</v>
      </c>
      <c r="C41" t="n">
        <v>131.1935620075019</v>
      </c>
      <c r="D41" t="n">
        <v>5</v>
      </c>
    </row>
    <row r="42">
      <c r="B42" t="n">
        <v>2034</v>
      </c>
      <c r="C42" t="n">
        <v>137.753240107877</v>
      </c>
      <c r="D42" t="n">
        <v>5</v>
      </c>
    </row>
    <row r="43">
      <c r="B43" t="n">
        <v>2035</v>
      </c>
      <c r="C43" t="n">
        <v>144.6409021132708</v>
      </c>
      <c r="D43" t="n">
        <v>5</v>
      </c>
    </row>
    <row r="44">
      <c r="B44" t="n">
        <v>2036</v>
      </c>
      <c r="C44" t="n">
        <v>151.8729472189344</v>
      </c>
      <c r="D44" t="n">
        <v>5</v>
      </c>
    </row>
    <row r="45">
      <c r="B45" t="n">
        <v>2037</v>
      </c>
      <c r="C45" t="n">
        <v>159.4665945798811</v>
      </c>
      <c r="D45" t="n">
        <v>5</v>
      </c>
    </row>
    <row r="46">
      <c r="B46" t="n">
        <v>2038</v>
      </c>
      <c r="C46" t="n">
        <v>167.4399243088752</v>
      </c>
      <c r="D46" t="n">
        <v>5</v>
      </c>
    </row>
    <row r="47">
      <c r="B47" t="n">
        <v>2039</v>
      </c>
      <c r="C47" t="n">
        <v>175.811920524319</v>
      </c>
      <c r="D47" t="n">
        <v>5</v>
      </c>
    </row>
    <row r="48">
      <c r="B48" t="n">
        <v>2040</v>
      </c>
      <c r="C48" t="n">
        <v>184.6025165505349</v>
      </c>
      <c r="D48" t="n">
        <v>5</v>
      </c>
    </row>
    <row r="49">
      <c r="B49" t="n">
        <v>2041</v>
      </c>
      <c r="C49" t="n">
        <v>193.8326423780617</v>
      </c>
      <c r="D49" t="n">
        <v>5</v>
      </c>
    </row>
    <row r="50">
      <c r="B50" t="n">
        <v>2042</v>
      </c>
      <c r="C50" t="n">
        <v>203.5242744969648</v>
      </c>
      <c r="D50" t="n">
        <v>5</v>
      </c>
    </row>
    <row r="51">
      <c r="B51" t="n">
        <v>2043</v>
      </c>
      <c r="C51" t="n">
        <v>213.700488221813</v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2026-01-29T05:17:31Z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