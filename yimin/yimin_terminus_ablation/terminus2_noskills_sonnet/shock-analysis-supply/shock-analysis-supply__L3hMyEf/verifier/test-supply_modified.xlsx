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vestment" sheetId="2" state="visible" r:id="rId2"/>
    <sheet xmlns:r="http://schemas.openxmlformats.org/officeDocument/2006/relationships" name="CFC data" sheetId="3" state="visible" r:id="rId3"/>
    <sheet xmlns:r="http://schemas.openxmlformats.org/officeDocument/2006/relationships" name="PWT" sheetId="4" state="visible" r:id="rId4"/>
    <sheet xmlns:r="http://schemas.openxmlformats.org/officeDocument/2006/relationships"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data'!E18:E25)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SUMPRODUCT((K6:K27-L6:L27)^2)+100*SUMPRODUCT(M8:M26^2)</f>
        <v/>
      </c>
    </row>
    <row r="6">
      <c r="C6" t="n">
        <v>2002</v>
      </c>
      <c r="D6" s="19">
        <f>PWT!B14</f>
        <v/>
      </c>
      <c r="E6">
        <f>WEO_Data!B10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PWT!B15</f>
        <v/>
      </c>
      <c r="E7">
        <f>WEO_Data!B11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N7" s="5">
        <f>K7-L7</f>
        <v/>
      </c>
    </row>
    <row r="8">
      <c r="C8" t="n">
        <v>2004</v>
      </c>
      <c r="D8" s="19">
        <f>PWT!B16</f>
        <v/>
      </c>
      <c r="E8">
        <f>WEO_Data!B12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(L9-L8)-(L8-L7)</f>
        <v/>
      </c>
      <c r="N8" s="5">
        <f>K8-L8</f>
        <v/>
      </c>
    </row>
    <row r="9">
      <c r="C9" t="n">
        <v>2005</v>
      </c>
      <c r="D9" s="19">
        <f>PWT!B17</f>
        <v/>
      </c>
      <c r="E9">
        <f>WEO_Data!B13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(L10-L9)-(L9-L8)</f>
        <v/>
      </c>
      <c r="N9" s="5">
        <f>K9-L9</f>
        <v/>
      </c>
    </row>
    <row r="10">
      <c r="C10" t="n">
        <v>2006</v>
      </c>
      <c r="D10" s="19">
        <f>PWT!B18</f>
        <v/>
      </c>
      <c r="E10">
        <f>WEO_Data!B14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(L11-L10)-(L10-L9)</f>
        <v/>
      </c>
      <c r="N10" s="5">
        <f>K10-L10</f>
        <v/>
      </c>
    </row>
    <row r="11">
      <c r="C11" t="n">
        <v>2007</v>
      </c>
      <c r="D11" s="19">
        <f>PWT!B19</f>
        <v/>
      </c>
      <c r="E11">
        <f>WEO_Data!B15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(L12-L11)-(L11-L10)</f>
        <v/>
      </c>
      <c r="N11" s="5">
        <f>K11-L11</f>
        <v/>
      </c>
    </row>
    <row r="12">
      <c r="C12" t="n">
        <v>2008</v>
      </c>
      <c r="D12" s="19">
        <f>PWT!B20</f>
        <v/>
      </c>
      <c r="E12">
        <f>WEO_Data!B16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(L13-L12)-(L12-L11)</f>
        <v/>
      </c>
      <c r="N12" s="5">
        <f>K12-L12</f>
        <v/>
      </c>
    </row>
    <row r="13">
      <c r="C13" t="n">
        <v>2009</v>
      </c>
      <c r="D13" s="19">
        <f>PWT!B21</f>
        <v/>
      </c>
      <c r="E13">
        <f>WEO_Data!B17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(L14-L13)-(L13-L12)</f>
        <v/>
      </c>
      <c r="N13" s="5">
        <f>K13-L13</f>
        <v/>
      </c>
    </row>
    <row r="14">
      <c r="C14" t="n">
        <v>2010</v>
      </c>
      <c r="D14" s="19">
        <f>PWT!B22</f>
        <v/>
      </c>
      <c r="E14">
        <f>WEO_Data!B18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(L15-L14)-(L14-L13)</f>
        <v/>
      </c>
      <c r="N14" s="5">
        <f>K14-L14</f>
        <v/>
      </c>
    </row>
    <row r="15">
      <c r="C15" t="n">
        <v>2011</v>
      </c>
      <c r="D15" s="19">
        <f>PWT!B23</f>
        <v/>
      </c>
      <c r="E15">
        <f>WEO_Data!B19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(L16-L15)-(L15-L14)</f>
        <v/>
      </c>
      <c r="N15" s="5">
        <f>K15-L15</f>
        <v/>
      </c>
    </row>
    <row r="16">
      <c r="C16" t="n">
        <v>2012</v>
      </c>
      <c r="D16" s="19">
        <f>PWT!B24</f>
        <v/>
      </c>
      <c r="E16">
        <f>WEO_Data!B20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(L17-L16)-(L16-L15)</f>
        <v/>
      </c>
      <c r="N16" s="5">
        <f>K16-L16</f>
        <v/>
      </c>
    </row>
    <row r="17">
      <c r="C17" t="n">
        <v>2013</v>
      </c>
      <c r="D17" s="19">
        <f>PWT!B25</f>
        <v/>
      </c>
      <c r="E17">
        <f>WEO_Data!B21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(L18-L17)-(L17-L16)</f>
        <v/>
      </c>
      <c r="N17" s="5">
        <f>K17-L17</f>
        <v/>
      </c>
    </row>
    <row r="18">
      <c r="C18" t="n">
        <v>2014</v>
      </c>
      <c r="D18" s="19">
        <f>PWT!B26</f>
        <v/>
      </c>
      <c r="E18">
        <f>WEO_Data!B22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(L19-L18)-(L18-L17)</f>
        <v/>
      </c>
      <c r="N18" s="5">
        <f>K18-L18</f>
        <v/>
      </c>
    </row>
    <row r="19">
      <c r="C19" t="n">
        <v>2015</v>
      </c>
      <c r="D19" s="19">
        <f>PWT!B27</f>
        <v/>
      </c>
      <c r="E19">
        <f>WEO_Data!B23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(L20-L19)-(L19-L18)</f>
        <v/>
      </c>
      <c r="N19" s="5">
        <f>K19-L19</f>
        <v/>
      </c>
    </row>
    <row r="20">
      <c r="C20" t="n">
        <v>2016</v>
      </c>
      <c r="D20" s="19">
        <f>PWT!B28</f>
        <v/>
      </c>
      <c r="E20">
        <f>WEO_Data!B24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(L21-L20)-(L20-L19)</f>
        <v/>
      </c>
      <c r="N20" s="5">
        <f>K20-L20</f>
        <v/>
      </c>
    </row>
    <row r="21">
      <c r="C21" t="n">
        <v>2017</v>
      </c>
      <c r="D21" s="19">
        <f>PWT!B29</f>
        <v/>
      </c>
      <c r="E21">
        <f>WEO_Data!B25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(L22-L21)-(L21-L20)</f>
        <v/>
      </c>
      <c r="N21" s="5">
        <f>K21-L21</f>
        <v/>
      </c>
    </row>
    <row r="22">
      <c r="C22" t="n">
        <v>2018</v>
      </c>
      <c r="D22" s="19">
        <f>PWT!B30</f>
        <v/>
      </c>
      <c r="E22">
        <f>WEO_Data!B26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(L23-L22)-(L22-L21)</f>
        <v/>
      </c>
      <c r="N22" s="5">
        <f>K22-L22</f>
        <v/>
      </c>
    </row>
    <row r="23">
      <c r="C23" t="n">
        <v>2019</v>
      </c>
      <c r="D23" s="19">
        <f>PWT!B31</f>
        <v/>
      </c>
      <c r="E23">
        <f>WEO_Data!B27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(L24-L23)-(L23-L22)</f>
        <v/>
      </c>
      <c r="N23" s="5">
        <f>K23-L23</f>
        <v/>
      </c>
    </row>
    <row r="24">
      <c r="C24" t="n">
        <v>2020</v>
      </c>
      <c r="D24" s="19">
        <f>PWT!B32</f>
        <v/>
      </c>
      <c r="E24">
        <f>WEO_Data!B28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(L25-L24)-(L24-L23)</f>
        <v/>
      </c>
      <c r="N24" s="5">
        <f>K24-L24</f>
        <v/>
      </c>
    </row>
    <row r="25">
      <c r="C25" t="n">
        <v>2021</v>
      </c>
      <c r="D25" s="19">
        <f>PWT!B33</f>
        <v/>
      </c>
      <c r="E25">
        <f>WEO_Data!B29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(L26-L25)-(L25-L24)</f>
        <v/>
      </c>
      <c r="N25" s="5">
        <f>K25-L25</f>
        <v/>
      </c>
    </row>
    <row r="26">
      <c r="C26" t="n">
        <v>2022</v>
      </c>
      <c r="D26" s="19">
        <f>PWT!B34</f>
        <v/>
      </c>
      <c r="E26">
        <f>WEO_Data!B30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(L27-L26)-(L26-L25)</f>
        <v/>
      </c>
      <c r="N26" s="5">
        <f>K26-L26</f>
        <v/>
      </c>
    </row>
    <row r="27">
      <c r="C27" t="n">
        <v>2023</v>
      </c>
      <c r="D27" s="19">
        <f>PWT!B35</f>
        <v/>
      </c>
      <c r="E27">
        <f>WEO_Data!B31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(L28-L27)-(L27-L26)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D6/E6</f>
        <v/>
      </c>
      <c r="E36" s="19">
        <f>D6</f>
        <v/>
      </c>
      <c r="F36">
        <f>E6</f>
        <v/>
      </c>
      <c r="G36">
        <f>L6</f>
        <v/>
      </c>
      <c r="H36">
        <f>EXP(G36)*E36^$B$2</f>
        <v/>
      </c>
      <c r="I36" t="n">
        <v>0</v>
      </c>
      <c r="J36">
        <f>I36</f>
        <v/>
      </c>
      <c r="K36" s="19">
        <f>E36</f>
        <v/>
      </c>
      <c r="L36">
        <f>EXP(G36)*K36^$B$2</f>
        <v/>
      </c>
      <c r="M36">
        <f>L36-H36</f>
        <v/>
      </c>
      <c r="N36">
        <f>F36</f>
        <v/>
      </c>
      <c r="P36">
        <f>O36</f>
        <v/>
      </c>
    </row>
    <row r="37">
      <c r="C37" t="n">
        <v>2003</v>
      </c>
      <c r="D37">
        <f>D7/E7</f>
        <v/>
      </c>
      <c r="E37" s="19">
        <f>D7</f>
        <v/>
      </c>
      <c r="F37">
        <f>E7</f>
        <v/>
      </c>
      <c r="G37">
        <f>L7</f>
        <v/>
      </c>
      <c r="H37">
        <f>EXP(G37)*E37^$B$2</f>
        <v/>
      </c>
      <c r="I37" t="n">
        <v>0</v>
      </c>
      <c r="J37">
        <f>I37-$B$3*K36</f>
        <v/>
      </c>
      <c r="K37" s="19">
        <f>K36+J37</f>
        <v/>
      </c>
      <c r="L37">
        <f>EXP(G37)*K37^$B$2</f>
        <v/>
      </c>
      <c r="M37">
        <f>L37-H37</f>
        <v/>
      </c>
      <c r="N37">
        <f>F37</f>
        <v/>
      </c>
      <c r="O37">
        <f>(N37/N36-1)*100</f>
        <v/>
      </c>
      <c r="P37">
        <f>O37</f>
        <v/>
      </c>
    </row>
    <row r="38">
      <c r="C38" t="n">
        <v>2004</v>
      </c>
      <c r="D38">
        <f>D8/E8</f>
        <v/>
      </c>
      <c r="E38" s="19">
        <f>D8</f>
        <v/>
      </c>
      <c r="F38">
        <f>E8</f>
        <v/>
      </c>
      <c r="G38">
        <f>L8</f>
        <v/>
      </c>
      <c r="H38">
        <f>EXP(G38)*E38^$B$2</f>
        <v/>
      </c>
      <c r="I38" t="n">
        <v>0</v>
      </c>
      <c r="J38">
        <f>I38-$B$3*K37</f>
        <v/>
      </c>
      <c r="K38" s="19">
        <f>K37+J38</f>
        <v/>
      </c>
      <c r="L38">
        <f>EXP(G38)*K38^$B$2</f>
        <v/>
      </c>
      <c r="M38">
        <f>L38-H38</f>
        <v/>
      </c>
      <c r="N38">
        <f>F38</f>
        <v/>
      </c>
      <c r="O38">
        <f>(N38/N37-1)*100</f>
        <v/>
      </c>
      <c r="P38">
        <f>O38</f>
        <v/>
      </c>
    </row>
    <row r="39">
      <c r="C39" t="n">
        <v>2005</v>
      </c>
      <c r="D39">
        <f>D9/E9</f>
        <v/>
      </c>
      <c r="E39" s="19">
        <f>D9</f>
        <v/>
      </c>
      <c r="F39">
        <f>E9</f>
        <v/>
      </c>
      <c r="G39">
        <f>L9</f>
        <v/>
      </c>
      <c r="H39">
        <f>EXP(G39)*E39^$B$2</f>
        <v/>
      </c>
      <c r="I39" t="n">
        <v>0</v>
      </c>
      <c r="J39">
        <f>I39-$B$3*K38</f>
        <v/>
      </c>
      <c r="K39" s="19">
        <f>K38+J39</f>
        <v/>
      </c>
      <c r="L39">
        <f>EXP(G39)*K39^$B$2</f>
        <v/>
      </c>
      <c r="M39">
        <f>L39-H39</f>
        <v/>
      </c>
      <c r="N39">
        <f>F39</f>
        <v/>
      </c>
      <c r="O39">
        <f>(N39/N38-1)*100</f>
        <v/>
      </c>
      <c r="P39">
        <f>O39</f>
        <v/>
      </c>
    </row>
    <row r="40">
      <c r="C40" t="n">
        <v>2006</v>
      </c>
      <c r="D40">
        <f>D10/E10</f>
        <v/>
      </c>
      <c r="E40" s="19">
        <f>D10</f>
        <v/>
      </c>
      <c r="F40">
        <f>E10</f>
        <v/>
      </c>
      <c r="G40">
        <f>L10</f>
        <v/>
      </c>
      <c r="H40">
        <f>EXP(G40)*E40^$B$2</f>
        <v/>
      </c>
      <c r="I40" t="n">
        <v>0</v>
      </c>
      <c r="J40">
        <f>I40-$B$3*K39</f>
        <v/>
      </c>
      <c r="K40" s="19">
        <f>K39+J40</f>
        <v/>
      </c>
      <c r="L40">
        <f>EXP(G40)*K40^$B$2</f>
        <v/>
      </c>
      <c r="M40">
        <f>L40-H40</f>
        <v/>
      </c>
      <c r="N40">
        <f>F40</f>
        <v/>
      </c>
      <c r="O40">
        <f>(N40/N39-1)*100</f>
        <v/>
      </c>
      <c r="P40">
        <f>O40</f>
        <v/>
      </c>
    </row>
    <row r="41">
      <c r="C41" t="n">
        <v>2007</v>
      </c>
      <c r="D41">
        <f>D11/E11</f>
        <v/>
      </c>
      <c r="E41" s="19">
        <f>D11</f>
        <v/>
      </c>
      <c r="F41">
        <f>E11</f>
        <v/>
      </c>
      <c r="G41">
        <f>L11</f>
        <v/>
      </c>
      <c r="H41">
        <f>EXP(G41)*E41^$B$2</f>
        <v/>
      </c>
      <c r="I41" t="n">
        <v>0</v>
      </c>
      <c r="J41">
        <f>I41-$B$3*K40</f>
        <v/>
      </c>
      <c r="K41" s="19">
        <f>K40+J41</f>
        <v/>
      </c>
      <c r="L41">
        <f>EXP(G41)*K41^$B$2</f>
        <v/>
      </c>
      <c r="M41">
        <f>L41-H41</f>
        <v/>
      </c>
      <c r="N41">
        <f>F41</f>
        <v/>
      </c>
      <c r="O41">
        <f>(N41/N40-1)*100</f>
        <v/>
      </c>
      <c r="P41">
        <f>O41</f>
        <v/>
      </c>
    </row>
    <row r="42">
      <c r="C42" t="n">
        <v>2008</v>
      </c>
      <c r="D42">
        <f>D12/E12</f>
        <v/>
      </c>
      <c r="E42" s="19">
        <f>D12</f>
        <v/>
      </c>
      <c r="F42">
        <f>E12</f>
        <v/>
      </c>
      <c r="G42">
        <f>L12</f>
        <v/>
      </c>
      <c r="H42">
        <f>EXP(G42)*E42^$B$2</f>
        <v/>
      </c>
      <c r="I42" t="n">
        <v>0</v>
      </c>
      <c r="J42">
        <f>I42-$B$3*K41</f>
        <v/>
      </c>
      <c r="K42" s="19">
        <f>K41+J42</f>
        <v/>
      </c>
      <c r="L42">
        <f>EXP(G42)*K42^$B$2</f>
        <v/>
      </c>
      <c r="M42">
        <f>L42-H42</f>
        <v/>
      </c>
      <c r="N42">
        <f>F42</f>
        <v/>
      </c>
      <c r="O42">
        <f>(N42/N41-1)*100</f>
        <v/>
      </c>
      <c r="P42">
        <f>O42</f>
        <v/>
      </c>
    </row>
    <row r="43">
      <c r="C43" t="n">
        <v>2009</v>
      </c>
      <c r="D43">
        <f>D13/E13</f>
        <v/>
      </c>
      <c r="E43" s="19">
        <f>D13</f>
        <v/>
      </c>
      <c r="F43">
        <f>E13</f>
        <v/>
      </c>
      <c r="G43">
        <f>L13</f>
        <v/>
      </c>
      <c r="H43">
        <f>EXP(G43)*E43^$B$2</f>
        <v/>
      </c>
      <c r="I43" t="n">
        <v>0</v>
      </c>
      <c r="J43">
        <f>I43-$B$3*K42</f>
        <v/>
      </c>
      <c r="K43" s="19">
        <f>K42+J43</f>
        <v/>
      </c>
      <c r="L43">
        <f>EXP(G43)*K43^$B$2</f>
        <v/>
      </c>
      <c r="M43">
        <f>L43-H43</f>
        <v/>
      </c>
      <c r="N43">
        <f>F43</f>
        <v/>
      </c>
      <c r="O43">
        <f>(N43/N42-1)*100</f>
        <v/>
      </c>
      <c r="P43">
        <f>O43</f>
        <v/>
      </c>
    </row>
    <row r="44">
      <c r="C44" t="n">
        <v>2010</v>
      </c>
      <c r="D44">
        <f>D14/E14</f>
        <v/>
      </c>
      <c r="E44" s="19">
        <f>D14</f>
        <v/>
      </c>
      <c r="F44">
        <f>E14</f>
        <v/>
      </c>
      <c r="G44">
        <f>L14</f>
        <v/>
      </c>
      <c r="H44">
        <f>EXP(G44)*E44^$B$2</f>
        <v/>
      </c>
      <c r="I44" t="n">
        <v>0</v>
      </c>
      <c r="J44">
        <f>I44-$B$3*K43</f>
        <v/>
      </c>
      <c r="K44" s="19">
        <f>K43+J44</f>
        <v/>
      </c>
      <c r="L44">
        <f>EXP(G44)*K44^$B$2</f>
        <v/>
      </c>
      <c r="M44">
        <f>L44-H44</f>
        <v/>
      </c>
      <c r="N44">
        <f>F44</f>
        <v/>
      </c>
      <c r="O44">
        <f>(N44/N43-1)*100</f>
        <v/>
      </c>
      <c r="P44">
        <f>O44</f>
        <v/>
      </c>
    </row>
    <row r="45">
      <c r="C45" t="n">
        <v>2011</v>
      </c>
      <c r="D45">
        <f>D15/E15</f>
        <v/>
      </c>
      <c r="E45" s="19">
        <f>D15</f>
        <v/>
      </c>
      <c r="F45">
        <f>E15</f>
        <v/>
      </c>
      <c r="G45">
        <f>L15</f>
        <v/>
      </c>
      <c r="H45">
        <f>EXP(G45)*E45^$B$2</f>
        <v/>
      </c>
      <c r="I45" t="n">
        <v>0</v>
      </c>
      <c r="J45">
        <f>I45-$B$3*K44</f>
        <v/>
      </c>
      <c r="K45" s="19">
        <f>K44+J45</f>
        <v/>
      </c>
      <c r="L45">
        <f>EXP(G45)*K45^$B$2</f>
        <v/>
      </c>
      <c r="M45">
        <f>L45-H45</f>
        <v/>
      </c>
      <c r="N45">
        <f>F45</f>
        <v/>
      </c>
      <c r="O45">
        <f>(N45/N44-1)*100</f>
        <v/>
      </c>
      <c r="P45">
        <f>O45</f>
        <v/>
      </c>
    </row>
    <row r="46">
      <c r="C46" t="n">
        <v>2012</v>
      </c>
      <c r="D46">
        <f>D16/E16</f>
        <v/>
      </c>
      <c r="E46" s="19">
        <f>D16</f>
        <v/>
      </c>
      <c r="F46">
        <f>E16</f>
        <v/>
      </c>
      <c r="G46">
        <f>L16</f>
        <v/>
      </c>
      <c r="H46">
        <f>EXP(G46)*E46^$B$2</f>
        <v/>
      </c>
      <c r="I46" t="n">
        <v>0</v>
      </c>
      <c r="J46">
        <f>I46-$B$3*K45</f>
        <v/>
      </c>
      <c r="K46" s="19">
        <f>K45+J46</f>
        <v/>
      </c>
      <c r="L46">
        <f>EXP(G46)*K46^$B$2</f>
        <v/>
      </c>
      <c r="M46">
        <f>L46-H46</f>
        <v/>
      </c>
      <c r="N46">
        <f>F46</f>
        <v/>
      </c>
      <c r="O46">
        <f>(N46/N45-1)*100</f>
        <v/>
      </c>
      <c r="P46">
        <f>O46</f>
        <v/>
      </c>
    </row>
    <row r="47">
      <c r="C47" t="n">
        <v>2013</v>
      </c>
      <c r="D47">
        <f>D17/E17</f>
        <v/>
      </c>
      <c r="E47" s="19">
        <f>D17</f>
        <v/>
      </c>
      <c r="F47">
        <f>E17</f>
        <v/>
      </c>
      <c r="G47">
        <f>L17</f>
        <v/>
      </c>
      <c r="H47">
        <f>EXP(G47)*E47^$B$2</f>
        <v/>
      </c>
      <c r="I47" t="n">
        <v>0</v>
      </c>
      <c r="J47">
        <f>I47-$B$3*K46</f>
        <v/>
      </c>
      <c r="K47" s="19">
        <f>K46+J47</f>
        <v/>
      </c>
      <c r="L47">
        <f>EXP(G47)*K47^$B$2</f>
        <v/>
      </c>
      <c r="M47">
        <f>L47-H47</f>
        <v/>
      </c>
      <c r="N47">
        <f>F47</f>
        <v/>
      </c>
      <c r="O47">
        <f>(N47/N46-1)*100</f>
        <v/>
      </c>
      <c r="P47">
        <f>O47</f>
        <v/>
      </c>
    </row>
    <row r="48">
      <c r="C48" t="n">
        <v>2014</v>
      </c>
      <c r="D48">
        <f>D18/E18</f>
        <v/>
      </c>
      <c r="E48" s="19">
        <f>D18</f>
        <v/>
      </c>
      <c r="F48">
        <f>E18</f>
        <v/>
      </c>
      <c r="G48">
        <f>L18</f>
        <v/>
      </c>
      <c r="H48">
        <f>EXP(G48)*E48^$B$2</f>
        <v/>
      </c>
      <c r="I48" t="n">
        <v>0</v>
      </c>
      <c r="J48">
        <f>I48-$B$3*K47</f>
        <v/>
      </c>
      <c r="K48" s="19">
        <f>K47+J48</f>
        <v/>
      </c>
      <c r="L48">
        <f>EXP(G48)*K48^$B$2</f>
        <v/>
      </c>
      <c r="M48">
        <f>L48-H48</f>
        <v/>
      </c>
      <c r="N48">
        <f>F48</f>
        <v/>
      </c>
      <c r="O48">
        <f>(N48/N47-1)*100</f>
        <v/>
      </c>
      <c r="P48">
        <f>O48</f>
        <v/>
      </c>
    </row>
    <row r="49">
      <c r="C49" t="n">
        <v>2015</v>
      </c>
      <c r="D49">
        <f>D19/E19</f>
        <v/>
      </c>
      <c r="E49" s="19">
        <f>D19</f>
        <v/>
      </c>
      <c r="F49">
        <f>E19</f>
        <v/>
      </c>
      <c r="G49">
        <f>L19</f>
        <v/>
      </c>
      <c r="H49">
        <f>EXP(G49)*E49^$B$2</f>
        <v/>
      </c>
      <c r="I49" t="n">
        <v>0</v>
      </c>
      <c r="J49">
        <f>I49-$B$3*K48</f>
        <v/>
      </c>
      <c r="K49" s="19">
        <f>K48+J49</f>
        <v/>
      </c>
      <c r="L49">
        <f>EXP(G49)*K49^$B$2</f>
        <v/>
      </c>
      <c r="M49">
        <f>L49-H49</f>
        <v/>
      </c>
      <c r="N49">
        <f>F49</f>
        <v/>
      </c>
      <c r="O49">
        <f>(N49/N48-1)*100</f>
        <v/>
      </c>
      <c r="P49">
        <f>O49</f>
        <v/>
      </c>
    </row>
    <row r="50">
      <c r="C50" t="n">
        <v>2016</v>
      </c>
      <c r="D50">
        <f>D20/E20</f>
        <v/>
      </c>
      <c r="E50" s="19">
        <f>D20</f>
        <v/>
      </c>
      <c r="F50">
        <f>E20</f>
        <v/>
      </c>
      <c r="G50">
        <f>L20</f>
        <v/>
      </c>
      <c r="H50">
        <f>EXP(G50)*E50^$B$2</f>
        <v/>
      </c>
      <c r="I50" t="n">
        <v>0</v>
      </c>
      <c r="J50">
        <f>I50-$B$3*K49</f>
        <v/>
      </c>
      <c r="K50" s="19">
        <f>K49+J50</f>
        <v/>
      </c>
      <c r="L50">
        <f>EXP(G50)*K50^$B$2</f>
        <v/>
      </c>
      <c r="M50">
        <f>L50-H50</f>
        <v/>
      </c>
      <c r="N50">
        <f>F50</f>
        <v/>
      </c>
      <c r="O50">
        <f>(N50/N49-1)*100</f>
        <v/>
      </c>
      <c r="P50">
        <f>O50</f>
        <v/>
      </c>
    </row>
    <row r="51">
      <c r="C51" t="n">
        <v>2017</v>
      </c>
      <c r="D51">
        <f>D21/E21</f>
        <v/>
      </c>
      <c r="E51" s="19">
        <f>D21</f>
        <v/>
      </c>
      <c r="F51">
        <f>E21</f>
        <v/>
      </c>
      <c r="G51">
        <f>L21</f>
        <v/>
      </c>
      <c r="H51">
        <f>EXP(G51)*E51^$B$2</f>
        <v/>
      </c>
      <c r="I51" t="n">
        <v>0</v>
      </c>
      <c r="J51">
        <f>I51-$B$3*K50</f>
        <v/>
      </c>
      <c r="K51" s="19">
        <f>K50+J51</f>
        <v/>
      </c>
      <c r="L51">
        <f>EXP(G51)*K51^$B$2</f>
        <v/>
      </c>
      <c r="M51">
        <f>L51-H51</f>
        <v/>
      </c>
      <c r="N51">
        <f>F51</f>
        <v/>
      </c>
      <c r="O51">
        <f>(N51/N50-1)*100</f>
        <v/>
      </c>
      <c r="P51">
        <f>O51</f>
        <v/>
      </c>
    </row>
    <row r="52">
      <c r="C52" t="n">
        <v>2018</v>
      </c>
      <c r="D52">
        <f>D22/E22</f>
        <v/>
      </c>
      <c r="E52" s="19">
        <f>D22</f>
        <v/>
      </c>
      <c r="F52">
        <f>E22</f>
        <v/>
      </c>
      <c r="G52">
        <f>L22</f>
        <v/>
      </c>
      <c r="H52">
        <f>EXP(G52)*E52^$B$2</f>
        <v/>
      </c>
      <c r="I52" t="n">
        <v>0</v>
      </c>
      <c r="J52">
        <f>I52-$B$3*K51</f>
        <v/>
      </c>
      <c r="K52" s="19">
        <f>K51+J52</f>
        <v/>
      </c>
      <c r="L52">
        <f>EXP(G52)*K52^$B$2</f>
        <v/>
      </c>
      <c r="M52">
        <f>L52-H52</f>
        <v/>
      </c>
      <c r="N52">
        <f>F52</f>
        <v/>
      </c>
      <c r="O52">
        <f>(N52/N51-1)*100</f>
        <v/>
      </c>
      <c r="P52">
        <f>O52</f>
        <v/>
      </c>
    </row>
    <row r="53">
      <c r="C53" t="n">
        <v>2019</v>
      </c>
      <c r="D53">
        <f>D23/E23</f>
        <v/>
      </c>
      <c r="E53" s="19">
        <f>D23</f>
        <v/>
      </c>
      <c r="F53">
        <f>E23</f>
        <v/>
      </c>
      <c r="G53">
        <f>L23</f>
        <v/>
      </c>
      <c r="H53">
        <f>EXP(G53)*E53^$B$2</f>
        <v/>
      </c>
      <c r="I53" t="n">
        <v>0</v>
      </c>
      <c r="J53">
        <f>I53-$B$3*K52</f>
        <v/>
      </c>
      <c r="K53" s="19">
        <f>K52+J53</f>
        <v/>
      </c>
      <c r="L53">
        <f>EXP(G53)*K53^$B$2</f>
        <v/>
      </c>
      <c r="M53">
        <f>L53-H53</f>
        <v/>
      </c>
      <c r="N53">
        <f>F53</f>
        <v/>
      </c>
      <c r="O53">
        <f>(N53/N52-1)*100</f>
        <v/>
      </c>
      <c r="P53">
        <f>O53</f>
        <v/>
      </c>
    </row>
    <row r="54">
      <c r="C54" t="n">
        <v>2020</v>
      </c>
      <c r="D54">
        <f>D24/E24</f>
        <v/>
      </c>
      <c r="E54" s="19">
        <f>D24</f>
        <v/>
      </c>
      <c r="F54">
        <f>E24</f>
        <v/>
      </c>
      <c r="G54">
        <f>L24</f>
        <v/>
      </c>
      <c r="H54">
        <f>EXP(G54)*E54^$B$2</f>
        <v/>
      </c>
      <c r="I54" t="n">
        <v>0</v>
      </c>
      <c r="J54">
        <f>I54-$B$3*K53</f>
        <v/>
      </c>
      <c r="K54" s="19">
        <f>K53+J54</f>
        <v/>
      </c>
      <c r="L54">
        <f>EXP(G54)*K54^$B$2</f>
        <v/>
      </c>
      <c r="M54">
        <f>L54-H54</f>
        <v/>
      </c>
      <c r="N54">
        <f>F54</f>
        <v/>
      </c>
      <c r="O54">
        <f>(N54/N53-1)*100</f>
        <v/>
      </c>
      <c r="P54">
        <f>O54</f>
        <v/>
      </c>
    </row>
    <row r="55">
      <c r="C55" t="n">
        <v>2021</v>
      </c>
      <c r="D55">
        <f>D25/E25</f>
        <v/>
      </c>
      <c r="E55" s="19">
        <f>D25</f>
        <v/>
      </c>
      <c r="F55">
        <f>E25</f>
        <v/>
      </c>
      <c r="G55">
        <f>L25</f>
        <v/>
      </c>
      <c r="H55">
        <f>EXP(G55)*E55^$B$2</f>
        <v/>
      </c>
      <c r="I55" t="n">
        <v>0</v>
      </c>
      <c r="J55">
        <f>I55-$B$3*K54</f>
        <v/>
      </c>
      <c r="K55" s="19">
        <f>K54+J55</f>
        <v/>
      </c>
      <c r="L55">
        <f>EXP(G55)*K55^$B$2</f>
        <v/>
      </c>
      <c r="M55">
        <f>L55-H55</f>
        <v/>
      </c>
      <c r="N55">
        <f>F55</f>
        <v/>
      </c>
      <c r="O55">
        <f>(N55/N54-1)*100</f>
        <v/>
      </c>
      <c r="P55">
        <f>O55</f>
        <v/>
      </c>
    </row>
    <row r="56">
      <c r="C56" t="n">
        <v>2022</v>
      </c>
      <c r="D56">
        <f>D26/E26</f>
        <v/>
      </c>
      <c r="E56" s="19">
        <f>D26</f>
        <v/>
      </c>
      <c r="F56">
        <f>E26</f>
        <v/>
      </c>
      <c r="G56">
        <f>L26</f>
        <v/>
      </c>
      <c r="H56">
        <f>EXP(G56)*E56^$B$2</f>
        <v/>
      </c>
      <c r="I56" t="n">
        <v>0</v>
      </c>
      <c r="J56">
        <f>I56-$B$3*K55</f>
        <v/>
      </c>
      <c r="K56" s="19">
        <f>K55+J56</f>
        <v/>
      </c>
      <c r="L56">
        <f>EXP(G56)*K56^$B$2</f>
        <v/>
      </c>
      <c r="M56">
        <f>L56-H56</f>
        <v/>
      </c>
      <c r="N56">
        <f>F56</f>
        <v/>
      </c>
      <c r="O56">
        <f>(N56/N55-1)*100</f>
        <v/>
      </c>
      <c r="P56">
        <f>O56</f>
        <v/>
      </c>
    </row>
    <row r="57">
      <c r="C57" t="n">
        <v>2023</v>
      </c>
      <c r="D57">
        <f>D27/E27</f>
        <v/>
      </c>
      <c r="E57" s="19">
        <f>D27</f>
        <v/>
      </c>
      <c r="F57">
        <f>E27</f>
        <v/>
      </c>
      <c r="G57">
        <f>L27</f>
        <v/>
      </c>
      <c r="H57">
        <f>EXP(G57)*E57^$B$2</f>
        <v/>
      </c>
      <c r="I57" t="n">
        <v>0</v>
      </c>
      <c r="J57">
        <f>I57-$B$3*K56</f>
        <v/>
      </c>
      <c r="K57" s="19">
        <f>K56+J57</f>
        <v/>
      </c>
      <c r="L57">
        <f>EXP(G57)*K57^$B$2</f>
        <v/>
      </c>
      <c r="M57">
        <f>L57-H57</f>
        <v/>
      </c>
      <c r="N57">
        <f>F57</f>
        <v/>
      </c>
      <c r="O57">
        <f>(N57/N56-1)*100</f>
        <v/>
      </c>
      <c r="P57">
        <f>O57</f>
        <v/>
      </c>
    </row>
    <row r="58">
      <c r="C58" t="n">
        <v>2024</v>
      </c>
      <c r="D58">
        <f>E58/F58</f>
        <v/>
      </c>
      <c r="E58" s="21">
        <f>=AVERAGE(D49:D57)*F58</f>
        <v/>
      </c>
      <c r="F58">
        <f>WEO_Data!B32</f>
        <v/>
      </c>
      <c r="G58" s="20">
        <f>TREND(G36:G57,ROW(G36:G57),ROW(G58))</f>
        <v/>
      </c>
      <c r="H58">
        <f>EXP(G58)*E58^$B$2</f>
        <v/>
      </c>
      <c r="I58" t="n">
        <v>0</v>
      </c>
      <c r="J58">
        <f>I58-$B$3*K57</f>
        <v/>
      </c>
      <c r="K58" s="19">
        <f>K57+J58</f>
        <v/>
      </c>
      <c r="L58">
        <f>EXP(G58)*K58^$B$2</f>
        <v/>
      </c>
      <c r="M58">
        <f>L58-H58</f>
        <v/>
      </c>
      <c r="N58">
        <f>F58</f>
        <v/>
      </c>
      <c r="O58">
        <f>(N58/N57-1)*100</f>
        <v/>
      </c>
      <c r="P58">
        <f>O58</f>
        <v/>
      </c>
    </row>
    <row r="59">
      <c r="C59" t="n">
        <v>2025</v>
      </c>
      <c r="D59">
        <f>E59/F59</f>
        <v/>
      </c>
      <c r="E59" s="21">
        <f>=AVERAGE(D49:D57)*F59</f>
        <v/>
      </c>
      <c r="F59">
        <f>WEO_Data!B33</f>
        <v/>
      </c>
      <c r="G59" s="20">
        <f>TREND(G36:G57,ROW(G36:G57),ROW(G59))</f>
        <v/>
      </c>
      <c r="H59">
        <f>EXP(G59)*E59^$B$2</f>
        <v/>
      </c>
      <c r="I59" t="n">
        <v>0</v>
      </c>
      <c r="J59">
        <f>I59-$B$3*K58</f>
        <v/>
      </c>
      <c r="K59" s="19">
        <f>K58+J59</f>
        <v/>
      </c>
      <c r="L59">
        <f>EXP(G59)*K59^$B$2</f>
        <v/>
      </c>
      <c r="M59">
        <f>L59-H59</f>
        <v/>
      </c>
      <c r="N59">
        <f>F59</f>
        <v/>
      </c>
      <c r="O59">
        <f>(N59/N58-1)*100</f>
        <v/>
      </c>
      <c r="P59">
        <f>O59</f>
        <v/>
      </c>
    </row>
    <row r="60">
      <c r="C60" t="n">
        <v>2026</v>
      </c>
      <c r="D60">
        <f>E60/F60</f>
        <v/>
      </c>
      <c r="E60" s="21">
        <f>=AVERAGE(D49:D57)*F60</f>
        <v/>
      </c>
      <c r="F60" s="20">
        <f>WEO_Data!B34</f>
        <v/>
      </c>
      <c r="G60" s="20">
        <f>TREND(G36:G57,ROW(G36:G57),ROW(G60))</f>
        <v/>
      </c>
      <c r="H60">
        <f>EXP(G60)*E60^$B$2</f>
        <v/>
      </c>
      <c r="I60" s="17">
        <f>Investment!B2</f>
        <v/>
      </c>
      <c r="J60">
        <f>I60-$B$3*K59</f>
        <v/>
      </c>
      <c r="K60" s="19">
        <f>K59+J60</f>
        <v/>
      </c>
      <c r="L60">
        <f>EXP(G60)*K60^$B$2</f>
        <v/>
      </c>
      <c r="M60">
        <f>L60-H60</f>
        <v/>
      </c>
      <c r="N60">
        <f>F60</f>
        <v/>
      </c>
      <c r="O60">
        <f>(N60/N59-1)*100</f>
        <v/>
      </c>
      <c r="P60">
        <f>O60</f>
        <v/>
      </c>
    </row>
    <row r="61">
      <c r="C61" t="n">
        <v>2027</v>
      </c>
      <c r="D61">
        <f>E61/F61</f>
        <v/>
      </c>
      <c r="E61" s="21">
        <f>=AVERAGE(D49:D57)*F61</f>
        <v/>
      </c>
      <c r="F61" s="20">
        <f>WEO_Data!B35</f>
        <v/>
      </c>
      <c r="G61" s="20">
        <f>TREND(G36:G57,ROW(G36:G57),ROW(G61))</f>
        <v/>
      </c>
      <c r="H61">
        <f>EXP(G61)*E61^$B$2</f>
        <v/>
      </c>
      <c r="I61" s="17">
        <f>Investment!B3</f>
        <v/>
      </c>
      <c r="J61">
        <f>I61-$B$3*K60</f>
        <v/>
      </c>
      <c r="K61" s="19">
        <f>K60+J61</f>
        <v/>
      </c>
      <c r="L61">
        <f>EXP(G61)*K61^$B$2</f>
        <v/>
      </c>
      <c r="M61">
        <f>L61-H61</f>
        <v/>
      </c>
      <c r="N61">
        <f>F61</f>
        <v/>
      </c>
      <c r="O61">
        <f>(N61/N60-1)*100</f>
        <v/>
      </c>
      <c r="P61">
        <f>O61</f>
        <v/>
      </c>
    </row>
    <row r="62">
      <c r="C62" t="n">
        <v>2028</v>
      </c>
      <c r="D62">
        <f>E62/F62</f>
        <v/>
      </c>
      <c r="E62" s="21">
        <f>=AVERAGE(D49:D57)*F62</f>
        <v/>
      </c>
      <c r="F62" s="20">
        <f>WEO_Data!B36</f>
        <v/>
      </c>
      <c r="G62" s="20">
        <f>TREND(G36:G57,ROW(G36:G57),ROW(G62))</f>
        <v/>
      </c>
      <c r="H62">
        <f>EXP(G62)*E62^$B$2</f>
        <v/>
      </c>
      <c r="I62" s="17">
        <f>Investment!B4</f>
        <v/>
      </c>
      <c r="J62">
        <f>I62-$B$3*K61</f>
        <v/>
      </c>
      <c r="K62" s="19">
        <f>K61+J62</f>
        <v/>
      </c>
      <c r="L62">
        <f>EXP(G62)*K62^$B$2</f>
        <v/>
      </c>
      <c r="M62">
        <f>L62-H62</f>
        <v/>
      </c>
      <c r="N62">
        <f>F62</f>
        <v/>
      </c>
      <c r="O62">
        <f>(N62/N61-1)*100</f>
        <v/>
      </c>
      <c r="P62">
        <f>O62</f>
        <v/>
      </c>
    </row>
    <row r="63">
      <c r="C63" t="n">
        <v>2029</v>
      </c>
      <c r="D63">
        <f>E63/F63</f>
        <v/>
      </c>
      <c r="E63" s="21">
        <f>=AVERAGE(D49:D57)*F63</f>
        <v/>
      </c>
      <c r="F63" s="20">
        <f>WEO_Data!B37</f>
        <v/>
      </c>
      <c r="G63" s="20">
        <f>TREND(G36:G57,ROW(G36:G57),ROW(G63))</f>
        <v/>
      </c>
      <c r="H63">
        <f>EXP(G63)*E63^$B$2</f>
        <v/>
      </c>
      <c r="I63" s="17">
        <f>Investment!B5</f>
        <v/>
      </c>
      <c r="J63">
        <f>I63-$B$3*K62</f>
        <v/>
      </c>
      <c r="K63" s="19">
        <f>K62+J63</f>
        <v/>
      </c>
      <c r="L63">
        <f>EXP(G63)*K63^$B$2</f>
        <v/>
      </c>
      <c r="M63">
        <f>L63-H63</f>
        <v/>
      </c>
      <c r="N63">
        <f>F63</f>
        <v/>
      </c>
      <c r="O63">
        <f>(N63/N62-1)*100</f>
        <v/>
      </c>
      <c r="P63">
        <f>O63</f>
        <v/>
      </c>
    </row>
    <row r="64">
      <c r="C64" t="n">
        <v>2030</v>
      </c>
      <c r="D64">
        <f>E64/F64</f>
        <v/>
      </c>
      <c r="E64" s="21">
        <f>=AVERAGE(D49:D57)*F64</f>
        <v/>
      </c>
      <c r="F64" s="20">
        <f>WEO_Data!B38</f>
        <v/>
      </c>
      <c r="G64" s="20">
        <f>TREND(G36:G57,ROW(G36:G57),ROW(G64))</f>
        <v/>
      </c>
      <c r="H64">
        <f>EXP(G64)*E64^$B$2</f>
        <v/>
      </c>
      <c r="I64" s="17">
        <f>Investment!B6</f>
        <v/>
      </c>
      <c r="J64">
        <f>I64-$B$3*K63</f>
        <v/>
      </c>
      <c r="K64" s="19">
        <f>K63+J64</f>
        <v/>
      </c>
      <c r="L64">
        <f>EXP(G64)*K64^$B$2</f>
        <v/>
      </c>
      <c r="M64">
        <f>L64-H64</f>
        <v/>
      </c>
      <c r="N64">
        <f>F64</f>
        <v/>
      </c>
      <c r="O64">
        <f>(N64/N63-1)*100</f>
        <v/>
      </c>
      <c r="P64">
        <f>O64</f>
        <v/>
      </c>
    </row>
    <row r="65">
      <c r="C65" t="n">
        <v>2031</v>
      </c>
      <c r="D65">
        <f>E65/F65</f>
        <v/>
      </c>
      <c r="E65" s="21">
        <f>=AVERAGE(D49:D57)*F65</f>
        <v/>
      </c>
      <c r="F65" s="20">
        <f>WEO_Data!B39</f>
        <v/>
      </c>
      <c r="G65" s="20">
        <f>TREND(G36:G57,ROW(G36:G57),ROW(G65))</f>
        <v/>
      </c>
      <c r="H65">
        <f>EXP(G65)*E65^$B$2</f>
        <v/>
      </c>
      <c r="I65" s="17">
        <f>Investment!B7</f>
        <v/>
      </c>
      <c r="J65">
        <f>I65-$B$3*K64</f>
        <v/>
      </c>
      <c r="K65" s="19">
        <f>K64+J65</f>
        <v/>
      </c>
      <c r="L65">
        <f>EXP(G65)*K65^$B$2</f>
        <v/>
      </c>
      <c r="M65">
        <f>L65-H65</f>
        <v/>
      </c>
      <c r="N65">
        <f>F65</f>
        <v/>
      </c>
      <c r="O65">
        <f>(N65/N64-1)*100</f>
        <v/>
      </c>
      <c r="P65">
        <f>O65</f>
        <v/>
      </c>
    </row>
    <row r="66">
      <c r="C66" t="n">
        <v>2032</v>
      </c>
      <c r="D66">
        <f>E66/F66</f>
        <v/>
      </c>
      <c r="E66" s="21">
        <f>=AVERAGE(D49:D57)*F66</f>
        <v/>
      </c>
      <c r="F66" s="20">
        <f>WEO_Data!B40</f>
        <v/>
      </c>
      <c r="G66" s="20">
        <f>TREND(G36:G57,ROW(G36:G57),ROW(G66))</f>
        <v/>
      </c>
      <c r="H66">
        <f>EXP(G66)*E66^$B$2</f>
        <v/>
      </c>
      <c r="I66" s="17">
        <f>Investment!B8</f>
        <v/>
      </c>
      <c r="J66">
        <f>I66-$B$3*K65</f>
        <v/>
      </c>
      <c r="K66" s="19">
        <f>K65+J66</f>
        <v/>
      </c>
      <c r="L66">
        <f>EXP(G66)*K66^$B$2</f>
        <v/>
      </c>
      <c r="M66">
        <f>L66-H66</f>
        <v/>
      </c>
      <c r="N66">
        <f>F66</f>
        <v/>
      </c>
      <c r="O66">
        <f>(N66/N65-1)*100</f>
        <v/>
      </c>
      <c r="P66">
        <f>O66</f>
        <v/>
      </c>
    </row>
    <row r="67">
      <c r="C67" t="n">
        <v>2033</v>
      </c>
      <c r="D67">
        <f>E67/F67</f>
        <v/>
      </c>
      <c r="E67" s="21">
        <f>=AVERAGE(D49:D57)*F67</f>
        <v/>
      </c>
      <c r="F67" s="20">
        <f>WEO_Data!B41</f>
        <v/>
      </c>
      <c r="G67" s="20">
        <f>TREND(G36:G57,ROW(G36:G57),ROW(G67))</f>
        <v/>
      </c>
      <c r="H67">
        <f>EXP(G67)*E67^$B$2</f>
        <v/>
      </c>
      <c r="I67" s="17">
        <f>Investment!B9</f>
        <v/>
      </c>
      <c r="J67">
        <f>I67-$B$3*K66</f>
        <v/>
      </c>
      <c r="K67" s="19">
        <f>K66+J67</f>
        <v/>
      </c>
      <c r="L67">
        <f>EXP(G67)*K67^$B$2</f>
        <v/>
      </c>
      <c r="M67">
        <f>L67-H67</f>
        <v/>
      </c>
      <c r="N67">
        <f>F67</f>
        <v/>
      </c>
      <c r="O67">
        <f>(N67/N66-1)*100</f>
        <v/>
      </c>
      <c r="P67">
        <f>O67</f>
        <v/>
      </c>
    </row>
    <row r="68">
      <c r="C68" t="n">
        <v>2034</v>
      </c>
      <c r="D68">
        <f>E68/F68</f>
        <v/>
      </c>
      <c r="E68" s="21">
        <f>=AVERAGE(D49:D57)*F68</f>
        <v/>
      </c>
      <c r="F68" s="20">
        <f>WEO_Data!B42</f>
        <v/>
      </c>
      <c r="G68" s="20">
        <f>TREND(G36:G57,ROW(G36:G57),ROW(G68))</f>
        <v/>
      </c>
      <c r="H68">
        <f>EXP(G68)*E68^$B$2</f>
        <v/>
      </c>
      <c r="I68" t="n">
        <v>0</v>
      </c>
      <c r="J68">
        <f>I68-$B$3*K67</f>
        <v/>
      </c>
      <c r="K68" s="19">
        <f>K67+J68</f>
        <v/>
      </c>
      <c r="L68">
        <f>EXP(G68)*K68^$B$2</f>
        <v/>
      </c>
      <c r="M68">
        <f>L68-H68</f>
        <v/>
      </c>
      <c r="N68">
        <f>F68</f>
        <v/>
      </c>
      <c r="O68">
        <f>(N68/N67-1)*100</f>
        <v/>
      </c>
      <c r="P68">
        <f>O68</f>
        <v/>
      </c>
    </row>
    <row r="69">
      <c r="C69" t="n">
        <v>2035</v>
      </c>
      <c r="D69">
        <f>E69/F69</f>
        <v/>
      </c>
      <c r="E69" s="21">
        <f>=AVERAGE(D49:D57)*F69</f>
        <v/>
      </c>
      <c r="F69" s="20">
        <f>WEO_Data!B43</f>
        <v/>
      </c>
      <c r="G69" s="20">
        <f>TREND(G36:G57,ROW(G36:G57),ROW(G69))</f>
        <v/>
      </c>
      <c r="H69">
        <f>EXP(G69)*E69^$B$2</f>
        <v/>
      </c>
      <c r="I69" t="n">
        <v>0</v>
      </c>
      <c r="J69">
        <f>I69-$B$3*K68</f>
        <v/>
      </c>
      <c r="K69" s="19">
        <f>K68+J69</f>
        <v/>
      </c>
      <c r="L69">
        <f>EXP(G69)*K69^$B$2</f>
        <v/>
      </c>
      <c r="M69">
        <f>L69-H69</f>
        <v/>
      </c>
      <c r="N69">
        <f>F69</f>
        <v/>
      </c>
      <c r="O69">
        <f>(N69/N68-1)*100</f>
        <v/>
      </c>
      <c r="P69">
        <f>O69</f>
        <v/>
      </c>
    </row>
    <row r="70">
      <c r="C70" t="n">
        <v>2036</v>
      </c>
      <c r="D70">
        <f>E70/F70</f>
        <v/>
      </c>
      <c r="E70" s="21">
        <f>=AVERAGE(D49:D57)*F70</f>
        <v/>
      </c>
      <c r="F70" s="20">
        <f>WEO_Data!B44</f>
        <v/>
      </c>
      <c r="G70" s="20">
        <f>TREND(G36:G57,ROW(G36:G57),ROW(G70))</f>
        <v/>
      </c>
      <c r="H70">
        <f>EXP(G70)*E70^$B$2</f>
        <v/>
      </c>
      <c r="I70" t="n">
        <v>0</v>
      </c>
      <c r="J70">
        <f>I70-$B$3*K69</f>
        <v/>
      </c>
      <c r="K70" s="19">
        <f>K69+J70</f>
        <v/>
      </c>
      <c r="L70">
        <f>EXP(G70)*K70^$B$2</f>
        <v/>
      </c>
      <c r="M70">
        <f>L70-H70</f>
        <v/>
      </c>
      <c r="N70">
        <f>F70</f>
        <v/>
      </c>
      <c r="O70">
        <f>(N70/N69-1)*100</f>
        <v/>
      </c>
      <c r="P70">
        <f>O70</f>
        <v/>
      </c>
    </row>
    <row r="71">
      <c r="C71" t="n">
        <v>2037</v>
      </c>
      <c r="D71">
        <f>E71/F71</f>
        <v/>
      </c>
      <c r="E71" s="21">
        <f>=AVERAGE(D49:D57)*F71</f>
        <v/>
      </c>
      <c r="F71" s="20">
        <f>WEO_Data!B45</f>
        <v/>
      </c>
      <c r="G71" s="20">
        <f>TREND(G36:G57,ROW(G36:G57),ROW(G71))</f>
        <v/>
      </c>
      <c r="H71">
        <f>EXP(G71)*E71^$B$2</f>
        <v/>
      </c>
      <c r="I71" t="n">
        <v>0</v>
      </c>
      <c r="J71">
        <f>I71-$B$3*K70</f>
        <v/>
      </c>
      <c r="K71" s="19">
        <f>K70+J71</f>
        <v/>
      </c>
      <c r="L71">
        <f>EXP(G71)*K71^$B$2</f>
        <v/>
      </c>
      <c r="M71">
        <f>L71-H71</f>
        <v/>
      </c>
      <c r="N71">
        <f>F71</f>
        <v/>
      </c>
      <c r="O71">
        <f>(N71/N70-1)*100</f>
        <v/>
      </c>
      <c r="P71">
        <f>O71</f>
        <v/>
      </c>
    </row>
    <row r="72">
      <c r="C72" t="n">
        <v>2038</v>
      </c>
      <c r="D72">
        <f>E72/F72</f>
        <v/>
      </c>
      <c r="E72" s="21">
        <f>=AVERAGE(D49:D57)*F72</f>
        <v/>
      </c>
      <c r="F72" s="20">
        <f>WEO_Data!B46</f>
        <v/>
      </c>
      <c r="G72" s="20">
        <f>TREND(G36:G57,ROW(G36:G57),ROW(G72))</f>
        <v/>
      </c>
      <c r="H72">
        <f>EXP(G72)*E72^$B$2</f>
        <v/>
      </c>
      <c r="I72" t="n">
        <v>0</v>
      </c>
      <c r="J72">
        <f>I72-$B$3*K71</f>
        <v/>
      </c>
      <c r="K72" s="19">
        <f>K71+J72</f>
        <v/>
      </c>
      <c r="L72">
        <f>EXP(G72)*K72^$B$2</f>
        <v/>
      </c>
      <c r="M72">
        <f>L72-H72</f>
        <v/>
      </c>
      <c r="N72">
        <f>F72</f>
        <v/>
      </c>
      <c r="O72">
        <f>(N72/N71-1)*100</f>
        <v/>
      </c>
      <c r="P72">
        <f>O72</f>
        <v/>
      </c>
    </row>
    <row r="73">
      <c r="C73" t="n">
        <v>2039</v>
      </c>
      <c r="D73">
        <f>E73/F73</f>
        <v/>
      </c>
      <c r="E73" s="21">
        <f>=AVERAGE(D49:D57)*F73</f>
        <v/>
      </c>
      <c r="F73" s="20">
        <f>WEO_Data!B47</f>
        <v/>
      </c>
      <c r="G73" s="20">
        <f>TREND(G36:G57,ROW(G36:G57),ROW(G73))</f>
        <v/>
      </c>
      <c r="H73">
        <f>EXP(G73)*E73^$B$2</f>
        <v/>
      </c>
      <c r="I73" t="n">
        <v>0</v>
      </c>
      <c r="J73">
        <f>I73-$B$3*K72</f>
        <v/>
      </c>
      <c r="K73" s="19">
        <f>K72+J73</f>
        <v/>
      </c>
      <c r="L73">
        <f>EXP(G73)*K73^$B$2</f>
        <v/>
      </c>
      <c r="M73">
        <f>L73-H73</f>
        <v/>
      </c>
      <c r="N73">
        <f>F73</f>
        <v/>
      </c>
      <c r="O73">
        <f>(N73/N72-1)*100</f>
        <v/>
      </c>
      <c r="P73">
        <f>O73</f>
        <v/>
      </c>
    </row>
    <row r="74">
      <c r="C74" t="n">
        <v>2040</v>
      </c>
      <c r="D74">
        <f>E74/F74</f>
        <v/>
      </c>
      <c r="E74" s="21">
        <f>=AVERAGE(D49:D57)*F74</f>
        <v/>
      </c>
      <c r="F74" s="20">
        <f>WEO_Data!B48</f>
        <v/>
      </c>
      <c r="G74" s="20">
        <f>TREND(G36:G57,ROW(G36:G57),ROW(G74))</f>
        <v/>
      </c>
      <c r="H74">
        <f>EXP(G74)*E74^$B$2</f>
        <v/>
      </c>
      <c r="I74" t="n">
        <v>0</v>
      </c>
      <c r="J74">
        <f>I74-$B$3*K73</f>
        <v/>
      </c>
      <c r="K74" s="19">
        <f>K73+J74</f>
        <v/>
      </c>
      <c r="L74">
        <f>EXP(G74)*K74^$B$2</f>
        <v/>
      </c>
      <c r="M74">
        <f>L74-H74</f>
        <v/>
      </c>
      <c r="N74">
        <f>F74</f>
        <v/>
      </c>
      <c r="O74">
        <f>(N74/N73-1)*100</f>
        <v/>
      </c>
      <c r="P74">
        <f>O74</f>
        <v/>
      </c>
    </row>
    <row r="75">
      <c r="C75" t="n">
        <v>2041</v>
      </c>
      <c r="D75">
        <f>E75/F75</f>
        <v/>
      </c>
      <c r="E75" s="21">
        <f>=AVERAGE(D49:D57)*F75</f>
        <v/>
      </c>
      <c r="F75" s="20">
        <f>WEO_Data!B49</f>
        <v/>
      </c>
      <c r="G75" s="20">
        <f>TREND(G36:G57,ROW(G36:G57),ROW(G75))</f>
        <v/>
      </c>
      <c r="H75">
        <f>EXP(G75)*E75^$B$2</f>
        <v/>
      </c>
      <c r="I75" t="n">
        <v>0</v>
      </c>
      <c r="J75">
        <f>I75-$B$3*K74</f>
        <v/>
      </c>
      <c r="K75" s="19">
        <f>K74+J75</f>
        <v/>
      </c>
      <c r="L75">
        <f>EXP(G75)*K75^$B$2</f>
        <v/>
      </c>
      <c r="M75">
        <f>L75-H75</f>
        <v/>
      </c>
      <c r="N75">
        <f>F75</f>
        <v/>
      </c>
      <c r="O75">
        <f>(N75/N74-1)*100</f>
        <v/>
      </c>
      <c r="P75">
        <f>O75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9606.230491335016</v>
      </c>
      <c r="D2" s="19">
        <f>PWT!B8</f>
        <v/>
      </c>
      <c r="E2">
        <f>C2/D2</f>
        <v/>
      </c>
    </row>
    <row r="3">
      <c r="A3" s="18" t="n">
        <v>35795</v>
      </c>
      <c r="B3" t="n">
        <v>1997</v>
      </c>
      <c r="C3" t="n">
        <v>9326.525867398681</v>
      </c>
      <c r="D3" s="19">
        <f>PWT!B9</f>
        <v/>
      </c>
      <c r="E3">
        <f>C3/D3</f>
        <v/>
      </c>
    </row>
    <row r="4">
      <c r="A4" s="18" t="n">
        <v>36160</v>
      </c>
      <c r="B4" t="n">
        <v>1998</v>
      </c>
      <c r="C4" t="n">
        <v>9162.506733687422</v>
      </c>
      <c r="D4" s="19">
        <f>PWT!B10</f>
        <v/>
      </c>
      <c r="E4">
        <f>C4/D4</f>
        <v/>
      </c>
    </row>
    <row r="5">
      <c r="A5" s="18" t="n">
        <v>36525</v>
      </c>
      <c r="B5" t="n">
        <v>1999</v>
      </c>
      <c r="C5" t="n">
        <v>9036.999981596544</v>
      </c>
      <c r="D5" s="19">
        <f>PWT!B11</f>
        <v/>
      </c>
      <c r="E5">
        <f>C5/D5</f>
        <v/>
      </c>
    </row>
    <row r="6">
      <c r="A6" s="18" t="n">
        <v>36891</v>
      </c>
      <c r="B6" t="n">
        <v>2000</v>
      </c>
      <c r="C6" t="n">
        <v>8935.315945058419</v>
      </c>
      <c r="D6" s="19">
        <f>PWT!B12</f>
        <v/>
      </c>
      <c r="E6">
        <f>C6/D6</f>
        <v/>
      </c>
    </row>
    <row r="7">
      <c r="A7" s="18" t="n">
        <v>37256</v>
      </c>
      <c r="B7" t="n">
        <v>2001</v>
      </c>
      <c r="C7" t="n">
        <v>8903.666897607602</v>
      </c>
      <c r="D7" s="19">
        <f>PWT!B13</f>
        <v/>
      </c>
      <c r="E7">
        <f>C7/D7</f>
        <v/>
      </c>
    </row>
    <row r="8">
      <c r="A8" s="18" t="n">
        <v>37621</v>
      </c>
      <c r="B8" t="n">
        <v>2002</v>
      </c>
      <c r="C8" t="n">
        <v>8890.826253520354</v>
      </c>
      <c r="D8" s="19">
        <f>PWT!B14</f>
        <v/>
      </c>
      <c r="E8">
        <f>C8/D8</f>
        <v/>
      </c>
    </row>
    <row r="9">
      <c r="A9" s="18" t="n">
        <v>37986</v>
      </c>
      <c r="B9" t="n">
        <v>2003</v>
      </c>
      <c r="C9" t="n">
        <v>8986.651039478304</v>
      </c>
      <c r="D9" s="19">
        <f>PWT!B15</f>
        <v/>
      </c>
      <c r="E9">
        <f>C9/D9</f>
        <v/>
      </c>
    </row>
    <row r="10">
      <c r="A10" s="18" t="n">
        <v>38352</v>
      </c>
      <c r="B10" t="n">
        <v>2004</v>
      </c>
      <c r="C10" t="n">
        <v>9150.384072822122</v>
      </c>
      <c r="D10" s="19">
        <f>PWT!B16</f>
        <v/>
      </c>
      <c r="E10">
        <f>C10/D10</f>
        <v/>
      </c>
    </row>
    <row r="11">
      <c r="A11" s="18" t="n">
        <v>38717</v>
      </c>
      <c r="B11" t="n">
        <v>2005</v>
      </c>
      <c r="C11" t="n">
        <v>9389.390615822835</v>
      </c>
      <c r="D11" s="19">
        <f>PWT!B17</f>
        <v/>
      </c>
      <c r="E11">
        <f>C11/D11</f>
        <v/>
      </c>
    </row>
    <row r="12">
      <c r="A12" s="18" t="n">
        <v>39082</v>
      </c>
      <c r="B12" t="n">
        <v>2006</v>
      </c>
      <c r="C12" t="n">
        <v>9646.537345177303</v>
      </c>
      <c r="D12" s="19">
        <f>PWT!B18</f>
        <v/>
      </c>
      <c r="E12">
        <f>C12/D12</f>
        <v/>
      </c>
    </row>
    <row r="13">
      <c r="A13" s="18" t="n">
        <v>39447</v>
      </c>
      <c r="B13" t="n">
        <v>2007</v>
      </c>
      <c r="C13" t="n">
        <v>9983.019079936743</v>
      </c>
      <c r="D13" s="19">
        <f>PWT!B19</f>
        <v/>
      </c>
      <c r="E13">
        <f>C13/D13</f>
        <v/>
      </c>
    </row>
    <row r="14">
      <c r="A14" s="18" t="n">
        <v>39813</v>
      </c>
      <c r="B14" t="n">
        <v>2008</v>
      </c>
      <c r="C14" t="n">
        <v>10251.48675525893</v>
      </c>
      <c r="D14" s="19">
        <f>PWT!B20</f>
        <v/>
      </c>
      <c r="E14">
        <f>C14/D14</f>
        <v/>
      </c>
    </row>
    <row r="15">
      <c r="A15" s="18" t="n">
        <v>40178</v>
      </c>
      <c r="B15" t="n">
        <v>2009</v>
      </c>
      <c r="C15" t="n">
        <v>10383.98645564733</v>
      </c>
      <c r="D15" s="19">
        <f>PWT!B21</f>
        <v/>
      </c>
      <c r="E15">
        <f>C15/D15</f>
        <v/>
      </c>
    </row>
    <row r="16">
      <c r="A16" s="18" t="n">
        <v>40543</v>
      </c>
      <c r="B16" t="n">
        <v>2010</v>
      </c>
      <c r="C16" t="n">
        <v>10653.74782881126</v>
      </c>
      <c r="D16" s="19">
        <f>PWT!B22</f>
        <v/>
      </c>
      <c r="E16">
        <f>C16/D16</f>
        <v/>
      </c>
    </row>
    <row r="17">
      <c r="A17" s="18" t="n">
        <v>40908</v>
      </c>
      <c r="B17" t="n">
        <v>2011</v>
      </c>
      <c r="C17" t="n">
        <v>10999.72487937248</v>
      </c>
      <c r="D17" s="19">
        <f>PWT!B23</f>
        <v/>
      </c>
      <c r="E17">
        <f>C17/D17</f>
        <v/>
      </c>
    </row>
    <row r="18">
      <c r="A18" s="18" t="n">
        <v>41274</v>
      </c>
      <c r="B18" t="n">
        <v>2012</v>
      </c>
      <c r="C18" t="n">
        <v>11380.55375054372</v>
      </c>
      <c r="D18" s="19">
        <f>PWT!B24</f>
        <v/>
      </c>
      <c r="E18">
        <f>C18/D18</f>
        <v/>
      </c>
    </row>
    <row r="19">
      <c r="A19" s="18" t="n">
        <v>41639</v>
      </c>
      <c r="B19" t="n">
        <v>2013</v>
      </c>
      <c r="C19" t="n">
        <v>11683.64625880048</v>
      </c>
      <c r="D19" s="19">
        <f>PWT!B25</f>
        <v/>
      </c>
      <c r="E19">
        <f>C19/D19</f>
        <v/>
      </c>
    </row>
    <row r="20">
      <c r="A20" s="18" t="n">
        <v>42004</v>
      </c>
      <c r="B20" t="n">
        <v>2014</v>
      </c>
      <c r="C20" t="n">
        <v>12108.72038083381</v>
      </c>
      <c r="D20" s="19">
        <f>PWT!B26</f>
        <v/>
      </c>
      <c r="E20">
        <f>C20/D20</f>
        <v/>
      </c>
    </row>
    <row r="21">
      <c r="A21" s="18" t="n">
        <v>42369</v>
      </c>
      <c r="B21" t="n">
        <v>2015</v>
      </c>
      <c r="C21" t="n">
        <v>12607.75678509528</v>
      </c>
      <c r="D21" s="19">
        <f>PWT!B27</f>
        <v/>
      </c>
      <c r="E21">
        <f>C21/D21</f>
        <v/>
      </c>
    </row>
    <row r="22">
      <c r="A22" s="18" t="n">
        <v>42735</v>
      </c>
      <c r="B22" t="n">
        <v>2016</v>
      </c>
      <c r="C22" t="n">
        <v>13118.08684195249</v>
      </c>
      <c r="D22" s="19">
        <f>PWT!B28</f>
        <v/>
      </c>
      <c r="E22">
        <f>C22/D22</f>
        <v/>
      </c>
    </row>
    <row r="23">
      <c r="A23" s="18" t="n">
        <v>43100</v>
      </c>
      <c r="B23" t="n">
        <v>2017</v>
      </c>
      <c r="C23" t="n">
        <v>13588.37163409982</v>
      </c>
      <c r="D23" s="19">
        <f>PWT!B29</f>
        <v/>
      </c>
      <c r="E23">
        <f>C23/D23</f>
        <v/>
      </c>
    </row>
    <row r="24">
      <c r="A24" s="18" t="n">
        <v>43465</v>
      </c>
      <c r="B24" t="n">
        <v>2018</v>
      </c>
      <c r="C24" t="n">
        <v>14008.83550454834</v>
      </c>
      <c r="D24" s="19">
        <f>PWT!B30</f>
        <v/>
      </c>
      <c r="E24">
        <f>C24/D24</f>
        <v/>
      </c>
    </row>
    <row r="25">
      <c r="A25" s="18" t="n">
        <v>43830</v>
      </c>
      <c r="B25" t="n">
        <v>2019</v>
      </c>
      <c r="C25" t="n">
        <v>14519.58496960425</v>
      </c>
      <c r="D25" s="19">
        <f>PWT!B31</f>
        <v/>
      </c>
      <c r="E25">
        <f>C25/D25</f>
        <v/>
      </c>
    </row>
    <row r="26">
      <c r="A26" s="18" t="n">
        <v>44196</v>
      </c>
      <c r="B26" t="n">
        <v>2020</v>
      </c>
      <c r="D26" s="19" t="n"/>
      <c r="E26">
        <f>C26/D26</f>
        <v/>
      </c>
    </row>
    <row r="27">
      <c r="A27" s="18" t="n">
        <v>44561</v>
      </c>
      <c r="B27" t="n">
        <v>2021</v>
      </c>
      <c r="D27" s="19" t="n"/>
      <c r="E27">
        <f>C27/D27</f>
        <v/>
      </c>
    </row>
    <row r="28">
      <c r="A28" s="18" t="n">
        <v>44926</v>
      </c>
      <c r="B28" t="n">
        <v>2022</v>
      </c>
      <c r="D28" s="19" t="n"/>
      <c r="E28">
        <f>C28/D28</f>
        <v/>
      </c>
    </row>
    <row r="29">
      <c r="A29" s="18" t="n">
        <v>45291</v>
      </c>
      <c r="B29" t="n">
        <v>2023</v>
      </c>
      <c r="D29" s="19" t="n"/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/>
    </row>
    <row r="3">
      <c r="A3" s="19" t="n">
        <v>1991</v>
      </c>
      <c r="B3" s="19" t="n"/>
    </row>
    <row r="4">
      <c r="A4" s="19" t="n">
        <v>1992</v>
      </c>
      <c r="B4" s="19" t="n"/>
    </row>
    <row r="5">
      <c r="A5" s="19" t="n">
        <v>1993</v>
      </c>
      <c r="B5" s="19" t="n"/>
    </row>
    <row r="6">
      <c r="A6" s="19" t="n">
        <v>1994</v>
      </c>
      <c r="B6" s="19" t="n">
        <v>202188.8125</v>
      </c>
    </row>
    <row r="7">
      <c r="A7" s="19" t="n">
        <v>1995</v>
      </c>
      <c r="B7" s="19" t="n">
        <v>198953.859375</v>
      </c>
    </row>
    <row r="8">
      <c r="A8" s="19" t="n">
        <v>1996</v>
      </c>
      <c r="B8" s="19" t="n">
        <v>196366.453125</v>
      </c>
    </row>
    <row r="9">
      <c r="A9" s="19" t="n">
        <v>1997</v>
      </c>
      <c r="B9" s="19" t="n">
        <v>194417.84375</v>
      </c>
    </row>
    <row r="10">
      <c r="A10" s="19" t="n">
        <v>1998</v>
      </c>
      <c r="B10" s="19" t="n">
        <v>194516.296875</v>
      </c>
    </row>
    <row r="11">
      <c r="A11" s="19" t="n">
        <v>1999</v>
      </c>
      <c r="B11" s="19" t="n">
        <v>194964.5625</v>
      </c>
    </row>
    <row r="12">
      <c r="A12" s="19" t="n">
        <v>2000</v>
      </c>
      <c r="B12" s="19" t="n">
        <v>195327.078125</v>
      </c>
    </row>
    <row r="13">
      <c r="A13" s="19" t="n">
        <v>2001</v>
      </c>
      <c r="B13" s="19" t="n">
        <v>196512.453125</v>
      </c>
    </row>
    <row r="14">
      <c r="A14" s="19" t="n">
        <v>2002</v>
      </c>
      <c r="B14" s="19" t="n">
        <v>197317.59375</v>
      </c>
    </row>
    <row r="15">
      <c r="A15" s="19" t="n">
        <v>2003</v>
      </c>
      <c r="B15" s="19" t="n">
        <v>199678.921875</v>
      </c>
    </row>
    <row r="16">
      <c r="A16" s="19" t="n">
        <v>2004</v>
      </c>
      <c r="B16" s="19" t="n">
        <v>202658.8125</v>
      </c>
    </row>
    <row r="17">
      <c r="A17" s="19" t="n">
        <v>2005</v>
      </c>
      <c r="B17" s="19" t="n">
        <v>206400.5</v>
      </c>
    </row>
    <row r="18">
      <c r="A18" s="19" t="n">
        <v>2006</v>
      </c>
      <c r="B18" s="19" t="n">
        <v>209660.25</v>
      </c>
    </row>
    <row r="19">
      <c r="A19" s="19" t="n">
        <v>2007</v>
      </c>
      <c r="B19" s="19" t="n">
        <v>213821.375</v>
      </c>
    </row>
    <row r="20">
      <c r="A20" s="19" t="n">
        <v>2008</v>
      </c>
      <c r="B20" s="19" t="n">
        <v>215825.90625</v>
      </c>
    </row>
    <row r="21">
      <c r="A21" s="19" t="n">
        <v>2009</v>
      </c>
      <c r="B21" s="19" t="n">
        <v>214505.90625</v>
      </c>
    </row>
    <row r="22">
      <c r="A22" s="19" t="n">
        <v>2010</v>
      </c>
      <c r="B22" s="19" t="n">
        <v>215740.28125</v>
      </c>
    </row>
    <row r="23">
      <c r="A23" s="19" t="n">
        <v>2011</v>
      </c>
      <c r="B23" s="19" t="n">
        <v>218333.703125</v>
      </c>
    </row>
    <row r="24">
      <c r="A24" s="19" t="n">
        <v>2012</v>
      </c>
      <c r="B24" s="19" t="n">
        <v>221570.09375</v>
      </c>
    </row>
    <row r="25">
      <c r="A25" s="19" t="n">
        <v>2013</v>
      </c>
      <c r="B25" s="19" t="n">
        <v>223431.875</v>
      </c>
    </row>
    <row r="26">
      <c r="A26" s="19" t="n">
        <v>2014</v>
      </c>
      <c r="B26" s="19" t="n">
        <v>227911.96875</v>
      </c>
    </row>
    <row r="27">
      <c r="A27" s="19" t="n">
        <v>2015</v>
      </c>
      <c r="B27" s="19" t="n">
        <v>234164.859375</v>
      </c>
    </row>
    <row r="28">
      <c r="A28" s="19" t="n">
        <v>2016</v>
      </c>
      <c r="B28" s="19" t="n">
        <v>241138.375</v>
      </c>
    </row>
    <row r="29">
      <c r="A29" s="19" t="n">
        <v>2017</v>
      </c>
      <c r="B29" s="19" t="n">
        <v>248033.09375</v>
      </c>
    </row>
    <row r="30">
      <c r="A30" s="19" t="n">
        <v>2018</v>
      </c>
      <c r="B30" s="19" t="n">
        <v>254809.796875</v>
      </c>
    </row>
    <row r="31">
      <c r="A31" s="19" t="n">
        <v>2019</v>
      </c>
      <c r="B31" s="19" t="n">
        <v>264125.5625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2026-01-19T01:35:29Z</dcterms:created>
  <dcterms:modified xmlns:dcterms="http://purl.org/dc/terms/" xmlns:xsi="http://www.w3.org/2001/XMLSchema-instance" xsi:type="dcterms:W3CDTF">2026-01-29T06:59:26Z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2026-01-19T03:31:25Z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56772174-05a0-49ce-8b7c-60ea98bff72c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