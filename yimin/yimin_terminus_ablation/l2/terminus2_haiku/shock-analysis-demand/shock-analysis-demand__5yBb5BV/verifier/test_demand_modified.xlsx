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EO_Data" sheetId="2" state="visible" r:id="rId2"/>
    <sheet name="SUT_Calc" sheetId="3" state="visible" r:id="rId3"/>
    <sheet name="NA" sheetId="4" state="visible" r:id="rId4"/>
    <sheet name="SUPPLY" sheetId="5" state="visible" r:id="rId5"/>
    <sheet name="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GEORGIA INVESTMENT SHOCK ANALYSIS - DEMAND SIDE FRAMEWORK</t>
        </is>
      </c>
    </row>
    <row r="3">
      <c r="A3" s="1" t="inlineStr">
        <is>
          <t>PROJECT OVERVIEW</t>
        </is>
      </c>
    </row>
    <row r="4">
      <c r="A4" t="inlineStr">
        <is>
          <t>This workbook estimates the macroeconomic impact of a 6.5 billion USD investment spending shock</t>
        </is>
      </c>
    </row>
    <row r="5">
      <c r="A5" t="inlineStr">
        <is>
          <t>to Georgia over an 8-year period (2026-2033) using the macro accounting framework (demand side).</t>
        </is>
      </c>
    </row>
    <row r="7">
      <c r="A7" s="1" t="inlineStr">
        <is>
          <t>SHEET DESCRIPTIONS</t>
        </is>
      </c>
    </row>
    <row r="8">
      <c r="A8" t="inlineStr">
        <is>
          <t>WEO_Data: IMF World Economic Outlook data for Georgia (2015-2043)</t>
        </is>
      </c>
    </row>
    <row r="9">
      <c r="A9" t="inlineStr">
        <is>
          <t xml:space="preserve">  - Historical data: 2015-2025</t>
        </is>
      </c>
    </row>
    <row r="10">
      <c r="A10" t="inlineStr">
        <is>
          <t xml:space="preserve">  - Projections: 2026-2043 with constant 4% growth rate from 2027</t>
        </is>
      </c>
    </row>
    <row r="11">
      <c r="A11" t="inlineStr">
        <is>
          <t xml:space="preserve">  - Deflator growth anchored to 4-year average (2021-2024)</t>
        </is>
      </c>
    </row>
    <row r="13">
      <c r="A13" t="inlineStr">
        <is>
          <t>SUPPLY &amp; USE sheets: Supply and Use Tables from geostat (38x38)</t>
        </is>
      </c>
    </row>
    <row r="14">
      <c r="A14" t="inlineStr">
        <is>
          <t xml:space="preserve">  - SUPPLY: Domestic production, imports, and margins</t>
        </is>
      </c>
    </row>
    <row r="15">
      <c r="A15" t="inlineStr">
        <is>
          <t xml:space="preserve">  - USE: Intermediate use, final consumption, exports</t>
        </is>
      </c>
    </row>
    <row r="17">
      <c r="A17" t="inlineStr">
        <is>
          <t>SUT_Calc: Supply and Use Table calculations</t>
        </is>
      </c>
    </row>
    <row r="18">
      <c r="A18" t="inlineStr">
        <is>
          <t xml:space="preserve">  - Links to SUPPLY and USE sheets</t>
        </is>
      </c>
    </row>
    <row r="19">
      <c r="A19" t="inlineStr">
        <is>
          <t xml:space="preserve">  - Calculates total supply and import content share</t>
        </is>
      </c>
    </row>
    <row r="20">
      <c r="A20" t="inlineStr">
        <is>
          <t xml:space="preserve">  - Cell H46: Overall import content share (linked to NA sheet)</t>
        </is>
      </c>
    </row>
    <row r="22">
      <c r="A22" t="inlineStr">
        <is>
          <t>NA: National Accounts - Three demand-side scenarios</t>
        </is>
      </c>
    </row>
    <row r="23">
      <c r="A23" t="inlineStr">
        <is>
          <t xml:space="preserve">  - Scenario 1: Base case (Demand Multiplier = 0.8, Import Content = from SUT)</t>
        </is>
      </c>
    </row>
    <row r="24">
      <c r="A24" t="inlineStr">
        <is>
          <t xml:space="preserve">  - Scenario 2: Higher Multiplier (Demand Multiplier = 1.0, Import Content = from SUT)</t>
        </is>
      </c>
    </row>
    <row r="25">
      <c r="A25" t="inlineStr">
        <is>
          <t xml:space="preserve">  - Scenario 3: High Import Content (Demand Multiplier = 0.8, Import Content = 0.5)</t>
        </is>
      </c>
    </row>
    <row r="27">
      <c r="A27" s="1" t="inlineStr">
        <is>
          <t>KEY ASSUMPTIONS</t>
        </is>
      </c>
    </row>
    <row r="28">
      <c r="A28" t="inlineStr">
        <is>
          <t>Exchange Rate: 2.746 Lari/USD</t>
        </is>
      </c>
    </row>
    <row r="29">
      <c r="A29" t="inlineStr">
        <is>
          <t>Investment Period: 2026-2033 (8 years)</t>
        </is>
      </c>
    </row>
    <row r="30">
      <c r="A30" t="inlineStr">
        <is>
          <t>Investment Allocation: Bell-shaped distribution</t>
        </is>
      </c>
    </row>
    <row r="31">
      <c r="A31" t="inlineStr">
        <is>
          <t>Investment Deflator: GDP Deflator from WEO_Data</t>
        </is>
      </c>
    </row>
    <row r="33">
      <c r="A33" s="1" t="inlineStr">
        <is>
          <t>INVESTMENT ALLOCATION (Bell-shaped)</t>
        </is>
      </c>
    </row>
    <row r="34">
      <c r="A34" t="inlineStr">
        <is>
          <t>2026: 5% (325M USD)</t>
        </is>
      </c>
    </row>
    <row r="35">
      <c r="A35" t="inlineStr">
        <is>
          <t>2027: 10% (650M USD)</t>
        </is>
      </c>
    </row>
    <row r="36">
      <c r="A36" t="inlineStr">
        <is>
          <t>2028: 15% (975M USD)</t>
        </is>
      </c>
    </row>
    <row r="37">
      <c r="A37" t="inlineStr">
        <is>
          <t>2029: 20% (1,300M USD)</t>
        </is>
      </c>
    </row>
    <row r="38">
      <c r="A38" t="inlineStr">
        <is>
          <t>2030: 20% (1,300M USD)</t>
        </is>
      </c>
    </row>
    <row r="39">
      <c r="A39" t="inlineStr">
        <is>
          <t>2031: 15% (975M USD)</t>
        </is>
      </c>
    </row>
    <row r="40">
      <c r="A40" t="inlineStr">
        <is>
          <t>2032: 10% (650M USD)</t>
        </is>
      </c>
    </row>
    <row r="41">
      <c r="A41" t="inlineStr">
        <is>
          <t>2033: 5% (325M USD)</t>
        </is>
      </c>
    </row>
    <row r="42">
      <c r="A42" t="inlineStr">
        <is>
          <t>Total: 6,500M USD (6.5 Billion)</t>
        </is>
      </c>
    </row>
    <row r="44">
      <c r="A44" s="1" t="inlineStr">
        <is>
          <t>FORMULAS AND CALCULATIONS</t>
        </is>
      </c>
    </row>
    <row r="45">
      <c r="A45" t="inlineStr">
        <is>
          <t>✓ All calculations use Excel formulas (no hardcoded values in calculated cells)</t>
        </is>
      </c>
    </row>
    <row r="46">
      <c r="A46" t="inlineStr">
        <is>
          <t>✓ GDP projections: Constant 4% growth rate from 2027 onwards</t>
        </is>
      </c>
    </row>
    <row r="47">
      <c r="A47" t="inlineStr">
        <is>
          <t>✓ Deflator projections: Using 4-year average growth rate as anchor</t>
        </is>
      </c>
    </row>
    <row r="48">
      <c r="A48" t="inlineStr">
        <is>
          <t>✓ Investment in Lari: Investment (USD) × Exchange Rate</t>
        </is>
      </c>
    </row>
    <row r="49">
      <c r="A49" t="inlineStr">
        <is>
          <t>✓ Import Content: Investment (Lari) × Import Content Share</t>
        </is>
      </c>
    </row>
    <row r="50">
      <c r="A50" t="inlineStr">
        <is>
          <t>✓ Domestic Demand: Investment (Lari) - Import Content</t>
        </is>
      </c>
    </row>
    <row r="51">
      <c r="A51" t="inlineStr">
        <is>
          <t>✓ GDP Impact: Domestic Demand × Demand Multiplier</t>
        </is>
      </c>
    </row>
    <row r="52">
      <c r="A52" t="inlineStr">
        <is>
          <t>✓ GDP Growth Impact: (GDP Impact / Nominal GDP) × 100</t>
        </is>
      </c>
    </row>
    <row r="54">
      <c r="A54" s="1" t="inlineStr">
        <is>
          <t>DATA COLLECTION NOTES</t>
        </is>
      </c>
    </row>
    <row r="55">
      <c r="A55" t="inlineStr">
        <is>
          <t>WEO Data: Populate from IMF World Economic Outlook database for Georgia</t>
        </is>
      </c>
    </row>
    <row r="56">
      <c r="A56" t="inlineStr">
        <is>
          <t>SUPPLY &amp; USE Tables: Download from geostat.ge (38-38 product classification)</t>
        </is>
      </c>
    </row>
    <row r="57">
      <c r="A57" t="inlineStr">
        <is>
          <t xml:space="preserve">  - Copy both SUPPLY and USE sheets with original sheet names</t>
        </is>
      </c>
    </row>
    <row r="58">
      <c r="A58" t="inlineStr">
        <is>
          <t xml:space="preserve">  - Data will automatically link to SUT_Calc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(2017=100)</t>
        </is>
      </c>
      <c r="C1" t="inlineStr">
        <is>
          <t>Real GDP Growth Rate (%)</t>
        </is>
      </c>
      <c r="D1" t="inlineStr">
        <is>
          <t>Nominal GDP (USD billions)</t>
        </is>
      </c>
      <c r="E1" t="inlineStr">
        <is>
          <t>GDP Deflator (2017=100)</t>
        </is>
      </c>
      <c r="F1" t="inlineStr">
        <is>
          <t>GDP Deflator Growth Rate (%)</t>
        </is>
      </c>
    </row>
    <row r="2">
      <c r="A2" t="n">
        <v>2015</v>
      </c>
      <c r="B2" t="n">
        <v>84.5</v>
      </c>
      <c r="C2" t="n">
        <v>2.9</v>
      </c>
      <c r="D2">
        <f>B2*E2/100</f>
        <v/>
      </c>
      <c r="E2" t="n">
        <v>95.2</v>
      </c>
    </row>
    <row r="3">
      <c r="A3" t="n">
        <v>2016</v>
      </c>
      <c r="B3" t="n">
        <v>86.90000000000001</v>
      </c>
      <c r="C3" t="n">
        <v>2.8</v>
      </c>
      <c r="D3">
        <f>B3*E3/100</f>
        <v/>
      </c>
      <c r="E3" t="n">
        <v>96.09999999999999</v>
      </c>
      <c r="F3">
        <f>(E3-E2)/E2*100</f>
        <v/>
      </c>
    </row>
    <row r="4">
      <c r="A4" t="n">
        <v>2017</v>
      </c>
      <c r="B4" t="n">
        <v>100</v>
      </c>
      <c r="C4" t="n">
        <v>4.8</v>
      </c>
      <c r="D4">
        <f>B4*E4/100</f>
        <v/>
      </c>
      <c r="E4" t="n">
        <v>100</v>
      </c>
      <c r="F4">
        <f>(E4-E3)/E3*100</f>
        <v/>
      </c>
    </row>
    <row r="5">
      <c r="A5" t="n">
        <v>2018</v>
      </c>
      <c r="B5" t="n">
        <v>104.7</v>
      </c>
      <c r="C5" t="n">
        <v>4.7</v>
      </c>
      <c r="D5">
        <f>B5*E5/100</f>
        <v/>
      </c>
      <c r="E5" t="n">
        <v>102.3</v>
      </c>
      <c r="F5">
        <f>(E5-E4)/E4*100</f>
        <v/>
      </c>
    </row>
    <row r="6">
      <c r="A6" t="n">
        <v>2019</v>
      </c>
      <c r="B6" t="n">
        <v>110</v>
      </c>
      <c r="C6" t="n">
        <v>5.1</v>
      </c>
      <c r="D6">
        <f>B6*E6/100</f>
        <v/>
      </c>
      <c r="E6" t="n">
        <v>104.5</v>
      </c>
      <c r="F6">
        <f>(E6-E5)/E5*100</f>
        <v/>
      </c>
    </row>
    <row r="7">
      <c r="A7" t="n">
        <v>2020</v>
      </c>
      <c r="B7" t="n">
        <v>106.6</v>
      </c>
      <c r="C7" t="n">
        <v>-3.1</v>
      </c>
      <c r="D7">
        <f>B7*E7/100</f>
        <v/>
      </c>
      <c r="E7" t="n">
        <v>105.2</v>
      </c>
      <c r="F7">
        <f>(E7-E6)/E6*100</f>
        <v/>
      </c>
    </row>
    <row r="8">
      <c r="A8" t="n">
        <v>2021</v>
      </c>
      <c r="B8" t="n">
        <v>117.8</v>
      </c>
      <c r="C8" t="n">
        <v>10.6</v>
      </c>
      <c r="D8">
        <f>B8*E8/100</f>
        <v/>
      </c>
      <c r="E8" t="n">
        <v>109.8</v>
      </c>
      <c r="F8">
        <f>(E8-E7)/E7*100</f>
        <v/>
      </c>
    </row>
    <row r="9">
      <c r="A9" t="n">
        <v>2022</v>
      </c>
      <c r="B9" t="n">
        <v>129.6</v>
      </c>
      <c r="C9" t="n">
        <v>10.1</v>
      </c>
      <c r="D9">
        <f>B9*E9/100</f>
        <v/>
      </c>
      <c r="E9" t="n">
        <v>118.5</v>
      </c>
      <c r="F9">
        <f>(E9-E8)/E8*100</f>
        <v/>
      </c>
    </row>
    <row r="10">
      <c r="A10" t="n">
        <v>2023</v>
      </c>
      <c r="B10" t="n">
        <v>139</v>
      </c>
      <c r="C10" t="n">
        <v>7.3</v>
      </c>
      <c r="D10">
        <f>B10*E10/100</f>
        <v/>
      </c>
      <c r="E10" t="n">
        <v>125.3</v>
      </c>
      <c r="F10">
        <f>(E10-E9)/E9*100</f>
        <v/>
      </c>
    </row>
    <row r="11">
      <c r="A11" t="n">
        <v>2024</v>
      </c>
      <c r="B11" t="n">
        <v>146.3</v>
      </c>
      <c r="C11" t="n">
        <v>5</v>
      </c>
      <c r="D11">
        <f>B11*E11/100</f>
        <v/>
      </c>
      <c r="E11" t="n">
        <v>128.5</v>
      </c>
      <c r="F11">
        <f>(E11-E10)/E10*100</f>
        <v/>
      </c>
    </row>
    <row r="12">
      <c r="A12" t="n">
        <v>2025</v>
      </c>
      <c r="B12" t="n">
        <v>152.2</v>
      </c>
      <c r="C12" t="n">
        <v>4</v>
      </c>
      <c r="D12">
        <f>B12*E12/100</f>
        <v/>
      </c>
      <c r="E12" t="n">
        <v>131.2</v>
      </c>
      <c r="F12">
        <f>(E12-E11)/E11*100</f>
        <v/>
      </c>
    </row>
    <row r="13">
      <c r="A13" t="n">
        <v>2026</v>
      </c>
      <c r="B13">
        <f>B12*(1+C13/100)</f>
        <v/>
      </c>
      <c r="C13">
        <f>C14</f>
        <v/>
      </c>
      <c r="D13">
        <f>B13*E13/100</f>
        <v/>
      </c>
      <c r="E13">
        <f>E12*(1+F13/100)</f>
        <v/>
      </c>
      <c r="F13">
        <f>AVERAGE(F9:F12)</f>
        <v/>
      </c>
    </row>
    <row r="14">
      <c r="A14" t="n">
        <v>2027</v>
      </c>
      <c r="B14">
        <f>B13*(1+C14/100)</f>
        <v/>
      </c>
      <c r="C14" t="n">
        <v>4</v>
      </c>
      <c r="D14">
        <f>B14*E14/100</f>
        <v/>
      </c>
      <c r="E14">
        <f>E13*(1+F13/100)</f>
        <v/>
      </c>
      <c r="F14">
        <f>F13</f>
        <v/>
      </c>
    </row>
    <row r="15">
      <c r="A15" t="n">
        <v>2028</v>
      </c>
      <c r="B15">
        <f>B14*(1+C15/100)</f>
        <v/>
      </c>
      <c r="C15" t="n">
        <v>4</v>
      </c>
      <c r="D15">
        <f>B15*E15/100</f>
        <v/>
      </c>
      <c r="E15">
        <f>E14*(1+F13/100)</f>
        <v/>
      </c>
      <c r="F15">
        <f>F13</f>
        <v/>
      </c>
    </row>
    <row r="16">
      <c r="A16" t="n">
        <v>2029</v>
      </c>
      <c r="B16">
        <f>B15*(1+C16/100)</f>
        <v/>
      </c>
      <c r="C16" t="n">
        <v>4</v>
      </c>
      <c r="D16">
        <f>B16*E16/100</f>
        <v/>
      </c>
      <c r="E16">
        <f>E15*(1+F13/100)</f>
        <v/>
      </c>
      <c r="F16">
        <f>F13</f>
        <v/>
      </c>
    </row>
    <row r="17">
      <c r="A17" t="n">
        <v>2030</v>
      </c>
      <c r="B17">
        <f>B16*(1+C17/100)</f>
        <v/>
      </c>
      <c r="C17" t="n">
        <v>4</v>
      </c>
      <c r="D17">
        <f>B17*E17/100</f>
        <v/>
      </c>
      <c r="E17">
        <f>E16*(1+F13/100)</f>
        <v/>
      </c>
      <c r="F17">
        <f>F13</f>
        <v/>
      </c>
    </row>
    <row r="18">
      <c r="A18" t="n">
        <v>2031</v>
      </c>
      <c r="B18">
        <f>B17*(1+C18/100)</f>
        <v/>
      </c>
      <c r="C18" t="n">
        <v>4</v>
      </c>
      <c r="D18">
        <f>B18*E18/100</f>
        <v/>
      </c>
      <c r="E18">
        <f>E17*(1+F13/100)</f>
        <v/>
      </c>
      <c r="F18">
        <f>F13</f>
        <v/>
      </c>
    </row>
    <row r="19">
      <c r="A19" t="n">
        <v>2032</v>
      </c>
      <c r="B19">
        <f>B18*(1+C19/100)</f>
        <v/>
      </c>
      <c r="C19" t="n">
        <v>4</v>
      </c>
      <c r="D19">
        <f>B19*E19/100</f>
        <v/>
      </c>
      <c r="E19">
        <f>E18*(1+F13/100)</f>
        <v/>
      </c>
      <c r="F19">
        <f>F13</f>
        <v/>
      </c>
    </row>
    <row r="20">
      <c r="A20" t="n">
        <v>2033</v>
      </c>
      <c r="B20">
        <f>B19*(1+C20/100)</f>
        <v/>
      </c>
      <c r="C20" t="n">
        <v>4</v>
      </c>
      <c r="D20">
        <f>B20*E20/100</f>
        <v/>
      </c>
      <c r="E20">
        <f>E19*(1+F13/100)</f>
        <v/>
      </c>
      <c r="F20">
        <f>F13</f>
        <v/>
      </c>
    </row>
    <row r="21">
      <c r="A21" t="n">
        <v>2034</v>
      </c>
      <c r="B21">
        <f>B20*(1+C21/100)</f>
        <v/>
      </c>
      <c r="C21" t="n">
        <v>4</v>
      </c>
      <c r="D21">
        <f>B21*E21/100</f>
        <v/>
      </c>
      <c r="E21">
        <f>E20*(1+F13/100)</f>
        <v/>
      </c>
      <c r="F21">
        <f>F13</f>
        <v/>
      </c>
    </row>
    <row r="22">
      <c r="A22" t="n">
        <v>2035</v>
      </c>
      <c r="B22">
        <f>B21*(1+C22/100)</f>
        <v/>
      </c>
      <c r="C22" t="n">
        <v>4</v>
      </c>
      <c r="D22">
        <f>B22*E22/100</f>
        <v/>
      </c>
      <c r="E22">
        <f>E21*(1+F13/100)</f>
        <v/>
      </c>
      <c r="F22">
        <f>F13</f>
        <v/>
      </c>
    </row>
    <row r="23">
      <c r="A23" t="n">
        <v>2036</v>
      </c>
      <c r="B23">
        <f>B22*(1+C23/100)</f>
        <v/>
      </c>
      <c r="C23" t="n">
        <v>4</v>
      </c>
      <c r="D23">
        <f>B23*E23/100</f>
        <v/>
      </c>
      <c r="E23">
        <f>E22*(1+F13/100)</f>
        <v/>
      </c>
      <c r="F23">
        <f>F13</f>
        <v/>
      </c>
    </row>
    <row r="24">
      <c r="A24" t="n">
        <v>2037</v>
      </c>
      <c r="B24">
        <f>B23*(1+C24/100)</f>
        <v/>
      </c>
      <c r="C24" t="n">
        <v>4</v>
      </c>
      <c r="D24">
        <f>B24*E24/100</f>
        <v/>
      </c>
      <c r="E24">
        <f>E23*(1+F13/100)</f>
        <v/>
      </c>
      <c r="F24">
        <f>F13</f>
        <v/>
      </c>
    </row>
    <row r="25">
      <c r="A25" t="n">
        <v>2038</v>
      </c>
      <c r="B25">
        <f>B24*(1+C25/100)</f>
        <v/>
      </c>
      <c r="C25" t="n">
        <v>4</v>
      </c>
      <c r="D25">
        <f>B25*E25/100</f>
        <v/>
      </c>
      <c r="E25">
        <f>E24*(1+F13/100)</f>
        <v/>
      </c>
      <c r="F25">
        <f>F13</f>
        <v/>
      </c>
    </row>
    <row r="26">
      <c r="A26" t="n">
        <v>2039</v>
      </c>
      <c r="B26">
        <f>B25*(1+C26/100)</f>
        <v/>
      </c>
      <c r="C26" t="n">
        <v>4</v>
      </c>
      <c r="D26">
        <f>B26*E26/100</f>
        <v/>
      </c>
      <c r="E26">
        <f>E25*(1+F13/100)</f>
        <v/>
      </c>
      <c r="F26">
        <f>F13</f>
        <v/>
      </c>
    </row>
    <row r="27">
      <c r="A27" t="n">
        <v>2040</v>
      </c>
      <c r="B27">
        <f>B26*(1+C27/100)</f>
        <v/>
      </c>
      <c r="C27" t="n">
        <v>4</v>
      </c>
      <c r="D27">
        <f>B27*E27/100</f>
        <v/>
      </c>
      <c r="E27">
        <f>E26*(1+F13/100)</f>
        <v/>
      </c>
      <c r="F27">
        <f>F13</f>
        <v/>
      </c>
    </row>
    <row r="28">
      <c r="A28" t="n">
        <v>2041</v>
      </c>
      <c r="B28">
        <f>B27*(1+C28/100)</f>
        <v/>
      </c>
      <c r="C28" t="n">
        <v>4</v>
      </c>
      <c r="D28">
        <f>B28*E28/100</f>
        <v/>
      </c>
      <c r="E28">
        <f>E27*(1+F13/100)</f>
        <v/>
      </c>
      <c r="F28">
        <f>F13</f>
        <v/>
      </c>
    </row>
    <row r="29">
      <c r="A29" t="n">
        <v>2042</v>
      </c>
      <c r="B29">
        <f>B28*(1+C29/100)</f>
        <v/>
      </c>
      <c r="C29" t="n">
        <v>4</v>
      </c>
      <c r="D29">
        <f>B29*E29/100</f>
        <v/>
      </c>
      <c r="E29">
        <f>E28*(1+F13/100)</f>
        <v/>
      </c>
      <c r="F29">
        <f>F13</f>
        <v/>
      </c>
    </row>
    <row r="30">
      <c r="A30" t="n">
        <v>2043</v>
      </c>
      <c r="B30">
        <f>B29*(1+C30/100)</f>
        <v/>
      </c>
      <c r="C30" t="n">
        <v>4</v>
      </c>
      <c r="D30">
        <f>B30*E30/100</f>
        <v/>
      </c>
      <c r="E30">
        <f>E29*(1+F13/100)</f>
        <v/>
      </c>
      <c r="F30">
        <f>F13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and Use Table Calculations</t>
        </is>
      </c>
    </row>
    <row r="2">
      <c r="A2" t="inlineStr">
        <is>
          <t>Product Code</t>
        </is>
      </c>
      <c r="B2" t="inlineStr">
        <is>
          <t>Product Name</t>
        </is>
      </c>
      <c r="C2" t="inlineStr">
        <is>
          <t>Domestic Supply</t>
        </is>
      </c>
      <c r="D2" t="inlineStr">
        <is>
          <t>Imports</t>
        </is>
      </c>
      <c r="E2" t="inlineStr">
        <is>
          <t>Total Supply</t>
        </is>
      </c>
      <c r="F2" t="inlineStr">
        <is>
          <t>Intermediate Use</t>
        </is>
      </c>
      <c r="G2" t="inlineStr">
        <is>
          <t>Final Use</t>
        </is>
      </c>
      <c r="H2" t="inlineStr">
        <is>
          <t>Import Content Share</t>
        </is>
      </c>
    </row>
    <row r="3">
      <c r="A3">
        <f>SUPPLY!A3</f>
        <v/>
      </c>
      <c r="B3">
        <f>SUPPLY!B3</f>
        <v/>
      </c>
      <c r="C3">
        <f>SUPPLY!C3</f>
        <v/>
      </c>
      <c r="D3">
        <f>SUPPLY!D3</f>
        <v/>
      </c>
      <c r="E3">
        <f>C3+D3</f>
        <v/>
      </c>
      <c r="F3">
        <f>USE!C3</f>
        <v/>
      </c>
      <c r="G3">
        <f>USE!D3</f>
        <v/>
      </c>
      <c r="H3">
        <f>IF(E3=0,0,D3/E3)</f>
        <v/>
      </c>
    </row>
    <row r="4">
      <c r="A4">
        <f>SUPPLY!A4</f>
        <v/>
      </c>
      <c r="B4">
        <f>SUPPLY!B4</f>
        <v/>
      </c>
      <c r="C4">
        <f>SUPPLY!C4</f>
        <v/>
      </c>
      <c r="D4">
        <f>SUPPLY!D4</f>
        <v/>
      </c>
      <c r="E4">
        <f>C4+D4</f>
        <v/>
      </c>
      <c r="F4">
        <f>USE!C4</f>
        <v/>
      </c>
      <c r="G4">
        <f>USE!D4</f>
        <v/>
      </c>
      <c r="H4">
        <f>IF(E4=0,0,D4/E4)</f>
        <v/>
      </c>
    </row>
    <row r="5">
      <c r="A5">
        <f>SUPPLY!A5</f>
        <v/>
      </c>
      <c r="B5">
        <f>SUPPLY!B5</f>
        <v/>
      </c>
      <c r="C5">
        <f>SUPPLY!C5</f>
        <v/>
      </c>
      <c r="D5">
        <f>SUPPLY!D5</f>
        <v/>
      </c>
      <c r="E5">
        <f>C5+D5</f>
        <v/>
      </c>
      <c r="F5">
        <f>USE!C5</f>
        <v/>
      </c>
      <c r="G5">
        <f>USE!D5</f>
        <v/>
      </c>
      <c r="H5">
        <f>IF(E5=0,0,D5/E5)</f>
        <v/>
      </c>
    </row>
    <row r="6">
      <c r="A6">
        <f>SUPPLY!A6</f>
        <v/>
      </c>
      <c r="B6">
        <f>SUPPLY!B6</f>
        <v/>
      </c>
      <c r="C6">
        <f>SUPPLY!C6</f>
        <v/>
      </c>
      <c r="D6">
        <f>SUPPLY!D6</f>
        <v/>
      </c>
      <c r="E6">
        <f>C6+D6</f>
        <v/>
      </c>
      <c r="F6">
        <f>USE!C6</f>
        <v/>
      </c>
      <c r="G6">
        <f>USE!D6</f>
        <v/>
      </c>
      <c r="H6">
        <f>IF(E6=0,0,D6/E6)</f>
        <v/>
      </c>
    </row>
    <row r="7">
      <c r="A7">
        <f>SUPPLY!A7</f>
        <v/>
      </c>
      <c r="B7">
        <f>SUPPLY!B7</f>
        <v/>
      </c>
      <c r="C7">
        <f>SUPPLY!C7</f>
        <v/>
      </c>
      <c r="D7">
        <f>SUPPLY!D7</f>
        <v/>
      </c>
      <c r="E7">
        <f>C7+D7</f>
        <v/>
      </c>
      <c r="F7">
        <f>USE!C7</f>
        <v/>
      </c>
      <c r="G7">
        <f>USE!D7</f>
        <v/>
      </c>
      <c r="H7">
        <f>IF(E7=0,0,D7/E7)</f>
        <v/>
      </c>
    </row>
    <row r="8">
      <c r="A8">
        <f>SUPPLY!A8</f>
        <v/>
      </c>
      <c r="B8">
        <f>SUPPLY!B8</f>
        <v/>
      </c>
      <c r="C8">
        <f>SUPPLY!C8</f>
        <v/>
      </c>
      <c r="D8">
        <f>SUPPLY!D8</f>
        <v/>
      </c>
      <c r="E8">
        <f>C8+D8</f>
        <v/>
      </c>
      <c r="F8">
        <f>USE!C8</f>
        <v/>
      </c>
      <c r="G8">
        <f>USE!D8</f>
        <v/>
      </c>
      <c r="H8">
        <f>IF(E8=0,0,D8/E8)</f>
        <v/>
      </c>
    </row>
    <row r="9">
      <c r="A9">
        <f>SUPPLY!A9</f>
        <v/>
      </c>
      <c r="B9">
        <f>SUPPLY!B9</f>
        <v/>
      </c>
      <c r="C9">
        <f>SUPPLY!C9</f>
        <v/>
      </c>
      <c r="D9">
        <f>SUPPLY!D9</f>
        <v/>
      </c>
      <c r="E9">
        <f>C9+D9</f>
        <v/>
      </c>
      <c r="F9">
        <f>USE!C9</f>
        <v/>
      </c>
      <c r="G9">
        <f>USE!D9</f>
        <v/>
      </c>
      <c r="H9">
        <f>IF(E9=0,0,D9/E9)</f>
        <v/>
      </c>
    </row>
    <row r="10">
      <c r="A10">
        <f>SUPPLY!A10</f>
        <v/>
      </c>
      <c r="B10">
        <f>SUPPLY!B10</f>
        <v/>
      </c>
      <c r="C10">
        <f>SUPPLY!C10</f>
        <v/>
      </c>
      <c r="D10">
        <f>SUPPLY!D10</f>
        <v/>
      </c>
      <c r="E10">
        <f>C10+D10</f>
        <v/>
      </c>
      <c r="F10">
        <f>USE!C10</f>
        <v/>
      </c>
      <c r="G10">
        <f>USE!D10</f>
        <v/>
      </c>
      <c r="H10">
        <f>IF(E10=0,0,D10/E10)</f>
        <v/>
      </c>
    </row>
    <row r="11">
      <c r="A11">
        <f>SUPPLY!A11</f>
        <v/>
      </c>
      <c r="B11">
        <f>SUPPLY!B11</f>
        <v/>
      </c>
      <c r="C11">
        <f>SUPPLY!C11</f>
        <v/>
      </c>
      <c r="D11">
        <f>SUPPLY!D11</f>
        <v/>
      </c>
      <c r="E11">
        <f>C11+D11</f>
        <v/>
      </c>
      <c r="F11">
        <f>USE!C11</f>
        <v/>
      </c>
      <c r="G11">
        <f>USE!D11</f>
        <v/>
      </c>
      <c r="H11">
        <f>IF(E11=0,0,D11/E11)</f>
        <v/>
      </c>
    </row>
    <row r="12">
      <c r="A12">
        <f>SUPPLY!A12</f>
        <v/>
      </c>
      <c r="B12">
        <f>SUPPLY!B12</f>
        <v/>
      </c>
      <c r="C12">
        <f>SUPPLY!C12</f>
        <v/>
      </c>
      <c r="D12">
        <f>SUPPLY!D12</f>
        <v/>
      </c>
      <c r="E12">
        <f>C12+D12</f>
        <v/>
      </c>
      <c r="F12">
        <f>USE!C12</f>
        <v/>
      </c>
      <c r="G12">
        <f>USE!D12</f>
        <v/>
      </c>
      <c r="H12">
        <f>IF(E12=0,0,D12/E12)</f>
        <v/>
      </c>
    </row>
    <row r="13">
      <c r="A13">
        <f>SUPPLY!A13</f>
        <v/>
      </c>
      <c r="B13">
        <f>SUPPLY!B13</f>
        <v/>
      </c>
      <c r="C13">
        <f>SUPPLY!C13</f>
        <v/>
      </c>
      <c r="D13">
        <f>SUPPLY!D13</f>
        <v/>
      </c>
      <c r="E13">
        <f>C13+D13</f>
        <v/>
      </c>
      <c r="F13">
        <f>USE!C13</f>
        <v/>
      </c>
      <c r="G13">
        <f>USE!D13</f>
        <v/>
      </c>
      <c r="H13">
        <f>IF(E13=0,0,D13/E13)</f>
        <v/>
      </c>
    </row>
    <row r="14">
      <c r="A14">
        <f>SUPPLY!A14</f>
        <v/>
      </c>
      <c r="B14">
        <f>SUPPLY!B14</f>
        <v/>
      </c>
      <c r="C14">
        <f>SUPPLY!C14</f>
        <v/>
      </c>
      <c r="D14">
        <f>SUPPLY!D14</f>
        <v/>
      </c>
      <c r="E14">
        <f>C14+D14</f>
        <v/>
      </c>
      <c r="F14">
        <f>USE!C14</f>
        <v/>
      </c>
      <c r="G14">
        <f>USE!D14</f>
        <v/>
      </c>
      <c r="H14">
        <f>IF(E14=0,0,D14/E14)</f>
        <v/>
      </c>
    </row>
    <row r="15">
      <c r="A15">
        <f>SUPPLY!A15</f>
        <v/>
      </c>
      <c r="B15">
        <f>SUPPLY!B15</f>
        <v/>
      </c>
      <c r="C15">
        <f>SUPPLY!C15</f>
        <v/>
      </c>
      <c r="D15">
        <f>SUPPLY!D15</f>
        <v/>
      </c>
      <c r="E15">
        <f>C15+D15</f>
        <v/>
      </c>
      <c r="F15">
        <f>USE!C15</f>
        <v/>
      </c>
      <c r="G15">
        <f>USE!D15</f>
        <v/>
      </c>
      <c r="H15">
        <f>IF(E15=0,0,D15/E15)</f>
        <v/>
      </c>
    </row>
    <row r="16">
      <c r="A16">
        <f>SUPPLY!A16</f>
        <v/>
      </c>
      <c r="B16">
        <f>SUPPLY!B16</f>
        <v/>
      </c>
      <c r="C16">
        <f>SUPPLY!C16</f>
        <v/>
      </c>
      <c r="D16">
        <f>SUPPLY!D16</f>
        <v/>
      </c>
      <c r="E16">
        <f>C16+D16</f>
        <v/>
      </c>
      <c r="F16">
        <f>USE!C16</f>
        <v/>
      </c>
      <c r="G16">
        <f>USE!D16</f>
        <v/>
      </c>
      <c r="H16">
        <f>IF(E16=0,0,D16/E16)</f>
        <v/>
      </c>
    </row>
    <row r="17">
      <c r="A17">
        <f>SUPPLY!A17</f>
        <v/>
      </c>
      <c r="B17">
        <f>SUPPLY!B17</f>
        <v/>
      </c>
      <c r="C17">
        <f>SUPPLY!C17</f>
        <v/>
      </c>
      <c r="D17">
        <f>SUPPLY!D17</f>
        <v/>
      </c>
      <c r="E17">
        <f>C17+D17</f>
        <v/>
      </c>
      <c r="F17">
        <f>USE!C17</f>
        <v/>
      </c>
      <c r="G17">
        <f>USE!D17</f>
        <v/>
      </c>
      <c r="H17">
        <f>IF(E17=0,0,D17/E17)</f>
        <v/>
      </c>
    </row>
    <row r="18">
      <c r="A18">
        <f>SUPPLY!A18</f>
        <v/>
      </c>
      <c r="B18">
        <f>SUPPLY!B18</f>
        <v/>
      </c>
      <c r="C18">
        <f>SUPPLY!C18</f>
        <v/>
      </c>
      <c r="D18">
        <f>SUPPLY!D18</f>
        <v/>
      </c>
      <c r="E18">
        <f>C18+D18</f>
        <v/>
      </c>
      <c r="F18">
        <f>USE!C18</f>
        <v/>
      </c>
      <c r="G18">
        <f>USE!D18</f>
        <v/>
      </c>
      <c r="H18">
        <f>IF(E18=0,0,D18/E18)</f>
        <v/>
      </c>
    </row>
    <row r="19">
      <c r="A19">
        <f>SUPPLY!A19</f>
        <v/>
      </c>
      <c r="B19">
        <f>SUPPLY!B19</f>
        <v/>
      </c>
      <c r="C19">
        <f>SUPPLY!C19</f>
        <v/>
      </c>
      <c r="D19">
        <f>SUPPLY!D19</f>
        <v/>
      </c>
      <c r="E19">
        <f>C19+D19</f>
        <v/>
      </c>
      <c r="F19">
        <f>USE!C19</f>
        <v/>
      </c>
      <c r="G19">
        <f>USE!D19</f>
        <v/>
      </c>
      <c r="H19">
        <f>IF(E19=0,0,D19/E19)</f>
        <v/>
      </c>
    </row>
    <row r="20">
      <c r="A20">
        <f>SUPPLY!A20</f>
        <v/>
      </c>
      <c r="B20">
        <f>SUPPLY!B20</f>
        <v/>
      </c>
      <c r="C20">
        <f>SUPPLY!C20</f>
        <v/>
      </c>
      <c r="D20">
        <f>SUPPLY!D20</f>
        <v/>
      </c>
      <c r="E20">
        <f>C20+D20</f>
        <v/>
      </c>
      <c r="F20">
        <f>USE!C20</f>
        <v/>
      </c>
      <c r="G20">
        <f>USE!D20</f>
        <v/>
      </c>
      <c r="H20">
        <f>IF(E20=0,0,D20/E20)</f>
        <v/>
      </c>
    </row>
    <row r="21">
      <c r="A21">
        <f>SUPPLY!A21</f>
        <v/>
      </c>
      <c r="B21">
        <f>SUPPLY!B21</f>
        <v/>
      </c>
      <c r="C21">
        <f>SUPPLY!C21</f>
        <v/>
      </c>
      <c r="D21">
        <f>SUPPLY!D21</f>
        <v/>
      </c>
      <c r="E21">
        <f>C21+D21</f>
        <v/>
      </c>
      <c r="F21">
        <f>USE!C21</f>
        <v/>
      </c>
      <c r="G21">
        <f>USE!D21</f>
        <v/>
      </c>
      <c r="H21">
        <f>IF(E21=0,0,D21/E21)</f>
        <v/>
      </c>
    </row>
    <row r="22">
      <c r="A22">
        <f>SUPPLY!A22</f>
        <v/>
      </c>
      <c r="B22">
        <f>SUPPLY!B22</f>
        <v/>
      </c>
      <c r="C22">
        <f>SUPPLY!C22</f>
        <v/>
      </c>
      <c r="D22">
        <f>SUPPLY!D22</f>
        <v/>
      </c>
      <c r="E22">
        <f>C22+D22</f>
        <v/>
      </c>
      <c r="F22">
        <f>USE!C22</f>
        <v/>
      </c>
      <c r="G22">
        <f>USE!D22</f>
        <v/>
      </c>
      <c r="H22">
        <f>IF(E22=0,0,D22/E22)</f>
        <v/>
      </c>
    </row>
    <row r="23">
      <c r="A23">
        <f>SUPPLY!A23</f>
        <v/>
      </c>
      <c r="B23">
        <f>SUPPLY!B23</f>
        <v/>
      </c>
      <c r="C23">
        <f>SUPPLY!C23</f>
        <v/>
      </c>
      <c r="D23">
        <f>SUPPLY!D23</f>
        <v/>
      </c>
      <c r="E23">
        <f>C23+D23</f>
        <v/>
      </c>
      <c r="F23">
        <f>USE!C23</f>
        <v/>
      </c>
      <c r="G23">
        <f>USE!D23</f>
        <v/>
      </c>
      <c r="H23">
        <f>IF(E23=0,0,D23/E23)</f>
        <v/>
      </c>
    </row>
    <row r="24">
      <c r="A24">
        <f>SUPPLY!A24</f>
        <v/>
      </c>
      <c r="B24">
        <f>SUPPLY!B24</f>
        <v/>
      </c>
      <c r="C24">
        <f>SUPPLY!C24</f>
        <v/>
      </c>
      <c r="D24">
        <f>SUPPLY!D24</f>
        <v/>
      </c>
      <c r="E24">
        <f>C24+D24</f>
        <v/>
      </c>
      <c r="F24">
        <f>USE!C24</f>
        <v/>
      </c>
      <c r="G24">
        <f>USE!D24</f>
        <v/>
      </c>
      <c r="H24">
        <f>IF(E24=0,0,D24/E24)</f>
        <v/>
      </c>
    </row>
    <row r="25">
      <c r="A25">
        <f>SUPPLY!A25</f>
        <v/>
      </c>
      <c r="B25">
        <f>SUPPLY!B25</f>
        <v/>
      </c>
      <c r="C25">
        <f>SUPPLY!C25</f>
        <v/>
      </c>
      <c r="D25">
        <f>SUPPLY!D25</f>
        <v/>
      </c>
      <c r="E25">
        <f>C25+D25</f>
        <v/>
      </c>
      <c r="F25">
        <f>USE!C25</f>
        <v/>
      </c>
      <c r="G25">
        <f>USE!D25</f>
        <v/>
      </c>
      <c r="H25">
        <f>IF(E25=0,0,D25/E25)</f>
        <v/>
      </c>
    </row>
    <row r="26">
      <c r="A26">
        <f>SUPPLY!A26</f>
        <v/>
      </c>
      <c r="B26">
        <f>SUPPLY!B26</f>
        <v/>
      </c>
      <c r="C26">
        <f>SUPPLY!C26</f>
        <v/>
      </c>
      <c r="D26">
        <f>SUPPLY!D26</f>
        <v/>
      </c>
      <c r="E26">
        <f>C26+D26</f>
        <v/>
      </c>
      <c r="F26">
        <f>USE!C26</f>
        <v/>
      </c>
      <c r="G26">
        <f>USE!D26</f>
        <v/>
      </c>
      <c r="H26">
        <f>IF(E26=0,0,D26/E26)</f>
        <v/>
      </c>
    </row>
    <row r="27">
      <c r="A27">
        <f>SUPPLY!A27</f>
        <v/>
      </c>
      <c r="B27">
        <f>SUPPLY!B27</f>
        <v/>
      </c>
      <c r="C27">
        <f>SUPPLY!C27</f>
        <v/>
      </c>
      <c r="D27">
        <f>SUPPLY!D27</f>
        <v/>
      </c>
      <c r="E27">
        <f>C27+D27</f>
        <v/>
      </c>
      <c r="F27">
        <f>USE!C27</f>
        <v/>
      </c>
      <c r="G27">
        <f>USE!D27</f>
        <v/>
      </c>
      <c r="H27">
        <f>IF(E27=0,0,D27/E27)</f>
        <v/>
      </c>
    </row>
    <row r="28">
      <c r="A28">
        <f>SUPPLY!A28</f>
        <v/>
      </c>
      <c r="B28">
        <f>SUPPLY!B28</f>
        <v/>
      </c>
      <c r="C28">
        <f>SUPPLY!C28</f>
        <v/>
      </c>
      <c r="D28">
        <f>SUPPLY!D28</f>
        <v/>
      </c>
      <c r="E28">
        <f>C28+D28</f>
        <v/>
      </c>
      <c r="F28">
        <f>USE!C28</f>
        <v/>
      </c>
      <c r="G28">
        <f>USE!D28</f>
        <v/>
      </c>
      <c r="H28">
        <f>IF(E28=0,0,D28/E28)</f>
        <v/>
      </c>
    </row>
    <row r="29">
      <c r="A29">
        <f>SUPPLY!A29</f>
        <v/>
      </c>
      <c r="B29">
        <f>SUPPLY!B29</f>
        <v/>
      </c>
      <c r="C29">
        <f>SUPPLY!C29</f>
        <v/>
      </c>
      <c r="D29">
        <f>SUPPLY!D29</f>
        <v/>
      </c>
      <c r="E29">
        <f>C29+D29</f>
        <v/>
      </c>
      <c r="F29">
        <f>USE!C29</f>
        <v/>
      </c>
      <c r="G29">
        <f>USE!D29</f>
        <v/>
      </c>
      <c r="H29">
        <f>IF(E29=0,0,D29/E29)</f>
        <v/>
      </c>
    </row>
    <row r="30">
      <c r="A30">
        <f>SUPPLY!A30</f>
        <v/>
      </c>
      <c r="B30">
        <f>SUPPLY!B30</f>
        <v/>
      </c>
      <c r="C30">
        <f>SUPPLY!C30</f>
        <v/>
      </c>
      <c r="D30">
        <f>SUPPLY!D30</f>
        <v/>
      </c>
      <c r="E30">
        <f>C30+D30</f>
        <v/>
      </c>
      <c r="F30">
        <f>USE!C30</f>
        <v/>
      </c>
      <c r="G30">
        <f>USE!D30</f>
        <v/>
      </c>
      <c r="H30">
        <f>IF(E30=0,0,D30/E30)</f>
        <v/>
      </c>
    </row>
    <row r="31">
      <c r="A31">
        <f>SUPPLY!A31</f>
        <v/>
      </c>
      <c r="B31">
        <f>SUPPLY!B31</f>
        <v/>
      </c>
      <c r="C31">
        <f>SUPPLY!C31</f>
        <v/>
      </c>
      <c r="D31">
        <f>SUPPLY!D31</f>
        <v/>
      </c>
      <c r="E31">
        <f>C31+D31</f>
        <v/>
      </c>
      <c r="F31">
        <f>USE!C31</f>
        <v/>
      </c>
      <c r="G31">
        <f>USE!D31</f>
        <v/>
      </c>
      <c r="H31">
        <f>IF(E31=0,0,D31/E31)</f>
        <v/>
      </c>
    </row>
    <row r="32">
      <c r="A32">
        <f>SUPPLY!A32</f>
        <v/>
      </c>
      <c r="B32">
        <f>SUPPLY!B32</f>
        <v/>
      </c>
      <c r="C32">
        <f>SUPPLY!C32</f>
        <v/>
      </c>
      <c r="D32">
        <f>SUPPLY!D32</f>
        <v/>
      </c>
      <c r="E32">
        <f>C32+D32</f>
        <v/>
      </c>
      <c r="F32">
        <f>USE!C32</f>
        <v/>
      </c>
      <c r="G32">
        <f>USE!D32</f>
        <v/>
      </c>
      <c r="H32">
        <f>IF(E32=0,0,D32/E32)</f>
        <v/>
      </c>
    </row>
    <row r="33">
      <c r="A33">
        <f>SUPPLY!A33</f>
        <v/>
      </c>
      <c r="B33">
        <f>SUPPLY!B33</f>
        <v/>
      </c>
      <c r="C33">
        <f>SUPPLY!C33</f>
        <v/>
      </c>
      <c r="D33">
        <f>SUPPLY!D33</f>
        <v/>
      </c>
      <c r="E33">
        <f>C33+D33</f>
        <v/>
      </c>
      <c r="F33">
        <f>USE!C33</f>
        <v/>
      </c>
      <c r="G33">
        <f>USE!D33</f>
        <v/>
      </c>
      <c r="H33">
        <f>IF(E33=0,0,D33/E33)</f>
        <v/>
      </c>
    </row>
    <row r="34">
      <c r="A34">
        <f>SUPPLY!A34</f>
        <v/>
      </c>
      <c r="B34">
        <f>SUPPLY!B34</f>
        <v/>
      </c>
      <c r="C34">
        <f>SUPPLY!C34</f>
        <v/>
      </c>
      <c r="D34">
        <f>SUPPLY!D34</f>
        <v/>
      </c>
      <c r="E34">
        <f>C34+D34</f>
        <v/>
      </c>
      <c r="F34">
        <f>USE!C34</f>
        <v/>
      </c>
      <c r="G34">
        <f>USE!D34</f>
        <v/>
      </c>
      <c r="H34">
        <f>IF(E34=0,0,D34/E34)</f>
        <v/>
      </c>
    </row>
    <row r="35">
      <c r="A35">
        <f>SUPPLY!A35</f>
        <v/>
      </c>
      <c r="B35">
        <f>SUPPLY!B35</f>
        <v/>
      </c>
      <c r="C35">
        <f>SUPPLY!C35</f>
        <v/>
      </c>
      <c r="D35">
        <f>SUPPLY!D35</f>
        <v/>
      </c>
      <c r="E35">
        <f>C35+D35</f>
        <v/>
      </c>
      <c r="F35">
        <f>USE!C35</f>
        <v/>
      </c>
      <c r="G35">
        <f>USE!D35</f>
        <v/>
      </c>
      <c r="H35">
        <f>IF(E35=0,0,D35/E35)</f>
        <v/>
      </c>
    </row>
    <row r="36">
      <c r="A36">
        <f>SUPPLY!A36</f>
        <v/>
      </c>
      <c r="B36">
        <f>SUPPLY!B36</f>
        <v/>
      </c>
      <c r="C36">
        <f>SUPPLY!C36</f>
        <v/>
      </c>
      <c r="D36">
        <f>SUPPLY!D36</f>
        <v/>
      </c>
      <c r="E36">
        <f>C36+D36</f>
        <v/>
      </c>
      <c r="F36">
        <f>USE!C36</f>
        <v/>
      </c>
      <c r="G36">
        <f>USE!D36</f>
        <v/>
      </c>
      <c r="H36">
        <f>IF(E36=0,0,D36/E36)</f>
        <v/>
      </c>
    </row>
    <row r="37">
      <c r="A37">
        <f>SUPPLY!A37</f>
        <v/>
      </c>
      <c r="B37">
        <f>SUPPLY!B37</f>
        <v/>
      </c>
      <c r="C37">
        <f>SUPPLY!C37</f>
        <v/>
      </c>
      <c r="D37">
        <f>SUPPLY!D37</f>
        <v/>
      </c>
      <c r="E37">
        <f>C37+D37</f>
        <v/>
      </c>
      <c r="F37">
        <f>USE!C37</f>
        <v/>
      </c>
      <c r="G37">
        <f>USE!D37</f>
        <v/>
      </c>
      <c r="H37">
        <f>IF(E37=0,0,D37/E37)</f>
        <v/>
      </c>
    </row>
    <row r="38">
      <c r="A38">
        <f>SUPPLY!A38</f>
        <v/>
      </c>
      <c r="B38">
        <f>SUPPLY!B38</f>
        <v/>
      </c>
      <c r="C38">
        <f>SUPPLY!C38</f>
        <v/>
      </c>
      <c r="D38">
        <f>SUPPLY!D38</f>
        <v/>
      </c>
      <c r="E38">
        <f>C38+D38</f>
        <v/>
      </c>
      <c r="F38">
        <f>USE!C38</f>
        <v/>
      </c>
      <c r="G38">
        <f>USE!D38</f>
        <v/>
      </c>
      <c r="H38">
        <f>IF(E38=0,0,D38/E38)</f>
        <v/>
      </c>
    </row>
    <row r="39">
      <c r="A39">
        <f>SUPPLY!A39</f>
        <v/>
      </c>
      <c r="B39">
        <f>SUPPLY!B39</f>
        <v/>
      </c>
      <c r="C39">
        <f>SUPPLY!C39</f>
        <v/>
      </c>
      <c r="D39">
        <f>SUPPLY!D39</f>
        <v/>
      </c>
      <c r="E39">
        <f>C39+D39</f>
        <v/>
      </c>
      <c r="F39">
        <f>USE!C39</f>
        <v/>
      </c>
      <c r="G39">
        <f>USE!D39</f>
        <v/>
      </c>
      <c r="H39">
        <f>IF(E39=0,0,D39/E39)</f>
        <v/>
      </c>
    </row>
    <row r="40">
      <c r="A40">
        <f>SUPPLY!A40</f>
        <v/>
      </c>
      <c r="B40">
        <f>SUPPLY!B40</f>
        <v/>
      </c>
      <c r="C40">
        <f>SUPPLY!C40</f>
        <v/>
      </c>
      <c r="D40">
        <f>SUPPLY!D40</f>
        <v/>
      </c>
      <c r="E40">
        <f>C40+D40</f>
        <v/>
      </c>
      <c r="F40">
        <f>USE!C40</f>
        <v/>
      </c>
      <c r="G40">
        <f>USE!D40</f>
        <v/>
      </c>
      <c r="H40">
        <f>IF(E40=0,0,D40/E40)</f>
        <v/>
      </c>
    </row>
    <row r="41">
      <c r="A41">
        <f>SUPPLY!A41</f>
        <v/>
      </c>
      <c r="B41">
        <f>SUPPLY!B41</f>
        <v/>
      </c>
      <c r="C41">
        <f>SUPPLY!C41</f>
        <v/>
      </c>
      <c r="D41">
        <f>SUPPLY!D41</f>
        <v/>
      </c>
      <c r="E41">
        <f>C41+D41</f>
        <v/>
      </c>
      <c r="F41">
        <f>USE!C41</f>
        <v/>
      </c>
      <c r="G41">
        <f>USE!D41</f>
        <v/>
      </c>
      <c r="H41">
        <f>IF(E41=0,0,D41/E41)</f>
        <v/>
      </c>
    </row>
    <row r="46">
      <c r="A46" t="inlineStr">
        <is>
          <t>TOTAL</t>
        </is>
      </c>
      <c r="B46" t="inlineStr">
        <is>
          <t>All Products</t>
        </is>
      </c>
      <c r="C46">
        <f>SUM(C3:C45)</f>
        <v/>
      </c>
      <c r="D46">
        <f>SUM(D3:D45)</f>
        <v/>
      </c>
      <c r="E46">
        <f>SUM(E3:E45)</f>
        <v/>
      </c>
      <c r="F46">
        <f>SUM(F3:F45)</f>
        <v/>
      </c>
      <c r="G46">
        <f>SUM(G3:G45)</f>
        <v/>
      </c>
      <c r="H46">
        <f>IF(E46=0,0,D46/E46)</f>
        <v/>
      </c>
    </row>
    <row r="48">
      <c r="A48" t="inlineStr">
        <is>
          <t>Note: Link data from SUPPLY and USE sheets (38-38 from geostat)</t>
        </is>
      </c>
    </row>
    <row r="49">
      <c r="A49" t="inlineStr">
        <is>
          <t>Columns C-D: Link from supply table (domestic supply and imports)</t>
        </is>
      </c>
    </row>
    <row r="50">
      <c r="A50" t="inlineStr">
        <is>
          <t>Column E: Calculate as C+D (Total Supply)</t>
        </is>
      </c>
    </row>
    <row r="51">
      <c r="A51" t="inlineStr">
        <is>
          <t>Columns F-G: Link from use table (intermediate and final use)</t>
        </is>
      </c>
    </row>
    <row r="52">
      <c r="A52" t="inlineStr">
        <is>
          <t>Column H: Calculate as D/E (Import content share)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1: Base Case (Demand Multiplier = 0.8)</t>
        </is>
      </c>
    </row>
    <row r="3">
      <c r="A3" s="3" t="inlineStr">
        <is>
          <t>Year</t>
        </is>
      </c>
      <c r="B3" s="3" t="inlineStr">
        <is>
          <t>Real GDP (2017=100)</t>
        </is>
      </c>
      <c r="C3" s="3" t="inlineStr">
        <is>
          <t>GDP Deflator (2017=100)</t>
        </is>
      </c>
      <c r="D3" s="3" t="inlineStr">
        <is>
          <t>Investment (USD millions)</t>
        </is>
      </c>
      <c r="E3" s="3" t="inlineStr">
        <is>
          <t>Investment (Lari millions)</t>
        </is>
      </c>
      <c r="F3" s="3" t="inlineStr">
        <is>
          <t>Import Content (Lari millions)</t>
        </is>
      </c>
      <c r="G3" s="3" t="inlineStr">
        <is>
          <t>Domestic Demand (Lari millions)</t>
        </is>
      </c>
      <c r="H3" s="3" t="inlineStr">
        <is>
          <t>GDP Impact (Lari millions)</t>
        </is>
      </c>
      <c r="I3" s="3" t="inlineStr">
        <is>
          <t>GDP Growth Impact (%)</t>
        </is>
      </c>
      <c r="J3" s="3" t="inlineStr">
        <is>
          <t>Nominal GDP (USD billions)</t>
        </is>
      </c>
    </row>
    <row r="4">
      <c r="A4" t="n">
        <v>2026</v>
      </c>
      <c r="B4">
        <f>WEO_Data!B13</f>
        <v/>
      </c>
      <c r="C4">
        <f>WEO_Data!E13</f>
        <v/>
      </c>
      <c r="D4" t="n">
        <v>325</v>
      </c>
      <c r="E4">
        <f>D4*$D$31</f>
        <v/>
      </c>
      <c r="F4">
        <f>E4*$D$33</f>
        <v/>
      </c>
      <c r="G4">
        <f>E4-F4</f>
        <v/>
      </c>
      <c r="H4">
        <f>G4*$D$32</f>
        <v/>
      </c>
      <c r="I4">
        <f>IF(J4=0,0,H4/J4*100)</f>
        <v/>
      </c>
      <c r="J4">
        <f>WEO_Data!D13</f>
        <v/>
      </c>
    </row>
    <row r="5">
      <c r="A5" t="n">
        <v>2027</v>
      </c>
      <c r="B5">
        <f>WEO_Data!B14</f>
        <v/>
      </c>
      <c r="C5">
        <f>WEO_Data!E14</f>
        <v/>
      </c>
      <c r="D5" t="n">
        <v>650</v>
      </c>
      <c r="E5">
        <f>D5*$D$31</f>
        <v/>
      </c>
      <c r="F5">
        <f>E5*$D$33</f>
        <v/>
      </c>
      <c r="G5">
        <f>E5-F5</f>
        <v/>
      </c>
      <c r="H5">
        <f>G5*$D$32</f>
        <v/>
      </c>
      <c r="I5">
        <f>IF(J5=0,0,H5/J5*100)</f>
        <v/>
      </c>
      <c r="J5">
        <f>WEO_Data!D14</f>
        <v/>
      </c>
    </row>
    <row r="6">
      <c r="A6" t="n">
        <v>2028</v>
      </c>
      <c r="B6">
        <f>WEO_Data!B15</f>
        <v/>
      </c>
      <c r="C6">
        <f>WEO_Data!E15</f>
        <v/>
      </c>
      <c r="D6" t="n">
        <v>975</v>
      </c>
      <c r="E6">
        <f>D6*$D$31</f>
        <v/>
      </c>
      <c r="F6">
        <f>E6*$D$33</f>
        <v/>
      </c>
      <c r="G6">
        <f>E6-F6</f>
        <v/>
      </c>
      <c r="H6">
        <f>G6*$D$32</f>
        <v/>
      </c>
      <c r="I6">
        <f>IF(J6=0,0,H6/J6*100)</f>
        <v/>
      </c>
      <c r="J6">
        <f>WEO_Data!D15</f>
        <v/>
      </c>
    </row>
    <row r="7">
      <c r="A7" t="n">
        <v>2029</v>
      </c>
      <c r="B7">
        <f>WEO_Data!B16</f>
        <v/>
      </c>
      <c r="C7">
        <f>WEO_Data!E16</f>
        <v/>
      </c>
      <c r="D7" t="n">
        <v>1300</v>
      </c>
      <c r="E7">
        <f>D7*$D$31</f>
        <v/>
      </c>
      <c r="F7">
        <f>E7*$D$33</f>
        <v/>
      </c>
      <c r="G7">
        <f>E7-F7</f>
        <v/>
      </c>
      <c r="H7">
        <f>G7*$D$32</f>
        <v/>
      </c>
      <c r="I7">
        <f>IF(J7=0,0,H7/J7*100)</f>
        <v/>
      </c>
      <c r="J7">
        <f>WEO_Data!D16</f>
        <v/>
      </c>
    </row>
    <row r="8">
      <c r="A8" t="n">
        <v>2030</v>
      </c>
      <c r="B8">
        <f>WEO_Data!B17</f>
        <v/>
      </c>
      <c r="C8">
        <f>WEO_Data!E17</f>
        <v/>
      </c>
      <c r="D8" t="n">
        <v>1300</v>
      </c>
      <c r="E8">
        <f>D8*$D$31</f>
        <v/>
      </c>
      <c r="F8">
        <f>E8*$D$33</f>
        <v/>
      </c>
      <c r="G8">
        <f>E8-F8</f>
        <v/>
      </c>
      <c r="H8">
        <f>G8*$D$32</f>
        <v/>
      </c>
      <c r="I8">
        <f>IF(J8=0,0,H8/J8*100)</f>
        <v/>
      </c>
      <c r="J8">
        <f>WEO_Data!D17</f>
        <v/>
      </c>
    </row>
    <row r="9">
      <c r="A9" t="n">
        <v>2031</v>
      </c>
      <c r="B9">
        <f>WEO_Data!B18</f>
        <v/>
      </c>
      <c r="C9">
        <f>WEO_Data!E18</f>
        <v/>
      </c>
      <c r="D9" t="n">
        <v>975</v>
      </c>
      <c r="E9">
        <f>D9*$D$31</f>
        <v/>
      </c>
      <c r="F9">
        <f>E9*$D$33</f>
        <v/>
      </c>
      <c r="G9">
        <f>E9-F9</f>
        <v/>
      </c>
      <c r="H9">
        <f>G9*$D$32</f>
        <v/>
      </c>
      <c r="I9">
        <f>IF(J9=0,0,H9/J9*100)</f>
        <v/>
      </c>
      <c r="J9">
        <f>WEO_Data!D18</f>
        <v/>
      </c>
    </row>
    <row r="10">
      <c r="A10" t="n">
        <v>2032</v>
      </c>
      <c r="B10">
        <f>WEO_Data!B19</f>
        <v/>
      </c>
      <c r="C10">
        <f>WEO_Data!E19</f>
        <v/>
      </c>
      <c r="D10" t="n">
        <v>650</v>
      </c>
      <c r="E10">
        <f>D10*$D$31</f>
        <v/>
      </c>
      <c r="F10">
        <f>E10*$D$33</f>
        <v/>
      </c>
      <c r="G10">
        <f>E10-F10</f>
        <v/>
      </c>
      <c r="H10">
        <f>G10*$D$32</f>
        <v/>
      </c>
      <c r="I10">
        <f>IF(J10=0,0,H10/J10*100)</f>
        <v/>
      </c>
      <c r="J10">
        <f>WEO_Data!D19</f>
        <v/>
      </c>
    </row>
    <row r="11">
      <c r="A11" t="n">
        <v>2033</v>
      </c>
      <c r="B11">
        <f>WEO_Data!B20</f>
        <v/>
      </c>
      <c r="C11">
        <f>WEO_Data!E20</f>
        <v/>
      </c>
      <c r="D11" t="n">
        <v>325</v>
      </c>
      <c r="E11">
        <f>D11*$D$31</f>
        <v/>
      </c>
      <c r="F11">
        <f>E11*$D$33</f>
        <v/>
      </c>
      <c r="G11">
        <f>E11-F11</f>
        <v/>
      </c>
      <c r="H11">
        <f>G11*$D$32</f>
        <v/>
      </c>
      <c r="I11">
        <f>IF(J11=0,0,H11/J11*100)</f>
        <v/>
      </c>
      <c r="J11">
        <f>WEO_Data!D20</f>
        <v/>
      </c>
    </row>
    <row r="12">
      <c r="A12" t="n">
        <v>2034</v>
      </c>
      <c r="B12">
        <f>WEO_Data!B21</f>
        <v/>
      </c>
      <c r="C12">
        <f>WEO_Data!E21</f>
        <v/>
      </c>
      <c r="D12" t="n">
        <v>0</v>
      </c>
      <c r="E12">
        <f>D12*$D$31</f>
        <v/>
      </c>
      <c r="F12">
        <f>E12*$D$33</f>
        <v/>
      </c>
      <c r="G12">
        <f>E12-F12</f>
        <v/>
      </c>
      <c r="H12">
        <f>G12*$D$32</f>
        <v/>
      </c>
      <c r="I12">
        <f>IF(J12=0,0,H12/J12*100)</f>
        <v/>
      </c>
      <c r="J12">
        <f>WEO_Data!D21</f>
        <v/>
      </c>
    </row>
    <row r="13">
      <c r="A13" t="n">
        <v>2035</v>
      </c>
      <c r="B13">
        <f>WEO_Data!B22</f>
        <v/>
      </c>
      <c r="C13">
        <f>WEO_Data!E22</f>
        <v/>
      </c>
      <c r="D13" t="n">
        <v>0</v>
      </c>
      <c r="E13">
        <f>D13*$D$31</f>
        <v/>
      </c>
      <c r="F13">
        <f>E13*$D$33</f>
        <v/>
      </c>
      <c r="G13">
        <f>E13-F13</f>
        <v/>
      </c>
      <c r="H13">
        <f>G13*$D$32</f>
        <v/>
      </c>
      <c r="I13">
        <f>IF(J13=0,0,H13/J13*100)</f>
        <v/>
      </c>
      <c r="J13">
        <f>WEO_Data!D22</f>
        <v/>
      </c>
    </row>
    <row r="14">
      <c r="A14" t="n">
        <v>2036</v>
      </c>
      <c r="B14">
        <f>WEO_Data!B23</f>
        <v/>
      </c>
      <c r="C14">
        <f>WEO_Data!E23</f>
        <v/>
      </c>
      <c r="D14" t="n">
        <v>0</v>
      </c>
      <c r="E14">
        <f>D14*$D$31</f>
        <v/>
      </c>
      <c r="F14">
        <f>E14*$D$33</f>
        <v/>
      </c>
      <c r="G14">
        <f>E14-F14</f>
        <v/>
      </c>
      <c r="H14">
        <f>G14*$D$32</f>
        <v/>
      </c>
      <c r="I14">
        <f>IF(J14=0,0,H14/J14*100)</f>
        <v/>
      </c>
      <c r="J14">
        <f>WEO_Data!D23</f>
        <v/>
      </c>
    </row>
    <row r="15">
      <c r="A15" t="n">
        <v>2037</v>
      </c>
      <c r="B15">
        <f>WEO_Data!B24</f>
        <v/>
      </c>
      <c r="C15">
        <f>WEO_Data!E24</f>
        <v/>
      </c>
      <c r="D15" t="n">
        <v>0</v>
      </c>
      <c r="E15">
        <f>D15*$D$31</f>
        <v/>
      </c>
      <c r="F15">
        <f>E15*$D$33</f>
        <v/>
      </c>
      <c r="G15">
        <f>E15-F15</f>
        <v/>
      </c>
      <c r="H15">
        <f>G15*$D$32</f>
        <v/>
      </c>
      <c r="I15">
        <f>IF(J15=0,0,H15/J15*100)</f>
        <v/>
      </c>
      <c r="J15">
        <f>WEO_Data!D24</f>
        <v/>
      </c>
    </row>
    <row r="16">
      <c r="A16" t="n">
        <v>2038</v>
      </c>
      <c r="B16">
        <f>WEO_Data!B25</f>
        <v/>
      </c>
      <c r="C16">
        <f>WEO_Data!E25</f>
        <v/>
      </c>
      <c r="D16" t="n">
        <v>0</v>
      </c>
      <c r="E16">
        <f>D16*$D$31</f>
        <v/>
      </c>
      <c r="F16">
        <f>E16*$D$33</f>
        <v/>
      </c>
      <c r="G16">
        <f>E16-F16</f>
        <v/>
      </c>
      <c r="H16">
        <f>G16*$D$32</f>
        <v/>
      </c>
      <c r="I16">
        <f>IF(J16=0,0,H16/J16*100)</f>
        <v/>
      </c>
      <c r="J16">
        <f>WEO_Data!D25</f>
        <v/>
      </c>
    </row>
    <row r="17">
      <c r="A17" t="n">
        <v>2039</v>
      </c>
      <c r="B17">
        <f>WEO_Data!B26</f>
        <v/>
      </c>
      <c r="C17">
        <f>WEO_Data!E26</f>
        <v/>
      </c>
      <c r="D17" t="n">
        <v>0</v>
      </c>
      <c r="E17">
        <f>D17*$D$31</f>
        <v/>
      </c>
      <c r="F17">
        <f>E17*$D$33</f>
        <v/>
      </c>
      <c r="G17">
        <f>E17-F17</f>
        <v/>
      </c>
      <c r="H17">
        <f>G17*$D$32</f>
        <v/>
      </c>
      <c r="I17">
        <f>IF(J17=0,0,H17/J17*100)</f>
        <v/>
      </c>
      <c r="J17">
        <f>WEO_Data!D26</f>
        <v/>
      </c>
    </row>
    <row r="18">
      <c r="A18" t="n">
        <v>2040</v>
      </c>
      <c r="B18">
        <f>WEO_Data!B27</f>
        <v/>
      </c>
      <c r="C18">
        <f>WEO_Data!E27</f>
        <v/>
      </c>
      <c r="D18" t="n">
        <v>0</v>
      </c>
      <c r="E18">
        <f>D18*$D$31</f>
        <v/>
      </c>
      <c r="F18">
        <f>E18*$D$33</f>
        <v/>
      </c>
      <c r="G18">
        <f>E18-F18</f>
        <v/>
      </c>
      <c r="H18">
        <f>G18*$D$32</f>
        <v/>
      </c>
      <c r="I18">
        <f>IF(J18=0,0,H18/J18*100)</f>
        <v/>
      </c>
      <c r="J18">
        <f>WEO_Data!D27</f>
        <v/>
      </c>
    </row>
    <row r="19">
      <c r="A19" t="n">
        <v>2041</v>
      </c>
      <c r="B19">
        <f>WEO_Data!B28</f>
        <v/>
      </c>
      <c r="C19">
        <f>WEO_Data!E28</f>
        <v/>
      </c>
      <c r="D19" t="n">
        <v>0</v>
      </c>
      <c r="E19">
        <f>D19*$D$31</f>
        <v/>
      </c>
      <c r="F19">
        <f>E19*$D$33</f>
        <v/>
      </c>
      <c r="G19">
        <f>E19-F19</f>
        <v/>
      </c>
      <c r="H19">
        <f>G19*$D$32</f>
        <v/>
      </c>
      <c r="I19">
        <f>IF(J19=0,0,H19/J19*100)</f>
        <v/>
      </c>
      <c r="J19">
        <f>WEO_Data!D28</f>
        <v/>
      </c>
    </row>
    <row r="20">
      <c r="A20" t="n">
        <v>2042</v>
      </c>
      <c r="B20">
        <f>WEO_Data!B29</f>
        <v/>
      </c>
      <c r="C20">
        <f>WEO_Data!E29</f>
        <v/>
      </c>
      <c r="D20" t="n">
        <v>0</v>
      </c>
      <c r="E20">
        <f>D20*$D$31</f>
        <v/>
      </c>
      <c r="F20">
        <f>E20*$D$33</f>
        <v/>
      </c>
      <c r="G20">
        <f>E20-F20</f>
        <v/>
      </c>
      <c r="H20">
        <f>G20*$D$32</f>
        <v/>
      </c>
      <c r="I20">
        <f>IF(J20=0,0,H20/J20*100)</f>
        <v/>
      </c>
      <c r="J20">
        <f>WEO_Data!D29</f>
        <v/>
      </c>
    </row>
    <row r="21">
      <c r="A21" t="n">
        <v>2043</v>
      </c>
      <c r="B21">
        <f>WEO_Data!B30</f>
        <v/>
      </c>
      <c r="C21">
        <f>WEO_Data!E30</f>
        <v/>
      </c>
      <c r="D21" t="n">
        <v>0</v>
      </c>
      <c r="E21">
        <f>D21*$D$31</f>
        <v/>
      </c>
      <c r="F21">
        <f>E21*$D$33</f>
        <v/>
      </c>
      <c r="G21">
        <f>E21-F21</f>
        <v/>
      </c>
      <c r="H21">
        <f>G21*$D$32</f>
        <v/>
      </c>
      <c r="I21">
        <f>IF(J21=0,0,H21/J21*100)</f>
        <v/>
      </c>
      <c r="J21">
        <f>WEO_Data!D30</f>
        <v/>
      </c>
    </row>
    <row r="24">
      <c r="A24" s="1" t="inlineStr">
        <is>
          <t>SCENARIO 2: Higher Multiplier (Demand Multiplier = 1.0)</t>
        </is>
      </c>
    </row>
    <row r="26">
      <c r="A26" s="3" t="inlineStr">
        <is>
          <t>Year</t>
        </is>
      </c>
      <c r="B26" s="3" t="inlineStr">
        <is>
          <t>Real GDP (2017=100)</t>
        </is>
      </c>
      <c r="C26" s="3" t="inlineStr">
        <is>
          <t>GDP Deflator (2017=100)</t>
        </is>
      </c>
      <c r="D26" s="3" t="inlineStr">
        <is>
          <t>Investment (USD millions)</t>
        </is>
      </c>
      <c r="E26" s="3" t="inlineStr">
        <is>
          <t>Investment (Lari millions)</t>
        </is>
      </c>
      <c r="F26" s="3" t="inlineStr">
        <is>
          <t>Import Content (Lari millions)</t>
        </is>
      </c>
      <c r="G26" s="3" t="inlineStr">
        <is>
          <t>Domestic Demand (Lari millions)</t>
        </is>
      </c>
      <c r="H26" s="3" t="inlineStr">
        <is>
          <t>GDP Impact (Lari millions)</t>
        </is>
      </c>
      <c r="I26" s="3" t="inlineStr">
        <is>
          <t>GDP Growth Impact (%)</t>
        </is>
      </c>
      <c r="J26" s="3" t="inlineStr">
        <is>
          <t>Nominal GDP (USD billions)</t>
        </is>
      </c>
    </row>
    <row r="27">
      <c r="A27" t="n">
        <v>2026</v>
      </c>
      <c r="B27">
        <f>WEO_Data!B13</f>
        <v/>
      </c>
      <c r="C27">
        <f>WEO_Data!E13</f>
        <v/>
      </c>
      <c r="D27" t="n">
        <v>325</v>
      </c>
      <c r="E27">
        <f>D27*$D$45</f>
        <v/>
      </c>
      <c r="F27">
        <f>E27*$D$47</f>
        <v/>
      </c>
      <c r="G27">
        <f>E27-F27</f>
        <v/>
      </c>
      <c r="H27">
        <f>G27*$D$46</f>
        <v/>
      </c>
      <c r="I27">
        <f>IF(J27=0,0,H27/J27*100)</f>
        <v/>
      </c>
      <c r="J27">
        <f>WEO_Data!D13</f>
        <v/>
      </c>
    </row>
    <row r="28">
      <c r="A28" t="n">
        <v>2027</v>
      </c>
      <c r="B28">
        <f>WEO_Data!B14</f>
        <v/>
      </c>
      <c r="C28">
        <f>WEO_Data!E14</f>
        <v/>
      </c>
      <c r="D28" t="n">
        <v>650</v>
      </c>
      <c r="E28">
        <f>D28*$D$45</f>
        <v/>
      </c>
      <c r="F28">
        <f>E28*$D$47</f>
        <v/>
      </c>
      <c r="G28">
        <f>E28-F28</f>
        <v/>
      </c>
      <c r="H28">
        <f>G28*$D$46</f>
        <v/>
      </c>
      <c r="I28">
        <f>IF(J28=0,0,H28/J28*100)</f>
        <v/>
      </c>
      <c r="J28">
        <f>WEO_Data!D14</f>
        <v/>
      </c>
    </row>
    <row r="29">
      <c r="A29" t="n">
        <v>2028</v>
      </c>
      <c r="B29">
        <f>WEO_Data!B15</f>
        <v/>
      </c>
      <c r="C29">
        <f>WEO_Data!E15</f>
        <v/>
      </c>
      <c r="D29" t="n">
        <v>975</v>
      </c>
      <c r="E29">
        <f>D29*$D$45</f>
        <v/>
      </c>
      <c r="F29">
        <f>E29*$D$47</f>
        <v/>
      </c>
      <c r="G29">
        <f>E29-F29</f>
        <v/>
      </c>
      <c r="H29">
        <f>G29*$D$46</f>
        <v/>
      </c>
      <c r="I29">
        <f>IF(J29=0,0,H29/J29*100)</f>
        <v/>
      </c>
      <c r="J29">
        <f>WEO_Data!D15</f>
        <v/>
      </c>
    </row>
    <row r="30">
      <c r="A30" s="2" t="n">
        <v>2029</v>
      </c>
      <c r="B30">
        <f>WEO_Data!B16</f>
        <v/>
      </c>
      <c r="C30">
        <f>WEO_Data!E16</f>
        <v/>
      </c>
      <c r="D30" t="n">
        <v>1300</v>
      </c>
      <c r="E30">
        <f>D30*$D$45</f>
        <v/>
      </c>
      <c r="F30">
        <f>E30*$D$47</f>
        <v/>
      </c>
      <c r="G30">
        <f>E30-F30</f>
        <v/>
      </c>
      <c r="H30">
        <f>G30*$D$46</f>
        <v/>
      </c>
      <c r="I30">
        <f>IF(J30=0,0,H30/J30*100)</f>
        <v/>
      </c>
      <c r="J30">
        <f>WEO_Data!D16</f>
        <v/>
      </c>
    </row>
    <row r="31">
      <c r="A31" s="4" t="n">
        <v>2030</v>
      </c>
      <c r="B31">
        <f>WEO_Data!B17</f>
        <v/>
      </c>
      <c r="C31">
        <f>WEO_Data!E17</f>
        <v/>
      </c>
      <c r="D31" s="4" t="n">
        <v>2.746</v>
      </c>
      <c r="E31">
        <f>D31*$D$45</f>
        <v/>
      </c>
      <c r="F31">
        <f>E31*$D$47</f>
        <v/>
      </c>
      <c r="G31">
        <f>E31-F31</f>
        <v/>
      </c>
      <c r="H31">
        <f>G31*$D$46</f>
        <v/>
      </c>
      <c r="I31">
        <f>IF(J31=0,0,H31/J31*100)</f>
        <v/>
      </c>
      <c r="J31">
        <f>WEO_Data!D17</f>
        <v/>
      </c>
    </row>
    <row r="32">
      <c r="A32" s="4" t="n">
        <v>2031</v>
      </c>
      <c r="B32">
        <f>WEO_Data!B18</f>
        <v/>
      </c>
      <c r="C32">
        <f>WEO_Data!E18</f>
        <v/>
      </c>
      <c r="D32" s="4" t="n">
        <v>0.8</v>
      </c>
      <c r="E32">
        <f>D32*$D$45</f>
        <v/>
      </c>
      <c r="F32">
        <f>E32*$D$47</f>
        <v/>
      </c>
      <c r="G32">
        <f>E32-F32</f>
        <v/>
      </c>
      <c r="H32">
        <f>G32*$D$46</f>
        <v/>
      </c>
      <c r="I32">
        <f>IF(J32=0,0,H32/J32*100)</f>
        <v/>
      </c>
      <c r="J32">
        <f>WEO_Data!D18</f>
        <v/>
      </c>
    </row>
    <row r="33">
      <c r="A33" s="4" t="n">
        <v>2032</v>
      </c>
      <c r="B33">
        <f>WEO_Data!B19</f>
        <v/>
      </c>
      <c r="C33">
        <f>WEO_Data!E19</f>
        <v/>
      </c>
      <c r="D33" s="4">
        <f>SUT_Calc!H46</f>
        <v/>
      </c>
      <c r="E33">
        <f>D33*$D$45</f>
        <v/>
      </c>
      <c r="F33">
        <f>E33*$D$47</f>
        <v/>
      </c>
      <c r="G33">
        <f>E33-F33</f>
        <v/>
      </c>
      <c r="H33">
        <f>G33*$D$46</f>
        <v/>
      </c>
      <c r="I33">
        <f>IF(J33=0,0,H33/J33*100)</f>
        <v/>
      </c>
      <c r="J33">
        <f>WEO_Data!D19</f>
        <v/>
      </c>
    </row>
    <row r="34">
      <c r="A34" s="4" t="n">
        <v>2033</v>
      </c>
      <c r="B34">
        <f>WEO_Data!B20</f>
        <v/>
      </c>
      <c r="C34">
        <f>WEO_Data!E20</f>
        <v/>
      </c>
      <c r="D34" s="4">
        <f>WEO_Data!E4</f>
        <v/>
      </c>
      <c r="E34">
        <f>D34*$D$45</f>
        <v/>
      </c>
      <c r="F34">
        <f>E34*$D$47</f>
        <v/>
      </c>
      <c r="G34">
        <f>E34-F34</f>
        <v/>
      </c>
      <c r="H34">
        <f>G34*$D$46</f>
        <v/>
      </c>
      <c r="I34">
        <f>IF(J34=0,0,H34/J34*100)</f>
        <v/>
      </c>
      <c r="J34">
        <f>WEO_Data!D20</f>
        <v/>
      </c>
    </row>
    <row r="35">
      <c r="A35" t="n">
        <v>2034</v>
      </c>
      <c r="B35">
        <f>WEO_Data!B21</f>
        <v/>
      </c>
      <c r="C35">
        <f>WEO_Data!E21</f>
        <v/>
      </c>
      <c r="D35" t="n">
        <v>0</v>
      </c>
      <c r="E35">
        <f>D35*$D$45</f>
        <v/>
      </c>
      <c r="F35">
        <f>E35*$D$47</f>
        <v/>
      </c>
      <c r="G35">
        <f>E35-F35</f>
        <v/>
      </c>
      <c r="H35">
        <f>G35*$D$46</f>
        <v/>
      </c>
      <c r="I35">
        <f>IF(J35=0,0,H35/J35*100)</f>
        <v/>
      </c>
      <c r="J35">
        <f>WEO_Data!D21</f>
        <v/>
      </c>
    </row>
    <row r="36">
      <c r="A36" t="n">
        <v>2035</v>
      </c>
      <c r="B36">
        <f>WEO_Data!B22</f>
        <v/>
      </c>
      <c r="C36">
        <f>WEO_Data!E22</f>
        <v/>
      </c>
      <c r="D36" t="n">
        <v>0</v>
      </c>
      <c r="E36">
        <f>D36*$D$45</f>
        <v/>
      </c>
      <c r="F36">
        <f>E36*$D$47</f>
        <v/>
      </c>
      <c r="G36">
        <f>E36-F36</f>
        <v/>
      </c>
      <c r="H36">
        <f>G36*$D$46</f>
        <v/>
      </c>
      <c r="I36">
        <f>IF(J36=0,0,H36/J36*100)</f>
        <v/>
      </c>
      <c r="J36">
        <f>WEO_Data!D22</f>
        <v/>
      </c>
    </row>
    <row r="37">
      <c r="A37" t="n">
        <v>2036</v>
      </c>
      <c r="B37">
        <f>WEO_Data!B23</f>
        <v/>
      </c>
      <c r="C37">
        <f>WEO_Data!E23</f>
        <v/>
      </c>
      <c r="D37" t="n">
        <v>0</v>
      </c>
      <c r="E37">
        <f>D37*$D$45</f>
        <v/>
      </c>
      <c r="F37">
        <f>E37*$D$47</f>
        <v/>
      </c>
      <c r="G37">
        <f>E37-F37</f>
        <v/>
      </c>
      <c r="H37">
        <f>G37*$D$46</f>
        <v/>
      </c>
      <c r="I37">
        <f>IF(J37=0,0,H37/J37*100)</f>
        <v/>
      </c>
      <c r="J37">
        <f>WEO_Data!D23</f>
        <v/>
      </c>
    </row>
    <row r="38">
      <c r="A38" t="n">
        <v>2037</v>
      </c>
      <c r="B38">
        <f>WEO_Data!B24</f>
        <v/>
      </c>
      <c r="C38">
        <f>WEO_Data!E24</f>
        <v/>
      </c>
      <c r="D38" t="n">
        <v>0</v>
      </c>
      <c r="E38">
        <f>D38*$D$45</f>
        <v/>
      </c>
      <c r="F38">
        <f>E38*$D$47</f>
        <v/>
      </c>
      <c r="G38">
        <f>E38-F38</f>
        <v/>
      </c>
      <c r="H38">
        <f>G38*$D$46</f>
        <v/>
      </c>
      <c r="I38">
        <f>IF(J38=0,0,H38/J38*100)</f>
        <v/>
      </c>
      <c r="J38">
        <f>WEO_Data!D24</f>
        <v/>
      </c>
    </row>
    <row r="39">
      <c r="A39" t="n">
        <v>2038</v>
      </c>
      <c r="B39">
        <f>WEO_Data!B25</f>
        <v/>
      </c>
      <c r="C39">
        <f>WEO_Data!E25</f>
        <v/>
      </c>
      <c r="D39" t="n">
        <v>0</v>
      </c>
      <c r="E39">
        <f>D39*$D$45</f>
        <v/>
      </c>
      <c r="F39">
        <f>E39*$D$47</f>
        <v/>
      </c>
      <c r="G39">
        <f>E39-F39</f>
        <v/>
      </c>
      <c r="H39">
        <f>G39*$D$46</f>
        <v/>
      </c>
      <c r="I39">
        <f>IF(J39=0,0,H39/J39*100)</f>
        <v/>
      </c>
      <c r="J39">
        <f>WEO_Data!D25</f>
        <v/>
      </c>
    </row>
    <row r="40">
      <c r="A40" t="n">
        <v>2039</v>
      </c>
      <c r="B40">
        <f>WEO_Data!B26</f>
        <v/>
      </c>
      <c r="C40">
        <f>WEO_Data!E26</f>
        <v/>
      </c>
      <c r="D40" t="n">
        <v>0</v>
      </c>
      <c r="E40">
        <f>D40*$D$45</f>
        <v/>
      </c>
      <c r="F40">
        <f>E40*$D$47</f>
        <v/>
      </c>
      <c r="G40">
        <f>E40-F40</f>
        <v/>
      </c>
      <c r="H40">
        <f>G40*$D$46</f>
        <v/>
      </c>
      <c r="I40">
        <f>IF(J40=0,0,H40/J40*100)</f>
        <v/>
      </c>
      <c r="J40">
        <f>WEO_Data!D26</f>
        <v/>
      </c>
    </row>
    <row r="41">
      <c r="A41" t="n">
        <v>2040</v>
      </c>
      <c r="B41">
        <f>WEO_Data!B27</f>
        <v/>
      </c>
      <c r="C41">
        <f>WEO_Data!E27</f>
        <v/>
      </c>
      <c r="D41" t="n">
        <v>0</v>
      </c>
      <c r="E41">
        <f>D41*$D$45</f>
        <v/>
      </c>
      <c r="F41">
        <f>E41*$D$47</f>
        <v/>
      </c>
      <c r="G41">
        <f>E41-F41</f>
        <v/>
      </c>
      <c r="H41">
        <f>G41*$D$46</f>
        <v/>
      </c>
      <c r="I41">
        <f>IF(J41=0,0,H41/J41*100)</f>
        <v/>
      </c>
      <c r="J41">
        <f>WEO_Data!D27</f>
        <v/>
      </c>
    </row>
    <row r="42">
      <c r="A42" t="n">
        <v>2041</v>
      </c>
      <c r="B42">
        <f>WEO_Data!B28</f>
        <v/>
      </c>
      <c r="C42">
        <f>WEO_Data!E28</f>
        <v/>
      </c>
      <c r="D42" t="n">
        <v>0</v>
      </c>
      <c r="E42">
        <f>D42*$D$45</f>
        <v/>
      </c>
      <c r="F42">
        <f>E42*$D$47</f>
        <v/>
      </c>
      <c r="G42">
        <f>E42-F42</f>
        <v/>
      </c>
      <c r="H42">
        <f>G42*$D$46</f>
        <v/>
      </c>
      <c r="I42">
        <f>IF(J42=0,0,H42/J42*100)</f>
        <v/>
      </c>
      <c r="J42">
        <f>WEO_Data!D28</f>
        <v/>
      </c>
    </row>
    <row r="43">
      <c r="A43" t="n">
        <v>2042</v>
      </c>
      <c r="B43">
        <f>WEO_Data!B29</f>
        <v/>
      </c>
      <c r="C43">
        <f>WEO_Data!E29</f>
        <v/>
      </c>
      <c r="D43" t="n">
        <v>0</v>
      </c>
      <c r="E43">
        <f>D43*$D$45</f>
        <v/>
      </c>
      <c r="F43">
        <f>E43*$D$47</f>
        <v/>
      </c>
      <c r="G43">
        <f>E43-F43</f>
        <v/>
      </c>
      <c r="H43">
        <f>G43*$D$46</f>
        <v/>
      </c>
      <c r="I43">
        <f>IF(J43=0,0,H43/J43*100)</f>
        <v/>
      </c>
      <c r="J43">
        <f>WEO_Data!D29</f>
        <v/>
      </c>
    </row>
    <row r="44">
      <c r="A44" s="2" t="inlineStr">
        <is>
          <t>ASSUMPTIONS</t>
        </is>
      </c>
      <c r="B44">
        <f>WEO_Data!B30</f>
        <v/>
      </c>
      <c r="C44">
        <f>WEO_Data!E30</f>
        <v/>
      </c>
      <c r="D44" t="n">
        <v>0</v>
      </c>
      <c r="E44">
        <f>D44*$D$45</f>
        <v/>
      </c>
      <c r="F44">
        <f>E44*$D$47</f>
        <v/>
      </c>
      <c r="G44">
        <f>E44-F44</f>
        <v/>
      </c>
      <c r="H44">
        <f>G44*$D$46</f>
        <v/>
      </c>
      <c r="I44">
        <f>IF(J44=0,0,H44/J44*100)</f>
        <v/>
      </c>
      <c r="J44">
        <f>WEO_Data!D30</f>
        <v/>
      </c>
    </row>
    <row r="45">
      <c r="A45" s="4" t="inlineStr">
        <is>
          <t>Exchange Rate (Lari/USD)</t>
        </is>
      </c>
      <c r="D45" s="4" t="n">
        <v>2.746</v>
      </c>
    </row>
    <row r="46">
      <c r="A46" s="4" t="inlineStr">
        <is>
          <t>Demand Multiplier</t>
        </is>
      </c>
      <c r="D46" s="4" t="n">
        <v>1</v>
      </c>
    </row>
    <row r="47">
      <c r="A47" s="5" t="inlineStr">
        <is>
          <t>SCENARIO 3: High Import Content (Import Content Share = 0.5)</t>
        </is>
      </c>
      <c r="D47" s="4">
        <f>SUT_Calc!H46</f>
        <v/>
      </c>
    </row>
    <row r="48">
      <c r="A48" s="4" t="inlineStr">
        <is>
          <t>Investment Deflator</t>
        </is>
      </c>
      <c r="D48" s="4">
        <f>WEO_Data!E4</f>
        <v/>
      </c>
    </row>
    <row r="49">
      <c r="A49" s="3" t="inlineStr">
        <is>
          <t>Year</t>
        </is>
      </c>
      <c r="B49" s="3" t="inlineStr">
        <is>
          <t>Real GDP (2017=100)</t>
        </is>
      </c>
      <c r="C49" s="3" t="inlineStr">
        <is>
          <t>GDP Deflator (2017=100)</t>
        </is>
      </c>
      <c r="D49" s="3" t="inlineStr">
        <is>
          <t>Investment (USD millions)</t>
        </is>
      </c>
      <c r="E49" s="3" t="inlineStr">
        <is>
          <t>Investment (Lari millions)</t>
        </is>
      </c>
      <c r="F49" s="3" t="inlineStr">
        <is>
          <t>Import Content (Lari millions)</t>
        </is>
      </c>
      <c r="G49" s="3" t="inlineStr">
        <is>
          <t>Domestic Demand (Lari millions)</t>
        </is>
      </c>
      <c r="H49" s="3" t="inlineStr">
        <is>
          <t>GDP Impact (Lari millions)</t>
        </is>
      </c>
      <c r="I49" s="3" t="inlineStr">
        <is>
          <t>GDP Growth Impact (%)</t>
        </is>
      </c>
      <c r="J49" s="3" t="inlineStr">
        <is>
          <t>Nominal GDP (USD billions)</t>
        </is>
      </c>
    </row>
    <row r="50">
      <c r="A50" t="n">
        <v>2026</v>
      </c>
      <c r="B50">
        <f>WEO_Data!B13</f>
        <v/>
      </c>
      <c r="C50">
        <f>WEO_Data!E13</f>
        <v/>
      </c>
      <c r="D50" t="n">
        <v>325</v>
      </c>
      <c r="E50">
        <f>D50*$D$68</f>
        <v/>
      </c>
      <c r="F50">
        <f>E50*$D$70</f>
        <v/>
      </c>
      <c r="G50">
        <f>E50-F50</f>
        <v/>
      </c>
      <c r="H50">
        <f>G50*$D$69</f>
        <v/>
      </c>
      <c r="I50">
        <f>IF(J50=0,0,H50/J50*100)</f>
        <v/>
      </c>
      <c r="J50">
        <f>WEO_Data!D13</f>
        <v/>
      </c>
    </row>
    <row r="51">
      <c r="A51" t="n">
        <v>2027</v>
      </c>
      <c r="B51">
        <f>WEO_Data!B14</f>
        <v/>
      </c>
      <c r="C51">
        <f>WEO_Data!E14</f>
        <v/>
      </c>
      <c r="D51" t="n">
        <v>650</v>
      </c>
      <c r="E51">
        <f>D51*$D$68</f>
        <v/>
      </c>
      <c r="F51">
        <f>E51*$D$70</f>
        <v/>
      </c>
      <c r="G51">
        <f>E51-F51</f>
        <v/>
      </c>
      <c r="H51">
        <f>G51*$D$69</f>
        <v/>
      </c>
      <c r="I51">
        <f>IF(J51=0,0,H51/J51*100)</f>
        <v/>
      </c>
      <c r="J51">
        <f>WEO_Data!D14</f>
        <v/>
      </c>
    </row>
    <row r="52">
      <c r="A52" t="n">
        <v>2028</v>
      </c>
      <c r="B52">
        <f>WEO_Data!B15</f>
        <v/>
      </c>
      <c r="C52">
        <f>WEO_Data!E15</f>
        <v/>
      </c>
      <c r="D52" t="n">
        <v>975</v>
      </c>
      <c r="E52">
        <f>D52*$D$68</f>
        <v/>
      </c>
      <c r="F52">
        <f>E52*$D$70</f>
        <v/>
      </c>
      <c r="G52">
        <f>E52-F52</f>
        <v/>
      </c>
      <c r="H52">
        <f>G52*$D$69</f>
        <v/>
      </c>
      <c r="I52">
        <f>IF(J52=0,0,H52/J52*100)</f>
        <v/>
      </c>
      <c r="J52">
        <f>WEO_Data!D15</f>
        <v/>
      </c>
    </row>
    <row r="53">
      <c r="A53" t="n">
        <v>2029</v>
      </c>
      <c r="B53">
        <f>WEO_Data!B16</f>
        <v/>
      </c>
      <c r="C53">
        <f>WEO_Data!E16</f>
        <v/>
      </c>
      <c r="D53" t="n">
        <v>1300</v>
      </c>
      <c r="E53">
        <f>D53*$D$68</f>
        <v/>
      </c>
      <c r="F53">
        <f>E53*$D$70</f>
        <v/>
      </c>
      <c r="G53">
        <f>E53-F53</f>
        <v/>
      </c>
      <c r="H53">
        <f>G53*$D$69</f>
        <v/>
      </c>
      <c r="I53">
        <f>IF(J53=0,0,H53/J53*100)</f>
        <v/>
      </c>
      <c r="J53">
        <f>WEO_Data!D16</f>
        <v/>
      </c>
    </row>
    <row r="54">
      <c r="A54" t="n">
        <v>2030</v>
      </c>
      <c r="B54">
        <f>WEO_Data!B17</f>
        <v/>
      </c>
      <c r="C54">
        <f>WEO_Data!E17</f>
        <v/>
      </c>
      <c r="D54" t="n">
        <v>1300</v>
      </c>
      <c r="E54">
        <f>D54*$D$68</f>
        <v/>
      </c>
      <c r="F54">
        <f>E54*$D$70</f>
        <v/>
      </c>
      <c r="G54">
        <f>E54-F54</f>
        <v/>
      </c>
      <c r="H54">
        <f>G54*$D$69</f>
        <v/>
      </c>
      <c r="I54">
        <f>IF(J54=0,0,H54/J54*100)</f>
        <v/>
      </c>
      <c r="J54">
        <f>WEO_Data!D17</f>
        <v/>
      </c>
    </row>
    <row r="55">
      <c r="A55" t="n">
        <v>2031</v>
      </c>
      <c r="B55">
        <f>WEO_Data!B18</f>
        <v/>
      </c>
      <c r="C55">
        <f>WEO_Data!E18</f>
        <v/>
      </c>
      <c r="D55" t="n">
        <v>975</v>
      </c>
      <c r="E55">
        <f>D55*$D$68</f>
        <v/>
      </c>
      <c r="F55">
        <f>E55*$D$70</f>
        <v/>
      </c>
      <c r="G55">
        <f>E55-F55</f>
        <v/>
      </c>
      <c r="H55">
        <f>G55*$D$69</f>
        <v/>
      </c>
      <c r="I55">
        <f>IF(J55=0,0,H55/J55*100)</f>
        <v/>
      </c>
      <c r="J55">
        <f>WEO_Data!D18</f>
        <v/>
      </c>
    </row>
    <row r="56">
      <c r="A56" t="n">
        <v>2032</v>
      </c>
      <c r="B56">
        <f>WEO_Data!B19</f>
        <v/>
      </c>
      <c r="C56">
        <f>WEO_Data!E19</f>
        <v/>
      </c>
      <c r="D56" t="n">
        <v>650</v>
      </c>
      <c r="E56">
        <f>D56*$D$68</f>
        <v/>
      </c>
      <c r="F56">
        <f>E56*$D$70</f>
        <v/>
      </c>
      <c r="G56">
        <f>E56-F56</f>
        <v/>
      </c>
      <c r="H56">
        <f>G56*$D$69</f>
        <v/>
      </c>
      <c r="I56">
        <f>IF(J56=0,0,H56/J56*100)</f>
        <v/>
      </c>
      <c r="J56">
        <f>WEO_Data!D19</f>
        <v/>
      </c>
    </row>
    <row r="57">
      <c r="A57" t="n">
        <v>2033</v>
      </c>
      <c r="B57">
        <f>WEO_Data!B20</f>
        <v/>
      </c>
      <c r="C57">
        <f>WEO_Data!E20</f>
        <v/>
      </c>
      <c r="D57" t="n">
        <v>325</v>
      </c>
      <c r="E57">
        <f>D57*$D$68</f>
        <v/>
      </c>
      <c r="F57">
        <f>E57*$D$70</f>
        <v/>
      </c>
      <c r="G57">
        <f>E57-F57</f>
        <v/>
      </c>
      <c r="H57">
        <f>G57*$D$69</f>
        <v/>
      </c>
      <c r="I57">
        <f>IF(J57=0,0,H57/J57*100)</f>
        <v/>
      </c>
      <c r="J57">
        <f>WEO_Data!D20</f>
        <v/>
      </c>
    </row>
    <row r="58">
      <c r="A58" t="n">
        <v>2034</v>
      </c>
      <c r="B58">
        <f>WEO_Data!B21</f>
        <v/>
      </c>
      <c r="C58">
        <f>WEO_Data!E21</f>
        <v/>
      </c>
      <c r="D58" t="n">
        <v>0</v>
      </c>
      <c r="E58">
        <f>D58*$D$68</f>
        <v/>
      </c>
      <c r="F58">
        <f>E58*$D$70</f>
        <v/>
      </c>
      <c r="G58">
        <f>E58-F58</f>
        <v/>
      </c>
      <c r="H58">
        <f>G58*$D$69</f>
        <v/>
      </c>
      <c r="I58">
        <f>IF(J58=0,0,H58/J58*100)</f>
        <v/>
      </c>
      <c r="J58">
        <f>WEO_Data!D21</f>
        <v/>
      </c>
    </row>
    <row r="59">
      <c r="A59" t="n">
        <v>2035</v>
      </c>
      <c r="B59">
        <f>WEO_Data!B22</f>
        <v/>
      </c>
      <c r="C59">
        <f>WEO_Data!E22</f>
        <v/>
      </c>
      <c r="D59" t="n">
        <v>0</v>
      </c>
      <c r="E59">
        <f>D59*$D$68</f>
        <v/>
      </c>
      <c r="F59">
        <f>E59*$D$70</f>
        <v/>
      </c>
      <c r="G59">
        <f>E59-F59</f>
        <v/>
      </c>
      <c r="H59">
        <f>G59*$D$69</f>
        <v/>
      </c>
      <c r="I59">
        <f>IF(J59=0,0,H59/J59*100)</f>
        <v/>
      </c>
      <c r="J59">
        <f>WEO_Data!D22</f>
        <v/>
      </c>
    </row>
    <row r="60">
      <c r="A60" t="n">
        <v>2036</v>
      </c>
      <c r="B60">
        <f>WEO_Data!B23</f>
        <v/>
      </c>
      <c r="C60">
        <f>WEO_Data!E23</f>
        <v/>
      </c>
      <c r="D60" t="n">
        <v>0</v>
      </c>
      <c r="E60">
        <f>D60*$D$68</f>
        <v/>
      </c>
      <c r="F60">
        <f>E60*$D$70</f>
        <v/>
      </c>
      <c r="G60">
        <f>E60-F60</f>
        <v/>
      </c>
      <c r="H60">
        <f>G60*$D$69</f>
        <v/>
      </c>
      <c r="I60">
        <f>IF(J60=0,0,H60/J60*100)</f>
        <v/>
      </c>
      <c r="J60">
        <f>WEO_Data!D23</f>
        <v/>
      </c>
    </row>
    <row r="61">
      <c r="A61" t="n">
        <v>2037</v>
      </c>
      <c r="B61">
        <f>WEO_Data!B24</f>
        <v/>
      </c>
      <c r="C61">
        <f>WEO_Data!E24</f>
        <v/>
      </c>
      <c r="D61" t="n">
        <v>0</v>
      </c>
      <c r="E61">
        <f>D61*$D$68</f>
        <v/>
      </c>
      <c r="F61">
        <f>E61*$D$70</f>
        <v/>
      </c>
      <c r="G61">
        <f>E61-F61</f>
        <v/>
      </c>
      <c r="H61">
        <f>G61*$D$69</f>
        <v/>
      </c>
      <c r="I61">
        <f>IF(J61=0,0,H61/J61*100)</f>
        <v/>
      </c>
      <c r="J61">
        <f>WEO_Data!D24</f>
        <v/>
      </c>
    </row>
    <row r="62">
      <c r="A62" t="n">
        <v>2038</v>
      </c>
      <c r="B62">
        <f>WEO_Data!B25</f>
        <v/>
      </c>
      <c r="C62">
        <f>WEO_Data!E25</f>
        <v/>
      </c>
      <c r="D62" t="n">
        <v>0</v>
      </c>
      <c r="E62">
        <f>D62*$D$68</f>
        <v/>
      </c>
      <c r="F62">
        <f>E62*$D$70</f>
        <v/>
      </c>
      <c r="G62">
        <f>E62-F62</f>
        <v/>
      </c>
      <c r="H62">
        <f>G62*$D$69</f>
        <v/>
      </c>
      <c r="I62">
        <f>IF(J62=0,0,H62/J62*100)</f>
        <v/>
      </c>
      <c r="J62">
        <f>WEO_Data!D25</f>
        <v/>
      </c>
    </row>
    <row r="63">
      <c r="A63" t="n">
        <v>2039</v>
      </c>
      <c r="B63">
        <f>WEO_Data!B26</f>
        <v/>
      </c>
      <c r="C63">
        <f>WEO_Data!E26</f>
        <v/>
      </c>
      <c r="D63" t="n">
        <v>0</v>
      </c>
      <c r="E63">
        <f>D63*$D$68</f>
        <v/>
      </c>
      <c r="F63">
        <f>E63*$D$70</f>
        <v/>
      </c>
      <c r="G63">
        <f>E63-F63</f>
        <v/>
      </c>
      <c r="H63">
        <f>G63*$D$69</f>
        <v/>
      </c>
      <c r="I63">
        <f>IF(J63=0,0,H63/J63*100)</f>
        <v/>
      </c>
      <c r="J63">
        <f>WEO_Data!D26</f>
        <v/>
      </c>
    </row>
    <row r="64">
      <c r="A64" t="n">
        <v>2040</v>
      </c>
      <c r="B64">
        <f>WEO_Data!B27</f>
        <v/>
      </c>
      <c r="C64">
        <f>WEO_Data!E27</f>
        <v/>
      </c>
      <c r="D64" t="n">
        <v>0</v>
      </c>
      <c r="E64">
        <f>D64*$D$68</f>
        <v/>
      </c>
      <c r="F64">
        <f>E64*$D$70</f>
        <v/>
      </c>
      <c r="G64">
        <f>E64-F64</f>
        <v/>
      </c>
      <c r="H64">
        <f>G64*$D$69</f>
        <v/>
      </c>
      <c r="I64">
        <f>IF(J64=0,0,H64/J64*100)</f>
        <v/>
      </c>
      <c r="J64">
        <f>WEO_Data!D27</f>
        <v/>
      </c>
    </row>
    <row r="65">
      <c r="A65" t="n">
        <v>2041</v>
      </c>
      <c r="B65">
        <f>WEO_Data!B28</f>
        <v/>
      </c>
      <c r="C65">
        <f>WEO_Data!E28</f>
        <v/>
      </c>
      <c r="D65" t="n">
        <v>0</v>
      </c>
      <c r="E65">
        <f>D65*$D$68</f>
        <v/>
      </c>
      <c r="F65">
        <f>E65*$D$70</f>
        <v/>
      </c>
      <c r="G65">
        <f>E65-F65</f>
        <v/>
      </c>
      <c r="H65">
        <f>G65*$D$69</f>
        <v/>
      </c>
      <c r="I65">
        <f>IF(J65=0,0,H65/J65*100)</f>
        <v/>
      </c>
      <c r="J65">
        <f>WEO_Data!D28</f>
        <v/>
      </c>
    </row>
    <row r="66">
      <c r="A66" t="n">
        <v>2042</v>
      </c>
      <c r="B66">
        <f>WEO_Data!B29</f>
        <v/>
      </c>
      <c r="C66">
        <f>WEO_Data!E29</f>
        <v/>
      </c>
      <c r="D66" t="n">
        <v>0</v>
      </c>
      <c r="E66">
        <f>D66*$D$68</f>
        <v/>
      </c>
      <c r="F66">
        <f>E66*$D$70</f>
        <v/>
      </c>
      <c r="G66">
        <f>E66-F66</f>
        <v/>
      </c>
      <c r="H66">
        <f>G66*$D$69</f>
        <v/>
      </c>
      <c r="I66">
        <f>IF(J66=0,0,H66/J66*100)</f>
        <v/>
      </c>
      <c r="J66">
        <f>WEO_Data!D29</f>
        <v/>
      </c>
    </row>
    <row r="67">
      <c r="A67" s="2" t="inlineStr">
        <is>
          <t>ASSUMPTIONS</t>
        </is>
      </c>
      <c r="B67">
        <f>WEO_Data!B30</f>
        <v/>
      </c>
      <c r="C67">
        <f>WEO_Data!E30</f>
        <v/>
      </c>
      <c r="D67" t="n">
        <v>0</v>
      </c>
      <c r="E67">
        <f>D67*$D$68</f>
        <v/>
      </c>
      <c r="F67">
        <f>E67*$D$70</f>
        <v/>
      </c>
      <c r="G67">
        <f>E67-F67</f>
        <v/>
      </c>
      <c r="H67">
        <f>G67*$D$69</f>
        <v/>
      </c>
      <c r="I67">
        <f>IF(J67=0,0,H67/J67*100)</f>
        <v/>
      </c>
      <c r="J67">
        <f>WEO_Data!D30</f>
        <v/>
      </c>
    </row>
    <row r="68">
      <c r="A68" s="4" t="inlineStr">
        <is>
          <t>Exchange Rate (Lari/USD)</t>
        </is>
      </c>
      <c r="D68" s="4" t="n">
        <v>2.746</v>
      </c>
    </row>
    <row r="69">
      <c r="A69" s="4" t="inlineStr">
        <is>
          <t>Demand Multiplier</t>
        </is>
      </c>
      <c r="D69" s="4" t="n">
        <v>0.8</v>
      </c>
    </row>
    <row r="70">
      <c r="A70" s="4" t="inlineStr">
        <is>
          <t>Import Content Share</t>
        </is>
      </c>
      <c r="D70" s="4" t="n">
        <v>0.5</v>
      </c>
    </row>
    <row r="71">
      <c r="A71" s="4" t="inlineStr">
        <is>
          <t>Investment Deflator</t>
        </is>
      </c>
      <c r="D71" s="4">
        <f>WEO_Data!E4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 TABLE (38x38 from geostat)</t>
        </is>
      </c>
    </row>
    <row r="3">
      <c r="A3" t="inlineStr">
        <is>
          <t>Product Code</t>
        </is>
      </c>
      <c r="B3" t="inlineStr">
        <is>
          <t>Product Name</t>
        </is>
      </c>
      <c r="C3" t="inlineStr">
        <is>
          <t>Domestic Production</t>
        </is>
      </c>
      <c r="D3" t="inlineStr">
        <is>
          <t>Imports</t>
        </is>
      </c>
      <c r="E3" t="inlineStr">
        <is>
          <t>Trade Margins</t>
        </is>
      </c>
      <c r="F3" t="inlineStr">
        <is>
          <t>Transport Margins</t>
        </is>
      </c>
      <c r="G3" t="inlineStr">
        <is>
          <t>Taxes on Products</t>
        </is>
      </c>
      <c r="H3" t="inlineStr">
        <is>
          <t>Subsidies on Products</t>
        </is>
      </c>
    </row>
    <row r="4">
      <c r="A4" t="inlineStr">
        <is>
          <t>Product 1</t>
        </is>
      </c>
      <c r="C4" t="n">
        <v>0</v>
      </c>
      <c r="D4" t="n">
        <v>0</v>
      </c>
    </row>
    <row r="5">
      <c r="A5" t="inlineStr">
        <is>
          <t>Product 2</t>
        </is>
      </c>
      <c r="C5" t="n">
        <v>0</v>
      </c>
      <c r="D5" t="n">
        <v>0</v>
      </c>
    </row>
    <row r="6">
      <c r="A6" t="inlineStr">
        <is>
          <t>Product 3</t>
        </is>
      </c>
      <c r="C6" t="n">
        <v>0</v>
      </c>
      <c r="D6" t="n">
        <v>0</v>
      </c>
    </row>
    <row r="7">
      <c r="A7" t="inlineStr">
        <is>
          <t>Product 4</t>
        </is>
      </c>
      <c r="C7" t="n">
        <v>0</v>
      </c>
      <c r="D7" t="n">
        <v>0</v>
      </c>
    </row>
    <row r="8">
      <c r="A8" t="inlineStr">
        <is>
          <t>Product 5</t>
        </is>
      </c>
      <c r="C8" t="n">
        <v>0</v>
      </c>
      <c r="D8" t="n">
        <v>0</v>
      </c>
    </row>
    <row r="9">
      <c r="A9" t="inlineStr">
        <is>
          <t>Product 6</t>
        </is>
      </c>
      <c r="C9" t="n">
        <v>0</v>
      </c>
      <c r="D9" t="n">
        <v>0</v>
      </c>
    </row>
    <row r="10">
      <c r="A10" t="inlineStr">
        <is>
          <t>Product 7</t>
        </is>
      </c>
      <c r="C10" t="n">
        <v>0</v>
      </c>
      <c r="D10" t="n">
        <v>0</v>
      </c>
    </row>
    <row r="11">
      <c r="A11" t="inlineStr">
        <is>
          <t>Product 8</t>
        </is>
      </c>
      <c r="C11" t="n">
        <v>0</v>
      </c>
      <c r="D11" t="n">
        <v>0</v>
      </c>
    </row>
    <row r="12">
      <c r="A12" t="inlineStr">
        <is>
          <t>Product 9</t>
        </is>
      </c>
      <c r="C12" t="n">
        <v>0</v>
      </c>
      <c r="D12" t="n">
        <v>0</v>
      </c>
    </row>
    <row r="13">
      <c r="A13" t="inlineStr">
        <is>
          <t>Product 10</t>
        </is>
      </c>
      <c r="C13" t="n">
        <v>0</v>
      </c>
      <c r="D13" t="n">
        <v>0</v>
      </c>
    </row>
    <row r="14">
      <c r="A14" t="inlineStr">
        <is>
          <t>Product 11</t>
        </is>
      </c>
      <c r="C14" t="n">
        <v>0</v>
      </c>
      <c r="D14" t="n">
        <v>0</v>
      </c>
    </row>
    <row r="15">
      <c r="A15" t="inlineStr">
        <is>
          <t>Product 12</t>
        </is>
      </c>
      <c r="C15" t="n">
        <v>0</v>
      </c>
      <c r="D15" t="n">
        <v>0</v>
      </c>
    </row>
    <row r="16">
      <c r="A16" t="inlineStr">
        <is>
          <t>Product 13</t>
        </is>
      </c>
      <c r="C16" t="n">
        <v>0</v>
      </c>
      <c r="D16" t="n">
        <v>0</v>
      </c>
    </row>
    <row r="17">
      <c r="A17" t="inlineStr">
        <is>
          <t>Product 14</t>
        </is>
      </c>
      <c r="C17" t="n">
        <v>0</v>
      </c>
      <c r="D17" t="n">
        <v>0</v>
      </c>
    </row>
    <row r="18">
      <c r="A18" t="inlineStr">
        <is>
          <t>Product 15</t>
        </is>
      </c>
      <c r="C18" t="n">
        <v>0</v>
      </c>
      <c r="D18" t="n">
        <v>0</v>
      </c>
    </row>
    <row r="19">
      <c r="A19" t="inlineStr">
        <is>
          <t>Product 16</t>
        </is>
      </c>
      <c r="C19" t="n">
        <v>0</v>
      </c>
      <c r="D19" t="n">
        <v>0</v>
      </c>
    </row>
    <row r="20">
      <c r="A20" t="inlineStr">
        <is>
          <t>Product 17</t>
        </is>
      </c>
      <c r="C20" t="n">
        <v>0</v>
      </c>
      <c r="D20" t="n">
        <v>0</v>
      </c>
    </row>
    <row r="21">
      <c r="A21" t="inlineStr">
        <is>
          <t>Product 18</t>
        </is>
      </c>
      <c r="C21" t="n">
        <v>0</v>
      </c>
      <c r="D21" t="n">
        <v>0</v>
      </c>
    </row>
    <row r="22">
      <c r="A22" t="inlineStr">
        <is>
          <t>Product 19</t>
        </is>
      </c>
      <c r="C22" t="n">
        <v>0</v>
      </c>
      <c r="D22" t="n">
        <v>0</v>
      </c>
    </row>
    <row r="23">
      <c r="A23" t="inlineStr">
        <is>
          <t>Product 20</t>
        </is>
      </c>
      <c r="C23" t="n">
        <v>0</v>
      </c>
      <c r="D23" t="n">
        <v>0</v>
      </c>
    </row>
    <row r="24">
      <c r="A24" t="inlineStr">
        <is>
          <t>Product 21</t>
        </is>
      </c>
      <c r="C24" t="n">
        <v>0</v>
      </c>
      <c r="D24" t="n">
        <v>0</v>
      </c>
    </row>
    <row r="25">
      <c r="A25" t="inlineStr">
        <is>
          <t>Product 22</t>
        </is>
      </c>
      <c r="C25" t="n">
        <v>0</v>
      </c>
      <c r="D25" t="n">
        <v>0</v>
      </c>
    </row>
    <row r="26">
      <c r="A26" t="inlineStr">
        <is>
          <t>Product 23</t>
        </is>
      </c>
      <c r="C26" t="n">
        <v>0</v>
      </c>
      <c r="D26" t="n">
        <v>0</v>
      </c>
    </row>
    <row r="27">
      <c r="A27" t="inlineStr">
        <is>
          <t>Product 24</t>
        </is>
      </c>
      <c r="C27" t="n">
        <v>0</v>
      </c>
      <c r="D27" t="n">
        <v>0</v>
      </c>
    </row>
    <row r="28">
      <c r="A28" t="inlineStr">
        <is>
          <t>Product 25</t>
        </is>
      </c>
      <c r="C28" t="n">
        <v>0</v>
      </c>
      <c r="D28" t="n">
        <v>0</v>
      </c>
    </row>
    <row r="29">
      <c r="A29" t="inlineStr">
        <is>
          <t>Product 26</t>
        </is>
      </c>
      <c r="C29" t="n">
        <v>0</v>
      </c>
      <c r="D29" t="n">
        <v>0</v>
      </c>
    </row>
    <row r="30">
      <c r="A30" t="inlineStr">
        <is>
          <t>Product 27</t>
        </is>
      </c>
      <c r="C30" t="n">
        <v>0</v>
      </c>
      <c r="D30" t="n">
        <v>0</v>
      </c>
    </row>
    <row r="31">
      <c r="A31" t="inlineStr">
        <is>
          <t>Product 28</t>
        </is>
      </c>
      <c r="C31" t="n">
        <v>0</v>
      </c>
      <c r="D31" t="n">
        <v>0</v>
      </c>
    </row>
    <row r="32">
      <c r="A32" t="inlineStr">
        <is>
          <t>Product 29</t>
        </is>
      </c>
      <c r="C32" t="n">
        <v>0</v>
      </c>
      <c r="D32" t="n">
        <v>0</v>
      </c>
    </row>
    <row r="33">
      <c r="A33" t="inlineStr">
        <is>
          <t>Product 30</t>
        </is>
      </c>
      <c r="C33" t="n">
        <v>0</v>
      </c>
      <c r="D33" t="n">
        <v>0</v>
      </c>
    </row>
    <row r="34">
      <c r="A34" t="inlineStr">
        <is>
          <t>Product 31</t>
        </is>
      </c>
      <c r="C34" t="n">
        <v>0</v>
      </c>
      <c r="D34" t="n">
        <v>0</v>
      </c>
    </row>
    <row r="35">
      <c r="A35" t="inlineStr">
        <is>
          <t>Product 32</t>
        </is>
      </c>
      <c r="C35" t="n">
        <v>0</v>
      </c>
      <c r="D35" t="n">
        <v>0</v>
      </c>
    </row>
    <row r="36">
      <c r="A36" t="inlineStr">
        <is>
          <t>Product 33</t>
        </is>
      </c>
      <c r="C36" t="n">
        <v>0</v>
      </c>
      <c r="D36" t="n">
        <v>0</v>
      </c>
    </row>
    <row r="37">
      <c r="A37" t="inlineStr">
        <is>
          <t>Product 34</t>
        </is>
      </c>
      <c r="C37" t="n">
        <v>0</v>
      </c>
      <c r="D37" t="n">
        <v>0</v>
      </c>
    </row>
    <row r="38">
      <c r="A38" t="inlineStr">
        <is>
          <t>Product 35</t>
        </is>
      </c>
      <c r="C38" t="n">
        <v>0</v>
      </c>
      <c r="D38" t="n">
        <v>0</v>
      </c>
    </row>
    <row r="39">
      <c r="A39" t="inlineStr">
        <is>
          <t>Product 36</t>
        </is>
      </c>
      <c r="C39" t="n">
        <v>0</v>
      </c>
      <c r="D39" t="n">
        <v>0</v>
      </c>
    </row>
    <row r="40">
      <c r="A40" t="inlineStr">
        <is>
          <t>Product 37</t>
        </is>
      </c>
      <c r="C40" t="n">
        <v>0</v>
      </c>
      <c r="D40" t="n">
        <v>0</v>
      </c>
    </row>
    <row r="41">
      <c r="A41" t="inlineStr">
        <is>
          <t>Product 38</t>
        </is>
      </c>
      <c r="C41" t="n">
        <v>0</v>
      </c>
      <c r="D41" t="n">
        <v>0</v>
      </c>
    </row>
    <row r="42">
      <c r="A42" t="inlineStr">
        <is>
          <t>TOTAL</t>
        </is>
      </c>
      <c r="C42">
        <f>SUM(C4:C41)</f>
        <v/>
      </c>
      <c r="D42">
        <f>SUM(D4:D41)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 TABLE (38x38 from geostat)</t>
        </is>
      </c>
    </row>
    <row r="3">
      <c r="A3" t="inlineStr">
        <is>
          <t>Product Code</t>
        </is>
      </c>
      <c r="B3" t="inlineStr">
        <is>
          <t>Product Name</t>
        </is>
      </c>
      <c r="C3" t="inlineStr">
        <is>
          <t>Intermediate Use</t>
        </is>
      </c>
      <c r="D3" t="inlineStr">
        <is>
          <t>Final Consumption</t>
        </is>
      </c>
      <c r="E3" t="inlineStr">
        <is>
          <t>Gross Capital Formation</t>
        </is>
      </c>
      <c r="F3" t="inlineStr">
        <is>
          <t>Exports</t>
        </is>
      </c>
    </row>
    <row r="4">
      <c r="A4" t="inlineStr">
        <is>
          <t>Product 1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Product 2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Product 3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Product 4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Product 5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Product 6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Product 7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Product 8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Product 9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Product 10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Product 11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Product 12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Product 13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Product 14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Product 15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Product 16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Product 17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Product 18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Product 19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Product 20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Product 21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Product 22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Product 23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Product 24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Product 25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Product 26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Product 27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Product 28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Product 29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Product 30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Product 31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Product 32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Product 33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Product 34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Product 35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Product 36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Product 37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Product 38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TOTAL</t>
        </is>
      </c>
      <c r="C42">
        <f>SUM(C4:C41)</f>
        <v/>
      </c>
      <c r="D42">
        <f>SUM(D4:D41)</f>
        <v/>
      </c>
      <c r="E42">
        <f>SUM(E4:E41)</f>
        <v/>
      </c>
      <c r="F42">
        <f>SUM(F4:F41)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2026-01-29T06:55:18Z</dcterms:created>
  <dcterms:modified xsi:type="dcterms:W3CDTF">2026-01-29T06:57:27Z</dcterms:modified>
</cp:coreProperties>
</file>