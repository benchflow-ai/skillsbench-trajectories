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<sst xmlns="http://schemas.openxmlformats.org/spreadsheetml/2006/main" count="878" uniqueCount="627">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</sst>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C12*$C$3*$C$6/100</f>
        <v>400.533335259234</v>
      </c>
      <c r="D13" s="1" t="n">
        <f aca="false">D12*$C$3*$C$6/100</f>
        <v>53.7189669294274</v>
      </c>
      <c r="E13" s="1" t="n">
        <f aca="false">E12*$C$3*$C$6/100</f>
        <v>0.574181772269629</v>
      </c>
      <c r="F13" s="1" t="n">
        <f aca="false">F12*$C$3*$C$6/100</f>
        <v>207.88704084254</v>
      </c>
      <c r="G13" s="1" t="n">
        <f aca="false">G12*$C$3*$C$6/100</f>
        <v>2953.60068666879</v>
      </c>
      <c r="H13" s="1" t="n">
        <f aca="false">H12*$C$3*$C$6/100</f>
        <v>542.652169833635</v>
      </c>
      <c r="I13" s="1" t="n">
        <f aca="false">I12*$C$3*$C$6/100</f>
        <v>49.3914269987454</v>
      </c>
      <c r="J13" s="1" t="n">
        <f aca="false">J12*$C$3*$C$6/100</f>
        <v>43.2700381324759</v>
      </c>
      <c r="K13" s="1" t="n">
        <f aca="false">K12*$C$3*$C$6/100</f>
        <v>174.971427770395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Value!D18</f>
        <v>7471</v>
      </c>
      <c r="D21" s="4" t="n">
        <f aca="false">Value!F18</f>
        <v>1002</v>
      </c>
      <c r="E21" s="5" t="n">
        <f aca="false">Value!J18</f>
        <v>10.71</v>
      </c>
      <c r="F21" s="5" t="n">
        <f aca="false">Value!M18</f>
        <v>55092.42</v>
      </c>
      <c r="G21" s="5" t="n">
        <f aca="false">Value!N18</f>
        <v>10121.89</v>
      </c>
      <c r="H21" s="3" t="n">
        <f aca="false">Value!O18</f>
        <v>921.28</v>
      </c>
      <c r="I21" s="3" t="n">
        <f aca="false">Value!Q18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C21*$C$3*$C$6/100</f>
        <v>400.533335259234</v>
      </c>
      <c r="D22" s="1" t="n">
        <f aca="false">D21*$C$3*$C$6/100</f>
        <v>53.7189669294274</v>
      </c>
      <c r="E22" s="1" t="n">
        <f aca="false">E21*$C$3*$C$6/100</f>
        <v>0.574181772269629</v>
      </c>
      <c r="F22" s="1" t="n">
        <f aca="false">F21*$C$3*$C$6/100</f>
        <v>2953.60068666879</v>
      </c>
      <c r="G22" s="1" t="n">
        <f aca="false">G21*$C$3*$C$6/100</f>
        <v>542.652169833635</v>
      </c>
      <c r="H22" s="1" t="n">
        <f aca="false">H21*$C$3*$C$6/100</f>
        <v>49.3914269987454</v>
      </c>
      <c r="I22" s="1" t="n">
        <f aca="false">I21*$C$3*$C$6/100</f>
        <v>43.2700381324759</v>
      </c>
    </row>
    <row r="23" customFormat="false" ht="12.75" hidden="false" customHeight="true" outlineLevel="0" collapsed="false">
      <c r="B23" s="1" t="s">
        <v>19</v>
      </c>
      <c r="C23" s="3" t="n">
        <f aca="false">'Total Reserves'!D18</f>
        <v>14425.9</v>
      </c>
      <c r="D23" s="5" t="n">
        <f aca="false">'Total Reserves'!E18</f>
        <v>6158.7</v>
      </c>
      <c r="E23" s="5" t="n">
        <f aca="false">'Total Reserves'!H18</f>
        <v>5999.34</v>
      </c>
      <c r="F23" s="5" t="n">
        <f aca="false">'Total Reserves'!I18</f>
        <v>66311.75</v>
      </c>
      <c r="G23" s="5" t="n">
        <f aca="false">'Total Reserves'!J18</f>
        <v>175830.49</v>
      </c>
      <c r="H23" s="5" t="n">
        <f aca="false">'Total Reserves'!K18</f>
        <v>6076.9</v>
      </c>
      <c r="I23" s="3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2.77648767327677</v>
      </c>
      <c r="D24" s="1" t="n">
        <f aca="false">D22/D23*100</f>
        <v>0.872245229178681</v>
      </c>
      <c r="E24" s="1" t="n">
        <f aca="false">E22/E23*100</f>
        <v>0.00957074898688237</v>
      </c>
      <c r="F24" s="1" t="n">
        <f aca="false">F22/F23*100</f>
        <v>4.45411361737368</v>
      </c>
      <c r="G24" s="1" t="n">
        <f aca="false">G22/G23*100</f>
        <v>0.308622338386042</v>
      </c>
      <c r="H24" s="1" t="n">
        <f aca="false">H22/H23*100</f>
        <v>0.812773404182156</v>
      </c>
      <c r="I24" s="1" t="n">
        <f aca="false">I22/I23*100</f>
        <v>0.61092575052559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2026-01-29T05:34:56Z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