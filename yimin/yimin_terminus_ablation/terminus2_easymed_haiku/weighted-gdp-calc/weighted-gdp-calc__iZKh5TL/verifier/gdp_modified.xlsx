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<sst xmlns="http://schemas.openxmlformats.org/spreadsheetml/2006/main" count="362" uniqueCount="110">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</sst>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FF0000"/>
      <name val="Cambria"/>
      <family val="0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v>408.496539809394</v>
      </c>
      <c r="I12" s="9" t="n">
        <v>404.046289993193</v>
      </c>
      <c r="J12" s="9" t="n">
        <v>350.279101429544</v>
      </c>
      <c r="K12" s="9" t="n">
        <v>425.132743362831</v>
      </c>
      <c r="L12" s="10" t="n">
        <v>515.279008716232</v>
      </c>
      <c r="M12" s="11"/>
      <c r="N12" s="12"/>
      <c r="O12" s="13"/>
      <c r="P12" s="13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4" t="n">
        <v>29.9590425531915</v>
      </c>
      <c r="I13" s="15" t="n">
        <v>29.5643617021277</v>
      </c>
      <c r="J13" s="15" t="n">
        <v>25.2492021276596</v>
      </c>
      <c r="K13" s="15" t="n">
        <v>35.2345744680852</v>
      </c>
      <c r="L13" s="16" t="n">
        <v>44.5819148936171</v>
      </c>
      <c r="M13" s="11"/>
      <c r="N13" s="13"/>
      <c r="O13" s="13"/>
      <c r="P13" s="13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4" t="n">
        <v>79.4636844371336</v>
      </c>
      <c r="I14" s="15" t="n">
        <v>73.3299115928385</v>
      </c>
      <c r="J14" s="15" t="n">
        <v>48.5460037554086</v>
      </c>
      <c r="K14" s="15" t="n">
        <v>76.7375173351161</v>
      </c>
      <c r="L14" s="16" t="n">
        <v>110.951320810177</v>
      </c>
      <c r="M14" s="11"/>
      <c r="N14" s="13"/>
      <c r="O14" s="13"/>
      <c r="P14" s="13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4" t="n">
        <v>102.560989010989</v>
      </c>
      <c r="I15" s="15" t="n">
        <v>92.0461538461538</v>
      </c>
      <c r="J15" s="15" t="n">
        <v>70.9332417582417</v>
      </c>
      <c r="K15" s="15" t="n">
        <v>105.54945054945</v>
      </c>
      <c r="L15" s="16" t="n">
        <v>161.692857142857</v>
      </c>
      <c r="M15" s="13"/>
      <c r="N15" s="13"/>
      <c r="O15" s="13"/>
      <c r="P15" s="13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4" t="n">
        <v>46.3213669285954</v>
      </c>
      <c r="I16" s="15" t="n">
        <v>43.5465965960978</v>
      </c>
      <c r="J16" s="15" t="n">
        <v>35.6913528845155</v>
      </c>
      <c r="K16" s="15" t="n">
        <v>46.5723129604928</v>
      </c>
      <c r="L16" s="16" t="n">
        <v>69.7011796527145</v>
      </c>
      <c r="M16" s="13"/>
      <c r="N16" s="13"/>
      <c r="O16" s="13"/>
      <c r="P16" s="13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7" t="n">
        <v>314.9165</v>
      </c>
      <c r="I17" s="18" t="n">
        <v>285.8599</v>
      </c>
      <c r="J17" s="18" t="n">
        <v>182.8481</v>
      </c>
      <c r="K17" s="18" t="n">
        <v>286.5016</v>
      </c>
      <c r="L17" s="19" t="n">
        <v>445.8812</v>
      </c>
      <c r="M17" s="13"/>
      <c r="N17" s="13"/>
      <c r="O17" s="13"/>
      <c r="P17" s="13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v>322.573498927161</v>
      </c>
      <c r="I19" s="9" t="n">
        <v>321.524846834582</v>
      </c>
      <c r="J19" s="9" t="n">
        <v>273.682777399592</v>
      </c>
      <c r="K19" s="9" t="n">
        <v>320.408441116406</v>
      </c>
      <c r="L19" s="10" t="n">
        <v>389.652076242342</v>
      </c>
      <c r="M19" s="13"/>
      <c r="N19" s="13"/>
      <c r="O19" s="13"/>
      <c r="P19" s="1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4" t="n">
        <v>27.048670212766</v>
      </c>
      <c r="I20" s="15" t="n">
        <v>25.2077127659575</v>
      </c>
      <c r="J20" s="15" t="n">
        <v>23.2968085106383</v>
      </c>
      <c r="K20" s="15" t="n">
        <v>27.5773936170213</v>
      </c>
      <c r="L20" s="16" t="n">
        <v>33.0688829787234</v>
      </c>
      <c r="M20" s="13"/>
      <c r="N20" s="13"/>
      <c r="O20" s="13"/>
      <c r="P20" s="13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4" t="n">
        <v>63.0562700787141</v>
      </c>
      <c r="I21" s="15" t="n">
        <v>55.8175535287385</v>
      </c>
      <c r="J21" s="15" t="n">
        <v>42.5308188423545</v>
      </c>
      <c r="K21" s="15" t="n">
        <v>44.9160455492262</v>
      </c>
      <c r="L21" s="16" t="n">
        <v>55.9230974400287</v>
      </c>
      <c r="M21" s="13"/>
      <c r="N21" s="13"/>
      <c r="O21" s="13"/>
      <c r="P21" s="1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4" t="n">
        <v>65.8109890109891</v>
      </c>
      <c r="I22" s="15" t="n">
        <v>66.7697802197803</v>
      </c>
      <c r="J22" s="15" t="n">
        <v>59.0645604395604</v>
      </c>
      <c r="K22" s="15" t="n">
        <v>61.2043956043956</v>
      </c>
      <c r="L22" s="16" t="n">
        <v>74.5200549450549</v>
      </c>
      <c r="M22" s="13"/>
      <c r="N22" s="13"/>
      <c r="O22" s="13"/>
      <c r="P22" s="1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4" t="n">
        <v>35.6004122626741</v>
      </c>
      <c r="I23" s="15" t="n">
        <v>32.5685552505517</v>
      </c>
      <c r="J23" s="15" t="n">
        <v>33.8270953409951</v>
      </c>
      <c r="K23" s="15" t="n">
        <v>37.2157374510285</v>
      </c>
      <c r="L23" s="16" t="n">
        <v>46.3258913295439</v>
      </c>
      <c r="M23" s="13"/>
      <c r="N23" s="13"/>
      <c r="O23" s="13"/>
      <c r="P23" s="1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7" t="n">
        <v>209.0688</v>
      </c>
      <c r="I24" s="18" t="n">
        <v>218.9747</v>
      </c>
      <c r="J24" s="18" t="n">
        <v>182.1837</v>
      </c>
      <c r="K24" s="18" t="n">
        <v>213.5156</v>
      </c>
      <c r="L24" s="19" t="n">
        <v>258.2128</v>
      </c>
      <c r="M24" s="13"/>
      <c r="N24" s="13"/>
      <c r="O24" s="13"/>
      <c r="P24" s="1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3"/>
      <c r="I25" s="13"/>
      <c r="J25" s="13"/>
      <c r="K25" s="13"/>
      <c r="L25" s="13"/>
      <c r="M25" s="13"/>
      <c r="N25" s="13"/>
      <c r="O25" s="13"/>
      <c r="P25" s="1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v>427.049421375085</v>
      </c>
      <c r="I26" s="9" t="n">
        <v>417.989652825051</v>
      </c>
      <c r="J26" s="9" t="n">
        <v>349.473110959837</v>
      </c>
      <c r="K26" s="9" t="n">
        <v>415.178761061947</v>
      </c>
      <c r="L26" s="10" t="n">
        <v>507.063852961198</v>
      </c>
      <c r="M26" s="13"/>
      <c r="N26" s="13"/>
      <c r="O26" s="13"/>
      <c r="P26" s="1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4" t="n">
        <v>37.8019414893617</v>
      </c>
      <c r="I27" s="15" t="n">
        <v>38.6537765957447</v>
      </c>
      <c r="J27" s="15" t="n">
        <v>34.6217287234043</v>
      </c>
      <c r="K27" s="15" t="n">
        <v>39.2886968085106</v>
      </c>
      <c r="L27" s="16" t="n">
        <v>44.3832978723404</v>
      </c>
      <c r="M27" s="13"/>
      <c r="N27" s="13"/>
      <c r="O27" s="13"/>
      <c r="P27" s="1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4" t="n">
        <v>138.211435069165</v>
      </c>
      <c r="I28" s="15" t="n">
        <v>138.694779832957</v>
      </c>
      <c r="J28" s="15" t="n">
        <v>107.515715568618</v>
      </c>
      <c r="K28" s="15" t="n">
        <v>141.773126840561</v>
      </c>
      <c r="L28" s="16" t="n">
        <v>182.846287415698</v>
      </c>
      <c r="M28" s="13"/>
      <c r="N28" s="13"/>
      <c r="O28" s="13"/>
      <c r="P28" s="1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4" t="n">
        <v>183.334953813209</v>
      </c>
      <c r="I29" s="15" t="n">
        <v>176.371267689082</v>
      </c>
      <c r="J29" s="15" t="n">
        <v>144.41136334527</v>
      </c>
      <c r="K29" s="15" t="n">
        <v>179.732142857143</v>
      </c>
      <c r="L29" s="16" t="n">
        <v>236.258241758242</v>
      </c>
      <c r="M29" s="13"/>
      <c r="N29" s="13"/>
      <c r="O29" s="13"/>
      <c r="P29" s="1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4" t="n">
        <v>91.5053979279602</v>
      </c>
      <c r="I30" s="15" t="n">
        <v>88.0606849980307</v>
      </c>
      <c r="J30" s="15" t="n">
        <v>75.9087126137841</v>
      </c>
      <c r="K30" s="15" t="n">
        <v>88.1919375812744</v>
      </c>
      <c r="L30" s="16" t="n">
        <v>114.666840052016</v>
      </c>
      <c r="M30" s="13"/>
      <c r="N30" s="13"/>
      <c r="O30" s="13"/>
      <c r="P30" s="1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7" t="n">
        <v>846.584266666667</v>
      </c>
      <c r="I31" s="18" t="n">
        <v>838.563733333333</v>
      </c>
      <c r="J31" s="18" t="n">
        <v>734.2712</v>
      </c>
      <c r="K31" s="18" t="n">
        <v>874.156</v>
      </c>
      <c r="L31" s="19" t="n">
        <v>1108.572</v>
      </c>
      <c r="M31" s="13"/>
      <c r="N31" s="13"/>
      <c r="O31" s="13"/>
      <c r="P31" s="1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3"/>
      <c r="I32" s="13"/>
      <c r="J32" s="13"/>
      <c r="K32" s="13"/>
      <c r="L32" s="13"/>
      <c r="M32" s="13"/>
      <c r="N32" s="13"/>
      <c r="O32" s="13"/>
      <c r="P32" s="1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3"/>
      <c r="I33" s="13"/>
      <c r="J33" s="13"/>
      <c r="K33" s="13"/>
      <c r="L33" s="13"/>
      <c r="M33" s="13"/>
      <c r="N33" s="13"/>
      <c r="O33" s="13"/>
      <c r="P33" s="1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20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1" t="n">
        <f aca="false">L9</f>
        <v>2023</v>
      </c>
      <c r="M34" s="13"/>
      <c r="N34" s="22"/>
      <c r="O34" s="13"/>
      <c r="P34" s="1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(H12-H19)/H26*100</f>
        <v>20.1201632835759</v>
      </c>
      <c r="I35" s="9" t="n">
        <f aca="false">(I12-I19)/I26*100</f>
        <v>19.7424607525274</v>
      </c>
      <c r="J35" s="9" t="n">
        <f aca="false">(J12-J19)/J26*100</f>
        <v>21.9176587919964</v>
      </c>
      <c r="K35" s="9" t="n">
        <f aca="false">(K12-K19)/K26*100</f>
        <v>25.2239064393758</v>
      </c>
      <c r="L35" s="10" t="n">
        <f aca="false">(L12-L19)/L26*100</f>
        <v>24.7753673901704</v>
      </c>
      <c r="M35" s="3"/>
      <c r="N35" s="3"/>
      <c r="O35" s="13"/>
      <c r="P35" s="1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4" t="n">
        <f aca="false">(H13-H20)/H27*100</f>
        <v>7.69900228866431</v>
      </c>
      <c r="I36" s="15" t="n">
        <f aca="false">(I13-I20)/I27*100</f>
        <v>11.2709528534136</v>
      </c>
      <c r="J36" s="15" t="n">
        <f aca="false">(J13-J20)/J27*100</f>
        <v>5.63921470420823</v>
      </c>
      <c r="K36" s="15" t="n">
        <f aca="false">(K13-K20)/K27*100</f>
        <v>19.4895261820067</v>
      </c>
      <c r="L36" s="16" t="n">
        <f aca="false">(L13-L20)/L27*100</f>
        <v>25.9400100191036</v>
      </c>
      <c r="M36" s="3"/>
      <c r="N36" s="3"/>
      <c r="O36" s="13"/>
      <c r="P36" s="1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4" t="n">
        <f aca="false">(H14-H21)/H28*100</f>
        <v>11.8712423108904</v>
      </c>
      <c r="I37" s="15" t="n">
        <f aca="false">(I14-I21)/I28*100</f>
        <v>12.6265444778756</v>
      </c>
      <c r="J37" s="15" t="n">
        <f aca="false">(J14-J21)/J28*100</f>
        <v>5.59470295225364</v>
      </c>
      <c r="K37" s="15" t="n">
        <f aca="false">(K14-K21)/K28*100</f>
        <v>22.4453480677453</v>
      </c>
      <c r="L37" s="16" t="n">
        <f aca="false">(L14-L21)/L28*100</f>
        <v>30.0953462867105</v>
      </c>
      <c r="M37" s="3"/>
      <c r="N37" s="3"/>
      <c r="O37" s="13"/>
      <c r="P37" s="1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4" t="n">
        <f aca="false">(H15-H22)/H29*100</f>
        <v>20.0452773656259</v>
      </c>
      <c r="I38" s="15" t="n">
        <f aca="false">(I15-I22)/I29*100</f>
        <v>14.3313443042958</v>
      </c>
      <c r="J38" s="15" t="n">
        <f aca="false">(J15-J22)/J29*100</f>
        <v>8.21866163696878</v>
      </c>
      <c r="K38" s="15" t="n">
        <f aca="false">(K15-K22)/K29*100</f>
        <v>24.672857197447</v>
      </c>
      <c r="L38" s="16" t="n">
        <f aca="false">(L15-L22)/L29*100</f>
        <v>36.8972534244982</v>
      </c>
      <c r="M38" s="3"/>
      <c r="N38" s="3"/>
      <c r="O38" s="13"/>
      <c r="P38" s="1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4" t="n">
        <f aca="false">(H16-H23)/H30*100</f>
        <v>11.7161991627659</v>
      </c>
      <c r="I39" s="15" t="n">
        <f aca="false">(I16-I23)/I30*100</f>
        <v>12.4664500915381</v>
      </c>
      <c r="J39" s="15" t="n">
        <f aca="false">(J16-J23)/J30*100</f>
        <v>2.45592038031992</v>
      </c>
      <c r="K39" s="15" t="n">
        <f aca="false">(K16-K23)/K30*100</f>
        <v>10.6093320614956</v>
      </c>
      <c r="L39" s="16" t="n">
        <f aca="false">(L16-L23)/L30*100</f>
        <v>20.3853950388508</v>
      </c>
      <c r="M39" s="3"/>
      <c r="N39" s="3"/>
      <c r="O39" s="13"/>
      <c r="P39" s="1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7" t="n">
        <f aca="false">(H17-H24)/H31*100</f>
        <v>12.5029136693933</v>
      </c>
      <c r="I40" s="18" t="n">
        <f aca="false">(I17-I24)/I31*100</f>
        <v>7.97616178011037</v>
      </c>
      <c r="J40" s="18" t="n">
        <f aca="false">(J17-J24)/J31*100</f>
        <v>0.0904842788332159</v>
      </c>
      <c r="K40" s="18" t="n">
        <f aca="false">(K17-K24)/K31*100</f>
        <v>8.34931064935778</v>
      </c>
      <c r="L40" s="19" t="n">
        <f aca="false">(L17-L24)/L31*100</f>
        <v>16.9288417892568</v>
      </c>
      <c r="M40" s="3"/>
      <c r="N40" s="3"/>
      <c r="O40" s="13"/>
      <c r="P40" s="1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3"/>
      <c r="I41" s="13"/>
      <c r="J41" s="13"/>
      <c r="K41" s="13"/>
      <c r="L41" s="13"/>
      <c r="M41" s="3"/>
      <c r="N41" s="3"/>
      <c r="O41" s="13"/>
      <c r="P41" s="1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MIN(H35:H40)</f>
        <v>7.69900228866431</v>
      </c>
      <c r="I42" s="23"/>
      <c r="J42" s="23"/>
      <c r="K42" s="23"/>
      <c r="L42" s="24"/>
      <c r="M42" s="3"/>
      <c r="N42" s="3"/>
      <c r="O42" s="13"/>
      <c r="P42" s="1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4" t="n">
        <f aca="false">MAX(H35:H40)</f>
        <v>20.1201632835759</v>
      </c>
      <c r="I43" s="25"/>
      <c r="J43" s="25"/>
      <c r="K43" s="25"/>
      <c r="L43" s="26"/>
      <c r="M43" s="3"/>
      <c r="N43" s="3"/>
      <c r="O43" s="13"/>
      <c r="P43" s="1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4" t="n">
        <f aca="false">MEDIAN(H35:H40)</f>
        <v>12.1870779901419</v>
      </c>
      <c r="I44" s="25"/>
      <c r="J44" s="25"/>
      <c r="K44" s="25"/>
      <c r="L44" s="26"/>
      <c r="M44" s="3"/>
      <c r="N44" s="3"/>
      <c r="O44" s="13"/>
      <c r="P44" s="1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4" t="n">
        <f aca="false">AVERAGE(H35:H40)</f>
        <v>13.9924663468193</v>
      </c>
      <c r="I45" s="25"/>
      <c r="J45" s="25"/>
      <c r="K45" s="25"/>
      <c r="L45" s="26"/>
      <c r="M45" s="3"/>
      <c r="N45" s="3"/>
      <c r="O45" s="13"/>
      <c r="P45" s="1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4" t="n">
        <f aca="false">PERCENTILE(H35:H40,0.25)</f>
        <v>11.754959949797</v>
      </c>
      <c r="I46" s="25"/>
      <c r="J46" s="25"/>
      <c r="K46" s="25"/>
      <c r="L46" s="26"/>
      <c r="M46" s="13"/>
      <c r="N46" s="3"/>
      <c r="O46" s="13"/>
      <c r="P46" s="1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7" t="n">
        <f aca="false">PERCENTILE(H35:H40,0.75)</f>
        <v>18.1596864415678</v>
      </c>
      <c r="I47" s="27"/>
      <c r="J47" s="27"/>
      <c r="K47" s="27"/>
      <c r="L47" s="28"/>
      <c r="M47" s="13"/>
      <c r="N47" s="13"/>
      <c r="O47" s="13"/>
      <c r="P47" s="1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3"/>
      <c r="P48" s="1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3"/>
      <c r="P49" s="1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9" t="n">
        <f aca="false">SUMPRODUCT((H35:H40/100),H26:H31)/SUM(H26:H31)*100</f>
        <v>14.9934107837992</v>
      </c>
      <c r="I50" s="30"/>
      <c r="J50" s="30"/>
      <c r="K50" s="30"/>
      <c r="L50" s="31"/>
      <c r="M50" s="3"/>
      <c r="N50" s="3"/>
      <c r="O50" s="13"/>
      <c r="P50" s="1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3"/>
      <c r="N51" s="13"/>
      <c r="O51" s="13"/>
      <c r="P51" s="1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3"/>
      <c r="N52" s="13"/>
      <c r="O52" s="13"/>
      <c r="P52" s="1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3"/>
      <c r="N53" s="13"/>
      <c r="O53" s="13"/>
      <c r="P53" s="1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3"/>
      <c r="N54" s="13"/>
      <c r="O54" s="13"/>
      <c r="P54" s="1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3"/>
      <c r="I55" s="13"/>
      <c r="J55" s="13"/>
      <c r="K55" s="13"/>
      <c r="L55" s="13"/>
      <c r="M55" s="13"/>
      <c r="N55" s="13"/>
      <c r="O55" s="13"/>
      <c r="P55" s="1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3"/>
      <c r="I56" s="13"/>
      <c r="J56" s="13"/>
      <c r="K56" s="13"/>
      <c r="L56" s="13"/>
      <c r="M56" s="13"/>
      <c r="N56" s="13"/>
      <c r="O56" s="13"/>
      <c r="P56" s="1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3"/>
      <c r="I57" s="13"/>
      <c r="J57" s="13"/>
      <c r="K57" s="13"/>
      <c r="L57" s="13"/>
      <c r="M57" s="13"/>
      <c r="N57" s="13"/>
      <c r="O57" s="13"/>
      <c r="P57" s="1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3"/>
      <c r="I58" s="13"/>
      <c r="J58" s="13"/>
      <c r="K58" s="13"/>
      <c r="L58" s="13"/>
      <c r="M58" s="13"/>
      <c r="N58" s="13"/>
      <c r="O58" s="13"/>
      <c r="P58" s="1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3"/>
      <c r="I59" s="13"/>
      <c r="J59" s="13"/>
      <c r="K59" s="13"/>
      <c r="L59" s="13"/>
      <c r="O59" s="13"/>
      <c r="P59" s="1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3"/>
      <c r="I60" s="13"/>
      <c r="J60" s="13"/>
      <c r="K60" s="13"/>
      <c r="L60" s="13"/>
      <c r="O60" s="13"/>
      <c r="P60" s="1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3"/>
      <c r="I61" s="13"/>
      <c r="J61" s="13"/>
      <c r="K61" s="13"/>
      <c r="L61" s="13"/>
      <c r="O61" s="13"/>
      <c r="P61" s="1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3"/>
      <c r="I62" s="13"/>
      <c r="J62" s="13"/>
      <c r="K62" s="13"/>
      <c r="L62" s="13"/>
      <c r="M62" s="13"/>
      <c r="N62" s="13"/>
      <c r="O62" s="13"/>
      <c r="P62" s="1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3"/>
      <c r="I63" s="13"/>
      <c r="J63" s="13"/>
      <c r="K63" s="13"/>
      <c r="L63" s="13"/>
      <c r="M63" s="13"/>
      <c r="N63" s="13"/>
      <c r="O63" s="13"/>
      <c r="P63" s="1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3"/>
      <c r="I64" s="13"/>
      <c r="J64" s="13"/>
      <c r="K64" s="13"/>
      <c r="L64" s="13"/>
      <c r="M64" s="13"/>
      <c r="N64" s="13"/>
      <c r="O64" s="13"/>
      <c r="P64" s="1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3"/>
      <c r="I65" s="13"/>
      <c r="J65" s="13"/>
      <c r="K65" s="13"/>
      <c r="L65" s="13"/>
      <c r="M65" s="13"/>
      <c r="N65" s="13"/>
      <c r="O65" s="13"/>
      <c r="P65" s="1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3"/>
      <c r="I66" s="13"/>
      <c r="J66" s="13"/>
      <c r="K66" s="13"/>
      <c r="L66" s="13"/>
      <c r="M66" s="13"/>
      <c r="N66" s="13"/>
      <c r="O66" s="13"/>
      <c r="P66" s="1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3"/>
      <c r="I67" s="13"/>
      <c r="J67" s="13"/>
      <c r="K67" s="13"/>
      <c r="L67" s="13"/>
      <c r="M67" s="13"/>
      <c r="N67" s="13"/>
      <c r="O67" s="13"/>
      <c r="P67" s="1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3"/>
      <c r="I68" s="13"/>
      <c r="J68" s="13"/>
      <c r="K68" s="13"/>
      <c r="L68" s="13"/>
      <c r="O68" s="13"/>
      <c r="P68" s="1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3"/>
      <c r="I69" s="13"/>
      <c r="J69" s="13"/>
      <c r="K69" s="13"/>
      <c r="L69" s="13"/>
      <c r="O69" s="13"/>
      <c r="P69" s="1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3"/>
      <c r="I70" s="13"/>
      <c r="J70" s="13"/>
      <c r="K70" s="13"/>
      <c r="L70" s="13"/>
      <c r="O70" s="13"/>
      <c r="P70" s="1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3"/>
      <c r="P71" s="1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33" customFormat="true" ht="12.75" hidden="false" customHeight="true" outlineLevel="0" collapsed="false">
      <c r="A1" s="32" t="s">
        <v>49</v>
      </c>
      <c r="B1" s="32" t="s">
        <v>50</v>
      </c>
    </row>
    <row r="2" s="33" customFormat="true" ht="12.75" hidden="false" customHeight="true" outlineLevel="0" collapsed="false"/>
    <row r="3" s="33" customFormat="true" ht="12.75" hidden="false" customHeight="true" outlineLevel="0" collapsed="false"/>
    <row r="4" s="34" customFormat="true" ht="12.75" hidden="false" customHeight="true" outlineLevel="0" collapsed="false">
      <c r="A4" s="34" t="s">
        <v>51</v>
      </c>
      <c r="B4" s="34" t="s">
        <v>52</v>
      </c>
      <c r="C4" s="34" t="s">
        <v>1</v>
      </c>
      <c r="D4" s="34" t="s">
        <v>53</v>
      </c>
      <c r="E4" s="34" t="s">
        <v>54</v>
      </c>
      <c r="F4" s="34" t="s">
        <v>55</v>
      </c>
      <c r="G4" s="34" t="s">
        <v>5</v>
      </c>
      <c r="H4" s="35" t="n">
        <v>2018</v>
      </c>
      <c r="I4" s="35" t="n">
        <v>2019</v>
      </c>
      <c r="J4" s="35" t="n">
        <v>2020</v>
      </c>
      <c r="K4" s="35" t="n">
        <v>2021</v>
      </c>
      <c r="L4" s="35" t="n">
        <v>2022</v>
      </c>
      <c r="M4" s="35" t="n">
        <v>2023</v>
      </c>
      <c r="N4" s="35"/>
      <c r="O4" s="35"/>
      <c r="P4" s="35"/>
      <c r="Q4" s="35"/>
      <c r="R4" s="35"/>
    </row>
    <row r="5" s="36" customFormat="true" ht="12.75" hidden="false" customHeight="true" outlineLevel="0" collapsed="false">
      <c r="I5" s="37"/>
      <c r="J5" s="37"/>
      <c r="K5" s="37"/>
      <c r="L5" s="37"/>
      <c r="M5" s="37"/>
      <c r="N5" s="37"/>
      <c r="O5" s="37"/>
      <c r="P5" s="37"/>
      <c r="Q5" s="37"/>
      <c r="R5" s="37"/>
    </row>
    <row r="6" customFormat="false" ht="15" hidden="false" customHeight="true" outlineLevel="0" collapsed="false">
      <c r="A6" s="33" t="str">
        <f aca="false">$B$1</f>
        <v>ID:WEO_PUBLISHED</v>
      </c>
      <c r="B6" s="38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3" t="n">
        <v>1195.237</v>
      </c>
      <c r="I6" s="13" t="n">
        <v>1239.836</v>
      </c>
      <c r="J6" s="13" t="n">
        <v>1152.477</v>
      </c>
      <c r="K6" s="13" t="n">
        <v>1274.727</v>
      </c>
      <c r="L6" s="13" t="n">
        <v>1330.158</v>
      </c>
      <c r="M6" s="13" t="n">
        <v>1454.37631782907</v>
      </c>
    </row>
    <row r="7" customFormat="false" ht="15" hidden="false" customHeight="true" outlineLevel="0" collapsed="false">
      <c r="A7" s="33" t="str">
        <f aca="false">$B$1</f>
        <v>ID:WEO_PUBLISHED</v>
      </c>
      <c r="B7" s="38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3" t="n">
        <v>1137.368</v>
      </c>
      <c r="I7" s="13" t="n">
        <v>1170.249</v>
      </c>
      <c r="J7" s="13" t="n">
        <v>1086.246</v>
      </c>
      <c r="K7" s="13" t="n">
        <v>1173.374</v>
      </c>
      <c r="L7" s="13" t="n">
        <v>1188.142</v>
      </c>
      <c r="M7" s="13" t="n">
        <v>1223.98592873399</v>
      </c>
    </row>
    <row r="8" customFormat="false" ht="15" hidden="false" customHeight="true" outlineLevel="0" collapsed="false">
      <c r="A8" s="33" t="str">
        <f aca="false">$B$1</f>
        <v>ID:WEO_PUBLISHED</v>
      </c>
      <c r="B8" s="38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3" t="n">
        <v>686.169</v>
      </c>
      <c r="I8" s="13" t="n">
        <v>701.101</v>
      </c>
      <c r="J8" s="13" t="n">
        <v>661.815</v>
      </c>
      <c r="K8" s="13" t="n">
        <v>708.411</v>
      </c>
      <c r="L8" s="13" t="n">
        <v>704.34</v>
      </c>
      <c r="M8" s="13" t="n">
        <v>707.874668556771</v>
      </c>
    </row>
    <row r="9" customFormat="false" ht="15" hidden="false" customHeight="true" outlineLevel="0" collapsed="false">
      <c r="A9" s="33" t="str">
        <f aca="false">$B$1</f>
        <v>ID:WEO_PUBLISHED</v>
      </c>
      <c r="B9" s="38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3" t="n">
        <v>212.191</v>
      </c>
      <c r="I9" s="13" t="n">
        <v>222.274</v>
      </c>
      <c r="J9" s="13" t="n">
        <v>221.051</v>
      </c>
      <c r="K9" s="13" t="n">
        <v>236.957</v>
      </c>
      <c r="L9" s="13" t="n">
        <v>244.846</v>
      </c>
      <c r="M9" s="13" t="n">
        <v>252.243634851045</v>
      </c>
    </row>
    <row r="10" customFormat="false" ht="15" hidden="false" customHeight="true" outlineLevel="0" collapsed="false">
      <c r="A10" s="33" t="str">
        <f aca="false">$B$1</f>
        <v>ID:WEO_PUBLISHED</v>
      </c>
      <c r="B10" s="38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3" t="n">
        <v>326.657</v>
      </c>
      <c r="I10" s="13" t="n">
        <v>332.15</v>
      </c>
      <c r="J10" s="13" t="n">
        <v>298.94</v>
      </c>
      <c r="K10" s="13" t="n">
        <v>321.522</v>
      </c>
      <c r="L10" s="13" t="n">
        <v>314.578</v>
      </c>
      <c r="M10" s="13" t="n">
        <v>324.357715756834</v>
      </c>
    </row>
    <row r="11" customFormat="false" ht="15" hidden="false" customHeight="true" outlineLevel="0" collapsed="false">
      <c r="A11" s="33" t="str">
        <f aca="false">$B$1</f>
        <v>ID:WEO_PUBLISHED</v>
      </c>
      <c r="B11" s="38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3" t="n">
        <v>52.749</v>
      </c>
      <c r="I11" s="13" t="n">
        <v>46.024</v>
      </c>
      <c r="J11" s="13" t="n">
        <v>33.636</v>
      </c>
      <c r="K11" s="13" t="n">
        <v>61.551</v>
      </c>
      <c r="L11" s="13" t="n">
        <v>39.787</v>
      </c>
      <c r="M11" s="13" t="n">
        <v>44.566908</v>
      </c>
    </row>
    <row r="12" customFormat="false" ht="15" hidden="false" customHeight="true" outlineLevel="0" collapsed="false">
      <c r="A12" s="33" t="str">
        <f aca="false">$B$1</f>
        <v>ID:WEO_PUBLISHED</v>
      </c>
      <c r="B12" s="38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3" t="n">
        <v>386.928</v>
      </c>
      <c r="I12" s="13" t="n">
        <v>406.766</v>
      </c>
      <c r="J12" s="13" t="n">
        <v>345.803</v>
      </c>
      <c r="K12" s="13" t="n">
        <v>373.196</v>
      </c>
      <c r="L12" s="13" t="n">
        <v>449.408</v>
      </c>
      <c r="M12" s="13" t="n">
        <v>505.957547359569</v>
      </c>
    </row>
    <row r="13" customFormat="false" ht="15" hidden="false" customHeight="true" outlineLevel="0" collapsed="false">
      <c r="A13" s="33" t="str">
        <f aca="false">$B$1</f>
        <v>ID:WEO_PUBLISHED</v>
      </c>
      <c r="B13" s="38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3" t="n">
        <v>533.734</v>
      </c>
      <c r="I13" s="13" t="n">
        <v>545.103</v>
      </c>
      <c r="J13" s="13" t="n">
        <v>480.305</v>
      </c>
      <c r="K13" s="13" t="n">
        <v>530.274</v>
      </c>
      <c r="L13" s="13" t="n">
        <v>578.078</v>
      </c>
      <c r="M13" s="13" t="n">
        <v>624.647154559569</v>
      </c>
    </row>
    <row r="14" customFormat="false" ht="15" hidden="false" customHeight="true" outlineLevel="0" collapsed="false">
      <c r="A14" s="33" t="str">
        <f aca="false">$B$1</f>
        <v>ID:WEO_PUBLISHED</v>
      </c>
      <c r="B14" s="38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3" t="n">
        <v>9.38610242091972</v>
      </c>
      <c r="I14" s="13" t="n">
        <v>9.61707609950744</v>
      </c>
      <c r="J14" s="13" t="n">
        <v>9.49684732221969</v>
      </c>
      <c r="K14" s="13" t="n">
        <v>8.98848402414138</v>
      </c>
      <c r="L14" s="13" t="n">
        <v>10.1606602430359</v>
      </c>
      <c r="M14" s="13" t="n">
        <v>10.1024166666667</v>
      </c>
    </row>
    <row r="15" customFormat="false" ht="15" hidden="false" customHeight="true" outlineLevel="0" collapsed="false">
      <c r="A15" s="33" t="str">
        <f aca="false">$B$1</f>
        <v>ID:WEO_PUBLISHED</v>
      </c>
      <c r="B15" s="38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3" t="n">
        <v>9.5655</v>
      </c>
      <c r="I15" s="13" t="n">
        <v>9.5932</v>
      </c>
      <c r="J15" s="13" t="n">
        <v>8.9048</v>
      </c>
      <c r="K15" s="13" t="n">
        <v>9.2804</v>
      </c>
      <c r="L15" s="13" t="n">
        <v>10.448</v>
      </c>
      <c r="M15" s="13" t="n">
        <v>10.0311</v>
      </c>
    </row>
    <row r="16" customFormat="false" ht="15" hidden="false" customHeight="true" outlineLevel="0" collapsed="false">
      <c r="A16" s="33" t="str">
        <f aca="false">$B$1</f>
        <v>ID:WEO_PUBLISHED</v>
      </c>
      <c r="B16" s="38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3" t="n">
        <v>101.6</v>
      </c>
      <c r="I16" s="13" t="n">
        <v>101.8</v>
      </c>
      <c r="J16" s="13" t="n">
        <v>102.5</v>
      </c>
      <c r="K16" s="13" t="n">
        <v>103.9</v>
      </c>
      <c r="L16" s="13" t="n">
        <v>110.8</v>
      </c>
      <c r="M16" s="13" t="n">
        <v>117.6</v>
      </c>
    </row>
    <row r="17" customFormat="false" ht="15" hidden="false" customHeight="true" outlineLevel="0" collapsed="false">
      <c r="A17" s="33" t="str">
        <f aca="false">$B$1</f>
        <v>ID:WEO_PUBLISHED</v>
      </c>
      <c r="B17" s="38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3" t="n">
        <v>101.4</v>
      </c>
      <c r="I17" s="13" t="n">
        <v>102.5</v>
      </c>
      <c r="J17" s="13" t="n">
        <v>102.2</v>
      </c>
      <c r="K17" s="13" t="n">
        <v>105.5</v>
      </c>
      <c r="L17" s="13" t="n">
        <v>114.3</v>
      </c>
      <c r="M17" s="13" t="n">
        <v>118.2</v>
      </c>
    </row>
    <row r="18" customFormat="false" ht="15" hidden="false" customHeight="true" outlineLevel="0" collapsed="false">
      <c r="A18" s="33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3" t="n">
        <v>3.09</v>
      </c>
      <c r="I18" s="13" t="n">
        <v>3.09</v>
      </c>
      <c r="J18" s="13" t="n">
        <v>2.5</v>
      </c>
      <c r="K18" s="13" t="n">
        <v>2.5</v>
      </c>
      <c r="L18" s="13" t="n">
        <v>2.5</v>
      </c>
      <c r="M18" s="13" t="n">
        <v>2.5</v>
      </c>
    </row>
    <row r="21" customFormat="false" ht="15" hidden="false" customHeight="true" outlineLevel="0" collapsed="false">
      <c r="A21" s="33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9" t="n">
        <v>29.9590425531915</v>
      </c>
      <c r="I21" s="39" t="n">
        <v>29.5643617021277</v>
      </c>
      <c r="J21" s="39" t="n">
        <v>25.2492021276596</v>
      </c>
      <c r="K21" s="39" t="n">
        <v>35.2345744680852</v>
      </c>
      <c r="L21" s="39" t="n">
        <v>44.5819148936171</v>
      </c>
      <c r="M21" s="39" t="n">
        <v>39.7186178837006</v>
      </c>
    </row>
    <row r="22" customFormat="false" ht="15" hidden="false" customHeight="true" outlineLevel="0" collapsed="false">
      <c r="A22" s="33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9" t="n">
        <v>79.4636844371336</v>
      </c>
      <c r="I22" s="39" t="n">
        <v>73.3299115928385</v>
      </c>
      <c r="J22" s="39" t="n">
        <v>48.5460037554086</v>
      </c>
      <c r="K22" s="39" t="n">
        <v>76.7375173351161</v>
      </c>
      <c r="L22" s="39" t="n">
        <v>110.951320810177</v>
      </c>
      <c r="M22" s="39" t="n">
        <v>95.67096633492</v>
      </c>
    </row>
    <row r="23" customFormat="false" ht="15" hidden="false" customHeight="true" outlineLevel="0" collapsed="false">
      <c r="A23" s="33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9" t="n">
        <v>46.3213669285954</v>
      </c>
      <c r="I23" s="39" t="n">
        <v>43.5465965960978</v>
      </c>
      <c r="J23" s="39" t="n">
        <v>35.6913528845155</v>
      </c>
      <c r="K23" s="39" t="n">
        <v>46.5723129604928</v>
      </c>
      <c r="L23" s="39" t="n">
        <v>69.7011796527145</v>
      </c>
      <c r="M23" s="39" t="n">
        <v>62.710422972135</v>
      </c>
    </row>
    <row r="24" customFormat="false" ht="15" hidden="false" customHeight="true" outlineLevel="0" collapsed="false">
      <c r="A24" s="33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9" t="n">
        <v>102.560989010989</v>
      </c>
      <c r="I24" s="39" t="n">
        <v>92.0461538461538</v>
      </c>
      <c r="J24" s="39" t="n">
        <v>70.9332417582417</v>
      </c>
      <c r="K24" s="39" t="n">
        <v>105.54945054945</v>
      </c>
      <c r="L24" s="39" t="n">
        <v>161.692857142857</v>
      </c>
      <c r="M24" s="39" t="n">
        <v>139.679491847016</v>
      </c>
    </row>
    <row r="25" customFormat="false" ht="15" hidden="false" customHeight="true" outlineLevel="0" collapsed="false">
      <c r="A25" s="33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9" t="n">
        <v>314.9165</v>
      </c>
      <c r="I25" s="39" t="n">
        <v>285.8599</v>
      </c>
      <c r="J25" s="39" t="n">
        <v>182.8481</v>
      </c>
      <c r="K25" s="39" t="n">
        <v>286.5016</v>
      </c>
      <c r="L25" s="39" t="n">
        <v>445.8812</v>
      </c>
      <c r="M25" s="39" t="n">
        <v>366.988014010746</v>
      </c>
    </row>
    <row r="26" customFormat="false" ht="15" hidden="false" customHeight="true" outlineLevel="0" collapsed="false">
      <c r="A26" s="33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9" t="n">
        <v>408.496539809394</v>
      </c>
      <c r="I26" s="39" t="n">
        <v>404.046289993193</v>
      </c>
      <c r="J26" s="39" t="n">
        <v>350.279101429544</v>
      </c>
      <c r="K26" s="39" t="n">
        <v>425.132743362831</v>
      </c>
      <c r="L26" s="39" t="n">
        <v>515.279008716232</v>
      </c>
      <c r="M26" s="39" t="n">
        <v>540.784175182384</v>
      </c>
    </row>
    <row r="27" customFormat="false" ht="15" hidden="false" customHeight="true" outlineLevel="0" collapsed="false">
      <c r="A27" s="33"/>
      <c r="H27" s="39"/>
      <c r="I27" s="39"/>
      <c r="J27" s="39"/>
      <c r="K27" s="39"/>
      <c r="L27" s="39"/>
      <c r="M27" s="39"/>
    </row>
    <row r="28" customFormat="false" ht="15" hidden="false" customHeight="true" outlineLevel="0" collapsed="false">
      <c r="A28" s="33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9" t="n">
        <v>27.048670212766</v>
      </c>
      <c r="I28" s="39" t="n">
        <v>25.2077127659575</v>
      </c>
      <c r="J28" s="39" t="n">
        <v>23.2968085106383</v>
      </c>
      <c r="K28" s="39" t="n">
        <v>27.5773936170213</v>
      </c>
      <c r="L28" s="39" t="n">
        <v>33.0688829787234</v>
      </c>
      <c r="M28" s="39" t="n">
        <v>31.9844700844585</v>
      </c>
    </row>
    <row r="29" customFormat="false" ht="15" hidden="false" customHeight="true" outlineLevel="0" collapsed="false">
      <c r="A29" s="33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9" t="n">
        <v>63.0562700787141</v>
      </c>
      <c r="I29" s="39" t="n">
        <v>55.8175535287385</v>
      </c>
      <c r="J29" s="39" t="n">
        <v>42.5308188423545</v>
      </c>
      <c r="K29" s="39" t="n">
        <v>44.9160455492262</v>
      </c>
      <c r="L29" s="39" t="n">
        <v>55.9230974400287</v>
      </c>
      <c r="M29" s="39" t="n">
        <v>61.8520115048637</v>
      </c>
    </row>
    <row r="30" customFormat="false" ht="15" hidden="false" customHeight="true" outlineLevel="0" collapsed="false">
      <c r="A30" s="33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9" t="n">
        <v>35.6004122626741</v>
      </c>
      <c r="I30" s="39" t="n">
        <v>32.5685552505517</v>
      </c>
      <c r="J30" s="39" t="n">
        <v>33.8270953409951</v>
      </c>
      <c r="K30" s="39" t="n">
        <v>37.2157374510285</v>
      </c>
      <c r="L30" s="39" t="n">
        <v>46.3258913295439</v>
      </c>
      <c r="M30" s="39" t="n">
        <v>46.584549407554</v>
      </c>
    </row>
    <row r="31" customFormat="false" ht="15" hidden="false" customHeight="true" outlineLevel="0" collapsed="false">
      <c r="A31" s="33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9" t="n">
        <v>65.8109890109891</v>
      </c>
      <c r="I31" s="39" t="n">
        <v>66.7697802197803</v>
      </c>
      <c r="J31" s="39" t="n">
        <v>59.0645604395604</v>
      </c>
      <c r="K31" s="39" t="n">
        <v>61.2043956043956</v>
      </c>
      <c r="L31" s="39" t="n">
        <v>74.5200549450549</v>
      </c>
      <c r="M31" s="39" t="n">
        <v>75.3442168501923</v>
      </c>
    </row>
    <row r="32" customFormat="false" ht="15" hidden="false" customHeight="true" outlineLevel="0" collapsed="false">
      <c r="A32" s="33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9" t="n">
        <v>209.0688</v>
      </c>
      <c r="I32" s="39" t="n">
        <v>218.9747</v>
      </c>
      <c r="J32" s="39" t="n">
        <v>182.1837</v>
      </c>
      <c r="K32" s="39" t="n">
        <v>213.5156</v>
      </c>
      <c r="L32" s="39" t="n">
        <v>258.2128</v>
      </c>
      <c r="M32" s="39" t="n">
        <v>290.472860254759</v>
      </c>
    </row>
    <row r="33" customFormat="false" ht="15" hidden="false" customHeight="true" outlineLevel="0" collapsed="false">
      <c r="A33" s="33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9" t="n">
        <v>322.573498927161</v>
      </c>
      <c r="I33" s="39" t="n">
        <v>321.524846834582</v>
      </c>
      <c r="J33" s="39" t="n">
        <v>273.682777399592</v>
      </c>
      <c r="K33" s="39" t="n">
        <v>320.408441116406</v>
      </c>
      <c r="L33" s="39" t="n">
        <v>389.652076242342</v>
      </c>
      <c r="M33" s="39" t="n">
        <v>424.048054627072</v>
      </c>
    </row>
    <row r="35" customFormat="false" ht="15" hidden="false" customHeight="true" outlineLevel="0" collapsed="false">
      <c r="A35" s="33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9" t="n">
        <v>37.8019414893617</v>
      </c>
      <c r="I35" s="39" t="n">
        <v>38.6537765957447</v>
      </c>
      <c r="J35" s="39" t="n">
        <v>34.6217287234043</v>
      </c>
      <c r="K35" s="39" t="n">
        <v>39.2886968085106</v>
      </c>
      <c r="L35" s="39" t="n">
        <v>44.3832978723404</v>
      </c>
      <c r="M35" s="39" t="n">
        <v>44.6742851107817</v>
      </c>
    </row>
    <row r="36" customFormat="false" ht="15" hidden="false" customHeight="true" outlineLevel="0" collapsed="false">
      <c r="A36" s="33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9" t="n">
        <v>138.211435069165</v>
      </c>
      <c r="I36" s="39" t="n">
        <v>138.694779832957</v>
      </c>
      <c r="J36" s="39" t="n">
        <v>107.515715568618</v>
      </c>
      <c r="K36" s="39" t="n">
        <v>141.773126840561</v>
      </c>
      <c r="L36" s="39" t="n">
        <v>182.846287415698</v>
      </c>
      <c r="M36" s="39" t="n">
        <v>161.783587241028</v>
      </c>
    </row>
    <row r="37" customFormat="false" ht="15" hidden="false" customHeight="true" outlineLevel="0" collapsed="false">
      <c r="A37" s="33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9" t="n">
        <v>91.5053979279602</v>
      </c>
      <c r="I37" s="39" t="n">
        <v>88.0606849980307</v>
      </c>
      <c r="J37" s="39" t="n">
        <v>75.9087126137841</v>
      </c>
      <c r="K37" s="39" t="n">
        <v>88.1919375812744</v>
      </c>
      <c r="L37" s="39" t="n">
        <v>114.666840052016</v>
      </c>
      <c r="M37" s="39" t="n">
        <v>109.133493110585</v>
      </c>
    </row>
    <row r="38" customFormat="false" ht="15" hidden="false" customHeight="true" outlineLevel="0" collapsed="false">
      <c r="A38" s="33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9" t="n">
        <v>183.334953813209</v>
      </c>
      <c r="I38" s="39" t="n">
        <v>176.371267689082</v>
      </c>
      <c r="J38" s="39" t="n">
        <v>144.41136334527</v>
      </c>
      <c r="K38" s="39" t="n">
        <v>179.732142857143</v>
      </c>
      <c r="L38" s="39" t="n">
        <v>236.258241758242</v>
      </c>
      <c r="M38" s="39" t="n">
        <v>234.217589499257</v>
      </c>
    </row>
    <row r="39" customFormat="false" ht="15" hidden="false" customHeight="true" outlineLevel="0" collapsed="false">
      <c r="A39" s="33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9" t="n">
        <v>846.584266666667</v>
      </c>
      <c r="I39" s="39" t="n">
        <v>838.563733333333</v>
      </c>
      <c r="J39" s="39" t="n">
        <v>734.2712</v>
      </c>
      <c r="K39" s="39" t="n">
        <v>874.156</v>
      </c>
      <c r="L39" s="39" t="n">
        <v>1108.572</v>
      </c>
      <c r="M39" s="39" t="n">
        <v>1067.58346666667</v>
      </c>
    </row>
    <row r="40" customFormat="false" ht="15" hidden="false" customHeight="true" outlineLevel="0" collapsed="false">
      <c r="A40" s="33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9" t="n">
        <v>427.049421375085</v>
      </c>
      <c r="I40" s="39" t="n">
        <v>417.989652825051</v>
      </c>
      <c r="J40" s="39" t="n">
        <v>349.473110959837</v>
      </c>
      <c r="K40" s="39" t="n">
        <v>415.178761061947</v>
      </c>
      <c r="L40" s="39" t="n">
        <v>507.063852961198</v>
      </c>
      <c r="M40" s="39" t="n">
        <v>504.173359006483</v>
      </c>
    </row>
    <row r="42" customFormat="false" ht="15" hidden="false" customHeight="true" outlineLevel="0" collapsed="false">
      <c r="A42" s="33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9" t="n">
        <v>94.6070314693113</v>
      </c>
      <c r="I42" s="39" t="n">
        <v>101.634862685791</v>
      </c>
      <c r="J42" s="39" t="n">
        <v>130.114942881922</v>
      </c>
      <c r="K42" s="39" t="n">
        <v>127.129780572752</v>
      </c>
      <c r="L42" s="39" t="n">
        <v>116.867031157494</v>
      </c>
      <c r="M42" s="39" t="n">
        <v>124.595752487361</v>
      </c>
    </row>
    <row r="43" customFormat="false" ht="15" hidden="false" customHeight="true" outlineLevel="0" collapsed="false">
      <c r="A43" s="33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9" t="n">
        <v>14.335351811958</v>
      </c>
      <c r="I43" s="39" t="n">
        <v>10.715583345405</v>
      </c>
      <c r="J43" s="39" t="n">
        <v>10.6001700886891</v>
      </c>
      <c r="K43" s="39" t="n">
        <v>7.57609414933791</v>
      </c>
      <c r="L43" s="39" t="n">
        <v>2.94719694777567</v>
      </c>
      <c r="M43" s="39" t="n">
        <v>3.17945918455457</v>
      </c>
    </row>
    <row r="44" customFormat="false" ht="15" hidden="false" customHeight="true" outlineLevel="0" collapsed="false">
      <c r="A44" s="33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9" t="n">
        <v>44.6909901782138</v>
      </c>
      <c r="I44" s="39" t="n">
        <v>52.463820831093</v>
      </c>
      <c r="J44" s="39" t="n">
        <v>67.9021715221555</v>
      </c>
      <c r="K44" s="39" t="n">
        <v>61.264498463571</v>
      </c>
      <c r="L44" s="39" t="n">
        <v>39.8055215966348</v>
      </c>
      <c r="M44" s="39" t="n">
        <v>36.3749768955348</v>
      </c>
    </row>
    <row r="45" customFormat="false" ht="15" hidden="false" customHeight="true" outlineLevel="0" collapsed="false">
      <c r="A45" s="33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9" t="n">
        <v>52.1773609831125</v>
      </c>
      <c r="I45" s="39" t="n">
        <v>62.0874346707293</v>
      </c>
      <c r="J45" s="39" t="n">
        <v>72.6104164372372</v>
      </c>
      <c r="K45" s="39" t="n">
        <v>58.38969773396</v>
      </c>
      <c r="L45" s="39" t="n">
        <v>42.4730807693202</v>
      </c>
      <c r="M45" s="39" t="n">
        <v>39.4110845838012</v>
      </c>
    </row>
    <row r="46" customFormat="false" ht="15" hidden="false" customHeight="true" outlineLevel="0" collapsed="false">
      <c r="A46" s="33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9" t="n">
        <v>17.6389135194575</v>
      </c>
      <c r="I46" s="39" t="n">
        <v>21.5595300412865</v>
      </c>
      <c r="J46" s="39" t="n">
        <v>31.0006075870423</v>
      </c>
      <c r="K46" s="39" t="n">
        <v>28.6160267111733</v>
      </c>
      <c r="L46" s="39" t="n">
        <v>23.9332059708389</v>
      </c>
      <c r="M46" s="39" t="n">
        <v>26.2274575002785</v>
      </c>
    </row>
    <row r="47" customFormat="false" ht="15" hidden="false" customHeight="true" outlineLevel="0" collapsed="false">
      <c r="A47" s="33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9" t="n">
        <v>21.3291891227321</v>
      </c>
      <c r="I47" s="39" t="n">
        <v>26.8010743987642</v>
      </c>
      <c r="J47" s="39" t="n">
        <v>41.0858143361495</v>
      </c>
      <c r="K47" s="39" t="n">
        <v>35.8851537876201</v>
      </c>
      <c r="L47" s="39" t="n">
        <v>31.08212281738</v>
      </c>
      <c r="M47" s="39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2026-01-29T07:01:01Z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