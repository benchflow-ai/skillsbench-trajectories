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ld price" sheetId="1" state="visible" r:id="rId3"/>
    <sheet name="Value" sheetId="2" state="visible" r:id="rId4"/>
    <sheet name="Volume" sheetId="3" state="visible" r:id="rId5"/>
    <sheet name="Total Reserves" sheetId="4" state="visible" r:id="rId6"/>
    <sheet name="Answ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<sst xmlns="http://schemas.openxmlformats.org/spreadsheetml/2006/main" count="69" uniqueCount="34">
  <si>
    <t xml:space="preserve">Date</t>
  </si>
  <si>
    <t xml:space="preserve">Gold Price (US$/oz)</t>
  </si>
  <si>
    <t xml:space="preserve">Monthly Log Return (%)</t>
  </si>
  <si>
    <t xml:space="preserve">3-Month Volatility (%)</t>
  </si>
  <si>
    <t xml:space="preserve">12-Month Volatility (%)</t>
  </si>
  <si>
    <t xml:space="preserve">Country</t>
  </si>
  <si>
    <t xml:space="preserve">2025 Gold Reserves Value (Million USD)</t>
  </si>
  <si>
    <t xml:space="preserve">United States</t>
  </si>
  <si>
    <t xml:space="preserve">Germany</t>
  </si>
  <si>
    <t xml:space="preserve">Italy</t>
  </si>
  <si>
    <t xml:space="preserve">France</t>
  </si>
  <si>
    <t xml:space="preserve">Spain</t>
  </si>
  <si>
    <t xml:space="preserve">Netherlands</t>
  </si>
  <si>
    <t xml:space="preserve">Japan</t>
  </si>
  <si>
    <t xml:space="preserve">India</t>
  </si>
  <si>
    <t xml:space="preserve">China</t>
  </si>
  <si>
    <t xml:space="preserve">Russia</t>
  </si>
  <si>
    <t xml:space="preserve">2025 Gold Reserves (Million oz)</t>
  </si>
  <si>
    <t xml:space="preserve">2025 Total Reserves (Billion USD)</t>
  </si>
  <si>
    <t xml:space="preserve">STEP 1: Gold Price Analysis</t>
  </si>
  <si>
    <t xml:space="preserve">Latest Gold Price (US$/oz)</t>
  </si>
  <si>
    <t xml:space="preserve">Latest 3-Month Volatility (%)</t>
  </si>
  <si>
    <t xml:space="preserve">Latest 12-Month Volatility (%)</t>
  </si>
  <si>
    <t xml:space="preserve">3-Month Annualized Volatility (%)</t>
  </si>
  <si>
    <t xml:space="preserve">Jan-Sep Average Gold Price (US$/oz)</t>
  </si>
  <si>
    <t xml:space="preserve">STEP 2: Country Gold Reserves and Price Exposure</t>
  </si>
  <si>
    <t xml:space="preserve">Gold Reserves Value (Million USD)</t>
  </si>
  <si>
    <t xml:space="preserve">Gold Price Exposure (%)</t>
  </si>
  <si>
    <t xml:space="preserve">Total Gold Value (Million USD)</t>
  </si>
  <si>
    <t xml:space="preserve">Total Gold Price Exposure (%)</t>
  </si>
  <si>
    <t xml:space="preserve">STEP 3: Risk-Adjusted Returns (RaR)</t>
  </si>
  <si>
    <t xml:space="preserve">Gold Price Volatility (%)</t>
  </si>
  <si>
    <t xml:space="preserve">Total Reserves (Billion USD)</t>
  </si>
  <si>
    <t xml:space="preserve">RaR (%)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</si>
</sst>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00"/>
    <numFmt numFmtId="167" formatCode="#,##0.0"/>
    <numFmt numFmtId="168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true" outlineLevel="0" collapsed="false">
      <c r="A2" s="2" t="n">
        <v>44957</v>
      </c>
      <c r="B2" s="3" t="n">
        <v>1929.5</v>
      </c>
    </row>
    <row r="3" customFormat="false" ht="15" hidden="false" customHeight="true" outlineLevel="0" collapsed="false">
      <c r="A3" s="2" t="n">
        <v>44985</v>
      </c>
      <c r="B3" s="3" t="n">
        <v>1828.90002441406</v>
      </c>
      <c r="C3" s="3" t="n">
        <f aca="false">IF(B2=0,0,LN(B3/B2)*100)</f>
        <v>-5.35461954181031</v>
      </c>
    </row>
    <row r="4" customFormat="false" ht="15" hidden="false" customHeight="true" outlineLevel="0" collapsed="false">
      <c r="A4" s="2" t="n">
        <v>45016</v>
      </c>
      <c r="B4" s="3" t="n">
        <v>1969</v>
      </c>
      <c r="C4" s="3" t="n">
        <f aca="false">IF(B3=0,0,LN(B4/B3)*100)</f>
        <v>7.38110930795551</v>
      </c>
    </row>
    <row r="5" customFormat="false" ht="15" hidden="false" customHeight="true" outlineLevel="0" collapsed="false">
      <c r="A5" s="2" t="n">
        <v>45046</v>
      </c>
      <c r="B5" s="3" t="n">
        <v>1990.09997558594</v>
      </c>
      <c r="C5" s="3" t="n">
        <f aca="false">IF(B4=0,0,LN(B5/B4)*100)</f>
        <v>1.06590768053864</v>
      </c>
      <c r="D5" s="3" t="n">
        <f aca="false">IF(C3="","",STDEV(C3:C5))</f>
        <v>6.36793701212842</v>
      </c>
    </row>
    <row r="6" customFormat="false" ht="15" hidden="false" customHeight="true" outlineLevel="0" collapsed="false">
      <c r="A6" s="2" t="n">
        <v>45077</v>
      </c>
      <c r="B6" s="3" t="n">
        <v>1963.90002441406</v>
      </c>
      <c r="C6" s="3" t="n">
        <f aca="false">IF(B5=0,0,LN(B6/B5)*100)</f>
        <v>-1.32525718919176</v>
      </c>
      <c r="D6" s="3" t="n">
        <f aca="false">IF(C4="","",STDEV(C4:C6))</f>
        <v>4.49815255802887</v>
      </c>
    </row>
    <row r="7" customFormat="false" ht="15" hidden="false" customHeight="true" outlineLevel="0" collapsed="false">
      <c r="A7" s="2" t="n">
        <v>45107</v>
      </c>
      <c r="B7" s="3" t="n">
        <v>1921.09997558594</v>
      </c>
      <c r="C7" s="3" t="n">
        <f aca="false">IF(B6=0,0,LN(B7/B6)*100)</f>
        <v>-2.20343786265729</v>
      </c>
      <c r="D7" s="3" t="n">
        <f aca="false">IF(C5="","",STDEV(C5:C7))</f>
        <v>1.69201512061291</v>
      </c>
    </row>
    <row r="8" customFormat="false" ht="15" hidden="false" customHeight="true" outlineLevel="0" collapsed="false">
      <c r="A8" s="2" t="n">
        <v>45138</v>
      </c>
      <c r="B8" s="3" t="n">
        <v>1970.5</v>
      </c>
      <c r="C8" s="3" t="n">
        <f aca="false">IF(B7=0,0,LN(B8/B7)*100)</f>
        <v>2.53893917090369</v>
      </c>
      <c r="D8" s="3" t="n">
        <f aca="false">IF(C6="","",STDEV(C6:C8))</f>
        <v>2.52300596950905</v>
      </c>
    </row>
    <row r="9" customFormat="false" ht="15" hidden="false" customHeight="true" outlineLevel="0" collapsed="false">
      <c r="A9" s="2" t="n">
        <v>45169</v>
      </c>
      <c r="B9" s="3" t="n">
        <v>1938.19995117188</v>
      </c>
      <c r="C9" s="3" t="n">
        <f aca="false">IF(B8=0,0,LN(B9/B8)*100)</f>
        <v>-1.65276355271176</v>
      </c>
      <c r="D9" s="3" t="n">
        <f aca="false">IF(C7="","",STDEV(C7:C9))</f>
        <v>2.59370243240706</v>
      </c>
    </row>
    <row r="10" customFormat="false" ht="15" hidden="false" customHeight="true" outlineLevel="0" collapsed="false">
      <c r="A10" s="2" t="n">
        <v>45199</v>
      </c>
      <c r="B10" s="3" t="n">
        <v>1848.09997558594</v>
      </c>
      <c r="C10" s="3" t="n">
        <f aca="false">IF(B9=0,0,LN(B10/B9)*100)</f>
        <v>-4.76016110265869</v>
      </c>
      <c r="D10" s="3" t="n">
        <f aca="false">IF(C8="","",STDEV(C8:C10))</f>
        <v>3.66294863145572</v>
      </c>
    </row>
    <row r="11" customFormat="false" ht="15" hidden="false" customHeight="true" outlineLevel="0" collapsed="false">
      <c r="A11" s="2" t="n">
        <v>45230</v>
      </c>
      <c r="B11" s="3" t="n">
        <v>1985.19995117188</v>
      </c>
      <c r="C11" s="3" t="n">
        <f aca="false">IF(B10=0,0,LN(B11/B10)*100)</f>
        <v>7.15615690358607</v>
      </c>
      <c r="D11" s="3" t="n">
        <f aca="false">IF(C9="","",STDEV(C9:C11))</f>
        <v>6.18131099854973</v>
      </c>
    </row>
    <row r="12" customFormat="false" ht="15" hidden="false" customHeight="true" outlineLevel="0" collapsed="false">
      <c r="A12" s="2" t="n">
        <v>45260</v>
      </c>
      <c r="B12" s="3" t="n">
        <v>2038.09997558594</v>
      </c>
      <c r="C12" s="3" t="n">
        <f aca="false">IF(B11=0,0,LN(B12/B11)*100)</f>
        <v>2.62983491962859</v>
      </c>
      <c r="D12" s="3" t="n">
        <f aca="false">IF(C10="","",STDEV(C10:C12))</f>
        <v>6.01523436420438</v>
      </c>
    </row>
    <row r="13" customFormat="false" ht="15" hidden="false" customHeight="true" outlineLevel="0" collapsed="false">
      <c r="A13" s="2" t="n">
        <v>45291</v>
      </c>
      <c r="B13" s="3" t="n">
        <v>2062.39990234375</v>
      </c>
      <c r="C13" s="3" t="n">
        <f aca="false">IF(B12=0,0,LN(B13/B12)*100)</f>
        <v>1.18523165206406</v>
      </c>
      <c r="D13" s="3" t="n">
        <f aca="false">IF(C11="","",STDEV(C11:C13))</f>
        <v>3.1151890703021</v>
      </c>
    </row>
    <row r="14" customFormat="false" ht="15" hidden="false" customHeight="true" outlineLevel="0" collapsed="false">
      <c r="A14" s="2" t="n">
        <v>45322</v>
      </c>
      <c r="B14" s="3" t="n">
        <v>2048.39990234375</v>
      </c>
      <c r="C14" s="3" t="n">
        <f aca="false">IF(B13=0,0,LN(B14/B13)*100)</f>
        <v>-0.681135292015144</v>
      </c>
      <c r="D14" s="3" t="n">
        <f aca="false">IF(C12="","",STDEV(C12:C14))</f>
        <v>1.6599562199549</v>
      </c>
      <c r="E14" s="3" t="n">
        <f aca="false">IF(C3="","",STDEV(C3:C14))</f>
        <v>4.04242047288439</v>
      </c>
    </row>
    <row r="15" customFormat="false" ht="15" hidden="false" customHeight="true" outlineLevel="0" collapsed="false">
      <c r="A15" s="2" t="n">
        <v>45351</v>
      </c>
      <c r="B15" s="3" t="n">
        <v>2045.69995117188</v>
      </c>
      <c r="C15" s="3" t="n">
        <f aca="false">IF(B14=0,0,LN(B15/B14)*100)</f>
        <v>-0.131894758793415</v>
      </c>
      <c r="D15" s="3" t="n">
        <f aca="false">IF(C13="","",STDEV(C13:C15))</f>
        <v>0.959150033055618</v>
      </c>
      <c r="E15" s="3" t="n">
        <f aca="false">IF(C4="","",STDEV(C4:C15))</f>
        <v>3.61335936166838</v>
      </c>
    </row>
    <row r="16" customFormat="false" ht="15" hidden="false" customHeight="true" outlineLevel="0" collapsed="false">
      <c r="A16" s="2" t="n">
        <v>45382</v>
      </c>
      <c r="B16" s="3" t="n">
        <v>2217.39990234375</v>
      </c>
      <c r="C16" s="3" t="n">
        <f aca="false">IF(B15=0,0,LN(B16/B15)*100)</f>
        <v>8.05952889713136</v>
      </c>
      <c r="D16" s="3" t="n">
        <f aca="false">IF(C14="","",STDEV(C14:C16))</f>
        <v>4.89558129237659</v>
      </c>
      <c r="E16" s="3" t="n">
        <f aca="false">IF(C5="","",STDEV(C5:C16))</f>
        <v>3.72693186458042</v>
      </c>
    </row>
    <row r="17" customFormat="false" ht="15" hidden="false" customHeight="true" outlineLevel="0" collapsed="false">
      <c r="A17" s="2" t="n">
        <v>45412</v>
      </c>
      <c r="B17" s="3" t="n">
        <v>2291.39990234375</v>
      </c>
      <c r="C17" s="3" t="n">
        <f aca="false">IF(B16=0,0,LN(B17/B16)*100)</f>
        <v>3.28276475435599</v>
      </c>
      <c r="D17" s="3" t="n">
        <f aca="false">IF(C15="","",STDEV(C15:C17))</f>
        <v>4.11454324677094</v>
      </c>
      <c r="E17" s="3" t="n">
        <f aca="false">IF(C6="","",STDEV(C6:C17))</f>
        <v>3.78551487854863</v>
      </c>
    </row>
    <row r="18" customFormat="false" ht="15" hidden="false" customHeight="true" outlineLevel="0" collapsed="false">
      <c r="A18" s="2" t="n">
        <v>45443</v>
      </c>
      <c r="B18" s="3" t="n">
        <v>2322.89990234375</v>
      </c>
      <c r="C18" s="3" t="n">
        <f aca="false">IF(B17=0,0,LN(B18/B17)*100)</f>
        <v>1.36534211791973</v>
      </c>
      <c r="D18" s="3" t="n">
        <f aca="false">IF(C16="","",STDEV(C16:C18))</f>
        <v>3.44736909051416</v>
      </c>
      <c r="E18" s="3" t="n">
        <f aca="false">IF(C7="","",STDEV(C7:C18))</f>
        <v>3.70275085124634</v>
      </c>
    </row>
    <row r="19" customFormat="false" ht="15" hidden="false" customHeight="true" outlineLevel="0" collapsed="false">
      <c r="A19" s="2" t="n">
        <v>45473</v>
      </c>
      <c r="B19" s="3" t="n">
        <v>2327.69995117188</v>
      </c>
      <c r="C19" s="3" t="n">
        <f aca="false">IF(B18=0,0,LN(B19/B18)*100)</f>
        <v>0.206427157090508</v>
      </c>
      <c r="D19" s="3" t="n">
        <f aca="false">IF(C17="","",STDEV(C17:C19))</f>
        <v>1.55367555952013</v>
      </c>
      <c r="E19" s="3" t="n">
        <f aca="false">IF(C8="","",STDEV(C8:C19))</f>
        <v>3.5518824309734</v>
      </c>
    </row>
    <row r="20" customFormat="false" ht="15" hidden="false" customHeight="true" outlineLevel="0" collapsed="false">
      <c r="A20" s="2" t="n">
        <v>45504</v>
      </c>
      <c r="B20" s="3" t="n">
        <v>2426.5</v>
      </c>
      <c r="C20" s="3" t="n">
        <f aca="false">IF(B19=0,0,LN(B20/B19)*100)</f>
        <v>4.15692552542395</v>
      </c>
      <c r="D20" s="3" t="n">
        <f aca="false">IF(C18="","",STDEV(C18:C20))</f>
        <v>2.03070017340866</v>
      </c>
      <c r="E20" s="3" t="n">
        <f aca="false">IF(C9="","",STDEV(C9:C20))</f>
        <v>3.62081266425667</v>
      </c>
    </row>
    <row r="21" customFormat="false" ht="15" hidden="false" customHeight="true" outlineLevel="0" collapsed="false">
      <c r="A21" s="2" t="n">
        <v>45535</v>
      </c>
      <c r="B21" s="3" t="n">
        <v>2493.80004882813</v>
      </c>
      <c r="C21" s="3" t="n">
        <f aca="false">IF(B20=0,0,LN(B21/B20)*100)</f>
        <v>2.73577812970247</v>
      </c>
      <c r="D21" s="3" t="n">
        <f aca="false">IF(C19="","",STDEV(C19:C21))</f>
        <v>2.00098782360214</v>
      </c>
      <c r="E21" s="3" t="n">
        <f aca="false">IF(C10="","",STDEV(C10:C21))</f>
        <v>3.46587964527176</v>
      </c>
    </row>
    <row r="22" customFormat="false" ht="15" hidden="false" customHeight="true" outlineLevel="0" collapsed="false">
      <c r="A22" s="2" t="n">
        <v>45565</v>
      </c>
      <c r="B22" s="3" t="n">
        <v>2636.10009765625</v>
      </c>
      <c r="C22" s="3" t="n">
        <f aca="false">IF(B21=0,0,LN(B22/B21)*100)</f>
        <v>5.54929180733415</v>
      </c>
      <c r="D22" s="3" t="n">
        <f aca="false">IF(C20="","",STDEV(C20:C22))</f>
        <v>1.40678137353718</v>
      </c>
      <c r="E22" s="3" t="n">
        <f aca="false">IF(C11="","",STDEV(C11:C22))</f>
        <v>2.8301305548888</v>
      </c>
    </row>
    <row r="23" customFormat="false" ht="15" hidden="false" customHeight="true" outlineLevel="0" collapsed="false">
      <c r="A23" s="2" t="n">
        <v>45596</v>
      </c>
      <c r="B23" s="3" t="n">
        <v>2738.30004882813</v>
      </c>
      <c r="C23" s="3" t="n">
        <f aca="false">IF(B22=0,0,LN(B23/B22)*100)</f>
        <v>3.80367184905463</v>
      </c>
      <c r="D23" s="3" t="n">
        <f aca="false">IF(C21="","",STDEV(C21:C23))</f>
        <v>1.42029605181432</v>
      </c>
      <c r="E23" s="3" t="n">
        <f aca="false">IF(C12="","",STDEV(C12:C23))</f>
        <v>2.52749012843274</v>
      </c>
    </row>
    <row r="24" customFormat="false" ht="15" hidden="false" customHeight="true" outlineLevel="0" collapsed="false">
      <c r="A24" s="2" t="n">
        <v>45626</v>
      </c>
      <c r="B24" s="3" t="n">
        <v>2657</v>
      </c>
      <c r="C24" s="3" t="n">
        <f aca="false">IF(B23=0,0,LN(B24/B23)*100)</f>
        <v>-3.01396409463697</v>
      </c>
      <c r="D24" s="3" t="n">
        <f aca="false">IF(C22="","",STDEV(C22:C24))</f>
        <v>4.5250543374657</v>
      </c>
      <c r="E24" s="3" t="n">
        <f aca="false">IF(C13="","",STDEV(C13:C24))</f>
        <v>3.01566018724383</v>
      </c>
    </row>
    <row r="25" customFormat="false" ht="15" hidden="false" customHeight="true" outlineLevel="0" collapsed="false">
      <c r="A25" s="2" t="n">
        <v>45657</v>
      </c>
      <c r="B25" s="3" t="n">
        <v>2629.19995117188</v>
      </c>
      <c r="C25" s="3" t="n">
        <f aca="false">IF(B24=0,0,LN(B25/B24)*100)</f>
        <v>-1.05180679418668</v>
      </c>
      <c r="D25" s="3" t="n">
        <f aca="false">IF(C23="","",STDEV(C23:C25))</f>
        <v>3.5096508370349</v>
      </c>
      <c r="E25" s="3" t="n">
        <f aca="false">IF(C14="","",STDEV(C14:C25))</f>
        <v>3.15086881650136</v>
      </c>
    </row>
    <row r="26" customFormat="false" ht="15" hidden="false" customHeight="true" outlineLevel="0" collapsed="false">
      <c r="A26" s="2" t="n">
        <v>45688</v>
      </c>
      <c r="B26" s="3" t="n">
        <v>2812.5</v>
      </c>
      <c r="C26" s="3" t="n">
        <f aca="false">IF(B25=0,0,LN(B26/B25)*100)</f>
        <v>6.73941686947288</v>
      </c>
      <c r="D26" s="3" t="n">
        <f aca="false">IF(C24="","",STDEV(C24:C26))</f>
        <v>5.15883817152563</v>
      </c>
      <c r="E26" s="3" t="n">
        <f aca="false">IF(C15="","",STDEV(C15:C26))</f>
        <v>3.29662561837323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5</v>
      </c>
      <c r="B1" s="1" t="s">
        <v>6</v>
      </c>
    </row>
    <row r="2" customFormat="false" ht="15" hidden="false" customHeight="true" outlineLevel="0" collapsed="false">
      <c r="A2" s="1" t="s">
        <v>7</v>
      </c>
      <c r="B2" s="4" t="n">
        <v>261498.4</v>
      </c>
    </row>
    <row r="3" customFormat="false" ht="15" hidden="false" customHeight="true" outlineLevel="0" collapsed="false">
      <c r="A3" s="1" t="s">
        <v>8</v>
      </c>
      <c r="B3" s="4" t="n">
        <v>198328.6</v>
      </c>
    </row>
    <row r="4" customFormat="false" ht="15" hidden="false" customHeight="true" outlineLevel="0" collapsed="false">
      <c r="A4" s="1" t="s">
        <v>9</v>
      </c>
      <c r="B4" s="4" t="n">
        <v>142100.4</v>
      </c>
    </row>
    <row r="5" customFormat="false" ht="15" hidden="false" customHeight="true" outlineLevel="0" collapsed="false">
      <c r="A5" s="1" t="s">
        <v>10</v>
      </c>
      <c r="B5" s="4" t="n">
        <v>140100</v>
      </c>
    </row>
    <row r="6" customFormat="false" ht="15" hidden="false" customHeight="true" outlineLevel="0" collapsed="false">
      <c r="A6" s="1" t="s">
        <v>11</v>
      </c>
      <c r="B6" s="4" t="n">
        <v>50000</v>
      </c>
    </row>
    <row r="7" customFormat="false" ht="15" hidden="false" customHeight="true" outlineLevel="0" collapsed="false">
      <c r="A7" s="1" t="s">
        <v>12</v>
      </c>
      <c r="B7" s="4" t="n">
        <v>48000</v>
      </c>
    </row>
    <row r="8" customFormat="false" ht="15" hidden="false" customHeight="true" outlineLevel="0" collapsed="false">
      <c r="A8" s="1" t="s">
        <v>13</v>
      </c>
      <c r="B8" s="4" t="n">
        <v>75000</v>
      </c>
    </row>
    <row r="9" customFormat="false" ht="15" hidden="false" customHeight="true" outlineLevel="0" collapsed="false">
      <c r="A9" s="1" t="s">
        <v>14</v>
      </c>
      <c r="B9" s="4" t="n">
        <v>45000</v>
      </c>
    </row>
    <row r="10" customFormat="false" ht="15" hidden="false" customHeight="true" outlineLevel="0" collapsed="false">
      <c r="A10" s="1" t="s">
        <v>15</v>
      </c>
      <c r="B10" s="4" t="n">
        <v>120000</v>
      </c>
    </row>
    <row r="11" customFormat="false" ht="15" hidden="false" customHeight="true" outlineLevel="0" collapsed="false">
      <c r="A11" s="1" t="s">
        <v>16</v>
      </c>
      <c r="B11" s="4" t="n">
        <v>100000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5</v>
      </c>
      <c r="B1" s="1" t="s">
        <v>17</v>
      </c>
    </row>
    <row r="2" customFormat="false" ht="15" hidden="false" customHeight="true" outlineLevel="0" collapsed="false">
      <c r="A2" s="1" t="s">
        <v>7</v>
      </c>
      <c r="B2" s="4" t="n">
        <v>8133.5</v>
      </c>
    </row>
    <row r="3" customFormat="false" ht="15" hidden="false" customHeight="true" outlineLevel="0" collapsed="false">
      <c r="A3" s="1" t="s">
        <v>8</v>
      </c>
      <c r="B3" s="4" t="n">
        <v>3710</v>
      </c>
    </row>
    <row r="4" customFormat="false" ht="15" hidden="false" customHeight="true" outlineLevel="0" collapsed="false">
      <c r="A4" s="1" t="s">
        <v>9</v>
      </c>
      <c r="B4" s="4" t="n">
        <v>2451.8</v>
      </c>
    </row>
    <row r="5" customFormat="false" ht="15" hidden="false" customHeight="true" outlineLevel="0" collapsed="false">
      <c r="A5" s="1" t="s">
        <v>10</v>
      </c>
      <c r="B5" s="4" t="n">
        <v>2436</v>
      </c>
    </row>
    <row r="6" customFormat="false" ht="15" hidden="false" customHeight="true" outlineLevel="0" collapsed="false">
      <c r="A6" s="1" t="s">
        <v>11</v>
      </c>
      <c r="B6" s="4" t="n">
        <v>281.6</v>
      </c>
    </row>
    <row r="7" customFormat="false" ht="15" hidden="false" customHeight="true" outlineLevel="0" collapsed="false">
      <c r="A7" s="1" t="s">
        <v>12</v>
      </c>
      <c r="B7" s="4" t="n">
        <v>612.5</v>
      </c>
    </row>
    <row r="8" customFormat="false" ht="15" hidden="false" customHeight="true" outlineLevel="0" collapsed="false">
      <c r="A8" s="1" t="s">
        <v>13</v>
      </c>
      <c r="B8" s="4" t="n">
        <v>765.2</v>
      </c>
    </row>
    <row r="9" customFormat="false" ht="15" hidden="false" customHeight="true" outlineLevel="0" collapsed="false">
      <c r="A9" s="1" t="s">
        <v>14</v>
      </c>
      <c r="B9" s="4" t="n">
        <v>707.8</v>
      </c>
    </row>
    <row r="10" customFormat="false" ht="15" hidden="false" customHeight="true" outlineLevel="0" collapsed="false">
      <c r="A10" s="1" t="s">
        <v>15</v>
      </c>
      <c r="B10" s="4" t="n">
        <v>1948.3</v>
      </c>
    </row>
    <row r="11" customFormat="false" ht="15" hidden="false" customHeight="true" outlineLevel="0" collapsed="false">
      <c r="A11" s="1" t="s">
        <v>16</v>
      </c>
      <c r="B11" s="4" t="n">
        <v>1500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5</v>
      </c>
      <c r="B1" s="1" t="s">
        <v>18</v>
      </c>
    </row>
    <row r="2" customFormat="false" ht="15" hidden="false" customHeight="true" outlineLevel="0" collapsed="false">
      <c r="A2" s="1" t="s">
        <v>7</v>
      </c>
      <c r="B2" s="4" t="n">
        <v>630.5</v>
      </c>
    </row>
    <row r="3" customFormat="false" ht="15" hidden="false" customHeight="true" outlineLevel="0" collapsed="false">
      <c r="A3" s="1" t="s">
        <v>8</v>
      </c>
      <c r="B3" s="4" t="n">
        <v>273.4</v>
      </c>
    </row>
    <row r="4" customFormat="false" ht="15" hidden="false" customHeight="true" outlineLevel="0" collapsed="false">
      <c r="A4" s="1" t="s">
        <v>9</v>
      </c>
      <c r="B4" s="4" t="n">
        <v>189.8</v>
      </c>
    </row>
    <row r="5" customFormat="false" ht="15" hidden="false" customHeight="true" outlineLevel="0" collapsed="false">
      <c r="A5" s="1" t="s">
        <v>10</v>
      </c>
      <c r="B5" s="4" t="n">
        <v>227.5</v>
      </c>
    </row>
    <row r="6" customFormat="false" ht="15" hidden="false" customHeight="true" outlineLevel="0" collapsed="false">
      <c r="A6" s="1" t="s">
        <v>11</v>
      </c>
      <c r="B6" s="4" t="n">
        <v>95.6</v>
      </c>
    </row>
    <row r="7" customFormat="false" ht="15" hidden="false" customHeight="true" outlineLevel="0" collapsed="false">
      <c r="A7" s="1" t="s">
        <v>12</v>
      </c>
      <c r="B7" s="4" t="n">
        <v>82.3</v>
      </c>
    </row>
    <row r="8" customFormat="false" ht="15" hidden="false" customHeight="true" outlineLevel="0" collapsed="false">
      <c r="A8" s="1" t="s">
        <v>13</v>
      </c>
      <c r="B8" s="4" t="n">
        <v>298.5</v>
      </c>
    </row>
    <row r="9" customFormat="false" ht="15" hidden="false" customHeight="true" outlineLevel="0" collapsed="false">
      <c r="A9" s="1" t="s">
        <v>14</v>
      </c>
      <c r="B9" s="4" t="n">
        <v>601.2</v>
      </c>
    </row>
    <row r="10" customFormat="false" ht="15" hidden="false" customHeight="true" outlineLevel="0" collapsed="false">
      <c r="A10" s="1" t="s">
        <v>15</v>
      </c>
      <c r="B10" s="4" t="n">
        <v>3285.4</v>
      </c>
    </row>
    <row r="11" customFormat="false" ht="15" hidden="false" customHeight="true" outlineLevel="0" collapsed="false">
      <c r="A11" s="1" t="s">
        <v>16</v>
      </c>
      <c r="B11" s="4" t="n">
        <v>475.8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19</v>
      </c>
    </row>
    <row r="3" customFormat="false" ht="15" hidden="false" customHeight="true" outlineLevel="0" collapsed="false">
      <c r="A3" s="1" t="s">
        <v>20</v>
      </c>
      <c r="B3" s="3" t="n">
        <f aca="false">'Gold price'!B26</f>
        <v>2812.5</v>
      </c>
    </row>
    <row r="4" customFormat="false" ht="15" hidden="false" customHeight="true" outlineLevel="0" collapsed="false">
      <c r="A4" s="1" t="s">
        <v>21</v>
      </c>
      <c r="B4" s="3" t="n">
        <f aca="false">'Gold price'!D26</f>
        <v>5.15883817152563</v>
      </c>
    </row>
    <row r="5" customFormat="false" ht="15" hidden="false" customHeight="true" outlineLevel="0" collapsed="false">
      <c r="A5" s="1" t="s">
        <v>22</v>
      </c>
      <c r="B5" s="3" t="n">
        <f aca="false">'Gold price'!E26</f>
        <v>3.29662561837323</v>
      </c>
    </row>
    <row r="6" customFormat="false" ht="15" hidden="false" customHeight="true" outlineLevel="0" collapsed="false">
      <c r="A6" s="1" t="s">
        <v>23</v>
      </c>
      <c r="B6" s="3" t="n">
        <f aca="false">B4*SQRT(12)</f>
        <v>17.8707396422162</v>
      </c>
    </row>
    <row r="8" customFormat="false" ht="15" hidden="false" customHeight="false" outlineLevel="0" collapsed="false">
      <c r="A8" s="0" t="s">
        <v>24</v>
      </c>
      <c r="B8" s="5" t="n">
        <f aca="false">AVERAGE('Gold price'!B13:B21)</f>
        <v>2248.46660698785</v>
      </c>
    </row>
    <row r="10" customFormat="false" ht="15" hidden="false" customHeight="true" outlineLevel="0" collapsed="false">
      <c r="A10" s="1" t="s">
        <v>25</v>
      </c>
    </row>
    <row r="11" customFormat="false" ht="15" hidden="false" customHeight="true" outlineLevel="0" collapsed="false">
      <c r="A11" s="1" t="s">
        <v>5</v>
      </c>
      <c r="B11" s="1" t="s">
        <v>26</v>
      </c>
      <c r="C11" s="1" t="s">
        <v>27</v>
      </c>
    </row>
    <row r="12" customFormat="false" ht="15" hidden="false" customHeight="true" outlineLevel="0" collapsed="false">
      <c r="A12" s="1" t="s">
        <v>7</v>
      </c>
      <c r="B12" s="4" t="n">
        <f aca="false">IFERROR(VLOOKUP(A12,Value!A:B,2,FALSE()),"")</f>
        <v>261498.4</v>
      </c>
      <c r="C12" s="3" t="n">
        <f aca="false">IF(B12="","",B12/$B$17*Answer!$B$4)</f>
        <v>1.56494785167255</v>
      </c>
    </row>
    <row r="13" customFormat="false" ht="15" hidden="false" customHeight="true" outlineLevel="0" collapsed="false">
      <c r="A13" s="1" t="s">
        <v>8</v>
      </c>
      <c r="B13" s="4" t="n">
        <f aca="false">IFERROR(VLOOKUP(A13,Value!A:B,2,FALSE()),"")</f>
        <v>198328.6</v>
      </c>
      <c r="C13" s="3" t="n">
        <f aca="false">IF(B13="","",B13/$B$17*Answer!$B$4)</f>
        <v>1.1869056043755</v>
      </c>
    </row>
    <row r="14" customFormat="false" ht="15" hidden="false" customHeight="true" outlineLevel="0" collapsed="false">
      <c r="A14" s="1" t="s">
        <v>9</v>
      </c>
      <c r="B14" s="4" t="n">
        <f aca="false">IFERROR(VLOOKUP(A14,Value!A:B,2,FALSE()),"")</f>
        <v>142100.4</v>
      </c>
      <c r="C14" s="3" t="n">
        <f aca="false">IF(B14="","",B14/$B$17*Answer!$B$4)</f>
        <v>0.850405645701123</v>
      </c>
    </row>
    <row r="15" customFormat="false" ht="15" hidden="false" customHeight="true" outlineLevel="0" collapsed="false">
      <c r="A15" s="1" t="s">
        <v>10</v>
      </c>
      <c r="B15" s="4" t="n">
        <f aca="false">IFERROR(VLOOKUP(A15,Value!A:B,2,FALSE()),"")</f>
        <v>140100</v>
      </c>
      <c r="C15" s="3" t="n">
        <f aca="false">IF(B15="","",B15/$B$17*Answer!$B$4)</f>
        <v>0.838434170225611</v>
      </c>
    </row>
    <row r="16" customFormat="false" ht="15" hidden="false" customHeight="true" outlineLevel="0" collapsed="false">
      <c r="A16" s="1" t="s">
        <v>15</v>
      </c>
      <c r="B16" s="4" t="n">
        <f aca="false">IFERROR(VLOOKUP(A16,Value!A:B,2,FALSE()),"")</f>
        <v>120000</v>
      </c>
      <c r="C16" s="3" t="n">
        <f aca="false">IF(B16="","",B16/$B$17*Answer!$B$4)</f>
        <v>0.718144899550845</v>
      </c>
    </row>
    <row r="17" customFormat="false" ht="15" hidden="false" customHeight="true" outlineLevel="0" collapsed="false">
      <c r="A17" s="1" t="s">
        <v>28</v>
      </c>
      <c r="B17" s="4" t="n">
        <f aca="false">SUM(B12:B16)</f>
        <v>862027.4</v>
      </c>
    </row>
    <row r="18" customFormat="false" ht="15" hidden="false" customHeight="false" outlineLevel="0" collapsed="false">
      <c r="A18" s="0" t="s">
        <v>29</v>
      </c>
      <c r="B18" s="5" t="n">
        <f aca="false">SUM(C12:C16)</f>
        <v>5.15883817152563</v>
      </c>
    </row>
    <row r="20" customFormat="false" ht="15" hidden="false" customHeight="true" outlineLevel="0" collapsed="false">
      <c r="A20" s="1" t="s">
        <v>30</v>
      </c>
    </row>
    <row r="21" customFormat="false" ht="15" hidden="false" customHeight="true" outlineLevel="0" collapsed="false">
      <c r="A21" s="1" t="s">
        <v>30</v>
      </c>
      <c r="B21" s="1" t="s">
        <v>26</v>
      </c>
      <c r="C21" s="1" t="s">
        <v>31</v>
      </c>
      <c r="D21" s="1" t="s">
        <v>32</v>
      </c>
      <c r="E21" s="1" t="s">
        <v>33</v>
      </c>
    </row>
    <row r="22" customFormat="false" ht="15" hidden="false" customHeight="true" outlineLevel="0" collapsed="false">
      <c r="A22" s="1" t="s">
        <v>5</v>
      </c>
      <c r="B22" s="4" t="s">
        <v>26</v>
      </c>
      <c r="C22" s="3" t="s">
        <v>31</v>
      </c>
      <c r="D22" s="4" t="s">
        <v>32</v>
      </c>
      <c r="E22" s="6" t="s">
        <v>33</v>
      </c>
    </row>
    <row r="23" customFormat="false" ht="15" hidden="false" customHeight="true" outlineLevel="0" collapsed="false">
      <c r="A23" s="1" t="str">
        <f aca="false">IF(A12="","",A12)</f>
        <v>United States</v>
      </c>
      <c r="B23" s="4" t="n">
        <f aca="false">IF(A23="","",B12)</f>
        <v>261498.4</v>
      </c>
      <c r="C23" s="3" t="n">
        <f aca="false">IF(A23="","",Answer!$B$5)</f>
        <v>3.29662561837323</v>
      </c>
      <c r="D23" s="4" t="n">
        <f aca="false">IF(A23="","",IFERROR(INDEX('Total Reserves'!$B:$B,MATCH(A23,'Total Reserves'!$A:$A,0)),""))</f>
        <v>630.5</v>
      </c>
      <c r="E23" s="3" t="n">
        <f aca="false">IF(OR(A23="",D23=""),"",(B23/1000/D23)*C23)</f>
        <v>1.36726776305093</v>
      </c>
    </row>
    <row r="24" customFormat="false" ht="15" hidden="false" customHeight="true" outlineLevel="0" collapsed="false">
      <c r="A24" s="1" t="str">
        <f aca="false">IF(A13="","",A13)</f>
        <v>Germany</v>
      </c>
      <c r="B24" s="4" t="n">
        <f aca="false">IF(A24="","",B13)</f>
        <v>198328.6</v>
      </c>
      <c r="C24" s="3" t="n">
        <f aca="false">IF(A24="","",Answer!$B$5)</f>
        <v>3.29662561837323</v>
      </c>
      <c r="D24" s="4" t="n">
        <f aca="false">IF(A24="","",IFERROR(INDEX('Total Reserves'!$B:$B,MATCH(A24,'Total Reserves'!$A:$A,0)),""))</f>
        <v>273.4</v>
      </c>
      <c r="E24" s="3" t="n">
        <f aca="false">IF(OR(A24="",D24=""),"",(B24/1000/D24)*C24)</f>
        <v>2.39142334899816</v>
      </c>
    </row>
    <row r="25" customFormat="false" ht="15" hidden="false" customHeight="true" outlineLevel="0" collapsed="false">
      <c r="A25" s="1" t="str">
        <f aca="false">IF(A14="","",A14)</f>
        <v>Italy</v>
      </c>
      <c r="B25" s="4" t="n">
        <f aca="false">IF(A25="","",B14)</f>
        <v>142100.4</v>
      </c>
      <c r="C25" s="3" t="n">
        <f aca="false">IF(A25="","",Answer!$B$5)</f>
        <v>3.29662561837323</v>
      </c>
      <c r="D25" s="4" t="n">
        <f aca="false">IF(A25="","",IFERROR(INDEX('Total Reserves'!$B:$B,MATCH(A25,'Total Reserves'!$A:$A,0)),""))</f>
        <v>189.8</v>
      </c>
      <c r="E25" s="3" t="n">
        <f aca="false">IF(OR(A25="",D25=""),"",(B25/1000/D25)*C25)</f>
        <v>2.46813392529549</v>
      </c>
    </row>
    <row r="26" customFormat="false" ht="15" hidden="false" customHeight="true" outlineLevel="0" collapsed="false">
      <c r="A26" s="1" t="str">
        <f aca="false">IF(A15="","",A15)</f>
        <v>France</v>
      </c>
      <c r="B26" s="4" t="n">
        <f aca="false">IF(A26="","",B15)</f>
        <v>140100</v>
      </c>
      <c r="C26" s="3" t="n">
        <f aca="false">IF(A26="","",Answer!$B$5)</f>
        <v>3.29662561837323</v>
      </c>
      <c r="D26" s="4" t="n">
        <f aca="false">IF(A26="","",IFERROR(INDEX('Total Reserves'!$B:$B,MATCH(A26,'Total Reserves'!$A:$A,0)),""))</f>
        <v>227.5</v>
      </c>
      <c r="E26" s="3" t="n">
        <f aca="false">IF(OR(A26="",D26=""),"",(B26/1000/D26)*C26)</f>
        <v>2.03014175443556</v>
      </c>
    </row>
    <row r="27" customFormat="false" ht="15" hidden="false" customHeight="false" outlineLevel="0" collapsed="false">
      <c r="A27" s="0" t="str">
        <f aca="false">IF(A16="","",A16)</f>
        <v>China</v>
      </c>
      <c r="B27" s="7" t="n">
        <f aca="false">IF(A27="","",B16)</f>
        <v>120000</v>
      </c>
      <c r="C27" s="5" t="n">
        <f aca="false">IF(A27="","",Answer!$B$5)</f>
        <v>3.29662561837323</v>
      </c>
      <c r="D27" s="7" t="n">
        <f aca="false">IF(A27="","",IFERROR(INDEX('Total Reserves'!$B:$B,MATCH(A27,'Total Reserves'!$A:$A,0)),""))</f>
        <v>3285.4</v>
      </c>
      <c r="E27" s="5" t="n">
        <f aca="false">IF(OR(A27="",D27=""),"",(B27/1000/D27)*C27)</f>
        <v>0.120410018324949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2026-01-29T06:55:10Z</dcterms:created>
  <dc:creator>openpyxl</dc:creator>
  <dc:description/>
  <dc:language>en-US</dc:language>
  <cp:lastModifiedBy/>
  <dcterms:modified xsi:type="dcterms:W3CDTF">2026-01-29T06:57:50Z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