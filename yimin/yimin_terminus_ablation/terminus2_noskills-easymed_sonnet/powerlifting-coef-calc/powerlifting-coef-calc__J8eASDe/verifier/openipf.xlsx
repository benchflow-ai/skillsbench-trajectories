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Do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Frame0" displayName="Frame0" ref="A1:Y21" headerRowCount="1" totalsRowShown="0">
  <autoFilter ref="A1:Y21"/>
  <tableColumns count="25">
    <tableColumn id="1" name="Name" dataDxfId="0"/>
    <tableColumn id="2" name="Sex" dataDxfId="0"/>
    <tableColumn id="3" name="Event" dataDxfId="0"/>
    <tableColumn id="4" name="Equipment" dataDxfId="0"/>
    <tableColumn id="5" name="Age" dataDxfId="1"/>
    <tableColumn id="6" name="AgeClass" dataDxfId="0"/>
    <tableColumn id="7" name="BirthYearClass" dataDxfId="0"/>
    <tableColumn id="8" name="Division" dataDxfId="0"/>
    <tableColumn id="9" name="BodyweightKg" dataDxfId="1"/>
    <tableColumn id="10" name="WeightClassKg" dataDxfId="0"/>
    <tableColumn id="11" name="Best3SquatKg" dataDxfId="1"/>
    <tableColumn id="12" name="Best3BenchKg" dataDxfId="1"/>
    <tableColumn id="13" name="Best3DeadliftKg" dataDxfId="1"/>
    <tableColumn id="14" name="Place" dataDxfId="0"/>
    <tableColumn id="15" name="Tested" dataDxfId="0"/>
    <tableColumn id="16" name="Country" dataDxfId="0"/>
    <tableColumn id="17" name="State" dataDxfId="0"/>
    <tableColumn id="18" name="Federation" dataDxfId="0"/>
    <tableColumn id="19" name="ParentFederation" dataDxfId="0"/>
    <tableColumn id="20" name="Date" dataDxfId="0"/>
    <tableColumn id="21" name="MeetCountry" dataDxfId="0"/>
    <tableColumn id="22" name="MeetState" dataDxfId="0"/>
    <tableColumn id="23" name="MeetTown" dataDxfId="0"/>
    <tableColumn id="24" name="MeetName" dataDxfId="0"/>
    <tableColumn id="25" name="Sanctione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Event</t>
        </is>
      </c>
      <c r="D1" t="inlineStr">
        <is>
          <t>Equipment</t>
        </is>
      </c>
      <c r="E1" t="inlineStr">
        <is>
          <t>Age</t>
        </is>
      </c>
      <c r="F1" t="inlineStr">
        <is>
          <t>AgeClass</t>
        </is>
      </c>
      <c r="G1" t="inlineStr">
        <is>
          <t>BirthYearClass</t>
        </is>
      </c>
      <c r="H1" t="inlineStr">
        <is>
          <t>Division</t>
        </is>
      </c>
      <c r="I1" t="inlineStr">
        <is>
          <t>BodyweightKg</t>
        </is>
      </c>
      <c r="J1" t="inlineStr">
        <is>
          <t>WeightClassKg</t>
        </is>
      </c>
      <c r="K1" t="inlineStr">
        <is>
          <t>Best3SquatKg</t>
        </is>
      </c>
      <c r="L1" t="inlineStr">
        <is>
          <t>Best3BenchKg</t>
        </is>
      </c>
      <c r="M1" t="inlineStr">
        <is>
          <t>Best3DeadliftKg</t>
        </is>
      </c>
      <c r="N1" t="inlineStr">
        <is>
          <t>Place</t>
        </is>
      </c>
      <c r="O1" t="inlineStr">
        <is>
          <t>Tested</t>
        </is>
      </c>
      <c r="P1" t="inlineStr">
        <is>
          <t>Country</t>
        </is>
      </c>
      <c r="Q1" t="inlineStr">
        <is>
          <t>State</t>
        </is>
      </c>
      <c r="R1" t="inlineStr">
        <is>
          <t>Federation</t>
        </is>
      </c>
      <c r="S1" t="inlineStr">
        <is>
          <t>ParentFederation</t>
        </is>
      </c>
      <c r="T1" t="inlineStr">
        <is>
          <t>Date</t>
        </is>
      </c>
      <c r="U1" t="inlineStr">
        <is>
          <t>MeetCountry</t>
        </is>
      </c>
      <c r="V1" t="inlineStr">
        <is>
          <t>MeetState</t>
        </is>
      </c>
      <c r="W1" t="inlineStr">
        <is>
          <t>MeetTown</t>
        </is>
      </c>
      <c r="X1" t="inlineStr">
        <is>
          <t>MeetName</t>
        </is>
      </c>
      <c r="Y1" t="inlineStr">
        <is>
          <t>Sanctioned</t>
        </is>
      </c>
    </row>
    <row r="2">
      <c r="A2" s="1" t="inlineStr">
        <is>
          <t>Julien Comte</t>
        </is>
      </c>
      <c r="B2" s="1" t="inlineStr">
        <is>
          <t>M</t>
        </is>
      </c>
      <c r="C2" s="1" t="inlineStr">
        <is>
          <t>SBD</t>
        </is>
      </c>
      <c r="D2" s="1" t="inlineStr">
        <is>
          <t>Raw</t>
        </is>
      </c>
      <c r="E2" s="2" t="n">
        <v>43</v>
      </c>
      <c r="F2" s="1" t="inlineStr">
        <is>
          <t>40-44</t>
        </is>
      </c>
      <c r="G2" s="1" t="inlineStr">
        <is>
          <t>40-49</t>
        </is>
      </c>
      <c r="H2" s="1" t="inlineStr">
        <is>
          <t>MR-O</t>
        </is>
      </c>
      <c r="I2" s="2" t="n">
        <v>82.25</v>
      </c>
      <c r="J2" s="1" t="inlineStr">
        <is>
          <t>83</t>
        </is>
      </c>
      <c r="K2" s="2" t="n">
        <v>215</v>
      </c>
      <c r="L2" s="2" t="n">
        <v>132.5</v>
      </c>
      <c r="M2" s="2" t="n">
        <v>260</v>
      </c>
      <c r="N2" s="1" t="inlineStr">
        <is>
          <t>2</t>
        </is>
      </c>
      <c r="O2" s="1" t="inlineStr">
        <is>
          <t>Yes</t>
        </is>
      </c>
      <c r="P2" s="1" t="inlineStr">
        <is>
          <t>USA</t>
        </is>
      </c>
      <c r="Q2" s="1" t="inlineStr">
        <is>
          <t>PA</t>
        </is>
      </c>
      <c r="R2" s="1" t="inlineStr">
        <is>
          <t>AMP</t>
        </is>
      </c>
      <c r="S2" s="1" t="inlineStr">
        <is>
          <t>IPF</t>
        </is>
      </c>
      <c r="T2" s="1" t="inlineStr">
        <is>
          <t>2025-12-06</t>
        </is>
      </c>
      <c r="U2" s="1" t="inlineStr">
        <is>
          <t>USA</t>
        </is>
      </c>
      <c r="V2" s="1" t="inlineStr">
        <is>
          <t>OH</t>
        </is>
      </c>
      <c r="W2" s="1" t="inlineStr">
        <is>
          <t>Columbus</t>
        </is>
      </c>
      <c r="X2" s="1" t="inlineStr">
        <is>
          <t>The Ohio Meet</t>
        </is>
      </c>
      <c r="Y2" s="1" t="inlineStr">
        <is>
          <t>Yes</t>
        </is>
      </c>
    </row>
    <row r="3">
      <c r="A3" s="1" t="inlineStr">
        <is>
          <t>Matthew Starkey</t>
        </is>
      </c>
      <c r="B3" s="1" t="inlineStr">
        <is>
          <t>M</t>
        </is>
      </c>
      <c r="C3" s="1" t="inlineStr">
        <is>
          <t>SBD</t>
        </is>
      </c>
      <c r="D3" s="1" t="inlineStr">
        <is>
          <t>Raw</t>
        </is>
      </c>
      <c r="E3" s="2" t="n">
        <v>23</v>
      </c>
      <c r="F3" s="1" t="inlineStr">
        <is>
          <t>20-23</t>
        </is>
      </c>
      <c r="G3" s="1" t="inlineStr">
        <is>
          <t>19-23</t>
        </is>
      </c>
      <c r="H3" s="1" t="inlineStr">
        <is>
          <t>MR-Jr</t>
        </is>
      </c>
      <c r="I3" s="2" t="n">
        <v>82.90000000000001</v>
      </c>
      <c r="J3" s="1" t="inlineStr">
        <is>
          <t>83</t>
        </is>
      </c>
      <c r="K3" s="2" t="n">
        <v>205</v>
      </c>
      <c r="L3" s="2" t="n">
        <v>130</v>
      </c>
      <c r="M3" s="2" t="n">
        <v>227.5</v>
      </c>
      <c r="N3" s="1" t="inlineStr">
        <is>
          <t>1</t>
        </is>
      </c>
      <c r="O3" s="1" t="inlineStr">
        <is>
          <t>Yes</t>
        </is>
      </c>
      <c r="P3" s="1" t="inlineStr">
        <is>
          <t>USA</t>
        </is>
      </c>
      <c r="Q3" s="1" t="inlineStr">
        <is>
          <t>CO</t>
        </is>
      </c>
      <c r="R3" s="1" t="inlineStr">
        <is>
          <t>USAPL</t>
        </is>
      </c>
      <c r="S3" s="1" t="inlineStr">
        <is>
          <t>IPF</t>
        </is>
      </c>
      <c r="T3" s="1" t="inlineStr">
        <is>
          <t>2020-08-08</t>
        </is>
      </c>
      <c r="U3" s="1" t="inlineStr">
        <is>
          <t>USA</t>
        </is>
      </c>
      <c r="V3" s="1" t="inlineStr">
        <is>
          <t>CO</t>
        </is>
      </c>
      <c r="W3" s="1" t="inlineStr">
        <is>
          <t>Littleton</t>
        </is>
      </c>
      <c r="X3" s="1" t="inlineStr">
        <is>
          <t>Adventures of Yokey the Bear</t>
        </is>
      </c>
      <c r="Y3" s="1" t="inlineStr">
        <is>
          <t>Yes</t>
        </is>
      </c>
    </row>
    <row r="4">
      <c r="A4" s="1" t="inlineStr">
        <is>
          <t>Austin Keanu</t>
        </is>
      </c>
      <c r="B4" s="1" t="inlineStr">
        <is>
          <t>M</t>
        </is>
      </c>
      <c r="C4" s="1" t="inlineStr">
        <is>
          <t>SBD</t>
        </is>
      </c>
      <c r="D4" s="1" t="inlineStr">
        <is>
          <t>Raw</t>
        </is>
      </c>
      <c r="E4" s="2" t="n">
        <v>63</v>
      </c>
      <c r="F4" s="1" t="inlineStr">
        <is>
          <t>60-64</t>
        </is>
      </c>
      <c r="G4" s="1" t="inlineStr">
        <is>
          <t>60-69</t>
        </is>
      </c>
      <c r="H4" s="1" t="inlineStr">
        <is>
          <t>MR-M3</t>
        </is>
      </c>
      <c r="I4" s="2" t="n">
        <v>122.4</v>
      </c>
      <c r="J4" s="1" t="inlineStr">
        <is>
          <t>120+</t>
        </is>
      </c>
      <c r="K4" s="2" t="n">
        <v>275</v>
      </c>
      <c r="L4" s="2" t="n">
        <v>142.5</v>
      </c>
      <c r="M4" s="2" t="n">
        <v>235</v>
      </c>
      <c r="N4" s="1" t="inlineStr">
        <is>
          <t>1</t>
        </is>
      </c>
      <c r="O4" s="1" t="inlineStr">
        <is>
          <t>Yes</t>
        </is>
      </c>
      <c r="P4" s="1" t="inlineStr">
        <is>
          <t>USA</t>
        </is>
      </c>
      <c r="Q4" s="1" t="inlineStr">
        <is>
          <t>HI</t>
        </is>
      </c>
      <c r="R4" s="1" t="inlineStr">
        <is>
          <t>AMP</t>
        </is>
      </c>
      <c r="S4" s="1" t="inlineStr">
        <is>
          <t>IPF</t>
        </is>
      </c>
      <c r="T4" s="1" t="inlineStr">
        <is>
          <t>2024-12-15</t>
        </is>
      </c>
      <c r="U4" s="1" t="inlineStr">
        <is>
          <t>USA</t>
        </is>
      </c>
      <c r="V4" s="1" t="inlineStr">
        <is>
          <t>HI</t>
        </is>
      </c>
      <c r="W4" s="1" t="inlineStr">
        <is>
          <t>Honolulu</t>
        </is>
      </c>
      <c r="X4" s="1" t="inlineStr">
        <is>
          <t>Merry Liftmas Hawaiʻi</t>
        </is>
      </c>
      <c r="Y4" s="1" t="inlineStr">
        <is>
          <t>Yes</t>
        </is>
      </c>
    </row>
    <row r="5">
      <c r="A5" s="1" t="inlineStr">
        <is>
          <t>Michelle McKeaveney</t>
        </is>
      </c>
      <c r="B5" s="1" t="inlineStr">
        <is>
          <t>F</t>
        </is>
      </c>
      <c r="C5" s="1" t="inlineStr">
        <is>
          <t>SBD</t>
        </is>
      </c>
      <c r="D5" s="1" t="inlineStr">
        <is>
          <t>Raw</t>
        </is>
      </c>
      <c r="E5" s="2" t="n">
        <v>48.5</v>
      </c>
      <c r="F5" s="1" t="inlineStr">
        <is>
          <t>45-49</t>
        </is>
      </c>
      <c r="G5" s="1" t="inlineStr">
        <is>
          <t>40-49</t>
        </is>
      </c>
      <c r="H5" s="1" t="inlineStr">
        <is>
          <t>Masters 1</t>
        </is>
      </c>
      <c r="I5" s="2" t="n">
        <v>96.8</v>
      </c>
      <c r="J5" s="1" t="inlineStr">
        <is>
          <t>84+</t>
        </is>
      </c>
      <c r="K5" s="2" t="n">
        <v>102.5</v>
      </c>
      <c r="L5" s="2" t="n">
        <v>50</v>
      </c>
      <c r="M5" s="2" t="n">
        <v>137.5</v>
      </c>
      <c r="N5" s="1" t="inlineStr">
        <is>
          <t>2</t>
        </is>
      </c>
      <c r="O5" s="1" t="inlineStr">
        <is>
          <t>Yes</t>
        </is>
      </c>
      <c r="P5" s="1" t="inlineStr">
        <is>
          <t>Canada</t>
        </is>
      </c>
      <c r="Q5" s="1" t="inlineStr">
        <is>
          <t>SK</t>
        </is>
      </c>
      <c r="R5" s="1" t="inlineStr">
        <is>
          <t>CPU</t>
        </is>
      </c>
      <c r="S5" s="1" t="inlineStr">
        <is>
          <t>IPF</t>
        </is>
      </c>
      <c r="T5" s="1" t="inlineStr">
        <is>
          <t>2016-10-01</t>
        </is>
      </c>
      <c r="U5" s="1" t="inlineStr">
        <is>
          <t>Canada</t>
        </is>
      </c>
      <c r="V5" s="1" t="inlineStr">
        <is>
          <t>SK</t>
        </is>
      </c>
      <c r="W5" s="1" t="inlineStr">
        <is>
          <t>Saskatoon</t>
        </is>
      </c>
      <c r="X5" s="1" t="inlineStr">
        <is>
          <t>Saskatchewan Provincials</t>
        </is>
      </c>
      <c r="Y5" s="1" t="inlineStr">
        <is>
          <t>Yes</t>
        </is>
      </c>
    </row>
    <row r="6">
      <c r="A6" s="1" t="inlineStr">
        <is>
          <t>Tracy Klinger</t>
        </is>
      </c>
      <c r="B6" s="1" t="inlineStr">
        <is>
          <t>F</t>
        </is>
      </c>
      <c r="C6" s="1" t="inlineStr">
        <is>
          <t>SBD</t>
        </is>
      </c>
      <c r="D6" s="1" t="inlineStr">
        <is>
          <t>Raw</t>
        </is>
      </c>
      <c r="E6" s="2" t="n">
        <v>56</v>
      </c>
      <c r="F6" s="1" t="inlineStr">
        <is>
          <t>55-59</t>
        </is>
      </c>
      <c r="G6" s="1" t="inlineStr">
        <is>
          <t>50-59</t>
        </is>
      </c>
      <c r="H6" s="1" t="inlineStr">
        <is>
          <t>FR-M2</t>
        </is>
      </c>
      <c r="I6" s="2" t="n">
        <v>130.82</v>
      </c>
      <c r="J6" s="1" t="inlineStr">
        <is>
          <t>84+</t>
        </is>
      </c>
      <c r="K6" s="2" t="n">
        <v>62.5</v>
      </c>
      <c r="L6" s="2" t="n">
        <v>57.5</v>
      </c>
      <c r="M6" s="2" t="n">
        <v>117.5</v>
      </c>
      <c r="N6" s="1" t="inlineStr">
        <is>
          <t>3</t>
        </is>
      </c>
      <c r="O6" s="1" t="inlineStr">
        <is>
          <t>Yes</t>
        </is>
      </c>
      <c r="P6" s="1" t="inlineStr">
        <is>
          <t>USA</t>
        </is>
      </c>
      <c r="Q6" s="1" t="inlineStr">
        <is>
          <t>FL</t>
        </is>
      </c>
      <c r="R6" s="1" t="inlineStr">
        <is>
          <t>AMP</t>
        </is>
      </c>
      <c r="S6" s="1" t="inlineStr">
        <is>
          <t>IPF</t>
        </is>
      </c>
      <c r="T6" s="1" t="inlineStr">
        <is>
          <t>2025-12-06</t>
        </is>
      </c>
      <c r="U6" s="1" t="inlineStr">
        <is>
          <t>USA</t>
        </is>
      </c>
      <c r="V6" s="1" t="inlineStr">
        <is>
          <t>FL</t>
        </is>
      </c>
      <c r="W6" s="1" t="inlineStr">
        <is>
          <t>Gainesville</t>
        </is>
      </c>
      <c r="X6" s="1" t="inlineStr">
        <is>
          <t>34th Annual Florida Sports Foundation Senior Games Championship</t>
        </is>
      </c>
      <c r="Y6" s="1" t="inlineStr">
        <is>
          <t>Yes</t>
        </is>
      </c>
    </row>
    <row r="7">
      <c r="A7" s="1" t="inlineStr">
        <is>
          <t>Mohanad Ibrahiem</t>
        </is>
      </c>
      <c r="B7" s="1" t="inlineStr">
        <is>
          <t>M</t>
        </is>
      </c>
      <c r="C7" s="1" t="inlineStr">
        <is>
          <t>SBD</t>
        </is>
      </c>
      <c r="D7" s="1" t="inlineStr">
        <is>
          <t>Raw</t>
        </is>
      </c>
      <c r="E7" s="2" t="n">
        <v>24.5</v>
      </c>
      <c r="F7" s="1" t="inlineStr">
        <is>
          <t>24-34</t>
        </is>
      </c>
      <c r="G7" s="1" t="inlineStr">
        <is>
          <t>24-39</t>
        </is>
      </c>
      <c r="H7" s="1" t="inlineStr">
        <is>
          <t>Open</t>
        </is>
      </c>
      <c r="I7" s="2" t="n">
        <v>103.94</v>
      </c>
      <c r="J7" s="1" t="inlineStr">
        <is>
          <t>105</t>
        </is>
      </c>
      <c r="K7" s="2" t="n">
        <v>255</v>
      </c>
      <c r="L7" s="2" t="n">
        <v>165</v>
      </c>
      <c r="M7" s="2" t="n">
        <v>292.5</v>
      </c>
      <c r="N7" s="1" t="inlineStr">
        <is>
          <t>5</t>
        </is>
      </c>
      <c r="O7" s="1" t="inlineStr">
        <is>
          <t>Yes</t>
        </is>
      </c>
      <c r="P7" s="1" t="inlineStr">
        <is>
          <t>Canada</t>
        </is>
      </c>
      <c r="Q7" s="1" t="inlineStr">
        <is>
          <t>AB</t>
        </is>
      </c>
      <c r="R7" s="1" t="inlineStr">
        <is>
          <t>CPU</t>
        </is>
      </c>
      <c r="S7" s="1" t="inlineStr">
        <is>
          <t>IPF</t>
        </is>
      </c>
      <c r="T7" s="1" t="inlineStr">
        <is>
          <t>2025-06-15</t>
        </is>
      </c>
      <c r="U7" s="1" t="inlineStr">
        <is>
          <t>Canada</t>
        </is>
      </c>
      <c r="V7" s="1" t="inlineStr">
        <is>
          <t>AB</t>
        </is>
      </c>
      <c r="W7" s="1" t="inlineStr">
        <is>
          <t>Edmonton</t>
        </is>
      </c>
      <c r="X7" s="1" t="inlineStr">
        <is>
          <t>Alberta Powerlifting Union Provincial Championships</t>
        </is>
      </c>
      <c r="Y7" s="1" t="inlineStr">
        <is>
          <t>Yes</t>
        </is>
      </c>
    </row>
    <row r="8">
      <c r="A8" s="1" t="inlineStr">
        <is>
          <t>Pamela Cresci</t>
        </is>
      </c>
      <c r="B8" s="1" t="inlineStr">
        <is>
          <t>F</t>
        </is>
      </c>
      <c r="C8" s="1" t="inlineStr">
        <is>
          <t>SBD</t>
        </is>
      </c>
      <c r="D8" s="1" t="inlineStr">
        <is>
          <t>Raw</t>
        </is>
      </c>
      <c r="E8" s="2" t="n">
        <v>19</v>
      </c>
      <c r="F8" s="1" t="inlineStr">
        <is>
          <t>18-19</t>
        </is>
      </c>
      <c r="G8" s="1" t="inlineStr">
        <is>
          <t>19-23</t>
        </is>
      </c>
      <c r="H8" s="1" t="inlineStr">
        <is>
          <t>FR-T3</t>
        </is>
      </c>
      <c r="I8" s="2" t="n">
        <v>58.2</v>
      </c>
      <c r="J8" s="1" t="inlineStr">
        <is>
          <t>63</t>
        </is>
      </c>
      <c r="K8" s="2" t="n">
        <v>82.5</v>
      </c>
      <c r="L8" s="2" t="n">
        <v>47.5</v>
      </c>
      <c r="M8" s="2" t="n">
        <v>130</v>
      </c>
      <c r="N8" s="1" t="inlineStr">
        <is>
          <t>2</t>
        </is>
      </c>
      <c r="O8" s="1" t="inlineStr">
        <is>
          <t>Yes</t>
        </is>
      </c>
      <c r="P8" s="1" t="inlineStr">
        <is>
          <t>USA</t>
        </is>
      </c>
      <c r="Q8" s="1" t="inlineStr">
        <is>
          <t>FL</t>
        </is>
      </c>
      <c r="R8" s="1" t="inlineStr">
        <is>
          <t>USAPL</t>
        </is>
      </c>
      <c r="S8" s="1" t="inlineStr">
        <is>
          <t>IPF</t>
        </is>
      </c>
      <c r="T8" s="1" t="inlineStr">
        <is>
          <t>2013-07-19</t>
        </is>
      </c>
      <c r="U8" s="1" t="inlineStr">
        <is>
          <t>USA</t>
        </is>
      </c>
      <c r="V8" s="1" t="inlineStr">
        <is>
          <t>FL</t>
        </is>
      </c>
      <c r="W8" s="1" t="inlineStr">
        <is>
          <t>Orlando</t>
        </is>
      </c>
      <c r="X8" s="1" t="inlineStr">
        <is>
          <t>Raw Nationals</t>
        </is>
      </c>
      <c r="Y8" s="1" t="inlineStr">
        <is>
          <t>Yes</t>
        </is>
      </c>
    </row>
    <row r="9">
      <c r="A9" s="1" t="inlineStr">
        <is>
          <t>Wilie Carpentier</t>
        </is>
      </c>
      <c r="B9" s="1" t="inlineStr">
        <is>
          <t>M</t>
        </is>
      </c>
      <c r="C9" s="1" t="inlineStr">
        <is>
          <t>SBD</t>
        </is>
      </c>
      <c r="D9" s="1" t="inlineStr">
        <is>
          <t>Raw</t>
        </is>
      </c>
      <c r="E9" s="2" t="n">
        <v>16.5</v>
      </c>
      <c r="F9" s="1" t="inlineStr">
        <is>
          <t>16-17</t>
        </is>
      </c>
      <c r="G9" s="1" t="inlineStr">
        <is>
          <t>14-18</t>
        </is>
      </c>
      <c r="H9" s="1" t="inlineStr">
        <is>
          <t>Sub-Juniors</t>
        </is>
      </c>
      <c r="I9" s="2" t="n">
        <v>81.8</v>
      </c>
      <c r="J9" s="1" t="inlineStr">
        <is>
          <t>83</t>
        </is>
      </c>
      <c r="K9" s="2" t="n">
        <v>200</v>
      </c>
      <c r="L9" s="2" t="n">
        <v>130</v>
      </c>
      <c r="M9" s="2" t="n">
        <v>237.5</v>
      </c>
      <c r="N9" s="1" t="inlineStr">
        <is>
          <t>1</t>
        </is>
      </c>
      <c r="O9" s="1" t="inlineStr">
        <is>
          <t>Yes</t>
        </is>
      </c>
      <c r="P9" s="1" t="inlineStr">
        <is>
          <t>Canada</t>
        </is>
      </c>
      <c r="Q9" s="1" t="inlineStr">
        <is>
          <t>QC</t>
        </is>
      </c>
      <c r="R9" s="1" t="inlineStr">
        <is>
          <t>CPU</t>
        </is>
      </c>
      <c r="S9" s="1" t="inlineStr">
        <is>
          <t>IPF</t>
        </is>
      </c>
      <c r="T9" s="1" t="inlineStr">
        <is>
          <t>2025-02-15</t>
        </is>
      </c>
      <c r="U9" s="1" t="inlineStr">
        <is>
          <t>Canada</t>
        </is>
      </c>
      <c r="V9" s="1" t="inlineStr">
        <is>
          <t>QC</t>
        </is>
      </c>
      <c r="W9" s="1" t="inlineStr">
        <is>
          <t>Lévis</t>
        </is>
      </c>
      <c r="X9" s="1" t="inlineStr">
        <is>
          <t>Les épreuves d'Atlas</t>
        </is>
      </c>
      <c r="Y9" s="1" t="inlineStr">
        <is>
          <t>Yes</t>
        </is>
      </c>
    </row>
    <row r="10">
      <c r="A10" s="1" t="inlineStr">
        <is>
          <t>Joshua Noble</t>
        </is>
      </c>
      <c r="B10" s="1" t="inlineStr">
        <is>
          <t>M</t>
        </is>
      </c>
      <c r="C10" s="1" t="inlineStr">
        <is>
          <t>SBD</t>
        </is>
      </c>
      <c r="D10" s="1" t="inlineStr">
        <is>
          <t>Raw</t>
        </is>
      </c>
      <c r="E10" s="2" t="n">
        <v>30.5</v>
      </c>
      <c r="F10" s="1" t="inlineStr">
        <is>
          <t>24-34</t>
        </is>
      </c>
      <c r="G10" s="1" t="inlineStr">
        <is>
          <t>24-39</t>
        </is>
      </c>
      <c r="H10" s="1" t="inlineStr">
        <is>
          <t>MR-O</t>
        </is>
      </c>
      <c r="I10" s="2" t="n">
        <v>90.5</v>
      </c>
      <c r="J10" s="1" t="inlineStr">
        <is>
          <t>93</t>
        </is>
      </c>
      <c r="K10" s="2" t="n">
        <v>242.5</v>
      </c>
      <c r="L10" s="2" t="n">
        <v>132.5</v>
      </c>
      <c r="M10" s="2" t="n">
        <v>232.5</v>
      </c>
      <c r="N10" s="1" t="inlineStr">
        <is>
          <t>70</t>
        </is>
      </c>
      <c r="O10" s="1" t="inlineStr">
        <is>
          <t>Yes</t>
        </is>
      </c>
      <c r="P10" s="1" t="inlineStr">
        <is>
          <t>USA</t>
        </is>
      </c>
      <c r="Q10" s="1" t="inlineStr">
        <is>
          <t>IA</t>
        </is>
      </c>
      <c r="R10" s="1" t="inlineStr">
        <is>
          <t>USAPL</t>
        </is>
      </c>
      <c r="S10" s="1" t="inlineStr">
        <is>
          <t>IPF</t>
        </is>
      </c>
      <c r="T10" s="1" t="inlineStr">
        <is>
          <t>2016-10-13</t>
        </is>
      </c>
      <c r="U10" s="1" t="inlineStr">
        <is>
          <t>USA</t>
        </is>
      </c>
      <c r="V10" s="1" t="inlineStr">
        <is>
          <t>GA</t>
        </is>
      </c>
      <c r="W10" s="1" t="inlineStr">
        <is>
          <t>Atlanta</t>
        </is>
      </c>
      <c r="X10" s="1" t="inlineStr">
        <is>
          <t>Raw Nationals</t>
        </is>
      </c>
      <c r="Y10" s="1" t="inlineStr">
        <is>
          <t>Yes</t>
        </is>
      </c>
    </row>
    <row r="11">
      <c r="A11" s="1" t="inlineStr">
        <is>
          <t>Amber Gomez</t>
        </is>
      </c>
      <c r="B11" s="1" t="inlineStr">
        <is>
          <t>F</t>
        </is>
      </c>
      <c r="C11" s="1" t="inlineStr">
        <is>
          <t>SBD</t>
        </is>
      </c>
      <c r="D11" s="1" t="inlineStr">
        <is>
          <t>Raw</t>
        </is>
      </c>
      <c r="E11" s="2" t="n">
        <v>46</v>
      </c>
      <c r="F11" s="1" t="inlineStr">
        <is>
          <t>45-49</t>
        </is>
      </c>
      <c r="G11" s="1" t="inlineStr">
        <is>
          <t>40-49</t>
        </is>
      </c>
      <c r="H11" s="1" t="inlineStr">
        <is>
          <t>FR-M1</t>
        </is>
      </c>
      <c r="I11" s="2" t="n">
        <v>75.90000000000001</v>
      </c>
      <c r="J11" s="1" t="inlineStr">
        <is>
          <t>76</t>
        </is>
      </c>
      <c r="K11" s="2" t="n">
        <v>137.5</v>
      </c>
      <c r="L11" s="2" t="n">
        <v>75</v>
      </c>
      <c r="M11" s="2" t="n">
        <v>167.5</v>
      </c>
      <c r="N11" s="1" t="inlineStr">
        <is>
          <t>1</t>
        </is>
      </c>
      <c r="O11" s="1" t="inlineStr">
        <is>
          <t>Yes</t>
        </is>
      </c>
      <c r="P11" s="1" t="inlineStr">
        <is>
          <t>USA</t>
        </is>
      </c>
      <c r="Q11" s="1" t="inlineStr">
        <is>
          <t>TX</t>
        </is>
      </c>
      <c r="R11" s="1" t="inlineStr">
        <is>
          <t>AMP</t>
        </is>
      </c>
      <c r="S11" s="1" t="inlineStr">
        <is>
          <t>IPF</t>
        </is>
      </c>
      <c r="T11" s="1" t="inlineStr">
        <is>
          <t>2025-04-26</t>
        </is>
      </c>
      <c r="U11" s="1" t="inlineStr">
        <is>
          <t>USA</t>
        </is>
      </c>
      <c r="V11" s="1" t="inlineStr">
        <is>
          <t>TX</t>
        </is>
      </c>
      <c r="W11" s="1" t="inlineStr">
        <is>
          <t>Austin</t>
        </is>
      </c>
      <c r="X11" s="1" t="inlineStr">
        <is>
          <t>Gameday Birthday Bash</t>
        </is>
      </c>
      <c r="Y11" s="1" t="inlineStr">
        <is>
          <t>Yes</t>
        </is>
      </c>
    </row>
    <row r="12">
      <c r="A12" s="1" t="inlineStr">
        <is>
          <t>Arlene van Diepen</t>
        </is>
      </c>
      <c r="B12" s="1" t="inlineStr">
        <is>
          <t>F</t>
        </is>
      </c>
      <c r="C12" s="1" t="inlineStr">
        <is>
          <t>SBD</t>
        </is>
      </c>
      <c r="D12" s="1" t="inlineStr">
        <is>
          <t>Raw</t>
        </is>
      </c>
      <c r="E12" s="2" t="n">
        <v>60</v>
      </c>
      <c r="F12" s="1" t="inlineStr">
        <is>
          <t>60-64</t>
        </is>
      </c>
      <c r="G12" s="1" t="inlineStr">
        <is>
          <t>60-69</t>
        </is>
      </c>
      <c r="H12" s="1" t="inlineStr">
        <is>
          <t>Masters 3</t>
        </is>
      </c>
      <c r="I12" s="2" t="n">
        <v>79.3</v>
      </c>
      <c r="J12" s="1" t="inlineStr">
        <is>
          <t>84</t>
        </is>
      </c>
      <c r="K12" s="2" t="n">
        <v>107.5</v>
      </c>
      <c r="L12" s="2" t="n">
        <v>50</v>
      </c>
      <c r="M12" s="2" t="n">
        <v>140</v>
      </c>
      <c r="N12" s="1" t="inlineStr">
        <is>
          <t>3</t>
        </is>
      </c>
      <c r="O12" s="1" t="inlineStr">
        <is>
          <t>Yes</t>
        </is>
      </c>
      <c r="P12" s="1" t="inlineStr">
        <is>
          <t>Canada</t>
        </is>
      </c>
      <c r="Q12" s="1" t="inlineStr">
        <is>
          <t>PE</t>
        </is>
      </c>
      <c r="R12" s="1" t="inlineStr">
        <is>
          <t>CPU</t>
        </is>
      </c>
      <c r="S12" s="1" t="inlineStr">
        <is>
          <t>IPF</t>
        </is>
      </c>
      <c r="T12" s="1" t="inlineStr">
        <is>
          <t>2018-02-19</t>
        </is>
      </c>
      <c r="U12" s="1" t="inlineStr">
        <is>
          <t>Canada</t>
        </is>
      </c>
      <c r="V12" s="1" t="inlineStr">
        <is>
          <t>AB</t>
        </is>
      </c>
      <c r="W12" s="1" t="inlineStr">
        <is>
          <t>Calgary</t>
        </is>
      </c>
      <c r="X12" s="1" t="inlineStr">
        <is>
          <t>Canadian Championship</t>
        </is>
      </c>
      <c r="Y12" s="1" t="inlineStr">
        <is>
          <t>Yes</t>
        </is>
      </c>
    </row>
    <row r="13">
      <c r="A13" s="1" t="inlineStr">
        <is>
          <t>Alma Kimura</t>
        </is>
      </c>
      <c r="B13" s="1" t="inlineStr">
        <is>
          <t>F</t>
        </is>
      </c>
      <c r="C13" s="1" t="inlineStr">
        <is>
          <t>SBD</t>
        </is>
      </c>
      <c r="D13" s="1" t="inlineStr">
        <is>
          <t>Raw</t>
        </is>
      </c>
      <c r="E13" s="2" t="n">
        <v>70</v>
      </c>
      <c r="F13" s="1" t="inlineStr">
        <is>
          <t>70-74</t>
        </is>
      </c>
      <c r="G13" s="1" t="inlineStr">
        <is>
          <t>70-999</t>
        </is>
      </c>
      <c r="H13" s="1" t="inlineStr">
        <is>
          <t>FR-M4</t>
        </is>
      </c>
      <c r="I13" s="2" t="n">
        <v>61.81</v>
      </c>
      <c r="J13" s="1" t="inlineStr">
        <is>
          <t>63</t>
        </is>
      </c>
      <c r="K13" s="2" t="n">
        <v>107.5</v>
      </c>
      <c r="L13" s="2" t="n">
        <v>52.5</v>
      </c>
      <c r="M13" s="2" t="n">
        <v>130</v>
      </c>
      <c r="N13" s="1" t="inlineStr">
        <is>
          <t>1</t>
        </is>
      </c>
      <c r="O13" s="1" t="inlineStr">
        <is>
          <t>Yes</t>
        </is>
      </c>
      <c r="P13" s="1" t="inlineStr">
        <is>
          <t>USA</t>
        </is>
      </c>
      <c r="Q13" s="1" t="inlineStr">
        <is>
          <t>WA</t>
        </is>
      </c>
      <c r="R13" s="1" t="inlineStr">
        <is>
          <t>AMP</t>
        </is>
      </c>
      <c r="S13" s="1" t="inlineStr">
        <is>
          <t>IPF</t>
        </is>
      </c>
      <c r="T13" s="1" t="inlineStr">
        <is>
          <t>2025-05-28</t>
        </is>
      </c>
      <c r="U13" s="1" t="inlineStr">
        <is>
          <t>USA</t>
        </is>
      </c>
      <c r="V13" s="1" t="inlineStr">
        <is>
          <t>NV</t>
        </is>
      </c>
      <c r="W13" s="1" t="inlineStr">
        <is>
          <t>Reno</t>
        </is>
      </c>
      <c r="X13" s="1" t="inlineStr">
        <is>
          <t>Classic and Equipped Age Division Nationals</t>
        </is>
      </c>
      <c r="Y13" s="1" t="inlineStr">
        <is>
          <t>Yes</t>
        </is>
      </c>
    </row>
    <row r="14">
      <c r="A14" s="1" t="inlineStr">
        <is>
          <t>Jonathan Cruz #1</t>
        </is>
      </c>
      <c r="B14" s="1" t="inlineStr">
        <is>
          <t>M</t>
        </is>
      </c>
      <c r="C14" s="1" t="inlineStr">
        <is>
          <t>SBD</t>
        </is>
      </c>
      <c r="D14" s="1" t="inlineStr">
        <is>
          <t>Raw</t>
        </is>
      </c>
      <c r="E14" s="2" t="n">
        <v>29</v>
      </c>
      <c r="F14" s="1" t="inlineStr">
        <is>
          <t>24-34</t>
        </is>
      </c>
      <c r="G14" s="1" t="inlineStr">
        <is>
          <t>24-39</t>
        </is>
      </c>
      <c r="H14" s="1" t="inlineStr">
        <is>
          <t>Open</t>
        </is>
      </c>
      <c r="I14" s="2" t="n">
        <v>72.5</v>
      </c>
      <c r="J14" s="1" t="inlineStr">
        <is>
          <t>74</t>
        </is>
      </c>
      <c r="K14" s="2" t="n">
        <v>245</v>
      </c>
      <c r="L14" s="2" t="n">
        <v>152.5</v>
      </c>
      <c r="M14" s="2" t="n">
        <v>290</v>
      </c>
      <c r="N14" s="1" t="inlineStr">
        <is>
          <t>1</t>
        </is>
      </c>
      <c r="O14" s="1" t="inlineStr">
        <is>
          <t>Yes</t>
        </is>
      </c>
      <c r="P14" s="1" t="inlineStr">
        <is>
          <t>Canada</t>
        </is>
      </c>
      <c r="Q14" s="1" t="inlineStr">
        <is>
          <t>BC</t>
        </is>
      </c>
      <c r="R14" s="1" t="inlineStr">
        <is>
          <t>CPU</t>
        </is>
      </c>
      <c r="S14" s="1" t="inlineStr">
        <is>
          <t>IPF</t>
        </is>
      </c>
      <c r="T14" s="1" t="inlineStr">
        <is>
          <t>2021-11-13</t>
        </is>
      </c>
      <c r="U14" s="1" t="inlineStr">
        <is>
          <t>Canada</t>
        </is>
      </c>
      <c r="V14" s="1" t="inlineStr">
        <is>
          <t>BC</t>
        </is>
      </c>
      <c r="W14" s="1" t="inlineStr">
        <is>
          <t>Richmond</t>
        </is>
      </c>
      <c r="X14" s="1" t="inlineStr">
        <is>
          <t>Western Canadians</t>
        </is>
      </c>
      <c r="Y14" s="1" t="inlineStr">
        <is>
          <t>Yes</t>
        </is>
      </c>
    </row>
    <row r="15">
      <c r="A15" s="1" t="inlineStr">
        <is>
          <t>Serena Abweh</t>
        </is>
      </c>
      <c r="B15" s="1" t="inlineStr">
        <is>
          <t>F</t>
        </is>
      </c>
      <c r="C15" s="1" t="inlineStr">
        <is>
          <t>SBD</t>
        </is>
      </c>
      <c r="D15" s="1" t="inlineStr">
        <is>
          <t>Raw</t>
        </is>
      </c>
      <c r="E15" s="2" t="n">
        <v>17</v>
      </c>
      <c r="F15" s="1" t="inlineStr">
        <is>
          <t>16-17</t>
        </is>
      </c>
      <c r="G15" s="1" t="inlineStr">
        <is>
          <t>14-18</t>
        </is>
      </c>
      <c r="H15" s="1" t="inlineStr">
        <is>
          <t>FR-T2</t>
        </is>
      </c>
      <c r="I15" s="2" t="n">
        <v>46.1</v>
      </c>
      <c r="J15" s="1" t="inlineStr">
        <is>
          <t>47</t>
        </is>
      </c>
      <c r="K15" s="2" t="n">
        <v>82.5</v>
      </c>
      <c r="L15" s="2" t="n">
        <v>52.5</v>
      </c>
      <c r="M15" s="2" t="n">
        <v>125.5</v>
      </c>
      <c r="N15" s="1" t="inlineStr">
        <is>
          <t>1</t>
        </is>
      </c>
      <c r="O15" s="1" t="inlineStr">
        <is>
          <t>Yes</t>
        </is>
      </c>
      <c r="P15" s="1" t="inlineStr">
        <is>
          <t>USA</t>
        </is>
      </c>
      <c r="Q15" s="1" t="inlineStr">
        <is>
          <t>NM</t>
        </is>
      </c>
      <c r="R15" s="1" t="inlineStr">
        <is>
          <t>USAPL</t>
        </is>
      </c>
      <c r="S15" s="1" t="inlineStr">
        <is>
          <t>IPF</t>
        </is>
      </c>
      <c r="T15" s="1" t="inlineStr">
        <is>
          <t>2018-10-11</t>
        </is>
      </c>
      <c r="U15" s="1" t="inlineStr">
        <is>
          <t>USA</t>
        </is>
      </c>
      <c r="V15" s="1" t="inlineStr">
        <is>
          <t>WA</t>
        </is>
      </c>
      <c r="W15" s="1" t="inlineStr">
        <is>
          <t>Spokane</t>
        </is>
      </c>
      <c r="X15" s="1" t="inlineStr">
        <is>
          <t>Raw Nationals</t>
        </is>
      </c>
      <c r="Y15" s="1" t="inlineStr">
        <is>
          <t>Yes</t>
        </is>
      </c>
    </row>
    <row r="16">
      <c r="A16" s="1" t="inlineStr">
        <is>
          <t>Ashleigh Sutton</t>
        </is>
      </c>
      <c r="B16" s="1" t="inlineStr">
        <is>
          <t>F</t>
        </is>
      </c>
      <c r="C16" s="1" t="inlineStr">
        <is>
          <t>SBD</t>
        </is>
      </c>
      <c r="D16" s="1" t="inlineStr">
        <is>
          <t>Raw</t>
        </is>
      </c>
      <c r="E16" s="2" t="n">
        <v>23</v>
      </c>
      <c r="F16" s="1" t="inlineStr">
        <is>
          <t>20-23</t>
        </is>
      </c>
      <c r="G16" s="1" t="inlineStr">
        <is>
          <t>19-23</t>
        </is>
      </c>
      <c r="H16" s="1" t="inlineStr">
        <is>
          <t>FR-Jr</t>
        </is>
      </c>
      <c r="I16" s="2" t="n">
        <v>74.2</v>
      </c>
      <c r="J16" s="1" t="inlineStr">
        <is>
          <t>76</t>
        </is>
      </c>
      <c r="K16" s="2" t="n">
        <v>170</v>
      </c>
      <c r="L16" s="2" t="n">
        <v>85</v>
      </c>
      <c r="M16" s="2" t="n">
        <v>197.5</v>
      </c>
      <c r="N16" s="1" t="inlineStr">
        <is>
          <t>2</t>
        </is>
      </c>
      <c r="O16" s="1" t="inlineStr">
        <is>
          <t>Yes</t>
        </is>
      </c>
      <c r="P16" s="1" t="inlineStr">
        <is>
          <t>England</t>
        </is>
      </c>
      <c r="Q16" s="1" t="inlineStr">
        <is>
          <t>WM</t>
        </is>
      </c>
      <c r="R16" s="1" t="inlineStr">
        <is>
          <t>BP</t>
        </is>
      </c>
      <c r="S16" s="1" t="inlineStr">
        <is>
          <t>IPF</t>
        </is>
      </c>
      <c r="T16" s="1" t="inlineStr">
        <is>
          <t>2024-03-19</t>
        </is>
      </c>
      <c r="U16" s="1" t="inlineStr">
        <is>
          <t>England</t>
        </is>
      </c>
      <c r="V16" s="1" t="inlineStr">
        <is>
          <t>WM</t>
        </is>
      </c>
      <c r="W16" s="1" t="inlineStr">
        <is>
          <t>Solihull</t>
        </is>
      </c>
      <c r="X16" s="1" t="inlineStr">
        <is>
          <t>British Junior Powerlifting Championships</t>
        </is>
      </c>
      <c r="Y16" s="1" t="inlineStr">
        <is>
          <t>Yes</t>
        </is>
      </c>
    </row>
    <row r="17">
      <c r="A17" s="1" t="inlineStr">
        <is>
          <t>Aaron Ziffle</t>
        </is>
      </c>
      <c r="B17" s="1" t="inlineStr">
        <is>
          <t>M</t>
        </is>
      </c>
      <c r="C17" s="1" t="inlineStr">
        <is>
          <t>SBD</t>
        </is>
      </c>
      <c r="D17" s="1" t="inlineStr">
        <is>
          <t>Raw</t>
        </is>
      </c>
      <c r="E17" s="2" t="n">
        <v>33.5</v>
      </c>
      <c r="F17" s="1" t="inlineStr">
        <is>
          <t>24-34</t>
        </is>
      </c>
      <c r="G17" s="1" t="inlineStr">
        <is>
          <t>24-39</t>
        </is>
      </c>
      <c r="H17" s="1" t="inlineStr">
        <is>
          <t>Open</t>
        </is>
      </c>
      <c r="I17" s="2" t="n">
        <v>92.8</v>
      </c>
      <c r="J17" s="1" t="inlineStr">
        <is>
          <t>93</t>
        </is>
      </c>
      <c r="K17" s="2" t="n">
        <v>255</v>
      </c>
      <c r="L17" s="2" t="n">
        <v>182.5</v>
      </c>
      <c r="M17" s="2" t="n">
        <v>245</v>
      </c>
      <c r="N17" s="1" t="inlineStr">
        <is>
          <t>2</t>
        </is>
      </c>
      <c r="O17" s="1" t="inlineStr">
        <is>
          <t>Yes</t>
        </is>
      </c>
      <c r="P17" s="1" t="inlineStr">
        <is>
          <t>Canada</t>
        </is>
      </c>
      <c r="Q17" s="1" t="inlineStr">
        <is>
          <t>SK</t>
        </is>
      </c>
      <c r="R17" s="1" t="inlineStr">
        <is>
          <t>CPU</t>
        </is>
      </c>
      <c r="S17" s="1" t="inlineStr">
        <is>
          <t>IPF</t>
        </is>
      </c>
      <c r="T17" s="1" t="inlineStr">
        <is>
          <t>2015-12-18</t>
        </is>
      </c>
      <c r="U17" s="1" t="inlineStr">
        <is>
          <t>Canada</t>
        </is>
      </c>
      <c r="V17" s="1" t="inlineStr">
        <is>
          <t>SK</t>
        </is>
      </c>
      <c r="W17" s="1" t="inlineStr">
        <is>
          <t>Moose Jaw</t>
        </is>
      </c>
      <c r="X17" s="1" t="inlineStr">
        <is>
          <t>Western Canadian Championship</t>
        </is>
      </c>
      <c r="Y17" s="1" t="inlineStr">
        <is>
          <t>Yes</t>
        </is>
      </c>
    </row>
    <row r="18">
      <c r="A18" s="1" t="inlineStr">
        <is>
          <t>Adelaide Hurlbert</t>
        </is>
      </c>
      <c r="B18" s="1" t="inlineStr">
        <is>
          <t>F</t>
        </is>
      </c>
      <c r="C18" s="1" t="inlineStr">
        <is>
          <t>SBD</t>
        </is>
      </c>
      <c r="D18" s="1" t="inlineStr">
        <is>
          <t>Raw</t>
        </is>
      </c>
      <c r="E18" s="2" t="n">
        <v>22.5</v>
      </c>
      <c r="F18" s="1" t="inlineStr">
        <is>
          <t>20-23</t>
        </is>
      </c>
      <c r="G18" s="1" t="inlineStr">
        <is>
          <t>19-23</t>
        </is>
      </c>
      <c r="H18" s="1" t="inlineStr">
        <is>
          <t>FR-Jr</t>
        </is>
      </c>
      <c r="I18" s="2" t="n">
        <v>61.8</v>
      </c>
      <c r="J18" s="1" t="inlineStr">
        <is>
          <t>63</t>
        </is>
      </c>
      <c r="K18" s="2" t="n">
        <v>87.5</v>
      </c>
      <c r="L18" s="2" t="n">
        <v>57.5</v>
      </c>
      <c r="M18" s="2" t="n">
        <v>110</v>
      </c>
      <c r="N18" s="1" t="inlineStr">
        <is>
          <t>21</t>
        </is>
      </c>
      <c r="O18" s="1" t="inlineStr">
        <is>
          <t>Yes</t>
        </is>
      </c>
      <c r="P18" s="1" t="inlineStr">
        <is>
          <t>USA</t>
        </is>
      </c>
      <c r="Q18" s="1" t="inlineStr">
        <is>
          <t>NY</t>
        </is>
      </c>
      <c r="R18" s="1" t="inlineStr">
        <is>
          <t>USAPL</t>
        </is>
      </c>
      <c r="S18" s="1" t="inlineStr">
        <is>
          <t>IPF</t>
        </is>
      </c>
      <c r="T18" s="1" t="inlineStr">
        <is>
          <t>2016-10-13</t>
        </is>
      </c>
      <c r="U18" s="1" t="inlineStr">
        <is>
          <t>USA</t>
        </is>
      </c>
      <c r="V18" s="1" t="inlineStr">
        <is>
          <t>GA</t>
        </is>
      </c>
      <c r="W18" s="1" t="inlineStr">
        <is>
          <t>Atlanta</t>
        </is>
      </c>
      <c r="X18" s="1" t="inlineStr">
        <is>
          <t>Raw Nationals</t>
        </is>
      </c>
      <c r="Y18" s="1" t="inlineStr">
        <is>
          <t>Yes</t>
        </is>
      </c>
    </row>
    <row r="19">
      <c r="A19" s="1" t="inlineStr">
        <is>
          <t>Coralee Traurig</t>
        </is>
      </c>
      <c r="B19" s="1" t="inlineStr">
        <is>
          <t>F</t>
        </is>
      </c>
      <c r="C19" s="1" t="inlineStr">
        <is>
          <t>SBD</t>
        </is>
      </c>
      <c r="D19" s="1" t="inlineStr">
        <is>
          <t>Raw</t>
        </is>
      </c>
      <c r="E19" s="2" t="n">
        <v>33.5</v>
      </c>
      <c r="F19" s="1" t="inlineStr">
        <is>
          <t>24-34</t>
        </is>
      </c>
      <c r="G19" s="1" t="inlineStr">
        <is>
          <t>24-39</t>
        </is>
      </c>
      <c r="H19" s="1" t="inlineStr">
        <is>
          <t>FR-O</t>
        </is>
      </c>
      <c r="I19" s="2" t="n">
        <v>71.09999999999999</v>
      </c>
      <c r="J19" s="1" t="inlineStr">
        <is>
          <t>72</t>
        </is>
      </c>
      <c r="K19" s="2" t="n">
        <v>107.5</v>
      </c>
      <c r="L19" s="2" t="n">
        <v>65</v>
      </c>
      <c r="M19" s="2" t="n">
        <v>115</v>
      </c>
      <c r="N19" s="1" t="inlineStr">
        <is>
          <t>3</t>
        </is>
      </c>
      <c r="O19" s="1" t="inlineStr">
        <is>
          <t>Yes</t>
        </is>
      </c>
      <c r="P19" s="1" t="inlineStr">
        <is>
          <t>USA</t>
        </is>
      </c>
      <c r="Q19" s="1" t="inlineStr">
        <is>
          <t>CO</t>
        </is>
      </c>
      <c r="R19" s="1" t="inlineStr">
        <is>
          <t>USAPL</t>
        </is>
      </c>
      <c r="S19" s="1" t="inlineStr">
        <is>
          <t>IPF</t>
        </is>
      </c>
      <c r="T19" s="1" t="inlineStr">
        <is>
          <t>2016-09-25</t>
        </is>
      </c>
      <c r="U19" s="1" t="inlineStr">
        <is>
          <t>USA</t>
        </is>
      </c>
      <c r="V19" s="1" t="inlineStr">
        <is>
          <t>CO</t>
        </is>
      </c>
      <c r="W19" s="1" t="inlineStr">
        <is>
          <t>Wheat Ridge</t>
        </is>
      </c>
      <c r="X19" s="1" t="inlineStr">
        <is>
          <t>Colorado Fall Open</t>
        </is>
      </c>
      <c r="Y19" s="1" t="inlineStr">
        <is>
          <t>Yes</t>
        </is>
      </c>
    </row>
    <row r="20">
      <c r="A20" s="1" t="inlineStr">
        <is>
          <t>Hugo Laliberté</t>
        </is>
      </c>
      <c r="B20" s="1" t="inlineStr">
        <is>
          <t>M</t>
        </is>
      </c>
      <c r="C20" s="1" t="inlineStr">
        <is>
          <t>SBD</t>
        </is>
      </c>
      <c r="D20" s="1" t="inlineStr">
        <is>
          <t>Raw</t>
        </is>
      </c>
      <c r="E20" s="2" t="n">
        <v>18.5</v>
      </c>
      <c r="F20" s="1" t="inlineStr">
        <is>
          <t>18-19</t>
        </is>
      </c>
      <c r="G20" s="1" t="inlineStr">
        <is>
          <t>19-23</t>
        </is>
      </c>
      <c r="H20" s="1" t="inlineStr">
        <is>
          <t>Juniors</t>
        </is>
      </c>
      <c r="I20" s="2" t="n">
        <v>80.2</v>
      </c>
      <c r="J20" s="1" t="inlineStr">
        <is>
          <t>83</t>
        </is>
      </c>
      <c r="K20" s="2" t="n">
        <v>162.5</v>
      </c>
      <c r="L20" s="2" t="n">
        <v>102.5</v>
      </c>
      <c r="M20" s="2" t="n">
        <v>205</v>
      </c>
      <c r="N20" s="1" t="inlineStr">
        <is>
          <t>2</t>
        </is>
      </c>
      <c r="O20" s="1" t="inlineStr">
        <is>
          <t>Yes</t>
        </is>
      </c>
      <c r="P20" s="1" t="inlineStr">
        <is>
          <t>Canada</t>
        </is>
      </c>
      <c r="Q20" s="1" t="inlineStr">
        <is>
          <t>QC</t>
        </is>
      </c>
      <c r="R20" s="1" t="inlineStr">
        <is>
          <t>CPU</t>
        </is>
      </c>
      <c r="S20" s="1" t="inlineStr">
        <is>
          <t>IPF</t>
        </is>
      </c>
      <c r="T20" s="1" t="inlineStr">
        <is>
          <t>2013-08-24</t>
        </is>
      </c>
      <c r="U20" s="1" t="inlineStr">
        <is>
          <t>Canada</t>
        </is>
      </c>
      <c r="V20" s="1" t="inlineStr">
        <is>
          <t>QC</t>
        </is>
      </c>
      <c r="W20" s="1" t="inlineStr">
        <is>
          <t>Varennes</t>
        </is>
      </c>
      <c r="X20" s="1" t="inlineStr">
        <is>
          <t>South Shore Challenge</t>
        </is>
      </c>
      <c r="Y20" s="1" t="inlineStr">
        <is>
          <t>Yes</t>
        </is>
      </c>
    </row>
    <row r="21">
      <c r="A21" s="1" t="inlineStr">
        <is>
          <t>Curtis Laird</t>
        </is>
      </c>
      <c r="B21" s="1" t="inlineStr">
        <is>
          <t>M</t>
        </is>
      </c>
      <c r="C21" s="1" t="inlineStr">
        <is>
          <t>SBD</t>
        </is>
      </c>
      <c r="D21" s="1" t="inlineStr">
        <is>
          <t>Raw</t>
        </is>
      </c>
      <c r="E21" s="2" t="n">
        <v>39</v>
      </c>
      <c r="F21" s="1" t="inlineStr">
        <is>
          <t>35-39</t>
        </is>
      </c>
      <c r="G21" s="1" t="inlineStr">
        <is>
          <t>24-39</t>
        </is>
      </c>
      <c r="H21" s="1" t="inlineStr">
        <is>
          <t>MR-O</t>
        </is>
      </c>
      <c r="I21" s="2" t="n">
        <v>108.98</v>
      </c>
      <c r="J21" s="1" t="inlineStr">
        <is>
          <t>110</t>
        </is>
      </c>
      <c r="K21" s="2" t="n">
        <v>226.8</v>
      </c>
      <c r="L21" s="2" t="n">
        <v>165.56</v>
      </c>
      <c r="M21" s="2" t="n">
        <v>242.67</v>
      </c>
      <c r="N21" s="1" t="inlineStr">
        <is>
          <t>1</t>
        </is>
      </c>
      <c r="O21" s="1" t="inlineStr">
        <is>
          <t>Yes</t>
        </is>
      </c>
      <c r="P21" s="1" t="inlineStr">
        <is>
          <t>USA</t>
        </is>
      </c>
      <c r="Q21" s="1" t="inlineStr">
        <is>
          <t>SC</t>
        </is>
      </c>
      <c r="R21" s="1" t="inlineStr">
        <is>
          <t>USAPL</t>
        </is>
      </c>
      <c r="S21" s="1" t="inlineStr">
        <is>
          <t>IPF</t>
        </is>
      </c>
      <c r="T21" s="1" t="inlineStr">
        <is>
          <t>2009-06-27</t>
        </is>
      </c>
      <c r="U21" s="1" t="inlineStr">
        <is>
          <t>USA</t>
        </is>
      </c>
      <c r="V21" s="1" t="inlineStr">
        <is>
          <t>SC</t>
        </is>
      </c>
      <c r="W21" s="1" t="inlineStr">
        <is>
          <t>Columbia</t>
        </is>
      </c>
      <c r="X21" s="1" t="inlineStr">
        <is>
          <t>State Championships</t>
        </is>
      </c>
      <c r="Y21" s="1" t="inlineStr">
        <is>
          <t>Yes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BodyweightKg</t>
        </is>
      </c>
      <c r="D1" t="inlineStr">
        <is>
          <t>Best3SquatKg</t>
        </is>
      </c>
      <c r="E1" t="inlineStr">
        <is>
          <t>Best3BenchKg</t>
        </is>
      </c>
      <c r="F1" t="inlineStr">
        <is>
          <t>Best3DeadliftKg</t>
        </is>
      </c>
      <c r="G1" t="inlineStr">
        <is>
          <t>TotalKg</t>
        </is>
      </c>
      <c r="H1" t="inlineStr">
        <is>
          <t>Dots</t>
        </is>
      </c>
    </row>
    <row r="2">
      <c r="A2" t="inlineStr">
        <is>
          <t>Julien Comte</t>
        </is>
      </c>
      <c r="B2" t="inlineStr">
        <is>
          <t>M</t>
        </is>
      </c>
      <c r="C2" t="n">
        <v>82.25</v>
      </c>
      <c r="D2" t="n">
        <v>215</v>
      </c>
      <c r="E2" t="n">
        <v>132.5</v>
      </c>
      <c r="F2" t="n">
        <v>260</v>
      </c>
      <c r="G2">
        <f>D2+E2+F2</f>
        <v/>
      </c>
      <c r="H2">
        <f>ROUND(IF(B2="M",500/(-0.0000010930*C2^4+0.0007391293*C2^3-0.1918759221*C2^2+24.0900756*C2-307.75076)*G2,500/(-0.0000010706*C2^4+0.0005158568*C2^3-0.1126655495*C2^2+13.6175032*C2-57.96288)*G2),3)</f>
        <v/>
      </c>
    </row>
    <row r="3">
      <c r="A3" t="inlineStr">
        <is>
          <t>Matthew Starkey</t>
        </is>
      </c>
      <c r="B3" t="inlineStr">
        <is>
          <t>M</t>
        </is>
      </c>
      <c r="C3" t="n">
        <v>82.90000000000001</v>
      </c>
      <c r="D3" t="n">
        <v>205</v>
      </c>
      <c r="E3" t="n">
        <v>130</v>
      </c>
      <c r="F3" t="n">
        <v>227.5</v>
      </c>
      <c r="G3">
        <f>D3+E3+F3</f>
        <v/>
      </c>
      <c r="H3">
        <f>ROUND(IF(B3="M",500/(-0.0000010930*C3^4+0.0007391293*C3^3-0.1918759221*C3^2+24.0900756*C3-307.75076)*G3,500/(-0.0000010706*C3^4+0.0005158568*C3^3-0.1126655495*C3^2+13.6175032*C3-57.96288)*G3),3)</f>
        <v/>
      </c>
    </row>
    <row r="4">
      <c r="A4" t="inlineStr">
        <is>
          <t>Austin Keanu</t>
        </is>
      </c>
      <c r="B4" t="inlineStr">
        <is>
          <t>M</t>
        </is>
      </c>
      <c r="C4" t="n">
        <v>122.4</v>
      </c>
      <c r="D4" t="n">
        <v>275</v>
      </c>
      <c r="E4" t="n">
        <v>142.5</v>
      </c>
      <c r="F4" t="n">
        <v>235</v>
      </c>
      <c r="G4">
        <f>D4+E4+F4</f>
        <v/>
      </c>
      <c r="H4">
        <f>ROUND(IF(B4="M",500/(-0.0000010930*C4^4+0.0007391293*C4^3-0.1918759221*C4^2+24.0900756*C4-307.75076)*G4,500/(-0.0000010706*C4^4+0.0005158568*C4^3-0.1126655495*C4^2+13.6175032*C4-57.96288)*G4),3)</f>
        <v/>
      </c>
    </row>
    <row r="5">
      <c r="A5" t="inlineStr">
        <is>
          <t>Michelle McKeaveney</t>
        </is>
      </c>
      <c r="B5" t="inlineStr">
        <is>
          <t>F</t>
        </is>
      </c>
      <c r="C5" t="n">
        <v>96.8</v>
      </c>
      <c r="D5" t="n">
        <v>102.5</v>
      </c>
      <c r="E5" t="n">
        <v>50</v>
      </c>
      <c r="F5" t="n">
        <v>137.5</v>
      </c>
      <c r="G5">
        <f>D5+E5+F5</f>
        <v/>
      </c>
      <c r="H5">
        <f>ROUND(IF(B5="M",500/(-0.0000010930*C5^4+0.0007391293*C5^3-0.1918759221*C5^2+24.0900756*C5-307.75076)*G5,500/(-0.0000010706*C5^4+0.0005158568*C5^3-0.1126655495*C5^2+13.6175032*C5-57.96288)*G5),3)</f>
        <v/>
      </c>
    </row>
    <row r="6">
      <c r="A6" t="inlineStr">
        <is>
          <t>Tracy Klinger</t>
        </is>
      </c>
      <c r="B6" t="inlineStr">
        <is>
          <t>F</t>
        </is>
      </c>
      <c r="C6" t="n">
        <v>130.82</v>
      </c>
      <c r="D6" t="n">
        <v>62.5</v>
      </c>
      <c r="E6" t="n">
        <v>57.5</v>
      </c>
      <c r="F6" t="n">
        <v>117.5</v>
      </c>
      <c r="G6">
        <f>D6+E6+F6</f>
        <v/>
      </c>
      <c r="H6">
        <f>ROUND(IF(B6="M",500/(-0.0000010930*C6^4+0.0007391293*C6^3-0.1918759221*C6^2+24.0900756*C6-307.75076)*G6,500/(-0.0000010706*C6^4+0.0005158568*C6^3-0.1126655495*C6^2+13.6175032*C6-57.96288)*G6),3)</f>
        <v/>
      </c>
    </row>
    <row r="7">
      <c r="A7" t="inlineStr">
        <is>
          <t>Mohanad Ibrahiem</t>
        </is>
      </c>
      <c r="B7" t="inlineStr">
        <is>
          <t>M</t>
        </is>
      </c>
      <c r="C7" t="n">
        <v>103.94</v>
      </c>
      <c r="D7" t="n">
        <v>255</v>
      </c>
      <c r="E7" t="n">
        <v>165</v>
      </c>
      <c r="F7" t="n">
        <v>292.5</v>
      </c>
      <c r="G7">
        <f>D7+E7+F7</f>
        <v/>
      </c>
      <c r="H7">
        <f>ROUND(IF(B7="M",500/(-0.0000010930*C7^4+0.0007391293*C7^3-0.1918759221*C7^2+24.0900756*C7-307.75076)*G7,500/(-0.0000010706*C7^4+0.0005158568*C7^3-0.1126655495*C7^2+13.6175032*C7-57.96288)*G7),3)</f>
        <v/>
      </c>
    </row>
    <row r="8">
      <c r="A8" t="inlineStr">
        <is>
          <t>Pamela Cresci</t>
        </is>
      </c>
      <c r="B8" t="inlineStr">
        <is>
          <t>F</t>
        </is>
      </c>
      <c r="C8" t="n">
        <v>58.2</v>
      </c>
      <c r="D8" t="n">
        <v>82.5</v>
      </c>
      <c r="E8" t="n">
        <v>47.5</v>
      </c>
      <c r="F8" t="n">
        <v>130</v>
      </c>
      <c r="G8">
        <f>D8+E8+F8</f>
        <v/>
      </c>
      <c r="H8">
        <f>ROUND(IF(B8="M",500/(-0.0000010930*C8^4+0.0007391293*C8^3-0.1918759221*C8^2+24.0900756*C8-307.75076)*G8,500/(-0.0000010706*C8^4+0.0005158568*C8^3-0.1126655495*C8^2+13.6175032*C8-57.96288)*G8),3)</f>
        <v/>
      </c>
    </row>
    <row r="9">
      <c r="A9" t="inlineStr">
        <is>
          <t>Wilie Carpentier</t>
        </is>
      </c>
      <c r="B9" t="inlineStr">
        <is>
          <t>M</t>
        </is>
      </c>
      <c r="C9" t="n">
        <v>81.8</v>
      </c>
      <c r="D9" t="n">
        <v>200</v>
      </c>
      <c r="E9" t="n">
        <v>130</v>
      </c>
      <c r="F9" t="n">
        <v>237.5</v>
      </c>
      <c r="G9">
        <f>D9+E9+F9</f>
        <v/>
      </c>
      <c r="H9">
        <f>ROUND(IF(B9="M",500/(-0.0000010930*C9^4+0.0007391293*C9^3-0.1918759221*C9^2+24.0900756*C9-307.75076)*G9,500/(-0.0000010706*C9^4+0.0005158568*C9^3-0.1126655495*C9^2+13.6175032*C9-57.96288)*G9),3)</f>
        <v/>
      </c>
    </row>
    <row r="10">
      <c r="A10" t="inlineStr">
        <is>
          <t>Joshua Noble</t>
        </is>
      </c>
      <c r="B10" t="inlineStr">
        <is>
          <t>M</t>
        </is>
      </c>
      <c r="C10" t="n">
        <v>90.5</v>
      </c>
      <c r="D10" t="n">
        <v>242.5</v>
      </c>
      <c r="E10" t="n">
        <v>132.5</v>
      </c>
      <c r="F10" t="n">
        <v>232.5</v>
      </c>
      <c r="G10">
        <f>D10+E10+F10</f>
        <v/>
      </c>
      <c r="H10">
        <f>ROUND(IF(B10="M",500/(-0.0000010930*C10^4+0.0007391293*C10^3-0.1918759221*C10^2+24.0900756*C10-307.75076)*G10,500/(-0.0000010706*C10^4+0.0005158568*C10^3-0.1126655495*C10^2+13.6175032*C10-57.96288)*G10),3)</f>
        <v/>
      </c>
    </row>
    <row r="11">
      <c r="A11" t="inlineStr">
        <is>
          <t>Amber Gomez</t>
        </is>
      </c>
      <c r="B11" t="inlineStr">
        <is>
          <t>F</t>
        </is>
      </c>
      <c r="C11" t="n">
        <v>75.90000000000001</v>
      </c>
      <c r="D11" t="n">
        <v>137.5</v>
      </c>
      <c r="E11" t="n">
        <v>75</v>
      </c>
      <c r="F11" t="n">
        <v>167.5</v>
      </c>
      <c r="G11">
        <f>D11+E11+F11</f>
        <v/>
      </c>
      <c r="H11">
        <f>ROUND(IF(B11="M",500/(-0.0000010930*C11^4+0.0007391293*C11^3-0.1918759221*C11^2+24.0900756*C11-307.75076)*G11,500/(-0.0000010706*C11^4+0.0005158568*C11^3-0.1126655495*C11^2+13.6175032*C11-57.96288)*G11),3)</f>
        <v/>
      </c>
    </row>
    <row r="12">
      <c r="A12" t="inlineStr">
        <is>
          <t>Arlene van Diepen</t>
        </is>
      </c>
      <c r="B12" t="inlineStr">
        <is>
          <t>F</t>
        </is>
      </c>
      <c r="C12" t="n">
        <v>79.3</v>
      </c>
      <c r="D12" t="n">
        <v>107.5</v>
      </c>
      <c r="E12" t="n">
        <v>50</v>
      </c>
      <c r="F12" t="n">
        <v>140</v>
      </c>
      <c r="G12">
        <f>D12+E12+F12</f>
        <v/>
      </c>
      <c r="H12">
        <f>ROUND(IF(B12="M",500/(-0.0000010930*C12^4+0.0007391293*C12^3-0.1918759221*C12^2+24.0900756*C12-307.75076)*G12,500/(-0.0000010706*C12^4+0.0005158568*C12^3-0.1126655495*C12^2+13.6175032*C12-57.96288)*G12),3)</f>
        <v/>
      </c>
    </row>
    <row r="13">
      <c r="A13" t="inlineStr">
        <is>
          <t>Alma Kimura</t>
        </is>
      </c>
      <c r="B13" t="inlineStr">
        <is>
          <t>F</t>
        </is>
      </c>
      <c r="C13" t="n">
        <v>61.81</v>
      </c>
      <c r="D13" t="n">
        <v>107.5</v>
      </c>
      <c r="E13" t="n">
        <v>52.5</v>
      </c>
      <c r="F13" t="n">
        <v>130</v>
      </c>
      <c r="G13">
        <f>D13+E13+F13</f>
        <v/>
      </c>
      <c r="H13">
        <f>ROUND(IF(B13="M",500/(-0.0000010930*C13^4+0.0007391293*C13^3-0.1918759221*C13^2+24.0900756*C13-307.75076)*G13,500/(-0.0000010706*C13^4+0.0005158568*C13^3-0.1126655495*C13^2+13.6175032*C13-57.96288)*G13),3)</f>
        <v/>
      </c>
    </row>
    <row r="14">
      <c r="A14" t="inlineStr">
        <is>
          <t>Jonathan Cruz #1</t>
        </is>
      </c>
      <c r="B14" t="inlineStr">
        <is>
          <t>M</t>
        </is>
      </c>
      <c r="C14" t="n">
        <v>72.5</v>
      </c>
      <c r="D14" t="n">
        <v>245</v>
      </c>
      <c r="E14" t="n">
        <v>152.5</v>
      </c>
      <c r="F14" t="n">
        <v>290</v>
      </c>
      <c r="G14">
        <f>D14+E14+F14</f>
        <v/>
      </c>
      <c r="H14">
        <f>ROUND(IF(B14="M",500/(-0.0000010930*C14^4+0.0007391293*C14^3-0.1918759221*C14^2+24.0900756*C14-307.75076)*G14,500/(-0.0000010706*C14^4+0.0005158568*C14^3-0.1126655495*C14^2+13.6175032*C14-57.96288)*G14),3)</f>
        <v/>
      </c>
    </row>
    <row r="15">
      <c r="A15" t="inlineStr">
        <is>
          <t>Serena Abweh</t>
        </is>
      </c>
      <c r="B15" t="inlineStr">
        <is>
          <t>F</t>
        </is>
      </c>
      <c r="C15" t="n">
        <v>46.1</v>
      </c>
      <c r="D15" t="n">
        <v>82.5</v>
      </c>
      <c r="E15" t="n">
        <v>52.5</v>
      </c>
      <c r="F15" t="n">
        <v>125.5</v>
      </c>
      <c r="G15">
        <f>D15+E15+F15</f>
        <v/>
      </c>
      <c r="H15">
        <f>ROUND(IF(B15="M",500/(-0.0000010930*C15^4+0.0007391293*C15^3-0.1918759221*C15^2+24.0900756*C15-307.75076)*G15,500/(-0.0000010706*C15^4+0.0005158568*C15^3-0.1126655495*C15^2+13.6175032*C15-57.96288)*G15),3)</f>
        <v/>
      </c>
    </row>
    <row r="16">
      <c r="A16" t="inlineStr">
        <is>
          <t>Ashleigh Sutton</t>
        </is>
      </c>
      <c r="B16" t="inlineStr">
        <is>
          <t>F</t>
        </is>
      </c>
      <c r="C16" t="n">
        <v>74.2</v>
      </c>
      <c r="D16" t="n">
        <v>170</v>
      </c>
      <c r="E16" t="n">
        <v>85</v>
      </c>
      <c r="F16" t="n">
        <v>197.5</v>
      </c>
      <c r="G16">
        <f>D16+E16+F16</f>
        <v/>
      </c>
      <c r="H16">
        <f>ROUND(IF(B16="M",500/(-0.0000010930*C16^4+0.0007391293*C16^3-0.1918759221*C16^2+24.0900756*C16-307.75076)*G16,500/(-0.0000010706*C16^4+0.0005158568*C16^3-0.1126655495*C16^2+13.6175032*C16-57.96288)*G16),3)</f>
        <v/>
      </c>
    </row>
    <row r="17">
      <c r="A17" t="inlineStr">
        <is>
          <t>Aaron Ziffle</t>
        </is>
      </c>
      <c r="B17" t="inlineStr">
        <is>
          <t>M</t>
        </is>
      </c>
      <c r="C17" t="n">
        <v>92.8</v>
      </c>
      <c r="D17" t="n">
        <v>255</v>
      </c>
      <c r="E17" t="n">
        <v>182.5</v>
      </c>
      <c r="F17" t="n">
        <v>245</v>
      </c>
      <c r="G17">
        <f>D17+E17+F17</f>
        <v/>
      </c>
      <c r="H17">
        <f>ROUND(IF(B17="M",500/(-0.0000010930*C17^4+0.0007391293*C17^3-0.1918759221*C17^2+24.0900756*C17-307.75076)*G17,500/(-0.0000010706*C17^4+0.0005158568*C17^3-0.1126655495*C17^2+13.6175032*C17-57.96288)*G17),3)</f>
        <v/>
      </c>
    </row>
    <row r="18">
      <c r="A18" t="inlineStr">
        <is>
          <t>Adelaide Hurlbert</t>
        </is>
      </c>
      <c r="B18" t="inlineStr">
        <is>
          <t>F</t>
        </is>
      </c>
      <c r="C18" t="n">
        <v>61.8</v>
      </c>
      <c r="D18" t="n">
        <v>87.5</v>
      </c>
      <c r="E18" t="n">
        <v>57.5</v>
      </c>
      <c r="F18" t="n">
        <v>110</v>
      </c>
      <c r="G18">
        <f>D18+E18+F18</f>
        <v/>
      </c>
      <c r="H18">
        <f>ROUND(IF(B18="M",500/(-0.0000010930*C18^4+0.0007391293*C18^3-0.1918759221*C18^2+24.0900756*C18-307.75076)*G18,500/(-0.0000010706*C18^4+0.0005158568*C18^3-0.1126655495*C18^2+13.6175032*C18-57.96288)*G18),3)</f>
        <v/>
      </c>
    </row>
    <row r="19">
      <c r="A19" t="inlineStr">
        <is>
          <t>Coralee Traurig</t>
        </is>
      </c>
      <c r="B19" t="inlineStr">
        <is>
          <t>F</t>
        </is>
      </c>
      <c r="C19" t="n">
        <v>71.09999999999999</v>
      </c>
      <c r="D19" t="n">
        <v>107.5</v>
      </c>
      <c r="E19" t="n">
        <v>65</v>
      </c>
      <c r="F19" t="n">
        <v>115</v>
      </c>
      <c r="G19">
        <f>D19+E19+F19</f>
        <v/>
      </c>
      <c r="H19">
        <f>ROUND(IF(B19="M",500/(-0.0000010930*C19^4+0.0007391293*C19^3-0.1918759221*C19^2+24.0900756*C19-307.75076)*G19,500/(-0.0000010706*C19^4+0.0005158568*C19^3-0.1126655495*C19^2+13.6175032*C19-57.96288)*G19),3)</f>
        <v/>
      </c>
    </row>
    <row r="20">
      <c r="A20" t="inlineStr">
        <is>
          <t>Hugo Laliberté</t>
        </is>
      </c>
      <c r="B20" t="inlineStr">
        <is>
          <t>M</t>
        </is>
      </c>
      <c r="C20" t="n">
        <v>80.2</v>
      </c>
      <c r="D20" t="n">
        <v>162.5</v>
      </c>
      <c r="E20" t="n">
        <v>102.5</v>
      </c>
      <c r="F20" t="n">
        <v>205</v>
      </c>
      <c r="G20">
        <f>D20+E20+F20</f>
        <v/>
      </c>
      <c r="H20">
        <f>ROUND(IF(B20="M",500/(-0.0000010930*C20^4+0.0007391293*C20^3-0.1918759221*C20^2+24.0900756*C20-307.75076)*G20,500/(-0.0000010706*C20^4+0.0005158568*C20^3-0.1126655495*C20^2+13.6175032*C20-57.96288)*G20),3)</f>
        <v/>
      </c>
    </row>
    <row r="21">
      <c r="A21" t="inlineStr">
        <is>
          <t>Curtis Laird</t>
        </is>
      </c>
      <c r="B21" t="inlineStr">
        <is>
          <t>M</t>
        </is>
      </c>
      <c r="C21" t="n">
        <v>108.98</v>
      </c>
      <c r="D21" t="n">
        <v>226.8</v>
      </c>
      <c r="E21" t="n">
        <v>165.56</v>
      </c>
      <c r="F21" t="n">
        <v>242.67</v>
      </c>
      <c r="G21">
        <f>D21+E21+F21</f>
        <v/>
      </c>
      <c r="H21">
        <f>ROUND(IF(B21="M",500/(-0.0000010930*C21^4+0.0007391293*C21^3-0.1918759221*C21^2+24.0900756*C21-307.75076)*G21,500/(-0.0000010706*C21^4+0.0005158568*C21^3-0.1126655495*C21^2+13.6175032*C21-57.96288)*G21),3)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2026-01-15T21:24:36Z</dcterms:created>
  <dcterms:modified xmlns:dcterms="http://purl.org/dc/terms/" xmlns:xsi="http://www.w3.org/2001/XMLSchema-instance" xsi:type="dcterms:W3CDTF">2026-01-29T07:31:22Z</dcterms:modified>
</cp:coreProperties>
</file>