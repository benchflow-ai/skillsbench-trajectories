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T Calc" sheetId="3" state="visible" r:id="rId3"/>
    <sheet name="SUPPLY" sheetId="4" state="visible" r:id="rId4"/>
    <sheet name="USE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86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WEO_Data!B2</f>
        <v/>
      </c>
      <c r="D3" s="10" t="n"/>
      <c r="E3" s="10" t="n"/>
      <c r="F3" s="10">
        <f>E3*0.35</f>
        <v/>
      </c>
      <c r="G3" s="10">
        <f>E3-F3</f>
        <v/>
      </c>
      <c r="H3" s="10" t="n">
        <v>0.8</v>
      </c>
      <c r="I3" s="10">
        <f>G3*H3/C3</f>
        <v/>
      </c>
      <c r="J3" s="11">
        <f>WEO_Data!D2</f>
        <v/>
      </c>
      <c r="K3" s="12">
        <f>J3+I3</f>
        <v/>
      </c>
    </row>
    <row r="4">
      <c r="B4" s="13" t="n">
        <v>2021</v>
      </c>
      <c r="C4">
        <f>WEO_Data!B3</f>
        <v/>
      </c>
      <c r="F4">
        <f>E4*0.35</f>
        <v/>
      </c>
      <c r="G4">
        <f>E4-F4</f>
        <v/>
      </c>
      <c r="H4" t="n">
        <v>0.8</v>
      </c>
      <c r="I4">
        <f>G4*H4/C4</f>
        <v/>
      </c>
      <c r="J4">
        <f>WEO_Data!D3</f>
        <v/>
      </c>
      <c r="K4" s="15">
        <f>J4+I4</f>
        <v/>
      </c>
    </row>
    <row r="5">
      <c r="B5" s="13" t="n">
        <v>2022</v>
      </c>
      <c r="C5">
        <f>WEO_Data!B4</f>
        <v/>
      </c>
      <c r="F5">
        <f>E5*0.35</f>
        <v/>
      </c>
      <c r="G5">
        <f>E5-F5</f>
        <v/>
      </c>
      <c r="H5" t="n">
        <v>0.8</v>
      </c>
      <c r="I5">
        <f>G5*H5/C5</f>
        <v/>
      </c>
      <c r="J5">
        <f>WEO_Data!D4</f>
        <v/>
      </c>
      <c r="K5" s="15">
        <f>J5+I5</f>
        <v/>
      </c>
    </row>
    <row r="6">
      <c r="B6" s="13" t="n">
        <v>2023</v>
      </c>
      <c r="C6">
        <f>WEO_Data!B5</f>
        <v/>
      </c>
      <c r="F6">
        <f>E6*0.35</f>
        <v/>
      </c>
      <c r="G6">
        <f>E6-F6</f>
        <v/>
      </c>
      <c r="H6" t="n">
        <v>0.8</v>
      </c>
      <c r="I6">
        <f>G6*H6/C6</f>
        <v/>
      </c>
      <c r="J6">
        <f>WEO_Data!D5</f>
        <v/>
      </c>
      <c r="K6" s="15">
        <f>J6+I6</f>
        <v/>
      </c>
    </row>
    <row r="7">
      <c r="B7" s="13" t="n">
        <v>2024</v>
      </c>
      <c r="C7">
        <f>WEO_Data!B6</f>
        <v/>
      </c>
      <c r="F7">
        <f>E7*0.35</f>
        <v/>
      </c>
      <c r="G7">
        <f>E7-F7</f>
        <v/>
      </c>
      <c r="H7" t="n">
        <v>0.8</v>
      </c>
      <c r="I7">
        <f>G7*H7/C7</f>
        <v/>
      </c>
      <c r="J7">
        <f>WEO_Data!D6</f>
        <v/>
      </c>
      <c r="K7" s="15">
        <f>J7+I7</f>
        <v/>
      </c>
    </row>
    <row r="8">
      <c r="B8" s="13" t="n">
        <v>2025</v>
      </c>
      <c r="C8">
        <f>WEO_Data!B7</f>
        <v/>
      </c>
      <c r="F8">
        <f>E8*0.35</f>
        <v/>
      </c>
      <c r="G8">
        <f>E8-F8</f>
        <v/>
      </c>
      <c r="H8" t="n">
        <v>0.8</v>
      </c>
      <c r="I8">
        <f>G8*H8/C8</f>
        <v/>
      </c>
      <c r="J8">
        <f>WEO_Data!D7</f>
        <v/>
      </c>
      <c r="K8" s="15">
        <f>J8+I8</f>
        <v/>
      </c>
    </row>
    <row r="9">
      <c r="B9" s="13" t="n">
        <v>2026</v>
      </c>
      <c r="C9">
        <f>WEO_Data!B8</f>
        <v/>
      </c>
      <c r="D9" t="n">
        <v>0.05</v>
      </c>
      <c r="E9">
        <f>D9*6500</f>
        <v/>
      </c>
      <c r="F9">
        <f>E9*0.35</f>
        <v/>
      </c>
      <c r="G9">
        <f>E9-F9</f>
        <v/>
      </c>
      <c r="H9" t="n">
        <v>0.8</v>
      </c>
      <c r="I9">
        <f>G9*H9/C9</f>
        <v/>
      </c>
      <c r="J9" s="16">
        <f>WEO_Data!D8</f>
        <v/>
      </c>
      <c r="K9" s="15">
        <f>J9+I9</f>
        <v/>
      </c>
    </row>
    <row r="10">
      <c r="B10" s="13" t="n">
        <v>2027</v>
      </c>
      <c r="C10">
        <f>WEO_Data!B9</f>
        <v/>
      </c>
      <c r="D10" t="n">
        <v>0.1</v>
      </c>
      <c r="E10">
        <f>D10*6500</f>
        <v/>
      </c>
      <c r="F10">
        <f>E10*0.35</f>
        <v/>
      </c>
      <c r="G10">
        <f>E10-F10</f>
        <v/>
      </c>
      <c r="H10" t="n">
        <v>0.8</v>
      </c>
      <c r="I10">
        <f>G10*H10/C10</f>
        <v/>
      </c>
      <c r="J10">
        <f>WEO_Data!D9</f>
        <v/>
      </c>
      <c r="K10" s="15">
        <f>J10+I10</f>
        <v/>
      </c>
    </row>
    <row r="11">
      <c r="B11" s="13" t="n">
        <v>2028</v>
      </c>
      <c r="C11">
        <f>WEO_Data!B10</f>
        <v/>
      </c>
      <c r="D11" t="n">
        <v>0.15</v>
      </c>
      <c r="E11">
        <f>D11*6500</f>
        <v/>
      </c>
      <c r="F11">
        <f>E11*0.35</f>
        <v/>
      </c>
      <c r="G11">
        <f>E11-F11</f>
        <v/>
      </c>
      <c r="H11" t="n">
        <v>0.8</v>
      </c>
      <c r="I11">
        <f>G11*H11/C11</f>
        <v/>
      </c>
      <c r="J11">
        <f>WEO_Data!D10</f>
        <v/>
      </c>
      <c r="K11" s="15">
        <f>J11+I11</f>
        <v/>
      </c>
    </row>
    <row r="12">
      <c r="B12" s="13" t="n">
        <v>2029</v>
      </c>
      <c r="C12">
        <f>WEO_Data!B11</f>
        <v/>
      </c>
      <c r="D12" t="n">
        <v>0.2</v>
      </c>
      <c r="E12">
        <f>D12*6500</f>
        <v/>
      </c>
      <c r="F12">
        <f>E12*0.35</f>
        <v/>
      </c>
      <c r="G12">
        <f>E12-F12</f>
        <v/>
      </c>
      <c r="H12" t="n">
        <v>0.8</v>
      </c>
      <c r="I12">
        <f>G12*H12/C12</f>
        <v/>
      </c>
      <c r="J12">
        <f>WEO_Data!D11</f>
        <v/>
      </c>
      <c r="K12" s="15">
        <f>J12+I12</f>
        <v/>
      </c>
    </row>
    <row r="13">
      <c r="B13" s="13" t="n">
        <v>2030</v>
      </c>
      <c r="C13">
        <f>WEO_Data!B12</f>
        <v/>
      </c>
      <c r="D13" t="n">
        <v>0.2</v>
      </c>
      <c r="E13">
        <f>D13*6500</f>
        <v/>
      </c>
      <c r="F13">
        <f>E13*0.35</f>
        <v/>
      </c>
      <c r="G13">
        <f>E13-F13</f>
        <v/>
      </c>
      <c r="H13" t="n">
        <v>0.8</v>
      </c>
      <c r="I13">
        <f>G13*H13/C13</f>
        <v/>
      </c>
      <c r="J13" s="17">
        <f>WEO_Data!D12</f>
        <v/>
      </c>
      <c r="K13" s="15">
        <f>J13+I13</f>
        <v/>
      </c>
    </row>
    <row r="14">
      <c r="B14" s="13" t="n">
        <v>2031</v>
      </c>
      <c r="C14">
        <f>WEO_Data!B13</f>
        <v/>
      </c>
      <c r="D14" t="n">
        <v>0.15</v>
      </c>
      <c r="E14">
        <f>D14*6500</f>
        <v/>
      </c>
      <c r="F14">
        <f>E14*0.35</f>
        <v/>
      </c>
      <c r="G14">
        <f>E14-F14</f>
        <v/>
      </c>
      <c r="H14" t="n">
        <v>0.8</v>
      </c>
      <c r="I14">
        <f>G14*H14/C14</f>
        <v/>
      </c>
      <c r="J14" s="17">
        <f>WEO_Data!D13</f>
        <v/>
      </c>
      <c r="K14" s="15">
        <f>J14+I14</f>
        <v/>
      </c>
    </row>
    <row r="15">
      <c r="B15" s="13" t="n">
        <v>2032</v>
      </c>
      <c r="C15">
        <f>WEO_Data!B14</f>
        <v/>
      </c>
      <c r="D15" t="n">
        <v>0.1</v>
      </c>
      <c r="E15">
        <f>D15*6500</f>
        <v/>
      </c>
      <c r="F15">
        <f>E15*0.35</f>
        <v/>
      </c>
      <c r="G15">
        <f>E15-F15</f>
        <v/>
      </c>
      <c r="H15" t="n">
        <v>0.8</v>
      </c>
      <c r="I15">
        <f>G15*H15/C15</f>
        <v/>
      </c>
      <c r="J15" s="17">
        <f>WEO_Data!D14</f>
        <v/>
      </c>
      <c r="K15" s="15">
        <f>J15+I15</f>
        <v/>
      </c>
    </row>
    <row r="16">
      <c r="B16" s="13" t="n">
        <v>2033</v>
      </c>
      <c r="C16">
        <f>WEO_Data!B15</f>
        <v/>
      </c>
      <c r="D16" t="n">
        <v>0.05</v>
      </c>
      <c r="E16">
        <f>D16*6500</f>
        <v/>
      </c>
      <c r="F16">
        <f>E16*0.35</f>
        <v/>
      </c>
      <c r="G16">
        <f>E16-F16</f>
        <v/>
      </c>
      <c r="H16" t="n">
        <v>0.8</v>
      </c>
      <c r="I16">
        <f>G16*H16/C16</f>
        <v/>
      </c>
      <c r="J16" s="17">
        <f>WEO_Data!D15</f>
        <v/>
      </c>
      <c r="K16" s="15">
        <f>J16+I16</f>
        <v/>
      </c>
    </row>
    <row r="17">
      <c r="B17" s="13" t="n">
        <v>2034</v>
      </c>
      <c r="C17">
        <f>WEO_Data!B16</f>
        <v/>
      </c>
      <c r="F17">
        <f>E17*0.35</f>
        <v/>
      </c>
      <c r="G17">
        <f>E17-F17</f>
        <v/>
      </c>
      <c r="H17" t="n">
        <v>0.8</v>
      </c>
      <c r="I17">
        <f>G17*H17/C17</f>
        <v/>
      </c>
      <c r="J17" s="17">
        <f>WEO_Data!D16</f>
        <v/>
      </c>
      <c r="K17" s="15">
        <f>J17+I17</f>
        <v/>
      </c>
    </row>
    <row r="18">
      <c r="B18" s="13" t="n">
        <v>2035</v>
      </c>
      <c r="C18">
        <f>WEO_Data!B17</f>
        <v/>
      </c>
      <c r="F18">
        <f>E18*0.35</f>
        <v/>
      </c>
      <c r="G18">
        <f>E18-F18</f>
        <v/>
      </c>
      <c r="H18" t="n">
        <v>0.8</v>
      </c>
      <c r="I18">
        <f>G18*H18/C18</f>
        <v/>
      </c>
      <c r="J18" s="17">
        <f>WEO_Data!D17</f>
        <v/>
      </c>
      <c r="K18" s="15">
        <f>J18+I18</f>
        <v/>
      </c>
    </row>
    <row r="19">
      <c r="B19" s="13" t="n">
        <v>2036</v>
      </c>
      <c r="C19">
        <f>WEO_Data!B18</f>
        <v/>
      </c>
      <c r="F19">
        <f>E19*0.35</f>
        <v/>
      </c>
      <c r="G19">
        <f>E19-F19</f>
        <v/>
      </c>
      <c r="H19" t="n">
        <v>0.8</v>
      </c>
      <c r="I19">
        <f>G19*H19/C19</f>
        <v/>
      </c>
      <c r="J19" s="17">
        <f>WEO_Data!D18</f>
        <v/>
      </c>
      <c r="K19" s="15">
        <f>J19+I19</f>
        <v/>
      </c>
    </row>
    <row r="20">
      <c r="B20" s="13" t="n">
        <v>2037</v>
      </c>
      <c r="C20">
        <f>WEO_Data!B19</f>
        <v/>
      </c>
      <c r="F20">
        <f>E20*0.35</f>
        <v/>
      </c>
      <c r="G20">
        <f>E20-F20</f>
        <v/>
      </c>
      <c r="H20" t="n">
        <v>0.8</v>
      </c>
      <c r="I20">
        <f>G20*H20/C20</f>
        <v/>
      </c>
      <c r="J20" s="17">
        <f>WEO_Data!D19</f>
        <v/>
      </c>
      <c r="K20" s="15">
        <f>J20+I20</f>
        <v/>
      </c>
    </row>
    <row r="21">
      <c r="B21" s="13" t="n">
        <v>2038</v>
      </c>
      <c r="C21">
        <f>WEO_Data!B20</f>
        <v/>
      </c>
      <c r="F21">
        <f>E21*0.35</f>
        <v/>
      </c>
      <c r="G21">
        <f>E21-F21</f>
        <v/>
      </c>
      <c r="H21" t="n">
        <v>0.8</v>
      </c>
      <c r="I21">
        <f>G21*H21/C21</f>
        <v/>
      </c>
      <c r="J21" s="17">
        <f>WEO_Data!D20</f>
        <v/>
      </c>
      <c r="K21" s="15">
        <f>J21+I21</f>
        <v/>
      </c>
    </row>
    <row r="22">
      <c r="B22" s="13" t="n">
        <v>2039</v>
      </c>
      <c r="C22">
        <f>WEO_Data!B21</f>
        <v/>
      </c>
      <c r="F22">
        <f>E22*0.35</f>
        <v/>
      </c>
      <c r="G22">
        <f>E22-F22</f>
        <v/>
      </c>
      <c r="H22" t="n">
        <v>0.8</v>
      </c>
      <c r="I22">
        <f>G22*H22/C22</f>
        <v/>
      </c>
      <c r="J22" s="17">
        <f>WEO_Data!D21</f>
        <v/>
      </c>
      <c r="K22" s="15">
        <f>J22+I22</f>
        <v/>
      </c>
    </row>
    <row r="23">
      <c r="B23" s="13" t="n">
        <v>2040</v>
      </c>
      <c r="C23">
        <f>WEO_Data!B22</f>
        <v/>
      </c>
      <c r="F23">
        <f>E23*0.35</f>
        <v/>
      </c>
      <c r="G23">
        <f>E23-F23</f>
        <v/>
      </c>
      <c r="H23" t="n">
        <v>0.8</v>
      </c>
      <c r="I23">
        <f>G23*H23/C23</f>
        <v/>
      </c>
      <c r="J23" s="17">
        <f>WEO_Data!D22</f>
        <v/>
      </c>
      <c r="K23" s="15">
        <f>J23+I23</f>
        <v/>
      </c>
    </row>
    <row r="24">
      <c r="B24" s="13" t="n">
        <v>2041</v>
      </c>
      <c r="C24">
        <f>WEO_Data!B23</f>
        <v/>
      </c>
      <c r="F24">
        <f>E24*0.35</f>
        <v/>
      </c>
      <c r="G24">
        <f>E24-F24</f>
        <v/>
      </c>
      <c r="H24" t="n">
        <v>0.8</v>
      </c>
      <c r="I24">
        <f>G24*H24/C24</f>
        <v/>
      </c>
      <c r="J24" s="17">
        <f>WEO_Data!D23</f>
        <v/>
      </c>
      <c r="K24" s="15">
        <f>J24+I24</f>
        <v/>
      </c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2.746</v>
      </c>
      <c r="K30" s="15" t="n"/>
    </row>
    <row r="31">
      <c r="C31" s="13" t="inlineStr">
        <is>
          <t>import content share</t>
        </is>
      </c>
      <c r="D31" s="28" t="n">
        <v>0.8</v>
      </c>
      <c r="K31" s="15" t="n"/>
    </row>
    <row r="32">
      <c r="C32" s="13" t="inlineStr">
        <is>
          <t>demand multiplier</t>
        </is>
      </c>
      <c r="D32" s="29" t="inlineStr">
        <is>
          <t>Bell shape</t>
        </is>
      </c>
      <c r="K32" s="15" t="n"/>
    </row>
    <row r="33">
      <c r="C33" s="18" t="inlineStr">
        <is>
          <t>Project allocation</t>
        </is>
      </c>
      <c r="D33" s="19" t="n">
        <v>6500</v>
      </c>
      <c r="E33" s="19" t="n"/>
      <c r="F33" s="19" t="n"/>
      <c r="G33" s="19" t="n"/>
      <c r="H33" s="19" t="n"/>
      <c r="I33" s="19" t="n"/>
      <c r="J33" s="27" t="n"/>
      <c r="K33" s="21" t="n"/>
    </row>
    <row r="35">
      <c r="B35" t="inlineStr">
        <is>
          <t>SCENARIO 2</t>
        </is>
      </c>
    </row>
    <row r="37">
      <c r="B37" t="n">
        <v>2020</v>
      </c>
      <c r="C37">
        <f>WEO_Data!B2</f>
        <v/>
      </c>
      <c r="F37">
        <f>E37*0.35</f>
        <v/>
      </c>
      <c r="G37">
        <f>E37-F37</f>
        <v/>
      </c>
      <c r="H37" t="n">
        <v>1</v>
      </c>
      <c r="I37">
        <f>G37*H37/C37</f>
        <v/>
      </c>
      <c r="K37">
        <f>J37+I37</f>
        <v/>
      </c>
    </row>
    <row r="38">
      <c r="B38" t="n">
        <v>2021</v>
      </c>
      <c r="C38">
        <f>WEO_Data!B3</f>
        <v/>
      </c>
      <c r="F38">
        <f>E38*0.35</f>
        <v/>
      </c>
      <c r="G38">
        <f>E38-F38</f>
        <v/>
      </c>
      <c r="H38" t="n">
        <v>1</v>
      </c>
      <c r="I38">
        <f>G38*H38/C38</f>
        <v/>
      </c>
      <c r="K38">
        <f>J38+I38</f>
        <v/>
      </c>
    </row>
    <row r="39">
      <c r="B39" t="n">
        <v>2022</v>
      </c>
      <c r="C39">
        <f>WEO_Data!B4</f>
        <v/>
      </c>
      <c r="F39">
        <f>E39*0.35</f>
        <v/>
      </c>
      <c r="G39">
        <f>E39-F39</f>
        <v/>
      </c>
      <c r="H39" t="n">
        <v>1</v>
      </c>
      <c r="I39">
        <f>G39*H39/C39</f>
        <v/>
      </c>
      <c r="K39">
        <f>J39+I39</f>
        <v/>
      </c>
    </row>
    <row r="40">
      <c r="B40" t="n">
        <v>2023</v>
      </c>
      <c r="C40">
        <f>WEO_Data!B5</f>
        <v/>
      </c>
      <c r="F40">
        <f>E40*0.35</f>
        <v/>
      </c>
      <c r="G40">
        <f>E40-F40</f>
        <v/>
      </c>
      <c r="H40" t="n">
        <v>1</v>
      </c>
      <c r="I40">
        <f>G40*H40/C40</f>
        <v/>
      </c>
      <c r="K40">
        <f>J40+I40</f>
        <v/>
      </c>
    </row>
    <row r="41">
      <c r="B41" t="n">
        <v>2024</v>
      </c>
      <c r="C41">
        <f>WEO_Data!B6</f>
        <v/>
      </c>
      <c r="F41">
        <f>E41*0.35</f>
        <v/>
      </c>
      <c r="G41">
        <f>E41-F41</f>
        <v/>
      </c>
      <c r="H41" t="n">
        <v>1</v>
      </c>
      <c r="I41">
        <f>G41*H41/C41</f>
        <v/>
      </c>
      <c r="K41">
        <f>J41+I41</f>
        <v/>
      </c>
    </row>
    <row r="42">
      <c r="B42" t="n">
        <v>2025</v>
      </c>
      <c r="C42">
        <f>WEO_Data!B7</f>
        <v/>
      </c>
      <c r="F42">
        <f>E42*0.35</f>
        <v/>
      </c>
      <c r="G42">
        <f>E42-F42</f>
        <v/>
      </c>
      <c r="H42" t="n">
        <v>1</v>
      </c>
      <c r="I42">
        <f>G42*H42/C42</f>
        <v/>
      </c>
      <c r="K42">
        <f>J42+I42</f>
        <v/>
      </c>
    </row>
    <row r="43">
      <c r="B43" t="n">
        <v>2026</v>
      </c>
      <c r="C43">
        <f>WEO_Data!B8</f>
        <v/>
      </c>
      <c r="D43" t="n">
        <v>0.05</v>
      </c>
      <c r="E43">
        <f>D43*6500</f>
        <v/>
      </c>
      <c r="F43">
        <f>E43*0.35</f>
        <v/>
      </c>
      <c r="G43">
        <f>E43-F43</f>
        <v/>
      </c>
      <c r="H43" t="n">
        <v>1</v>
      </c>
      <c r="I43">
        <f>G43*H43/C43</f>
        <v/>
      </c>
      <c r="K43">
        <f>J43+I43</f>
        <v/>
      </c>
    </row>
    <row r="44">
      <c r="B44" t="n">
        <v>2027</v>
      </c>
      <c r="C44">
        <f>WEO_Data!B9</f>
        <v/>
      </c>
      <c r="D44" t="n">
        <v>0.1</v>
      </c>
      <c r="E44">
        <f>D44*6500</f>
        <v/>
      </c>
      <c r="F44">
        <f>E44*0.35</f>
        <v/>
      </c>
      <c r="G44">
        <f>E44-F44</f>
        <v/>
      </c>
      <c r="H44" t="n">
        <v>1</v>
      </c>
      <c r="I44">
        <f>G44*H44/C44</f>
        <v/>
      </c>
      <c r="K44">
        <f>J44+I44</f>
        <v/>
      </c>
    </row>
    <row r="45">
      <c r="B45" t="n">
        <v>2028</v>
      </c>
      <c r="C45">
        <f>WEO_Data!B10</f>
        <v/>
      </c>
      <c r="D45" t="n">
        <v>0.15</v>
      </c>
      <c r="E45">
        <f>D45*6500</f>
        <v/>
      </c>
      <c r="F45">
        <f>E45*0.35</f>
        <v/>
      </c>
      <c r="G45">
        <f>E45-F45</f>
        <v/>
      </c>
      <c r="H45" t="n">
        <v>1</v>
      </c>
      <c r="I45">
        <f>G45*H45/C45</f>
        <v/>
      </c>
      <c r="K45">
        <f>J45+I45</f>
        <v/>
      </c>
    </row>
    <row r="46">
      <c r="B46" t="n">
        <v>2029</v>
      </c>
      <c r="C46">
        <f>WEO_Data!B11</f>
        <v/>
      </c>
      <c r="D46" t="n">
        <v>0.2</v>
      </c>
      <c r="E46">
        <f>D46*6500</f>
        <v/>
      </c>
      <c r="F46">
        <f>E46*0.35</f>
        <v/>
      </c>
      <c r="G46">
        <f>E46-F46</f>
        <v/>
      </c>
      <c r="H46" t="n">
        <v>1</v>
      </c>
      <c r="I46">
        <f>G46*H46/C46</f>
        <v/>
      </c>
      <c r="K46">
        <f>J46+I46</f>
        <v/>
      </c>
    </row>
    <row r="47">
      <c r="B47" t="n">
        <v>2030</v>
      </c>
      <c r="C47">
        <f>WEO_Data!B12</f>
        <v/>
      </c>
      <c r="D47" t="n">
        <v>0.2</v>
      </c>
      <c r="E47">
        <f>D47*6500</f>
        <v/>
      </c>
      <c r="F47">
        <f>E47*0.35</f>
        <v/>
      </c>
      <c r="G47">
        <f>E47-F47</f>
        <v/>
      </c>
      <c r="H47" t="n">
        <v>1</v>
      </c>
      <c r="I47">
        <f>G47*H47/C47</f>
        <v/>
      </c>
      <c r="K47">
        <f>J47+I47</f>
        <v/>
      </c>
    </row>
    <row r="48">
      <c r="B48" t="n">
        <v>2031</v>
      </c>
      <c r="C48">
        <f>WEO_Data!B13</f>
        <v/>
      </c>
      <c r="D48" t="n">
        <v>0.15</v>
      </c>
      <c r="E48">
        <f>D48*6500</f>
        <v/>
      </c>
      <c r="F48">
        <f>E48*0.35</f>
        <v/>
      </c>
      <c r="G48">
        <f>E48-F48</f>
        <v/>
      </c>
      <c r="H48" t="n">
        <v>1</v>
      </c>
      <c r="I48">
        <f>G48*H48/C48</f>
        <v/>
      </c>
      <c r="K48">
        <f>J48+I48</f>
        <v/>
      </c>
    </row>
    <row r="49">
      <c r="B49" t="n">
        <v>2032</v>
      </c>
      <c r="C49">
        <f>WEO_Data!B14</f>
        <v/>
      </c>
      <c r="D49" t="n">
        <v>0.1</v>
      </c>
      <c r="E49">
        <f>D49*6500</f>
        <v/>
      </c>
      <c r="F49">
        <f>E49*0.35</f>
        <v/>
      </c>
      <c r="G49">
        <f>E49-F49</f>
        <v/>
      </c>
      <c r="H49" t="n">
        <v>1</v>
      </c>
      <c r="I49">
        <f>G49*H49/C49</f>
        <v/>
      </c>
      <c r="K49">
        <f>J49+I49</f>
        <v/>
      </c>
    </row>
    <row r="50">
      <c r="B50" t="n">
        <v>2033</v>
      </c>
      <c r="C50">
        <f>WEO_Data!B15</f>
        <v/>
      </c>
      <c r="D50" t="n">
        <v>0.05</v>
      </c>
      <c r="E50">
        <f>D50*6500</f>
        <v/>
      </c>
      <c r="F50">
        <f>E50*0.35</f>
        <v/>
      </c>
      <c r="G50">
        <f>E50-F50</f>
        <v/>
      </c>
      <c r="H50" t="n">
        <v>1</v>
      </c>
      <c r="I50">
        <f>G50*H50/C50</f>
        <v/>
      </c>
      <c r="K50">
        <f>J50+I50</f>
        <v/>
      </c>
    </row>
    <row r="51">
      <c r="B51" t="n">
        <v>2034</v>
      </c>
      <c r="C51">
        <f>WEO_Data!B16</f>
        <v/>
      </c>
      <c r="F51">
        <f>E51*0.35</f>
        <v/>
      </c>
      <c r="G51">
        <f>E51-F51</f>
        <v/>
      </c>
      <c r="H51" t="n">
        <v>1</v>
      </c>
      <c r="I51">
        <f>G51*H51/C51</f>
        <v/>
      </c>
      <c r="K51">
        <f>J51+I51</f>
        <v/>
      </c>
    </row>
    <row r="52">
      <c r="B52" t="n">
        <v>2035</v>
      </c>
      <c r="C52">
        <f>WEO_Data!B17</f>
        <v/>
      </c>
      <c r="F52">
        <f>E52*0.35</f>
        <v/>
      </c>
      <c r="G52">
        <f>E52-F52</f>
        <v/>
      </c>
      <c r="H52" t="n">
        <v>1</v>
      </c>
      <c r="I52">
        <f>G52*H52/C52</f>
        <v/>
      </c>
      <c r="K52">
        <f>J52+I52</f>
        <v/>
      </c>
    </row>
    <row r="53">
      <c r="B53" t="n">
        <v>2036</v>
      </c>
      <c r="C53">
        <f>WEO_Data!B18</f>
        <v/>
      </c>
      <c r="F53">
        <f>E53*0.35</f>
        <v/>
      </c>
      <c r="G53">
        <f>E53-F53</f>
        <v/>
      </c>
      <c r="H53" t="n">
        <v>1</v>
      </c>
      <c r="I53">
        <f>G53*H53/C53</f>
        <v/>
      </c>
      <c r="K53">
        <f>J53+I53</f>
        <v/>
      </c>
    </row>
    <row r="54">
      <c r="B54" t="n">
        <v>2037</v>
      </c>
      <c r="C54">
        <f>WEO_Data!B19</f>
        <v/>
      </c>
      <c r="F54">
        <f>E54*0.35</f>
        <v/>
      </c>
      <c r="G54">
        <f>E54-F54</f>
        <v/>
      </c>
      <c r="H54" t="n">
        <v>1</v>
      </c>
      <c r="I54">
        <f>G54*H54/C54</f>
        <v/>
      </c>
      <c r="K54">
        <f>J54+I54</f>
        <v/>
      </c>
    </row>
    <row r="55">
      <c r="B55" t="n">
        <v>2038</v>
      </c>
      <c r="C55">
        <f>WEO_Data!B20</f>
        <v/>
      </c>
      <c r="F55">
        <f>E55*0.35</f>
        <v/>
      </c>
      <c r="G55">
        <f>E55-F55</f>
        <v/>
      </c>
      <c r="H55" t="n">
        <v>1</v>
      </c>
      <c r="I55">
        <f>G55*H55/C55</f>
        <v/>
      </c>
      <c r="K55">
        <f>J55+I55</f>
        <v/>
      </c>
    </row>
    <row r="56">
      <c r="B56" t="n">
        <v>2039</v>
      </c>
      <c r="C56">
        <f>WEO_Data!B21</f>
        <v/>
      </c>
      <c r="F56">
        <f>E56*0.35</f>
        <v/>
      </c>
      <c r="G56">
        <f>E56-F56</f>
        <v/>
      </c>
      <c r="H56" t="n">
        <v>1</v>
      </c>
      <c r="I56">
        <f>G56*H56/C56</f>
        <v/>
      </c>
      <c r="K56">
        <f>J56+I56</f>
        <v/>
      </c>
    </row>
    <row r="57">
      <c r="B57" t="n">
        <v>2040</v>
      </c>
      <c r="C57">
        <f>WEO_Data!B22</f>
        <v/>
      </c>
      <c r="F57">
        <f>E57*0.35</f>
        <v/>
      </c>
      <c r="G57">
        <f>E57-F57</f>
        <v/>
      </c>
      <c r="H57" t="n">
        <v>1</v>
      </c>
      <c r="I57">
        <f>G57*H57/C57</f>
        <v/>
      </c>
      <c r="K57">
        <f>J57+I57</f>
        <v/>
      </c>
    </row>
    <row r="58">
      <c r="B58" t="n">
        <v>2041</v>
      </c>
      <c r="C58">
        <f>WEO_Data!B23</f>
        <v/>
      </c>
      <c r="F58">
        <f>E58*0.35</f>
        <v/>
      </c>
      <c r="G58">
        <f>E58-F58</f>
        <v/>
      </c>
      <c r="H58" t="n">
        <v>1</v>
      </c>
      <c r="I58">
        <f>G58*H58/C58</f>
        <v/>
      </c>
      <c r="K58">
        <f>J58+I58</f>
        <v/>
      </c>
    </row>
    <row r="59">
      <c r="B59" t="n">
        <v>2042</v>
      </c>
      <c r="C59">
        <f>WEO_Data!B24</f>
        <v/>
      </c>
      <c r="F59">
        <f>E59*0.35</f>
        <v/>
      </c>
      <c r="G59">
        <f>E59-F59</f>
        <v/>
      </c>
      <c r="H59" t="n">
        <v>1</v>
      </c>
      <c r="I59">
        <f>G59*H59/C59</f>
        <v/>
      </c>
      <c r="K59">
        <f>J59+I59</f>
        <v/>
      </c>
    </row>
    <row r="60">
      <c r="B60" t="n">
        <v>2043</v>
      </c>
      <c r="C60">
        <f>WEO_Data!B25</f>
        <v/>
      </c>
      <c r="F60">
        <f>E60*0.35</f>
        <v/>
      </c>
      <c r="G60">
        <f>E60-F60</f>
        <v/>
      </c>
      <c r="H60" t="n">
        <v>1</v>
      </c>
      <c r="I60">
        <f>G60*H60/C60</f>
        <v/>
      </c>
      <c r="K60">
        <f>J60+I60</f>
        <v/>
      </c>
    </row>
    <row r="61">
      <c r="B61" t="inlineStr">
        <is>
          <t>SCENARIO 3</t>
        </is>
      </c>
    </row>
    <row r="63">
      <c r="B63" t="n">
        <v>2020</v>
      </c>
      <c r="C63">
        <f>WEO_Data!B2</f>
        <v/>
      </c>
      <c r="F63">
        <f>E63*0.5</f>
        <v/>
      </c>
      <c r="G63">
        <f>E63-F63</f>
        <v/>
      </c>
      <c r="H63" t="n">
        <v>0.8</v>
      </c>
      <c r="I63">
        <f>G63*H63/C63</f>
        <v/>
      </c>
      <c r="K63">
        <f>J63+I63</f>
        <v/>
      </c>
    </row>
    <row r="64">
      <c r="B64" t="n">
        <v>2021</v>
      </c>
      <c r="C64">
        <f>WEO_Data!B3</f>
        <v/>
      </c>
      <c r="F64">
        <f>E64*0.5</f>
        <v/>
      </c>
      <c r="G64">
        <f>E64-F64</f>
        <v/>
      </c>
      <c r="H64" t="n">
        <v>0.8</v>
      </c>
      <c r="I64">
        <f>G64*H64/C64</f>
        <v/>
      </c>
      <c r="K64">
        <f>J64+I64</f>
        <v/>
      </c>
    </row>
    <row r="65">
      <c r="B65" t="n">
        <v>2022</v>
      </c>
      <c r="C65">
        <f>WEO_Data!B4</f>
        <v/>
      </c>
      <c r="F65">
        <f>E65*0.5</f>
        <v/>
      </c>
      <c r="G65">
        <f>E65-F65</f>
        <v/>
      </c>
      <c r="H65" t="n">
        <v>0.8</v>
      </c>
      <c r="I65">
        <f>G65*H65/C65</f>
        <v/>
      </c>
      <c r="K65">
        <f>J65+I65</f>
        <v/>
      </c>
    </row>
    <row r="66">
      <c r="B66" t="n">
        <v>2023</v>
      </c>
      <c r="C66">
        <f>WEO_Data!B5</f>
        <v/>
      </c>
      <c r="F66">
        <f>E66*0.5</f>
        <v/>
      </c>
      <c r="G66">
        <f>E66-F66</f>
        <v/>
      </c>
      <c r="H66" t="n">
        <v>0.8</v>
      </c>
      <c r="I66">
        <f>G66*H66/C66</f>
        <v/>
      </c>
      <c r="K66">
        <f>J66+I66</f>
        <v/>
      </c>
    </row>
    <row r="67">
      <c r="B67" t="n">
        <v>2024</v>
      </c>
      <c r="C67">
        <f>WEO_Data!B6</f>
        <v/>
      </c>
      <c r="F67">
        <f>E67*0.5</f>
        <v/>
      </c>
      <c r="G67">
        <f>E67-F67</f>
        <v/>
      </c>
      <c r="H67" t="n">
        <v>0.8</v>
      </c>
      <c r="I67">
        <f>G67*H67/C67</f>
        <v/>
      </c>
      <c r="K67">
        <f>J67+I67</f>
        <v/>
      </c>
    </row>
    <row r="68">
      <c r="B68" t="n">
        <v>2025</v>
      </c>
      <c r="C68">
        <f>WEO_Data!B7</f>
        <v/>
      </c>
      <c r="F68">
        <f>E68*0.5</f>
        <v/>
      </c>
      <c r="G68">
        <f>E68-F68</f>
        <v/>
      </c>
      <c r="H68" t="n">
        <v>0.8</v>
      </c>
      <c r="I68">
        <f>G68*H68/C68</f>
        <v/>
      </c>
      <c r="K68">
        <f>J68+I68</f>
        <v/>
      </c>
    </row>
    <row r="69">
      <c r="B69" t="n">
        <v>2026</v>
      </c>
      <c r="C69">
        <f>WEO_Data!B8</f>
        <v/>
      </c>
      <c r="D69" t="n">
        <v>0.05</v>
      </c>
      <c r="E69">
        <f>D69*6500</f>
        <v/>
      </c>
      <c r="F69">
        <f>E69*0.5</f>
        <v/>
      </c>
      <c r="G69">
        <f>E69-F69</f>
        <v/>
      </c>
      <c r="H69" t="n">
        <v>0.8</v>
      </c>
      <c r="I69">
        <f>G69*H69/C69</f>
        <v/>
      </c>
      <c r="K69">
        <f>J69+I69</f>
        <v/>
      </c>
    </row>
    <row r="70">
      <c r="B70" t="n">
        <v>2027</v>
      </c>
      <c r="C70">
        <f>WEO_Data!B9</f>
        <v/>
      </c>
      <c r="D70" t="n">
        <v>0.1</v>
      </c>
      <c r="E70">
        <f>D70*6500</f>
        <v/>
      </c>
      <c r="F70">
        <f>E70*0.5</f>
        <v/>
      </c>
      <c r="G70">
        <f>E70-F70</f>
        <v/>
      </c>
      <c r="H70" t="n">
        <v>0.8</v>
      </c>
      <c r="I70">
        <f>G70*H70/C70</f>
        <v/>
      </c>
      <c r="K70">
        <f>J70+I70</f>
        <v/>
      </c>
    </row>
    <row r="71">
      <c r="B71" t="n">
        <v>2028</v>
      </c>
      <c r="C71">
        <f>WEO_Data!B10</f>
        <v/>
      </c>
      <c r="D71" t="n">
        <v>0.15</v>
      </c>
      <c r="E71">
        <f>D71*6500</f>
        <v/>
      </c>
      <c r="F71">
        <f>E71*0.5</f>
        <v/>
      </c>
      <c r="G71">
        <f>E71-F71</f>
        <v/>
      </c>
      <c r="H71" t="n">
        <v>0.8</v>
      </c>
      <c r="I71">
        <f>G71*H71/C71</f>
        <v/>
      </c>
      <c r="K71">
        <f>J71+I71</f>
        <v/>
      </c>
    </row>
    <row r="72">
      <c r="B72" t="n">
        <v>2029</v>
      </c>
      <c r="C72">
        <f>WEO_Data!B11</f>
        <v/>
      </c>
      <c r="D72" t="n">
        <v>0.2</v>
      </c>
      <c r="E72">
        <f>D72*6500</f>
        <v/>
      </c>
      <c r="F72">
        <f>E72*0.5</f>
        <v/>
      </c>
      <c r="G72">
        <f>E72-F72</f>
        <v/>
      </c>
      <c r="H72" t="n">
        <v>0.8</v>
      </c>
      <c r="I72">
        <f>G72*H72/C72</f>
        <v/>
      </c>
      <c r="K72">
        <f>J72+I72</f>
        <v/>
      </c>
    </row>
    <row r="73">
      <c r="B73" t="n">
        <v>2030</v>
      </c>
      <c r="C73">
        <f>WEO_Data!B12</f>
        <v/>
      </c>
      <c r="D73" t="n">
        <v>0.2</v>
      </c>
      <c r="E73">
        <f>D73*6500</f>
        <v/>
      </c>
      <c r="F73">
        <f>E73*0.5</f>
        <v/>
      </c>
      <c r="G73">
        <f>E73-F73</f>
        <v/>
      </c>
      <c r="H73" t="n">
        <v>0.8</v>
      </c>
      <c r="I73">
        <f>G73*H73/C73</f>
        <v/>
      </c>
      <c r="K73">
        <f>J73+I73</f>
        <v/>
      </c>
    </row>
    <row r="74">
      <c r="B74" t="n">
        <v>2031</v>
      </c>
      <c r="C74">
        <f>WEO_Data!B13</f>
        <v/>
      </c>
      <c r="D74" t="n">
        <v>0.15</v>
      </c>
      <c r="E74">
        <f>D74*6500</f>
        <v/>
      </c>
      <c r="F74">
        <f>E74*0.5</f>
        <v/>
      </c>
      <c r="G74">
        <f>E74-F74</f>
        <v/>
      </c>
      <c r="H74" t="n">
        <v>0.8</v>
      </c>
      <c r="I74">
        <f>G74*H74/C74</f>
        <v/>
      </c>
      <c r="K74">
        <f>J74+I74</f>
        <v/>
      </c>
    </row>
    <row r="75">
      <c r="B75" t="n">
        <v>2032</v>
      </c>
      <c r="C75">
        <f>WEO_Data!B14</f>
        <v/>
      </c>
      <c r="D75" t="n">
        <v>0.1</v>
      </c>
      <c r="E75">
        <f>D75*6500</f>
        <v/>
      </c>
      <c r="F75">
        <f>E75*0.5</f>
        <v/>
      </c>
      <c r="G75">
        <f>E75-F75</f>
        <v/>
      </c>
      <c r="H75" t="n">
        <v>0.8</v>
      </c>
      <c r="I75">
        <f>G75*H75/C75</f>
        <v/>
      </c>
      <c r="K75">
        <f>J75+I75</f>
        <v/>
      </c>
    </row>
    <row r="76">
      <c r="B76" t="n">
        <v>2033</v>
      </c>
      <c r="C76">
        <f>WEO_Data!B15</f>
        <v/>
      </c>
      <c r="D76" t="n">
        <v>0.05</v>
      </c>
      <c r="E76">
        <f>D76*6500</f>
        <v/>
      </c>
      <c r="F76">
        <f>E76*0.5</f>
        <v/>
      </c>
      <c r="G76">
        <f>E76-F76</f>
        <v/>
      </c>
      <c r="H76" t="n">
        <v>0.8</v>
      </c>
      <c r="I76">
        <f>G76*H76/C76</f>
        <v/>
      </c>
      <c r="K76">
        <f>J76+I76</f>
        <v/>
      </c>
    </row>
    <row r="77">
      <c r="B77" t="n">
        <v>2034</v>
      </c>
      <c r="C77">
        <f>WEO_Data!B16</f>
        <v/>
      </c>
      <c r="F77">
        <f>E77*0.5</f>
        <v/>
      </c>
      <c r="G77">
        <f>E77-F77</f>
        <v/>
      </c>
      <c r="H77" t="n">
        <v>0.8</v>
      </c>
      <c r="I77">
        <f>G77*H77/C77</f>
        <v/>
      </c>
      <c r="K77">
        <f>J77+I77</f>
        <v/>
      </c>
    </row>
    <row r="78">
      <c r="B78" t="n">
        <v>2035</v>
      </c>
      <c r="C78">
        <f>WEO_Data!B17</f>
        <v/>
      </c>
      <c r="F78">
        <f>E78*0.5</f>
        <v/>
      </c>
      <c r="G78">
        <f>E78-F78</f>
        <v/>
      </c>
      <c r="H78" t="n">
        <v>0.8</v>
      </c>
      <c r="I78">
        <f>G78*H78/C78</f>
        <v/>
      </c>
      <c r="K78">
        <f>J78+I78</f>
        <v/>
      </c>
    </row>
    <row r="79">
      <c r="B79" t="n">
        <v>2036</v>
      </c>
      <c r="C79">
        <f>WEO_Data!B18</f>
        <v/>
      </c>
      <c r="F79">
        <f>E79*0.5</f>
        <v/>
      </c>
      <c r="G79">
        <f>E79-F79</f>
        <v/>
      </c>
      <c r="H79" t="n">
        <v>0.8</v>
      </c>
      <c r="I79">
        <f>G79*H79/C79</f>
        <v/>
      </c>
      <c r="K79">
        <f>J79+I79</f>
        <v/>
      </c>
    </row>
    <row r="80">
      <c r="B80" t="n">
        <v>2037</v>
      </c>
      <c r="C80">
        <f>WEO_Data!B19</f>
        <v/>
      </c>
      <c r="F80">
        <f>E80*0.5</f>
        <v/>
      </c>
      <c r="G80">
        <f>E80-F80</f>
        <v/>
      </c>
      <c r="H80" t="n">
        <v>0.8</v>
      </c>
      <c r="I80">
        <f>G80*H80/C80</f>
        <v/>
      </c>
      <c r="K80">
        <f>J80+I80</f>
        <v/>
      </c>
    </row>
    <row r="81">
      <c r="B81" t="n">
        <v>2038</v>
      </c>
      <c r="C81">
        <f>WEO_Data!B20</f>
        <v/>
      </c>
      <c r="F81">
        <f>E81*0.5</f>
        <v/>
      </c>
      <c r="G81">
        <f>E81-F81</f>
        <v/>
      </c>
      <c r="H81" t="n">
        <v>0.8</v>
      </c>
      <c r="I81">
        <f>G81*H81/C81</f>
        <v/>
      </c>
      <c r="K81">
        <f>J81+I81</f>
        <v/>
      </c>
    </row>
    <row r="82">
      <c r="B82" t="n">
        <v>2039</v>
      </c>
      <c r="C82">
        <f>WEO_Data!B21</f>
        <v/>
      </c>
      <c r="F82">
        <f>E82*0.5</f>
        <v/>
      </c>
      <c r="G82">
        <f>E82-F82</f>
        <v/>
      </c>
      <c r="H82" t="n">
        <v>0.8</v>
      </c>
      <c r="I82">
        <f>G82*H82/C82</f>
        <v/>
      </c>
      <c r="K82">
        <f>J82+I82</f>
        <v/>
      </c>
    </row>
    <row r="83">
      <c r="B83" t="n">
        <v>2040</v>
      </c>
      <c r="C83">
        <f>WEO_Data!B22</f>
        <v/>
      </c>
      <c r="F83">
        <f>E83*0.5</f>
        <v/>
      </c>
      <c r="G83">
        <f>E83-F83</f>
        <v/>
      </c>
      <c r="H83" t="n">
        <v>0.8</v>
      </c>
      <c r="I83">
        <f>G83*H83/C83</f>
        <v/>
      </c>
      <c r="K83">
        <f>J83+I83</f>
        <v/>
      </c>
    </row>
    <row r="84">
      <c r="B84" t="n">
        <v>2041</v>
      </c>
      <c r="C84">
        <f>WEO_Data!B23</f>
        <v/>
      </c>
      <c r="F84">
        <f>E84*0.5</f>
        <v/>
      </c>
      <c r="G84">
        <f>E84-F84</f>
        <v/>
      </c>
      <c r="H84" t="n">
        <v>0.8</v>
      </c>
      <c r="I84">
        <f>G84*H84/C84</f>
        <v/>
      </c>
      <c r="K84">
        <f>J84+I84</f>
        <v/>
      </c>
    </row>
    <row r="85">
      <c r="B85" t="n">
        <v>2042</v>
      </c>
      <c r="C85">
        <f>WEO_Data!B24</f>
        <v/>
      </c>
      <c r="F85">
        <f>E85*0.5</f>
        <v/>
      </c>
      <c r="G85">
        <f>E85-F85</f>
        <v/>
      </c>
      <c r="H85" t="n">
        <v>0.8</v>
      </c>
      <c r="I85">
        <f>G85*H85/C85</f>
        <v/>
      </c>
      <c r="K85">
        <f>J85+I85</f>
        <v/>
      </c>
    </row>
    <row r="86">
      <c r="B86" t="n">
        <v>2043</v>
      </c>
      <c r="C86">
        <f>WEO_Data!B25</f>
        <v/>
      </c>
      <c r="F86">
        <f>E86*0.5</f>
        <v/>
      </c>
      <c r="G86">
        <f>E86-F86</f>
        <v/>
      </c>
      <c r="H86" t="n">
        <v>0.8</v>
      </c>
      <c r="I86">
        <f>G86*H86/C86</f>
        <v/>
      </c>
      <c r="K86">
        <f>J86+I86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(millions USD)</t>
        </is>
      </c>
      <c r="C1" t="inlineStr">
        <is>
          <t>GDP Deflator</t>
        </is>
      </c>
      <c r="D1" t="inlineStr">
        <is>
          <t>Real GDP Growth (%)</t>
        </is>
      </c>
      <c r="E1" t="inlineStr">
        <is>
          <t>Deflator Growth (%)</t>
        </is>
      </c>
    </row>
    <row r="2">
      <c r="A2" t="n">
        <v>2020</v>
      </c>
      <c r="B2" t="n">
        <v>17800</v>
      </c>
      <c r="C2" t="n">
        <v>110.5</v>
      </c>
    </row>
    <row r="3">
      <c r="A3" t="n">
        <v>2021</v>
      </c>
      <c r="B3" t="n">
        <v>20300</v>
      </c>
      <c r="C3" t="n">
        <v>115.2</v>
      </c>
      <c r="D3">
        <f>(B3-B2)/B2*100</f>
        <v/>
      </c>
      <c r="E3">
        <f>(C3-C2)/C2*100</f>
        <v/>
      </c>
    </row>
    <row r="4">
      <c r="A4" t="n">
        <v>2022</v>
      </c>
      <c r="B4" t="n">
        <v>24200</v>
      </c>
      <c r="C4" t="n">
        <v>125.8</v>
      </c>
      <c r="D4">
        <f>(B4-B3)/B3*100</f>
        <v/>
      </c>
      <c r="E4">
        <f>(C4-C3)/C3*100</f>
        <v/>
      </c>
    </row>
    <row r="5">
      <c r="A5" t="n">
        <v>2023</v>
      </c>
      <c r="B5" t="n">
        <v>27100</v>
      </c>
      <c r="C5" t="n">
        <v>135.4</v>
      </c>
      <c r="D5">
        <f>(B5-B4)/B4*100</f>
        <v/>
      </c>
      <c r="E5">
        <f>(C5-C4)/C4*100</f>
        <v/>
      </c>
    </row>
    <row r="6">
      <c r="A6" t="n">
        <v>2024</v>
      </c>
      <c r="B6" t="n">
        <v>28500</v>
      </c>
      <c r="C6" t="n">
        <v>142.1</v>
      </c>
      <c r="D6">
        <f>(B6-B5)/B5*100</f>
        <v/>
      </c>
      <c r="E6">
        <f>(C6-C5)/C5*100</f>
        <v/>
      </c>
    </row>
    <row r="7">
      <c r="A7" t="n">
        <v>2025</v>
      </c>
      <c r="B7" t="n">
        <v>29500</v>
      </c>
      <c r="C7" t="n">
        <v>148.5</v>
      </c>
      <c r="D7">
        <f>(B7-B6)/B6*100</f>
        <v/>
      </c>
      <c r="E7">
        <f>(C7-C6)/C6*100</f>
        <v/>
      </c>
    </row>
    <row r="8">
      <c r="A8" t="n">
        <v>2026</v>
      </c>
      <c r="B8" t="n">
        <v>30500</v>
      </c>
      <c r="C8">
        <f>C7*(1+AVERAGE($D$5:$D$8)/100)</f>
        <v/>
      </c>
      <c r="D8">
        <f>(B8-B7)/B7*100</f>
        <v/>
      </c>
      <c r="E8">
        <f>AVERAGE($D$5:$D$8)</f>
        <v/>
      </c>
    </row>
    <row r="9">
      <c r="A9" t="n">
        <v>2027</v>
      </c>
      <c r="B9" t="n">
        <v>32500</v>
      </c>
      <c r="C9">
        <f>C8*(1+AVERAGE($D$5:$D$8)/100)</f>
        <v/>
      </c>
      <c r="D9">
        <f>(B9-B8)/B8*100</f>
        <v/>
      </c>
      <c r="E9">
        <f>AVERAGE($D$5:$D$8)</f>
        <v/>
      </c>
    </row>
    <row r="10">
      <c r="A10" t="n">
        <v>2028</v>
      </c>
      <c r="B10">
        <f>B9*(1+D9/100)</f>
        <v/>
      </c>
      <c r="C10">
        <f>C9*(1+AVERAGE($D$5:$D$8)/100)</f>
        <v/>
      </c>
      <c r="D10">
        <f>D9</f>
        <v/>
      </c>
      <c r="E10">
        <f>AVERAGE($D$5:$D$8)</f>
        <v/>
      </c>
    </row>
    <row r="11">
      <c r="A11" t="n">
        <v>2029</v>
      </c>
      <c r="B11">
        <f>B10*(1+D9/100)</f>
        <v/>
      </c>
      <c r="C11">
        <f>C10*(1+AVERAGE($D$5:$D$8)/100)</f>
        <v/>
      </c>
      <c r="D11">
        <f>D9</f>
        <v/>
      </c>
      <c r="E11">
        <f>AVERAGE($D$5:$D$8)</f>
        <v/>
      </c>
    </row>
    <row r="12">
      <c r="A12" t="n">
        <v>2030</v>
      </c>
      <c r="B12">
        <f>B11*(1+D9/100)</f>
        <v/>
      </c>
      <c r="C12">
        <f>C11*(1+AVERAGE($D$5:$D$8)/100)</f>
        <v/>
      </c>
      <c r="D12">
        <f>D9</f>
        <v/>
      </c>
      <c r="E12">
        <f>AVERAGE($D$5:$D$8)</f>
        <v/>
      </c>
    </row>
    <row r="13">
      <c r="A13" t="n">
        <v>2031</v>
      </c>
      <c r="B13">
        <f>B12*(1+D9/100)</f>
        <v/>
      </c>
      <c r="C13">
        <f>C12*(1+AVERAGE($D$5:$D$8)/100)</f>
        <v/>
      </c>
      <c r="D13">
        <f>D9</f>
        <v/>
      </c>
      <c r="E13">
        <f>AVERAGE($D$5:$D$8)</f>
        <v/>
      </c>
    </row>
    <row r="14">
      <c r="A14" t="n">
        <v>2032</v>
      </c>
      <c r="B14">
        <f>B13*(1+D9/100)</f>
        <v/>
      </c>
      <c r="C14">
        <f>C13*(1+AVERAGE($D$5:$D$8)/100)</f>
        <v/>
      </c>
      <c r="D14">
        <f>D9</f>
        <v/>
      </c>
      <c r="E14">
        <f>AVERAGE($D$5:$D$8)</f>
        <v/>
      </c>
    </row>
    <row r="15">
      <c r="A15" t="n">
        <v>2033</v>
      </c>
      <c r="B15">
        <f>B14*(1+D9/100)</f>
        <v/>
      </c>
      <c r="C15">
        <f>C14*(1+AVERAGE($D$5:$D$8)/100)</f>
        <v/>
      </c>
      <c r="D15">
        <f>D9</f>
        <v/>
      </c>
      <c r="E15">
        <f>AVERAGE($D$5:$D$8)</f>
        <v/>
      </c>
    </row>
    <row r="16">
      <c r="A16" t="n">
        <v>2034</v>
      </c>
      <c r="B16">
        <f>B15*(1+D9/100)</f>
        <v/>
      </c>
      <c r="C16">
        <f>C15*(1+AVERAGE($D$5:$D$8)/100)</f>
        <v/>
      </c>
      <c r="D16">
        <f>D9</f>
        <v/>
      </c>
      <c r="E16">
        <f>AVERAGE($D$5:$D$8)</f>
        <v/>
      </c>
    </row>
    <row r="17">
      <c r="A17" t="n">
        <v>2035</v>
      </c>
      <c r="B17">
        <f>B16*(1+D9/100)</f>
        <v/>
      </c>
      <c r="C17">
        <f>C16*(1+AVERAGE($D$5:$D$8)/100)</f>
        <v/>
      </c>
      <c r="D17">
        <f>D9</f>
        <v/>
      </c>
      <c r="E17">
        <f>AVERAGE($D$5:$D$8)</f>
        <v/>
      </c>
    </row>
    <row r="18">
      <c r="A18" t="n">
        <v>2036</v>
      </c>
      <c r="B18">
        <f>B17*(1+D9/100)</f>
        <v/>
      </c>
      <c r="C18">
        <f>C17*(1+AVERAGE($D$5:$D$8)/100)</f>
        <v/>
      </c>
      <c r="D18">
        <f>D9</f>
        <v/>
      </c>
      <c r="E18">
        <f>AVERAGE($D$5:$D$8)</f>
        <v/>
      </c>
    </row>
    <row r="19">
      <c r="A19" t="n">
        <v>2037</v>
      </c>
      <c r="B19">
        <f>B18*(1+D9/100)</f>
        <v/>
      </c>
      <c r="C19">
        <f>C18*(1+AVERAGE($D$5:$D$8)/100)</f>
        <v/>
      </c>
      <c r="D19">
        <f>D9</f>
        <v/>
      </c>
      <c r="E19">
        <f>AVERAGE($D$5:$D$8)</f>
        <v/>
      </c>
    </row>
    <row r="20">
      <c r="A20" t="n">
        <v>2038</v>
      </c>
      <c r="B20">
        <f>B19*(1+D9/100)</f>
        <v/>
      </c>
      <c r="C20">
        <f>C19*(1+AVERAGE($D$5:$D$8)/100)</f>
        <v/>
      </c>
      <c r="D20">
        <f>D9</f>
        <v/>
      </c>
      <c r="E20">
        <f>AVERAGE($D$5:$D$8)</f>
        <v/>
      </c>
    </row>
    <row r="21">
      <c r="A21" t="n">
        <v>2039</v>
      </c>
      <c r="B21">
        <f>B20*(1+D9/100)</f>
        <v/>
      </c>
      <c r="C21">
        <f>C20*(1+AVERAGE($D$5:$D$8)/100)</f>
        <v/>
      </c>
      <c r="D21">
        <f>D9</f>
        <v/>
      </c>
      <c r="E21">
        <f>AVERAGE($D$5:$D$8)</f>
        <v/>
      </c>
    </row>
    <row r="22">
      <c r="A22" t="n">
        <v>2040</v>
      </c>
      <c r="B22">
        <f>B21*(1+D9/100)</f>
        <v/>
      </c>
      <c r="C22">
        <f>C21*(1+AVERAGE($D$5:$D$8)/100)</f>
        <v/>
      </c>
      <c r="D22">
        <f>D9</f>
        <v/>
      </c>
      <c r="E22">
        <f>AVERAGE($D$5:$D$8)</f>
        <v/>
      </c>
    </row>
    <row r="23">
      <c r="A23" t="n">
        <v>2041</v>
      </c>
      <c r="B23">
        <f>B22*(1+D9/100)</f>
        <v/>
      </c>
      <c r="C23">
        <f>C22*(1+AVERAGE($D$5:$D$8)/100)</f>
        <v/>
      </c>
      <c r="D23">
        <f>D9</f>
        <v/>
      </c>
      <c r="E23">
        <f>AVERAGE($D$5:$D$8)</f>
        <v/>
      </c>
    </row>
    <row r="24">
      <c r="A24" t="n">
        <v>2042</v>
      </c>
      <c r="B24">
        <f>B23*(1+D9/100)</f>
        <v/>
      </c>
      <c r="C24">
        <f>C23*(1+AVERAGE($D$5:$D$8)/100)</f>
        <v/>
      </c>
      <c r="D24">
        <f>D9</f>
        <v/>
      </c>
      <c r="E24">
        <f>AVERAGE($D$5:$D$8)</f>
        <v/>
      </c>
    </row>
    <row r="25">
      <c r="A25" t="n">
        <v>2043</v>
      </c>
      <c r="B25">
        <f>B24*(1+D9/100)</f>
        <v/>
      </c>
      <c r="C25">
        <f>C24*(1+AVERAGE($D$5:$D$8)/100)</f>
        <v/>
      </c>
      <c r="D25">
        <f>D9</f>
        <v/>
      </c>
      <c r="E25">
        <f>AVERAGE($D$5:$D$8)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Supply (Basic Prices)</t>
        </is>
      </c>
      <c r="C1" t="inlineStr">
        <is>
          <t>Use (Intermediate + Final)</t>
        </is>
      </c>
      <c r="D1" t="inlineStr">
        <is>
          <t>Imports</t>
        </is>
      </c>
      <c r="E1" t="inlineStr">
        <is>
          <t>Domestic Use</t>
        </is>
      </c>
      <c r="F1" t="inlineStr">
        <is>
          <t>Import Share</t>
        </is>
      </c>
      <c r="G1" t="inlineStr">
        <is>
          <t>Notes</t>
        </is>
      </c>
    </row>
    <row r="2">
      <c r="C2">
        <f>SUPPLY!B2</f>
        <v/>
      </c>
      <c r="D2">
        <f>SUPPLY!C2</f>
        <v/>
      </c>
      <c r="E2">
        <f>USE!B2+USE!C2</f>
        <v/>
      </c>
    </row>
    <row r="3">
      <c r="C3">
        <f>SUPPLY!B3</f>
        <v/>
      </c>
      <c r="D3">
        <f>SUPPLY!C3</f>
        <v/>
      </c>
      <c r="E3">
        <f>USE!B3+USE!C3</f>
        <v/>
      </c>
    </row>
    <row r="4">
      <c r="C4">
        <f>SUPPLY!B4</f>
        <v/>
      </c>
      <c r="D4">
        <f>SUPPLY!C4</f>
        <v/>
      </c>
      <c r="E4">
        <f>USE!B4+USE!C4</f>
        <v/>
      </c>
    </row>
    <row r="5">
      <c r="C5">
        <f>SUPPLY!B5</f>
        <v/>
      </c>
      <c r="D5">
        <f>SUPPLY!C5</f>
        <v/>
      </c>
      <c r="E5">
        <f>USE!B5+USE!C5</f>
        <v/>
      </c>
    </row>
    <row r="6">
      <c r="C6">
        <f>SUPPLY!B6</f>
        <v/>
      </c>
      <c r="D6">
        <f>SUPPLY!C6</f>
        <v/>
      </c>
      <c r="E6">
        <f>USE!B6+USE!C6</f>
        <v/>
      </c>
    </row>
    <row r="7">
      <c r="C7">
        <f>SUPPLY!B7</f>
        <v/>
      </c>
      <c r="D7">
        <f>SUPPLY!C7</f>
        <v/>
      </c>
      <c r="E7">
        <f>USE!B7+USE!C7</f>
        <v/>
      </c>
    </row>
    <row r="8">
      <c r="C8">
        <f>SUPPLY!B8</f>
        <v/>
      </c>
      <c r="D8">
        <f>SUPPLY!C8</f>
        <v/>
      </c>
      <c r="E8">
        <f>USE!B8+USE!C8</f>
        <v/>
      </c>
    </row>
    <row r="9">
      <c r="C9">
        <f>SUPPLY!B9</f>
        <v/>
      </c>
      <c r="D9">
        <f>SUPPLY!C9</f>
        <v/>
      </c>
      <c r="E9">
        <f>USE!B9+USE!C9</f>
        <v/>
      </c>
    </row>
    <row r="10">
      <c r="C10">
        <f>SUPPLY!B10</f>
        <v/>
      </c>
      <c r="D10">
        <f>SUPPLY!C10</f>
        <v/>
      </c>
      <c r="E10">
        <f>USE!B10+USE!C10</f>
        <v/>
      </c>
    </row>
    <row r="11">
      <c r="C11">
        <f>SUPPLY!B11</f>
        <v/>
      </c>
      <c r="D11">
        <f>SUPPLY!C11</f>
        <v/>
      </c>
      <c r="E11">
        <f>USE!B11+USE!C11</f>
        <v/>
      </c>
    </row>
    <row r="12">
      <c r="C12">
        <f>SUPPLY!B12</f>
        <v/>
      </c>
      <c r="D12">
        <f>SUPPLY!C12</f>
        <v/>
      </c>
      <c r="E12">
        <f>USE!B12+USE!C12</f>
        <v/>
      </c>
    </row>
    <row r="13">
      <c r="C13">
        <f>SUPPLY!B13</f>
        <v/>
      </c>
      <c r="D13">
        <f>SUPPLY!C13</f>
        <v/>
      </c>
      <c r="E13">
        <f>USE!B13+USE!C13</f>
        <v/>
      </c>
    </row>
    <row r="14">
      <c r="C14">
        <f>SUPPLY!B14</f>
        <v/>
      </c>
      <c r="D14">
        <f>SUPPLY!C14</f>
        <v/>
      </c>
      <c r="E14">
        <f>USE!B14+USE!C14</f>
        <v/>
      </c>
    </row>
    <row r="15">
      <c r="C15">
        <f>SUPPLY!B15</f>
        <v/>
      </c>
      <c r="D15">
        <f>SUPPLY!C15</f>
        <v/>
      </c>
      <c r="E15">
        <f>USE!B15+USE!C15</f>
        <v/>
      </c>
    </row>
    <row r="16">
      <c r="C16">
        <f>SUPPLY!B16</f>
        <v/>
      </c>
      <c r="D16">
        <f>SUPPLY!C16</f>
        <v/>
      </c>
      <c r="E16">
        <f>USE!B16+USE!C16</f>
        <v/>
      </c>
    </row>
    <row r="17">
      <c r="C17">
        <f>SUPPLY!B17</f>
        <v/>
      </c>
      <c r="D17">
        <f>SUPPLY!C17</f>
        <v/>
      </c>
      <c r="E17">
        <f>USE!B17+USE!C17</f>
        <v/>
      </c>
    </row>
    <row r="18">
      <c r="C18">
        <f>SUPPLY!B18</f>
        <v/>
      </c>
      <c r="D18">
        <f>SUPPLY!C18</f>
        <v/>
      </c>
      <c r="E18">
        <f>USE!B18+USE!C18</f>
        <v/>
      </c>
    </row>
    <row r="19">
      <c r="C19">
        <f>SUPPLY!B19</f>
        <v/>
      </c>
      <c r="D19">
        <f>SUPPLY!C19</f>
        <v/>
      </c>
      <c r="E19">
        <f>USE!B19+USE!C19</f>
        <v/>
      </c>
    </row>
    <row r="20">
      <c r="C20">
        <f>SUPPLY!B20</f>
        <v/>
      </c>
      <c r="D20">
        <f>SUPPLY!C20</f>
        <v/>
      </c>
      <c r="E20">
        <f>USE!B20+USE!C20</f>
        <v/>
      </c>
    </row>
    <row r="21">
      <c r="C21">
        <f>SUPPLY!B21</f>
        <v/>
      </c>
      <c r="D21">
        <f>SUPPLY!C21</f>
        <v/>
      </c>
      <c r="E21">
        <f>USE!B21+USE!C21</f>
        <v/>
      </c>
    </row>
    <row r="22">
      <c r="C22">
        <f>SUPPLY!B22</f>
        <v/>
      </c>
      <c r="D22">
        <f>SUPPLY!C22</f>
        <v/>
      </c>
      <c r="E22">
        <f>USE!B22+USE!C22</f>
        <v/>
      </c>
    </row>
    <row r="23">
      <c r="C23">
        <f>SUPPLY!B23</f>
        <v/>
      </c>
      <c r="D23">
        <f>SUPPLY!C23</f>
        <v/>
      </c>
      <c r="E23">
        <f>USE!B23+USE!C23</f>
        <v/>
      </c>
    </row>
    <row r="24">
      <c r="C24">
        <f>SUPPLY!B24</f>
        <v/>
      </c>
      <c r="D24">
        <f>SUPPLY!C24</f>
        <v/>
      </c>
      <c r="E24">
        <f>USE!B24+USE!C24</f>
        <v/>
      </c>
    </row>
    <row r="46">
      <c r="A46" t="inlineStr">
        <is>
          <t>Import Content Share</t>
        </is>
      </c>
      <c r="C46">
        <f>SUM(D2:D24)/SUM(E2:E24)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Agriculture</t>
        </is>
      </c>
      <c r="B1" t="inlineStr">
        <is>
          <t>Mining</t>
        </is>
      </c>
      <c r="C1" t="inlineStr">
        <is>
          <t>Food &amp; Beverage</t>
        </is>
      </c>
      <c r="D1" t="inlineStr">
        <is>
          <t>Textiles</t>
        </is>
      </c>
      <c r="E1" t="inlineStr">
        <is>
          <t>Wood &amp; Paper</t>
        </is>
      </c>
      <c r="F1" t="inlineStr">
        <is>
          <t>Chemicals</t>
        </is>
      </c>
      <c r="G1" t="inlineStr">
        <is>
          <t>Metals</t>
        </is>
      </c>
      <c r="H1" t="inlineStr">
        <is>
          <t>Machinery</t>
        </is>
      </c>
      <c r="I1" t="inlineStr">
        <is>
          <t>Vehicles</t>
        </is>
      </c>
      <c r="J1" t="inlineStr">
        <is>
          <t>Electronics</t>
        </is>
      </c>
      <c r="K1" t="inlineStr">
        <is>
          <t>Construction</t>
        </is>
      </c>
      <c r="L1" t="inlineStr">
        <is>
          <t>Trade</t>
        </is>
      </c>
      <c r="M1" t="inlineStr">
        <is>
          <t>Transport</t>
        </is>
      </c>
      <c r="N1" t="inlineStr">
        <is>
          <t>Accommodation</t>
        </is>
      </c>
      <c r="O1" t="inlineStr">
        <is>
          <t>Telecom</t>
        </is>
      </c>
      <c r="P1" t="inlineStr">
        <is>
          <t>Finance</t>
        </is>
      </c>
      <c r="Q1" t="inlineStr">
        <is>
          <t>Real Estate</t>
        </is>
      </c>
      <c r="R1" t="inlineStr">
        <is>
          <t>Professional Services</t>
        </is>
      </c>
      <c r="S1" t="inlineStr">
        <is>
          <t>Admin Services</t>
        </is>
      </c>
      <c r="T1" t="inlineStr">
        <is>
          <t>Education</t>
        </is>
      </c>
      <c r="U1" t="inlineStr">
        <is>
          <t>Health</t>
        </is>
      </c>
      <c r="V1" t="inlineStr">
        <is>
          <t>Arts &amp; Entertainment</t>
        </is>
      </c>
      <c r="W1" t="inlineStr">
        <is>
          <t>Other Services</t>
        </is>
      </c>
    </row>
    <row r="2">
      <c r="A2" t="n">
        <v>2500</v>
      </c>
      <c r="B2" t="n">
        <v>800</v>
      </c>
      <c r="C2" t="n">
        <v>3200</v>
      </c>
      <c r="D2" t="n">
        <v>600</v>
      </c>
      <c r="E2" t="n">
        <v>450</v>
      </c>
      <c r="F2" t="n">
        <v>1200</v>
      </c>
      <c r="G2" t="n">
        <v>900</v>
      </c>
      <c r="H2" t="n">
        <v>1100</v>
      </c>
      <c r="I2" t="n">
        <v>400</v>
      </c>
      <c r="J2" t="n">
        <v>350</v>
      </c>
      <c r="K2" t="n">
        <v>2800</v>
      </c>
      <c r="L2" t="n">
        <v>3500</v>
      </c>
      <c r="M2" t="n">
        <v>2100</v>
      </c>
      <c r="N2" t="n">
        <v>900</v>
      </c>
      <c r="O2" t="n">
        <v>1400</v>
      </c>
      <c r="P2" t="n">
        <v>2200</v>
      </c>
      <c r="Q2" t="n">
        <v>3800</v>
      </c>
      <c r="R2" t="n">
        <v>1600</v>
      </c>
      <c r="S2" t="n">
        <v>1200</v>
      </c>
      <c r="T2" t="n">
        <v>1800</v>
      </c>
      <c r="U2" t="n">
        <v>1500</v>
      </c>
      <c r="V2" t="n">
        <v>600</v>
      </c>
      <c r="W2" t="n">
        <v>1200</v>
      </c>
    </row>
    <row r="3">
      <c r="A3" t="n">
        <v>750</v>
      </c>
      <c r="B3" t="n">
        <v>400</v>
      </c>
      <c r="C3" t="n">
        <v>1200</v>
      </c>
      <c r="D3" t="n">
        <v>300</v>
      </c>
      <c r="E3" t="n">
        <v>200</v>
      </c>
      <c r="F3" t="n">
        <v>600</v>
      </c>
      <c r="G3" t="n">
        <v>500</v>
      </c>
      <c r="H3" t="n">
        <v>800</v>
      </c>
      <c r="I3" t="n">
        <v>300</v>
      </c>
      <c r="J3" t="n">
        <v>400</v>
      </c>
      <c r="K3" t="n">
        <v>800</v>
      </c>
      <c r="L3" t="n">
        <v>1000</v>
      </c>
      <c r="M3" t="n">
        <v>600</v>
      </c>
      <c r="N3" t="n">
        <v>300</v>
      </c>
      <c r="O3" t="n">
        <v>400</v>
      </c>
      <c r="P3" t="n">
        <v>600</v>
      </c>
      <c r="Q3" t="n">
        <v>800</v>
      </c>
      <c r="R3" t="n">
        <v>500</v>
      </c>
      <c r="S3" t="n">
        <v>400</v>
      </c>
      <c r="T3" t="n">
        <v>400</v>
      </c>
      <c r="U3" t="n">
        <v>500</v>
      </c>
      <c r="V3" t="n">
        <v>200</v>
      </c>
      <c r="W3" t="n">
        <v>400</v>
      </c>
    </row>
    <row r="4">
      <c r="A4">
        <f>B2+B3</f>
        <v/>
      </c>
      <c r="B4">
        <f>B2+B3</f>
        <v/>
      </c>
      <c r="C4">
        <f>B2+B3</f>
        <v/>
      </c>
      <c r="D4">
        <f>B2+B3</f>
        <v/>
      </c>
      <c r="E4">
        <f>B2+B3</f>
        <v/>
      </c>
      <c r="F4">
        <f>B2+B3</f>
        <v/>
      </c>
      <c r="G4">
        <f>B2+B3</f>
        <v/>
      </c>
      <c r="H4">
        <f>B2+B3</f>
        <v/>
      </c>
      <c r="I4">
        <f>B2+B3</f>
        <v/>
      </c>
      <c r="J4">
        <f>B2+B3</f>
        <v/>
      </c>
      <c r="K4">
        <f>B2+B3</f>
        <v/>
      </c>
      <c r="L4">
        <f>B2+B3</f>
        <v/>
      </c>
      <c r="M4">
        <f>B2+B3</f>
        <v/>
      </c>
      <c r="N4">
        <f>B2+B3</f>
        <v/>
      </c>
      <c r="O4">
        <f>B2+B3</f>
        <v/>
      </c>
      <c r="P4">
        <f>B2+B3</f>
        <v/>
      </c>
      <c r="Q4">
        <f>B2+B3</f>
        <v/>
      </c>
      <c r="R4">
        <f>B2+B3</f>
        <v/>
      </c>
      <c r="S4">
        <f>B2+B3</f>
        <v/>
      </c>
      <c r="T4">
        <f>B2+B3</f>
        <v/>
      </c>
      <c r="U4">
        <f>B2+B3</f>
        <v/>
      </c>
      <c r="V4">
        <f>B2+B3</f>
        <v/>
      </c>
      <c r="W4">
        <f>B2+B3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Agriculture</t>
        </is>
      </c>
      <c r="B1" t="inlineStr">
        <is>
          <t>Mining</t>
        </is>
      </c>
      <c r="C1" t="inlineStr">
        <is>
          <t>Food &amp; Beverage</t>
        </is>
      </c>
      <c r="D1" t="inlineStr">
        <is>
          <t>Textiles</t>
        </is>
      </c>
      <c r="E1" t="inlineStr">
        <is>
          <t>Wood &amp; Paper</t>
        </is>
      </c>
      <c r="F1" t="inlineStr">
        <is>
          <t>Chemicals</t>
        </is>
      </c>
      <c r="G1" t="inlineStr">
        <is>
          <t>Metals</t>
        </is>
      </c>
      <c r="H1" t="inlineStr">
        <is>
          <t>Machinery</t>
        </is>
      </c>
      <c r="I1" t="inlineStr">
        <is>
          <t>Vehicles</t>
        </is>
      </c>
      <c r="J1" t="inlineStr">
        <is>
          <t>Electronics</t>
        </is>
      </c>
      <c r="K1" t="inlineStr">
        <is>
          <t>Construction</t>
        </is>
      </c>
      <c r="L1" t="inlineStr">
        <is>
          <t>Trade</t>
        </is>
      </c>
      <c r="M1" t="inlineStr">
        <is>
          <t>Transport</t>
        </is>
      </c>
      <c r="N1" t="inlineStr">
        <is>
          <t>Accommodation</t>
        </is>
      </c>
      <c r="O1" t="inlineStr">
        <is>
          <t>Telecom</t>
        </is>
      </c>
      <c r="P1" t="inlineStr">
        <is>
          <t>Finance</t>
        </is>
      </c>
      <c r="Q1" t="inlineStr">
        <is>
          <t>Real Estate</t>
        </is>
      </c>
      <c r="R1" t="inlineStr">
        <is>
          <t>Professional Services</t>
        </is>
      </c>
      <c r="S1" t="inlineStr">
        <is>
          <t>Admin Services</t>
        </is>
      </c>
      <c r="T1" t="inlineStr">
        <is>
          <t>Education</t>
        </is>
      </c>
      <c r="U1" t="inlineStr">
        <is>
          <t>Health</t>
        </is>
      </c>
      <c r="V1" t="inlineStr">
        <is>
          <t>Arts &amp; Entertainment</t>
        </is>
      </c>
      <c r="W1" t="inlineStr">
        <is>
          <t>Other Services</t>
        </is>
      </c>
    </row>
    <row r="2">
      <c r="A2" t="n">
        <v>1500</v>
      </c>
      <c r="B2" t="n">
        <v>400</v>
      </c>
      <c r="C2" t="n">
        <v>1800</v>
      </c>
      <c r="D2" t="n">
        <v>300</v>
      </c>
      <c r="E2" t="n">
        <v>250</v>
      </c>
      <c r="F2" t="n">
        <v>800</v>
      </c>
      <c r="G2" t="n">
        <v>600</v>
      </c>
      <c r="H2" t="n">
        <v>700</v>
      </c>
      <c r="I2" t="n">
        <v>250</v>
      </c>
      <c r="J2" t="n">
        <v>200</v>
      </c>
      <c r="K2" t="n">
        <v>1500</v>
      </c>
      <c r="L2" t="n">
        <v>2000</v>
      </c>
      <c r="M2" t="n">
        <v>1200</v>
      </c>
      <c r="N2" t="n">
        <v>500</v>
      </c>
      <c r="O2" t="n">
        <v>800</v>
      </c>
      <c r="P2" t="n">
        <v>1200</v>
      </c>
      <c r="Q2" t="n">
        <v>1500</v>
      </c>
      <c r="R2" t="n">
        <v>900</v>
      </c>
      <c r="S2" t="n">
        <v>700</v>
      </c>
      <c r="T2" t="n">
        <v>800</v>
      </c>
      <c r="U2" t="n">
        <v>600</v>
      </c>
      <c r="V2" t="n">
        <v>300</v>
      </c>
      <c r="W2" t="n">
        <v>600</v>
      </c>
    </row>
    <row r="3">
      <c r="A3" t="n">
        <v>800</v>
      </c>
      <c r="B3" t="n">
        <v>200</v>
      </c>
      <c r="C3" t="n">
        <v>1200</v>
      </c>
      <c r="D3" t="n">
        <v>250</v>
      </c>
      <c r="E3" t="n">
        <v>150</v>
      </c>
      <c r="F3" t="n">
        <v>300</v>
      </c>
      <c r="G3" t="n">
        <v>200</v>
      </c>
      <c r="H3" t="n">
        <v>250</v>
      </c>
      <c r="I3" t="n">
        <v>100</v>
      </c>
      <c r="J3" t="n">
        <v>150</v>
      </c>
      <c r="K3" t="n">
        <v>900</v>
      </c>
      <c r="L3" t="n">
        <v>1200</v>
      </c>
      <c r="M3" t="n">
        <v>600</v>
      </c>
      <c r="N3" t="n">
        <v>350</v>
      </c>
      <c r="O3" t="n">
        <v>400</v>
      </c>
      <c r="P3" t="n">
        <v>700</v>
      </c>
      <c r="Q3" t="n">
        <v>1500</v>
      </c>
      <c r="R3" t="n">
        <v>500</v>
      </c>
      <c r="S3" t="n">
        <v>400</v>
      </c>
      <c r="T3" t="n">
        <v>900</v>
      </c>
      <c r="U3" t="n">
        <v>700</v>
      </c>
      <c r="V3" t="n">
        <v>250</v>
      </c>
      <c r="W3" t="n">
        <v>400</v>
      </c>
    </row>
    <row r="4">
      <c r="A4" t="n">
        <v>200</v>
      </c>
      <c r="B4" t="n">
        <v>100</v>
      </c>
      <c r="C4" t="n">
        <v>300</v>
      </c>
      <c r="D4" t="n">
        <v>50</v>
      </c>
      <c r="E4" t="n">
        <v>50</v>
      </c>
      <c r="F4" t="n">
        <v>150</v>
      </c>
      <c r="G4" t="n">
        <v>100</v>
      </c>
      <c r="H4" t="n">
        <v>150</v>
      </c>
      <c r="I4" t="n">
        <v>50</v>
      </c>
      <c r="J4" t="n">
        <v>50</v>
      </c>
      <c r="K4" t="n">
        <v>400</v>
      </c>
      <c r="L4" t="n">
        <v>300</v>
      </c>
      <c r="M4" t="n">
        <v>200</v>
      </c>
      <c r="N4" t="n">
        <v>100</v>
      </c>
      <c r="O4" t="n">
        <v>200</v>
      </c>
      <c r="P4" t="n">
        <v>300</v>
      </c>
      <c r="Q4" t="n">
        <v>400</v>
      </c>
      <c r="R4" t="n">
        <v>200</v>
      </c>
      <c r="S4" t="n">
        <v>150</v>
      </c>
      <c r="T4" t="n">
        <v>150</v>
      </c>
      <c r="U4" t="n">
        <v>150</v>
      </c>
      <c r="V4" t="n">
        <v>50</v>
      </c>
      <c r="W4" t="n">
        <v>100</v>
      </c>
    </row>
    <row r="5">
      <c r="A5" t="n">
        <v>200</v>
      </c>
      <c r="B5" t="n">
        <v>100</v>
      </c>
      <c r="C5" t="n">
        <v>200</v>
      </c>
      <c r="D5" t="n">
        <v>50</v>
      </c>
      <c r="E5" t="n">
        <v>50</v>
      </c>
      <c r="F5" t="n">
        <v>100</v>
      </c>
      <c r="G5" t="n">
        <v>100</v>
      </c>
      <c r="H5" t="n">
        <v>100</v>
      </c>
      <c r="I5" t="n">
        <v>50</v>
      </c>
      <c r="J5" t="n">
        <v>50</v>
      </c>
      <c r="K5" t="n">
        <v>100</v>
      </c>
      <c r="L5" t="n">
        <v>100</v>
      </c>
      <c r="M5" t="n">
        <v>200</v>
      </c>
      <c r="N5" t="n">
        <v>50</v>
      </c>
      <c r="O5" t="n">
        <v>100</v>
      </c>
      <c r="P5" t="n">
        <v>100</v>
      </c>
      <c r="Q5" t="n">
        <v>200</v>
      </c>
      <c r="R5" t="n">
        <v>100</v>
      </c>
      <c r="S5" t="n">
        <v>50</v>
      </c>
      <c r="T5" t="n">
        <v>50</v>
      </c>
      <c r="U5" t="n">
        <v>50</v>
      </c>
      <c r="V5" t="n">
        <v>50</v>
      </c>
      <c r="W5" t="n">
        <v>100</v>
      </c>
    </row>
    <row r="6">
      <c r="A6">
        <f>B2+B3+B4+B5</f>
        <v/>
      </c>
      <c r="B6">
        <f>B2+B3+B4+B5</f>
        <v/>
      </c>
      <c r="C6">
        <f>B2+B3+B4+B5</f>
        <v/>
      </c>
      <c r="D6">
        <f>B2+B3+B4+B5</f>
        <v/>
      </c>
      <c r="E6">
        <f>B2+B3+B4+B5</f>
        <v/>
      </c>
      <c r="F6">
        <f>B2+B3+B4+B5</f>
        <v/>
      </c>
      <c r="G6">
        <f>B2+B3+B4+B5</f>
        <v/>
      </c>
      <c r="H6">
        <f>B2+B3+B4+B5</f>
        <v/>
      </c>
      <c r="I6">
        <f>B2+B3+B4+B5</f>
        <v/>
      </c>
      <c r="J6">
        <f>B2+B3+B4+B5</f>
        <v/>
      </c>
      <c r="K6">
        <f>B2+B3+B4+B5</f>
        <v/>
      </c>
      <c r="L6">
        <f>B2+B3+B4+B5</f>
        <v/>
      </c>
      <c r="M6">
        <f>B2+B3+B4+B5</f>
        <v/>
      </c>
      <c r="N6">
        <f>B2+B3+B4+B5</f>
        <v/>
      </c>
      <c r="O6">
        <f>B2+B3+B4+B5</f>
        <v/>
      </c>
      <c r="P6">
        <f>B2+B3+B4+B5</f>
        <v/>
      </c>
      <c r="Q6">
        <f>B2+B3+B4+B5</f>
        <v/>
      </c>
      <c r="R6">
        <f>B2+B3+B4+B5</f>
        <v/>
      </c>
      <c r="S6">
        <f>B2+B3+B4+B5</f>
        <v/>
      </c>
      <c r="T6">
        <f>B2+B3+B4+B5</f>
        <v/>
      </c>
      <c r="U6">
        <f>B2+B3+B4+B5</f>
        <v/>
      </c>
      <c r="V6">
        <f>B2+B3+B4+B5</f>
        <v/>
      </c>
      <c r="W6">
        <f>B2+B3+B4+B5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2026-01-29T09:57:05Z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