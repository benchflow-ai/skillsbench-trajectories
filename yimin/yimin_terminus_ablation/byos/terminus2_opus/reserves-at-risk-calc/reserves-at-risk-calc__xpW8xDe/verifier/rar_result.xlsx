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'Value'!N18</f>
        <v/>
      </c>
      <c r="E12" s="3">
        <f>'Value'!F18</f>
        <v/>
      </c>
      <c r="F12" s="3">
        <f>'Value'!O18</f>
        <v/>
      </c>
      <c r="G12" s="3">
        <f>'Value'!Q18</f>
        <v/>
      </c>
      <c r="H12" s="3">
        <f>'Value'!J18</f>
        <v/>
      </c>
      <c r="I12" s="3">
        <f>'Volume'!H18*AVERAGE('Gold price'!B422:B430)</f>
        <v/>
      </c>
      <c r="J12" s="7">
        <f>'Value'!L18</f>
        <v/>
      </c>
      <c r="K12" s="3">
        <f>'Value'!M18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</row>
    <row r="21">
      <c r="B21" t="inlineStr">
        <is>
          <t>Gold reserves 
(in millions of USD)</t>
        </is>
      </c>
      <c r="C21" s="7">
        <f>'Value'!D18</f>
        <v/>
      </c>
      <c r="D21" s="2">
        <f>'Value'!N18</f>
        <v/>
      </c>
      <c r="E21" s="3">
        <f>'Value'!F18</f>
        <v/>
      </c>
      <c r="F21" s="3">
        <f>'Value'!O18</f>
        <v/>
      </c>
      <c r="G21" s="3">
        <f>'Value'!Q18</f>
        <v/>
      </c>
      <c r="H21" s="7">
        <f>'Value'!J18</f>
        <v/>
      </c>
      <c r="I21">
        <f>'Value'!M18</f>
        <v/>
      </c>
    </row>
    <row r="22">
      <c r="B22" t="inlineStr">
        <is>
          <t>Gold valuation exposure (95% one-sided shock)</t>
        </is>
      </c>
      <c r="C22">
        <f>C21*$C$3*$C$4/100</f>
        <v/>
      </c>
      <c r="D22">
        <f>D21*$C$3*$C$4/100</f>
        <v/>
      </c>
      <c r="E22">
        <f>E21*$C$3*$C$4/100</f>
        <v/>
      </c>
      <c r="F22">
        <f>F21*$C$3*$C$4/100</f>
        <v/>
      </c>
      <c r="G22">
        <f>G21*$C$3*$C$4/100</f>
        <v/>
      </c>
      <c r="H22">
        <f>H21*$C$3*$C$4/100</f>
        <v/>
      </c>
      <c r="I22">
        <f>I21*$C$3*$C$4/100</f>
        <v/>
      </c>
    </row>
    <row r="23">
      <c r="B23" t="inlineStr">
        <is>
          <t>Total Reserve</t>
        </is>
      </c>
      <c r="C23">
        <f>INDEX('Total Reserves'!$C$18:$P$18,MATCH(TRUE,ISNUMBER(SEARCH(C20,'Total Reserves'!$C$1:$P$1)),0))</f>
        <v/>
      </c>
      <c r="D23">
        <f>INDEX('Total Reserves'!$C$18:$P$18,MATCH(TRUE,ISNUMBER(SEARCH(D20,'Total Reserves'!$C$1:$P$1)),0))</f>
        <v/>
      </c>
      <c r="E23">
        <f>INDEX('Total Reserves'!$C$18:$P$18,MATCH(TRUE,ISNUMBER(SEARCH(E20,'Total Reserves'!$C$1:$P$1)),0))</f>
        <v/>
      </c>
      <c r="F23">
        <f>INDEX('Total Reserves'!$C$18:$P$18,MATCH(TRUE,ISNUMBER(SEARCH(F20,'Total Reserves'!$C$1:$P$1)),0))</f>
        <v/>
      </c>
      <c r="G23">
        <f>INDEX('Total Reserves'!$C$18:$P$18,MATCH(TRUE,ISNUMBER(SEARCH(G20,'Total Reserves'!$C$1:$P$1)),0))</f>
        <v/>
      </c>
      <c r="H23">
        <f>INDEX('Total Reserves'!$C$18:$P$18,MATCH(TRUE,ISNUMBER(SEARCH(H20,'Total Reserves'!$C$1:$P$1)),0))</f>
        <v/>
      </c>
      <c r="I23">
        <f>INDEX('Total Reserves'!$C$18:$P$18,MATCH(TRUE,ISNUMBER(SEARCH(I20,'Total Reserves'!$C$1:$P$1)),0))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2026-01-29T06:43:03Z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