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Gold price" sheetId="1" state="visible" r:id="rId1"/>
    <sheet name="Value" sheetId="2" state="visible" r:id="rId2"/>
    <sheet name="Volume" sheetId="3" state="visible" r:id="rId3"/>
    <sheet name="Total Reserves" sheetId="4" state="visible" r:id="rId4"/>
    <sheet name="Answer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Gold Price (US$ per troy ounce)</t>
        </is>
      </c>
      <c r="C1" t="inlineStr">
        <is>
          <t>Log Return (%)</t>
        </is>
      </c>
      <c r="D1" t="inlineStr">
        <is>
          <t>3-Month Volatility (%)</t>
        </is>
      </c>
      <c r="E1" t="inlineStr">
        <is>
          <t>12-Month Volatility (%)</t>
        </is>
      </c>
    </row>
    <row r="2">
      <c r="A2" t="inlineStr">
        <is>
          <t>2024-01-31</t>
        </is>
      </c>
      <c r="B2" t="n">
        <v>2063.5</v>
      </c>
    </row>
    <row r="3">
      <c r="A3" t="inlineStr">
        <is>
          <t>2024-02-29</t>
        </is>
      </c>
      <c r="B3" t="n">
        <v>2080.25</v>
      </c>
      <c r="C3">
        <f>LN(B3/B2)*100</f>
        <v/>
      </c>
    </row>
    <row r="4">
      <c r="A4" t="inlineStr">
        <is>
          <t>2024-03-31</t>
        </is>
      </c>
      <c r="B4" t="n">
        <v>2089.1</v>
      </c>
      <c r="C4">
        <f>LN(B4/B3)*100</f>
        <v/>
      </c>
    </row>
    <row r="5">
      <c r="A5" t="inlineStr">
        <is>
          <t>2024-04-30</t>
        </is>
      </c>
      <c r="B5" t="n">
        <v>2329.5</v>
      </c>
      <c r="C5">
        <f>LN(B5/B4)*100</f>
        <v/>
      </c>
      <c r="D5">
        <f>STDEV(C3:C5)*SQRT(12)</f>
        <v/>
      </c>
    </row>
    <row r="6">
      <c r="A6" t="inlineStr">
        <is>
          <t>2024-05-31</t>
        </is>
      </c>
      <c r="B6" t="n">
        <v>2323.75</v>
      </c>
      <c r="C6">
        <f>LN(B6/B5)*100</f>
        <v/>
      </c>
      <c r="D6">
        <f>STDEV(C4:C6)*SQRT(12)</f>
        <v/>
      </c>
    </row>
    <row r="7">
      <c r="A7" t="inlineStr">
        <is>
          <t>2024-06-30</t>
        </is>
      </c>
      <c r="B7" t="n">
        <v>2391.4</v>
      </c>
      <c r="C7">
        <f>LN(B7/B6)*100</f>
        <v/>
      </c>
      <c r="D7">
        <f>STDEV(C5:C7)*SQRT(12)</f>
        <v/>
      </c>
    </row>
    <row r="8">
      <c r="A8" t="inlineStr">
        <is>
          <t>2024-07-31</t>
        </is>
      </c>
      <c r="B8" t="n">
        <v>2411.2</v>
      </c>
      <c r="C8">
        <f>LN(B8/B7)*100</f>
        <v/>
      </c>
      <c r="D8">
        <f>STDEV(C6:C8)*SQRT(12)</f>
        <v/>
      </c>
    </row>
    <row r="9">
      <c r="A9" t="inlineStr">
        <is>
          <t>2024-08-31</t>
        </is>
      </c>
      <c r="B9" t="n">
        <v>2416.8</v>
      </c>
      <c r="C9">
        <f>LN(B9/B8)*100</f>
        <v/>
      </c>
      <c r="D9">
        <f>STDEV(C7:C9)*SQRT(12)</f>
        <v/>
      </c>
    </row>
    <row r="10">
      <c r="A10" t="inlineStr">
        <is>
          <t>2024-09-30</t>
        </is>
      </c>
      <c r="B10" t="n">
        <v>2617.5</v>
      </c>
      <c r="C10">
        <f>LN(B10/B9)*100</f>
        <v/>
      </c>
      <c r="D10">
        <f>STDEV(C8:C10)*SQRT(12)</f>
        <v/>
      </c>
    </row>
    <row r="11">
      <c r="A11" t="inlineStr">
        <is>
          <t>2024-10-31</t>
        </is>
      </c>
      <c r="B11" t="n">
        <v>2736.3</v>
      </c>
      <c r="C11">
        <f>LN(B11/B10)*100</f>
        <v/>
      </c>
      <c r="D11">
        <f>STDEV(C9:C11)*SQRT(12)</f>
        <v/>
      </c>
    </row>
    <row r="12">
      <c r="A12" t="inlineStr">
        <is>
          <t>2024-11-30</t>
        </is>
      </c>
      <c r="B12" t="n">
        <v>2939.5</v>
      </c>
      <c r="C12">
        <f>LN(B12/B11)*100</f>
        <v/>
      </c>
      <c r="D12">
        <f>STDEV(C10:C12)*SQRT(12)</f>
        <v/>
      </c>
    </row>
    <row r="13">
      <c r="A13" t="inlineStr">
        <is>
          <t>2024-12-31</t>
        </is>
      </c>
      <c r="B13" t="n">
        <v>2799.6</v>
      </c>
      <c r="C13">
        <f>LN(B13/B12)*100</f>
        <v/>
      </c>
      <c r="D13">
        <f>STDEV(C11:C13)*SQRT(12)</f>
        <v/>
      </c>
    </row>
    <row r="14">
      <c r="A14" t="inlineStr">
        <is>
          <t>2025-01-31</t>
        </is>
      </c>
      <c r="B14" t="n">
        <v>2810.4</v>
      </c>
      <c r="C14">
        <f>LN(B14/B13)*100</f>
        <v/>
      </c>
      <c r="D14">
        <f>STDEV(C12:C14)*SQRT(12)</f>
        <v/>
      </c>
      <c r="E14">
        <f>STDEV(C3:C14)*SQRT(12)</f>
        <v/>
      </c>
    </row>
    <row r="15">
      <c r="A15" t="inlineStr">
        <is>
          <t>2025-02-28</t>
        </is>
      </c>
      <c r="B15" t="n">
        <v>2850.2</v>
      </c>
      <c r="C15">
        <f>LN(B15/B14)*100</f>
        <v/>
      </c>
      <c r="D15">
        <f>STDEV(C13:C15)*SQRT(12)</f>
        <v/>
      </c>
      <c r="E15">
        <f>STDEV(C4:C15)*SQRT(12)</f>
        <v/>
      </c>
    </row>
    <row r="16">
      <c r="A16" t="inlineStr">
        <is>
          <t>2025-03-31</t>
        </is>
      </c>
      <c r="B16" t="n">
        <v>2920.1</v>
      </c>
      <c r="C16">
        <f>LN(B16/B15)*100</f>
        <v/>
      </c>
      <c r="D16">
        <f>STDEV(C14:C16)*SQRT(12)</f>
        <v/>
      </c>
      <c r="E16">
        <f>STDEV(C5:C16)*SQRT(12)</f>
        <v/>
      </c>
    </row>
    <row r="17">
      <c r="A17" t="inlineStr">
        <is>
          <t>2025-04-30</t>
        </is>
      </c>
      <c r="B17" t="n">
        <v>2875.5</v>
      </c>
      <c r="C17">
        <f>LN(B17/B16)*100</f>
        <v/>
      </c>
      <c r="D17">
        <f>STDEV(C15:C17)*SQRT(12)</f>
        <v/>
      </c>
      <c r="E17">
        <f>STDEV(C6:C17)*SQRT(12)</f>
        <v/>
      </c>
    </row>
    <row r="18">
      <c r="A18" t="inlineStr">
        <is>
          <t>2025-05-31</t>
        </is>
      </c>
      <c r="B18" t="n">
        <v>2945.3</v>
      </c>
      <c r="C18">
        <f>LN(B18/B17)*100</f>
        <v/>
      </c>
      <c r="D18">
        <f>STDEV(C16:C18)*SQRT(12)</f>
        <v/>
      </c>
      <c r="E18">
        <f>STDEV(C7:C18)*SQRT(12)</f>
        <v/>
      </c>
    </row>
    <row r="19">
      <c r="A19" t="inlineStr">
        <is>
          <t>2025-06-30</t>
        </is>
      </c>
      <c r="B19" t="n">
        <v>2918.8</v>
      </c>
      <c r="C19">
        <f>LN(B19/B18)*100</f>
        <v/>
      </c>
      <c r="D19">
        <f>STDEV(C17:C19)*SQRT(12)</f>
        <v/>
      </c>
      <c r="E19">
        <f>STDEV(C8:C19)*SQRT(12)</f>
        <v/>
      </c>
    </row>
    <row r="20">
      <c r="A20" t="inlineStr">
        <is>
          <t>2025-07-31</t>
        </is>
      </c>
      <c r="B20" t="n">
        <v>2865.4</v>
      </c>
      <c r="C20">
        <f>LN(B20/B19)*100</f>
        <v/>
      </c>
      <c r="D20">
        <f>STDEV(C18:C20)*SQRT(12)</f>
        <v/>
      </c>
      <c r="E20">
        <f>STDEV(C9:C20)*SQRT(12)</f>
        <v/>
      </c>
    </row>
    <row r="21">
      <c r="A21" t="inlineStr">
        <is>
          <t>2025-08-31</t>
        </is>
      </c>
      <c r="B21" t="n">
        <v>2910.2</v>
      </c>
      <c r="C21">
        <f>LN(B21/B20)*100</f>
        <v/>
      </c>
      <c r="D21">
        <f>STDEV(C19:C21)*SQRT(12)</f>
        <v/>
      </c>
      <c r="E21">
        <f>STDEV(C10:C21)*SQRT(12)</f>
        <v/>
      </c>
    </row>
    <row r="22">
      <c r="A22" t="inlineStr">
        <is>
          <t>2025-09-30</t>
        </is>
      </c>
      <c r="B22" t="n">
        <v>2950.6</v>
      </c>
      <c r="C22">
        <f>LN(B22/B21)*100</f>
        <v/>
      </c>
      <c r="D22">
        <f>STDEV(C20:C22)*SQRT(12)</f>
        <v/>
      </c>
      <c r="E22">
        <f>STDEV(C11:C22)*SQRT(12)</f>
        <v/>
      </c>
    </row>
    <row r="23">
      <c r="C23">
        <f>LN(B23/B22)*100</f>
        <v/>
      </c>
      <c r="D23">
        <f>STDEV(C21:C23)*SQRT(12)</f>
        <v/>
      </c>
      <c r="E23">
        <f>STDEV(C12:C23)*SQRT(12)</f>
        <v/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Country</t>
        </is>
      </c>
      <c r="B1" t="inlineStr">
        <is>
          <t>2025 Gold Reserves Value (USD millions)</t>
        </is>
      </c>
    </row>
    <row r="2">
      <c r="A2" t="inlineStr">
        <is>
          <t>United States</t>
        </is>
      </c>
      <c r="B2" t="n">
        <v>432800</v>
      </c>
    </row>
    <row r="3">
      <c r="A3" t="inlineStr">
        <is>
          <t>Germany</t>
        </is>
      </c>
      <c r="B3" t="n">
        <v>251200</v>
      </c>
    </row>
    <row r="4">
      <c r="A4" t="inlineStr">
        <is>
          <t>Italy</t>
        </is>
      </c>
      <c r="B4" t="n">
        <v>190400</v>
      </c>
    </row>
    <row r="5">
      <c r="A5" t="inlineStr">
        <is>
          <t>France</t>
        </is>
      </c>
      <c r="B5" t="n">
        <v>204500</v>
      </c>
    </row>
    <row r="6">
      <c r="A6" t="inlineStr">
        <is>
          <t>Spain</t>
        </is>
      </c>
      <c r="B6" t="n">
        <v>123600</v>
      </c>
    </row>
    <row r="7">
      <c r="A7" t="inlineStr">
        <is>
          <t>Netherlands</t>
        </is>
      </c>
      <c r="B7" t="n">
        <v>98700</v>
      </c>
    </row>
    <row r="8">
      <c r="A8" t="inlineStr">
        <is>
          <t>China</t>
        </is>
      </c>
      <c r="B8" t="n">
        <v>145800</v>
      </c>
    </row>
    <row r="9">
      <c r="A9" t="inlineStr">
        <is>
          <t>Japan</t>
        </is>
      </c>
      <c r="B9" t="n">
        <v>92500</v>
      </c>
    </row>
    <row r="10">
      <c r="A10" t="inlineStr">
        <is>
          <t>Switzerland</t>
        </is>
      </c>
      <c r="B10" t="n">
        <v>78600</v>
      </c>
    </row>
    <row r="11"/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Country</t>
        </is>
      </c>
      <c r="B1" t="inlineStr">
        <is>
          <t>2025 Gold Reserves (millions of troy ounces)</t>
        </is>
      </c>
    </row>
    <row r="2">
      <c r="A2" t="inlineStr">
        <is>
          <t>United States</t>
        </is>
      </c>
      <c r="B2" t="n">
        <v>261.5</v>
      </c>
    </row>
    <row r="3">
      <c r="A3" t="inlineStr">
        <is>
          <t>Germany</t>
        </is>
      </c>
      <c r="B3" t="n">
        <v>152</v>
      </c>
    </row>
    <row r="4">
      <c r="A4" t="inlineStr">
        <is>
          <t>Italy</t>
        </is>
      </c>
      <c r="B4" t="n">
        <v>115</v>
      </c>
    </row>
    <row r="5">
      <c r="A5" t="inlineStr">
        <is>
          <t>France</t>
        </is>
      </c>
      <c r="B5" t="n">
        <v>123</v>
      </c>
    </row>
    <row r="6">
      <c r="A6" t="inlineStr">
        <is>
          <t>Spain</t>
        </is>
      </c>
      <c r="B6" t="n">
        <v>74.5</v>
      </c>
    </row>
    <row r="7">
      <c r="A7" t="inlineStr">
        <is>
          <t>Netherlands</t>
        </is>
      </c>
      <c r="B7" t="n">
        <v>59.5</v>
      </c>
    </row>
    <row r="8">
      <c r="A8" t="inlineStr">
        <is>
          <t>China</t>
        </is>
      </c>
      <c r="B8" t="n">
        <v>88</v>
      </c>
    </row>
    <row r="9">
      <c r="A9" t="inlineStr">
        <is>
          <t>Japan</t>
        </is>
      </c>
      <c r="B9" t="n">
        <v>55.8</v>
      </c>
    </row>
    <row r="10">
      <c r="A10" t="inlineStr">
        <is>
          <t>Switzerland</t>
        </is>
      </c>
      <c r="B10" t="n">
        <v>47.4</v>
      </c>
    </row>
    <row r="11">
      <c r="A11" t="inlineStr">
        <is>
          <t>Russia</t>
        </is>
      </c>
      <c r="B11" t="n">
        <v>73.2</v>
      </c>
    </row>
    <row r="12">
      <c r="A12" t="inlineStr">
        <is>
          <t>India</t>
        </is>
      </c>
      <c r="B12" t="n">
        <v>42</v>
      </c>
    </row>
    <row r="13"/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Country</t>
        </is>
      </c>
      <c r="B1" t="inlineStr">
        <is>
          <t>2025 Total Reserves (USD millions)</t>
        </is>
      </c>
    </row>
    <row r="2">
      <c r="A2" t="inlineStr">
        <is>
          <t>United States</t>
        </is>
      </c>
      <c r="B2" t="n">
        <v>3500000</v>
      </c>
    </row>
    <row r="3">
      <c r="A3" t="inlineStr">
        <is>
          <t>Germany</t>
        </is>
      </c>
      <c r="B3" t="n">
        <v>850000</v>
      </c>
    </row>
    <row r="4">
      <c r="A4" t="inlineStr">
        <is>
          <t>Italy</t>
        </is>
      </c>
      <c r="B4" t="n">
        <v>620000</v>
      </c>
    </row>
    <row r="5">
      <c r="A5" t="inlineStr">
        <is>
          <t>France</t>
        </is>
      </c>
      <c r="B5" t="n">
        <v>780000</v>
      </c>
    </row>
    <row r="6">
      <c r="A6" t="inlineStr">
        <is>
          <t>Spain</t>
        </is>
      </c>
      <c r="B6" t="n">
        <v>450000</v>
      </c>
    </row>
    <row r="7">
      <c r="A7" t="inlineStr">
        <is>
          <t>Netherlands</t>
        </is>
      </c>
      <c r="B7" t="n">
        <v>520000</v>
      </c>
    </row>
    <row r="8">
      <c r="A8" t="inlineStr">
        <is>
          <t>China</t>
        </is>
      </c>
      <c r="B8" t="n">
        <v>4200000</v>
      </c>
    </row>
    <row r="9">
      <c r="A9" t="inlineStr">
        <is>
          <t>Japan</t>
        </is>
      </c>
      <c r="B9" t="n">
        <v>1150000</v>
      </c>
    </row>
    <row r="10">
      <c r="A10" t="inlineStr">
        <is>
          <t>Switzerland</t>
        </is>
      </c>
      <c r="B10" t="n">
        <v>950000</v>
      </c>
    </row>
    <row r="11">
      <c r="A11" t="inlineStr">
        <is>
          <t>Russia</t>
        </is>
      </c>
      <c r="B11" t="n">
        <v>650000</v>
      </c>
    </row>
    <row r="12">
      <c r="A12" t="inlineStr">
        <is>
          <t>India</t>
        </is>
      </c>
      <c r="B12" t="n">
        <v>580000</v>
      </c>
    </row>
    <row r="13"/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39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STEP 1: Gold Price Analysis</t>
        </is>
      </c>
    </row>
    <row r="2">
      <c r="A2" t="inlineStr">
        <is>
          <t>Latest Gold Price (US$ per troy ounce):</t>
        </is>
      </c>
      <c r="B2" t="n">
        <v>2950.6</v>
      </c>
    </row>
    <row r="3">
      <c r="A3" t="inlineStr">
        <is>
          <t>Monthly Log Return (Latest, %):</t>
        </is>
      </c>
      <c r="B3" t="n">
        <v>1.38822074084255</v>
      </c>
    </row>
    <row r="4">
      <c r="A4" t="inlineStr">
        <is>
          <t>3-Month Volatility (Annualized, %):</t>
        </is>
      </c>
      <c r="B4" t="n">
        <v>6.617706216070777</v>
      </c>
    </row>
    <row r="5">
      <c r="A5" t="inlineStr">
        <is>
          <t>12-Month Volatility (Annualized, %):</t>
        </is>
      </c>
      <c r="B5" t="n">
        <v>10.96076095542237</v>
      </c>
    </row>
    <row r="11">
      <c r="A11" t="inlineStr">
        <is>
          <t>STEP 2: Countries with 2025 Gold Reserves Data</t>
        </is>
      </c>
    </row>
    <row r="12">
      <c r="A12" t="inlineStr">
        <is>
          <t>Country</t>
        </is>
      </c>
      <c r="B12" t="inlineStr">
        <is>
          <t>Gold Reserves Value (USD millions)</t>
        </is>
      </c>
      <c r="C12" t="inlineStr">
        <is>
          <t>Gold Price Used (USD/oz)</t>
        </is>
      </c>
    </row>
    <row r="13">
      <c r="A13" t="inlineStr">
        <is>
          <t>United States</t>
        </is>
      </c>
      <c r="B13" t="n">
        <v>432800</v>
      </c>
      <c r="C13" t="n">
        <v>2950.6</v>
      </c>
    </row>
    <row r="14">
      <c r="A14" t="inlineStr">
        <is>
          <t>Germany</t>
        </is>
      </c>
      <c r="B14" t="n">
        <v>251200</v>
      </c>
      <c r="C14" t="n">
        <v>2950.6</v>
      </c>
    </row>
    <row r="15">
      <c r="A15" t="inlineStr">
        <is>
          <t>Italy</t>
        </is>
      </c>
      <c r="B15" t="n">
        <v>190400</v>
      </c>
      <c r="C15" t="n">
        <v>2950.6</v>
      </c>
    </row>
    <row r="16">
      <c r="A16" t="inlineStr">
        <is>
          <t>France</t>
        </is>
      </c>
      <c r="B16" t="n">
        <v>204500</v>
      </c>
      <c r="C16" t="n">
        <v>2950.6</v>
      </c>
    </row>
    <row r="17">
      <c r="A17" t="inlineStr">
        <is>
          <t>Spain</t>
        </is>
      </c>
      <c r="B17" t="n">
        <v>123600</v>
      </c>
      <c r="C17" t="n">
        <v>2950.6</v>
      </c>
    </row>
    <row r="18">
      <c r="A18" t="inlineStr">
        <is>
          <t>Netherlands</t>
        </is>
      </c>
      <c r="B18" t="n">
        <v>98700</v>
      </c>
      <c r="C18" t="n">
        <v>2950.6</v>
      </c>
    </row>
    <row r="19">
      <c r="A19" t="inlineStr">
        <is>
          <t>China</t>
        </is>
      </c>
      <c r="B19" t="n">
        <v>145800</v>
      </c>
      <c r="C19" t="n">
        <v>2950.6</v>
      </c>
    </row>
    <row r="20">
      <c r="A20" t="inlineStr">
        <is>
          <t>Japan</t>
        </is>
      </c>
      <c r="B20" t="n">
        <v>92500</v>
      </c>
      <c r="C20" t="n">
        <v>2950.6</v>
      </c>
    </row>
    <row r="21">
      <c r="A21" t="inlineStr">
        <is>
          <t>Switzerland</t>
        </is>
      </c>
      <c r="B21" t="n">
        <v>78600</v>
      </c>
      <c r="C21" t="n">
        <v>2950.6</v>
      </c>
    </row>
    <row r="22">
      <c r="A22" t="inlineStr">
        <is>
          <t>Russia</t>
        </is>
      </c>
      <c r="B22" t="n">
        <v>211844.8666666667</v>
      </c>
      <c r="C22" t="n">
        <v>2894.055555555556</v>
      </c>
    </row>
    <row r="23">
      <c r="A23" t="inlineStr">
        <is>
          <t>India</t>
        </is>
      </c>
      <c r="B23" t="n">
        <v>121550.3333333333</v>
      </c>
      <c r="C23" t="n">
        <v>2894.055555555556</v>
      </c>
    </row>
    <row r="25">
      <c r="A25" t="inlineStr">
        <is>
          <t>Gold Price Exposure (%)</t>
        </is>
      </c>
      <c r="B25" t="n">
        <v>1.953813372238106</v>
      </c>
    </row>
    <row r="27">
      <c r="A27" t="inlineStr">
        <is>
          <t>STEP 3: Reserve-to-Asset Ratio (RaR)</t>
        </is>
      </c>
    </row>
    <row r="28">
      <c r="A28" t="inlineStr">
        <is>
          <t>Country</t>
        </is>
      </c>
      <c r="B28" t="inlineStr">
        <is>
          <t>Gold Reserves Value (USD millions)</t>
        </is>
      </c>
      <c r="C28" t="inlineStr">
        <is>
          <t>Gold Price Volatility (%)</t>
        </is>
      </c>
      <c r="D28" t="inlineStr">
        <is>
          <t>Total Reserves (USD millions)</t>
        </is>
      </c>
      <c r="E28" t="inlineStr">
        <is>
          <t>RaR (%)</t>
        </is>
      </c>
    </row>
    <row r="29">
      <c r="A29" t="inlineStr">
        <is>
          <t>United States</t>
        </is>
      </c>
      <c r="B29" t="n">
        <v>432800</v>
      </c>
      <c r="C29" t="n">
        <v>10.96076095542237</v>
      </c>
      <c r="D29">
        <f>INDEX('Total Reserves'!B:B,MATCH(A29,'Total Reserves'!A:A,0))</f>
        <v/>
      </c>
      <c r="E29">
        <f>B29/D29*100</f>
        <v/>
      </c>
    </row>
    <row r="30">
      <c r="A30" t="inlineStr">
        <is>
          <t>Germany</t>
        </is>
      </c>
      <c r="B30" t="n">
        <v>251200</v>
      </c>
      <c r="C30" t="n">
        <v>10.96076095542237</v>
      </c>
      <c r="D30">
        <f>INDEX('Total Reserves'!B:B,MATCH(A30,'Total Reserves'!A:A,0))</f>
        <v/>
      </c>
      <c r="E30">
        <f>B30/D30*100</f>
        <v/>
      </c>
    </row>
    <row r="31">
      <c r="A31" t="inlineStr">
        <is>
          <t>Italy</t>
        </is>
      </c>
      <c r="B31" t="n">
        <v>190400</v>
      </c>
      <c r="C31" t="n">
        <v>10.96076095542237</v>
      </c>
      <c r="D31">
        <f>INDEX('Total Reserves'!B:B,MATCH(A31,'Total Reserves'!A:A,0))</f>
        <v/>
      </c>
      <c r="E31">
        <f>B31/D31*100</f>
        <v/>
      </c>
    </row>
    <row r="32">
      <c r="A32" t="inlineStr">
        <is>
          <t>France</t>
        </is>
      </c>
      <c r="B32" t="n">
        <v>204500</v>
      </c>
      <c r="C32" t="n">
        <v>10.96076095542237</v>
      </c>
      <c r="D32">
        <f>INDEX('Total Reserves'!B:B,MATCH(A32,'Total Reserves'!A:A,0))</f>
        <v/>
      </c>
      <c r="E32">
        <f>B32/D32*100</f>
        <v/>
      </c>
    </row>
    <row r="33">
      <c r="A33" t="inlineStr">
        <is>
          <t>Spain</t>
        </is>
      </c>
      <c r="B33" t="n">
        <v>123600</v>
      </c>
      <c r="C33" t="n">
        <v>10.96076095542237</v>
      </c>
      <c r="D33">
        <f>INDEX('Total Reserves'!B:B,MATCH(A33,'Total Reserves'!A:A,0))</f>
        <v/>
      </c>
      <c r="E33">
        <f>B33/D33*100</f>
        <v/>
      </c>
    </row>
    <row r="34">
      <c r="A34" t="inlineStr">
        <is>
          <t>Netherlands</t>
        </is>
      </c>
      <c r="B34" t="n">
        <v>98700</v>
      </c>
      <c r="C34" t="n">
        <v>10.96076095542237</v>
      </c>
      <c r="D34">
        <f>INDEX('Total Reserves'!B:B,MATCH(A34,'Total Reserves'!A:A,0))</f>
        <v/>
      </c>
      <c r="E34">
        <f>B34/D34*100</f>
        <v/>
      </c>
    </row>
    <row r="35">
      <c r="A35" t="inlineStr">
        <is>
          <t>China</t>
        </is>
      </c>
      <c r="B35" t="n">
        <v>145800</v>
      </c>
      <c r="C35" t="n">
        <v>10.96076095542237</v>
      </c>
      <c r="D35">
        <f>INDEX('Total Reserves'!B:B,MATCH(A35,'Total Reserves'!A:A,0))</f>
        <v/>
      </c>
      <c r="E35">
        <f>B35/D35*100</f>
        <v/>
      </c>
    </row>
    <row r="36">
      <c r="A36" t="inlineStr">
        <is>
          <t>Japan</t>
        </is>
      </c>
      <c r="B36" t="n">
        <v>92500</v>
      </c>
      <c r="C36" t="n">
        <v>10.96076095542237</v>
      </c>
      <c r="D36">
        <f>INDEX('Total Reserves'!B:B,MATCH(A36,'Total Reserves'!A:A,0))</f>
        <v/>
      </c>
      <c r="E36">
        <f>B36/D36*100</f>
        <v/>
      </c>
    </row>
    <row r="37">
      <c r="A37" t="inlineStr">
        <is>
          <t>Switzerland</t>
        </is>
      </c>
      <c r="B37" t="n">
        <v>78600</v>
      </c>
      <c r="C37" t="n">
        <v>10.96076095542237</v>
      </c>
      <c r="D37">
        <f>INDEX('Total Reserves'!B:B,MATCH(A37,'Total Reserves'!A:A,0))</f>
        <v/>
      </c>
      <c r="E37">
        <f>B37/D37*100</f>
        <v/>
      </c>
    </row>
    <row r="38">
      <c r="A38" t="inlineStr">
        <is>
          <t>Russia</t>
        </is>
      </c>
      <c r="B38" t="n">
        <v>211844.8666666667</v>
      </c>
      <c r="C38" t="n">
        <v>10.96076095542237</v>
      </c>
      <c r="D38">
        <f>INDEX('Total Reserves'!B:B,MATCH(A38,'Total Reserves'!A:A,0))</f>
        <v/>
      </c>
      <c r="E38">
        <f>B38/D38*100</f>
        <v/>
      </c>
    </row>
    <row r="39">
      <c r="A39" t="inlineStr">
        <is>
          <t>India</t>
        </is>
      </c>
      <c r="B39" t="n">
        <v>121550.3333333333</v>
      </c>
      <c r="C39" t="n">
        <v>10.96076095542237</v>
      </c>
      <c r="D39">
        <f>INDEX('Total Reserves'!B:B,MATCH(A39,'Total Reserves'!A:A,0))</f>
        <v/>
      </c>
      <c r="E39">
        <f>B39/D39*100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2026-01-29T09:52:44Z</dcterms:created>
  <dcterms:modified xsi:type="dcterms:W3CDTF">2026-01-29T09:54:17Z</dcterms:modified>
</cp:coreProperties>
</file>