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131" yWindow="3720" windowWidth="24686" windowHeight="13097" tabRatio="600" firstSheet="0" activeTab="0" autoFilterDateGrouping="1"/>
  </bookViews>
  <sheets>
    <sheet name="WEO_Data" sheetId="1" state="visible" r:id="rId1"/>
    <sheet name="NA" sheetId="2" state="visible" r:id="rId2"/>
    <sheet name="SUPPLY" sheetId="3" state="visible" r:id="rId3"/>
    <sheet name="USE" sheetId="4" state="visible" r:id="rId4"/>
    <sheet name="SUT Calc" sheetId="5" state="visible" r:id="rId5"/>
  </sheets>
  <externalReferences>
    <externalReference r:id="rId6"/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000000"/>
    <numFmt numFmtId="165" formatCode="0.000"/>
    <numFmt numFmtId="166" formatCode="0.0%"/>
  </numFmts>
  <fonts count="9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5"/>
      <sz val="10"/>
    </font>
    <font>
      <name val="Arial"/>
      <family val="2"/>
      <b val="1"/>
      <color rgb="FFFF0000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4" fillId="0" borderId="0"/>
    <xf numFmtId="43" fontId="5" fillId="0" borderId="0"/>
  </cellStyleXfs>
  <cellXfs count="47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/>
    </xf>
    <xf numFmtId="0" fontId="0" fillId="0" borderId="3" applyAlignment="1" pivotButton="0" quotePrefix="0" xfId="0">
      <alignment horizontal="right"/>
    </xf>
    <xf numFmtId="0" fontId="0" fillId="0" borderId="2" applyAlignment="1" pivotButton="0" quotePrefix="0" xfId="0">
      <alignment horizontal="right"/>
    </xf>
    <xf numFmtId="0" fontId="0" fillId="0" borderId="4" pivotButton="0" quotePrefix="0" xfId="0"/>
    <xf numFmtId="0" fontId="0" fillId="0" borderId="5" pivotButton="0" quotePrefix="0" xfId="0"/>
    <xf numFmtId="0" fontId="0" fillId="0" borderId="5" applyAlignment="1" pivotButton="0" quotePrefix="0" xfId="0">
      <alignment horizontal="right"/>
    </xf>
    <xf numFmtId="0" fontId="0" fillId="0" borderId="6" applyAlignment="1" pivotButton="0" quotePrefix="0" xfId="0">
      <alignment horizontal="right"/>
    </xf>
    <xf numFmtId="0" fontId="0" fillId="0" borderId="7" pivotButton="0" quotePrefix="0" xfId="0"/>
    <xf numFmtId="0" fontId="0" fillId="0" borderId="0" applyAlignment="1" pivotButton="0" quotePrefix="0" xfId="0">
      <alignment horizontal="right"/>
    </xf>
    <xf numFmtId="0" fontId="0" fillId="0" borderId="8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9" pivotButton="0" quotePrefix="0" xfId="0"/>
    <xf numFmtId="0" fontId="0" fillId="0" borderId="10" pivotButton="0" quotePrefix="0" xfId="0"/>
    <xf numFmtId="165" fontId="0" fillId="0" borderId="10" applyAlignment="1" pivotButton="0" quotePrefix="0" xfId="0">
      <alignment horizontal="right"/>
    </xf>
    <xf numFmtId="0" fontId="0" fillId="0" borderId="11" applyAlignment="1" pivotButton="0" quotePrefix="0" xfId="0">
      <alignment horizontal="right"/>
    </xf>
    <xf numFmtId="0" fontId="2" fillId="2" borderId="1" pivotButton="0" quotePrefix="0" xfId="0"/>
    <xf numFmtId="0" fontId="3" fillId="2" borderId="3" pivotButton="0" quotePrefix="0" xfId="0"/>
    <xf numFmtId="0" fontId="0" fillId="2" borderId="3" pivotButton="0" quotePrefix="0" xfId="0"/>
    <xf numFmtId="0" fontId="0" fillId="2" borderId="3" applyAlignment="1" pivotButton="0" quotePrefix="0" xfId="0">
      <alignment horizontal="right"/>
    </xf>
    <xf numFmtId="0" fontId="0" fillId="2" borderId="2" applyAlignment="1" pivotButton="0" quotePrefix="0" xfId="0">
      <alignment horizontal="right"/>
    </xf>
    <xf numFmtId="0" fontId="0" fillId="0" borderId="10" applyAlignment="1" pivotButton="0" quotePrefix="0" xfId="0">
      <alignment horizontal="right"/>
    </xf>
    <xf numFmtId="43" fontId="0" fillId="0" borderId="0" pivotButton="0" quotePrefix="0" xfId="0"/>
    <xf numFmtId="0" fontId="1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2" pivotButton="0" quotePrefix="0" xfId="0"/>
    <xf numFmtId="0" fontId="7" fillId="0" borderId="0" pivotButton="0" quotePrefix="0" xfId="0"/>
    <xf numFmtId="0" fontId="8" fillId="0" borderId="0" pivotButton="0" quotePrefix="0" xfId="0"/>
    <xf numFmtId="166" fontId="0" fillId="0" borderId="5" pivotButton="0" quotePrefix="0" xfId="0"/>
    <xf numFmtId="166" fontId="0" fillId="0" borderId="0" pivotButton="0" quotePrefix="0" xfId="0"/>
    <xf numFmtId="166" fontId="0" fillId="0" borderId="10" pivotButton="0" quotePrefix="0" xfId="0"/>
    <xf numFmtId="0" fontId="8" fillId="3" borderId="0" pivotButton="0" quotePrefix="0" xfId="0"/>
    <xf numFmtId="0" fontId="8" fillId="4" borderId="0" pivotButton="0" quotePrefix="0" xfId="0"/>
    <xf numFmtId="0" fontId="8" fillId="5" borderId="0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3" pivotButton="0" quotePrefix="0" xfId="0"/>
    <xf numFmtId="0" fontId="6" fillId="0" borderId="2" pivotButton="0" quotePrefix="0" xfId="0"/>
    <xf numFmtId="0" fontId="6" fillId="2" borderId="1" pivotButton="0" quotePrefix="0" xfId="0"/>
    <xf numFmtId="0" fontId="8" fillId="6" borderId="0" pivotButton="0" quotePrefix="0" xfId="0"/>
  </cellXfs>
  <cellStyles count="4">
    <cellStyle name="Normal" xfId="0" builtinId="0"/>
    <cellStyle name="Normal 2" xfId="1"/>
    <cellStyle name="Style 1" xfId="2"/>
    <cellStyle name="Comma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externalLink" Target="/xl/externalLinks/externalLink2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intlmonetaryfund-my.sharepoint.com/personal/swang10_imf_org/Documents/Georgia/Shock%20analysis/Shock%20analysis.xlsx" TargetMode="External" Id="rId2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intlmonetaryfund-my.sharepoint.com/personal/swang10_imf_org/Documents/Georgia/answer%20-%20demand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roduction"/>
      <sheetName val="NA"/>
      <sheetName val="Charts for NA"/>
      <sheetName val="data"/>
      <sheetName val="CFC data"/>
      <sheetName val="SUPPLY (38-38)-2024"/>
      <sheetName val="USE (38-38)-2024"/>
      <sheetName val="PWT"/>
      <sheetName val="Auth_Data"/>
    </sheetNames>
    <sheetDataSet>
      <sheetData sheetId="0"/>
      <sheetData sheetId="1">
        <row r="1">
          <cell r="J1" t="str">
            <v>Baseline GDP Growth</v>
          </cell>
          <cell r="K1" t="str">
            <v>Projected Growth</v>
          </cell>
        </row>
        <row r="8">
          <cell r="B8">
            <v>2025</v>
          </cell>
          <cell r="J8">
            <v>7.3113398191734902</v>
          </cell>
          <cell r="K8">
            <v>7.3113398191734902</v>
          </cell>
        </row>
        <row r="9">
          <cell r="B9">
            <v>2026</v>
          </cell>
          <cell r="J9">
            <v>5.2408528739952498</v>
          </cell>
          <cell r="K9">
            <v>5.7941052961636208</v>
          </cell>
        </row>
        <row r="10">
          <cell r="B10">
            <v>2027</v>
          </cell>
          <cell r="J10">
            <v>5.039020851261844</v>
          </cell>
          <cell r="K10">
            <v>5.473457413324212</v>
          </cell>
        </row>
        <row r="11">
          <cell r="B11">
            <v>2028</v>
          </cell>
          <cell r="J11">
            <v>4.950486407478305</v>
          </cell>
          <cell r="K11">
            <v>5.3141301944295893</v>
          </cell>
        </row>
        <row r="12">
          <cell r="B12">
            <v>2029</v>
          </cell>
          <cell r="J12">
            <v>5.0327836705058804</v>
          </cell>
          <cell r="K12">
            <v>5.3061750123148732</v>
          </cell>
        </row>
        <row r="13">
          <cell r="B13">
            <v>2030</v>
          </cell>
          <cell r="J13">
            <v>5.0000000000002043</v>
          </cell>
          <cell r="K13">
            <v>4.8553940843498733</v>
          </cell>
        </row>
        <row r="14">
          <cell r="B14">
            <v>2031</v>
          </cell>
          <cell r="J14">
            <v>5.0000000000000044</v>
          </cell>
          <cell r="K14">
            <v>4.5371594328556419</v>
          </cell>
        </row>
        <row r="15">
          <cell r="B15">
            <v>2032</v>
          </cell>
          <cell r="J15">
            <v>5.0000000000007594</v>
          </cell>
          <cell r="K15">
            <v>4.4575701955024361</v>
          </cell>
        </row>
        <row r="16">
          <cell r="B16">
            <v>2033</v>
          </cell>
          <cell r="J16">
            <v>5.0000000000000266</v>
          </cell>
          <cell r="K16">
            <v>4.7456613933617442</v>
          </cell>
        </row>
        <row r="17">
          <cell r="B17">
            <v>2034</v>
          </cell>
          <cell r="J17">
            <v>5.0000000000000266</v>
          </cell>
          <cell r="K17">
            <v>4.7872106278486815</v>
          </cell>
        </row>
        <row r="18">
          <cell r="B18">
            <v>2035</v>
          </cell>
          <cell r="J18">
            <v>5.0000000000000044</v>
          </cell>
          <cell r="K18">
            <v>5.0000000000000044</v>
          </cell>
        </row>
        <row r="19">
          <cell r="B19">
            <v>2036</v>
          </cell>
          <cell r="J19">
            <v>5.0000000000000044</v>
          </cell>
          <cell r="K19">
            <v>5.0000000000000044</v>
          </cell>
        </row>
        <row r="20">
          <cell r="B20">
            <v>2037</v>
          </cell>
          <cell r="J20">
            <v>5.0000000000000044</v>
          </cell>
          <cell r="K20">
            <v>5.0000000000000044</v>
          </cell>
        </row>
        <row r="40">
          <cell r="J40" t="str">
            <v>Baseline GDP Growth</v>
          </cell>
          <cell r="K40" t="str">
            <v>Projected Growth</v>
          </cell>
        </row>
        <row r="47">
          <cell r="B47">
            <v>2025</v>
          </cell>
          <cell r="J47">
            <v>7.3113398191734902</v>
          </cell>
          <cell r="K47">
            <v>7.3113398191734902</v>
          </cell>
        </row>
        <row r="48">
          <cell r="B48">
            <v>2026</v>
          </cell>
          <cell r="J48">
            <v>5.2408528739952498</v>
          </cell>
          <cell r="K48">
            <v>5.9324184017057302</v>
          </cell>
        </row>
        <row r="49">
          <cell r="B49">
            <v>2027</v>
          </cell>
          <cell r="J49">
            <v>5.039020851261844</v>
          </cell>
          <cell r="K49">
            <v>5.5813575136922422</v>
          </cell>
        </row>
        <row r="50">
          <cell r="B50">
            <v>2028</v>
          </cell>
          <cell r="J50">
            <v>4.950486407478305</v>
          </cell>
          <cell r="K50">
            <v>5.4039837103142307</v>
          </cell>
        </row>
        <row r="51">
          <cell r="B51">
            <v>2029</v>
          </cell>
          <cell r="J51">
            <v>5.0327836705058804</v>
          </cell>
          <cell r="K51">
            <v>5.3734372157990595</v>
          </cell>
        </row>
        <row r="52">
          <cell r="B52">
            <v>2030</v>
          </cell>
          <cell r="J52">
            <v>5.0000000000002043</v>
          </cell>
          <cell r="K52">
            <v>4.8199318477713859</v>
          </cell>
        </row>
        <row r="53">
          <cell r="B53">
            <v>2031</v>
          </cell>
          <cell r="J53">
            <v>5.0000000000000044</v>
          </cell>
          <cell r="K53">
            <v>4.4234603644893289</v>
          </cell>
        </row>
        <row r="54">
          <cell r="B54">
            <v>2032</v>
          </cell>
          <cell r="J54">
            <v>5.0000000000007594</v>
          </cell>
          <cell r="K54">
            <v>4.3235839394654807</v>
          </cell>
        </row>
        <row r="55">
          <cell r="B55">
            <v>2033</v>
          </cell>
          <cell r="J55">
            <v>5.0000000000000266</v>
          </cell>
          <cell r="K55">
            <v>4.6824295568276275</v>
          </cell>
        </row>
        <row r="56">
          <cell r="B56">
            <v>2034</v>
          </cell>
          <cell r="J56">
            <v>5.0000000000000266</v>
          </cell>
          <cell r="K56">
            <v>4.7341479764422045</v>
          </cell>
        </row>
        <row r="57">
          <cell r="B57">
            <v>2035</v>
          </cell>
          <cell r="J57">
            <v>5.0000000000000044</v>
          </cell>
          <cell r="K57">
            <v>5.0000000000000044</v>
          </cell>
        </row>
        <row r="58">
          <cell r="B58">
            <v>2036</v>
          </cell>
          <cell r="J58">
            <v>5.0000000000000044</v>
          </cell>
          <cell r="K58">
            <v>5.0000000000000044</v>
          </cell>
        </row>
        <row r="59">
          <cell r="B59">
            <v>2037</v>
          </cell>
          <cell r="J59">
            <v>5.0000000000000044</v>
          </cell>
          <cell r="K59">
            <v>5.0000000000000044</v>
          </cell>
        </row>
        <row r="77">
          <cell r="J77" t="str">
            <v>Baseline GDP Growth</v>
          </cell>
          <cell r="K77" t="str">
            <v>Projected Growth</v>
          </cell>
        </row>
        <row r="84">
          <cell r="B84">
            <v>2025</v>
          </cell>
          <cell r="J84">
            <v>7.3113398191734902</v>
          </cell>
          <cell r="K84">
            <v>7.3113398191734902</v>
          </cell>
        </row>
        <row r="85">
          <cell r="B85">
            <v>2026</v>
          </cell>
          <cell r="J85">
            <v>5.2408528739952498</v>
          </cell>
          <cell r="K85">
            <v>5.5981687376918776</v>
          </cell>
        </row>
        <row r="86">
          <cell r="B86">
            <v>2027</v>
          </cell>
          <cell r="J86">
            <v>5.039020851261844</v>
          </cell>
          <cell r="K86">
            <v>5.3201205793125927</v>
          </cell>
        </row>
        <row r="87">
          <cell r="B87">
            <v>2028</v>
          </cell>
          <cell r="J87">
            <v>4.950486407478305</v>
          </cell>
          <cell r="K87">
            <v>5.186122636416779</v>
          </cell>
        </row>
        <row r="88">
          <cell r="B88">
            <v>2029</v>
          </cell>
          <cell r="J88">
            <v>5.0327836705058804</v>
          </cell>
          <cell r="K88">
            <v>5.2101531318929473</v>
          </cell>
        </row>
        <row r="89">
          <cell r="B89">
            <v>2030</v>
          </cell>
          <cell r="J89">
            <v>5.0000000000002043</v>
          </cell>
          <cell r="K89">
            <v>4.906097677010357</v>
          </cell>
        </row>
        <row r="90">
          <cell r="B90">
            <v>2031</v>
          </cell>
          <cell r="J90">
            <v>5.0000000000000044</v>
          </cell>
          <cell r="K90">
            <v>4.6995918312351836</v>
          </cell>
        </row>
        <row r="91">
          <cell r="B91">
            <v>2032</v>
          </cell>
          <cell r="J91">
            <v>5.0000000000007594</v>
          </cell>
          <cell r="K91">
            <v>4.6484803788203966</v>
          </cell>
        </row>
        <row r="92">
          <cell r="B92">
            <v>2033</v>
          </cell>
          <cell r="J92">
            <v>5.0000000000000266</v>
          </cell>
          <cell r="K92">
            <v>4.8354774970149172</v>
          </cell>
        </row>
        <row r="93">
          <cell r="B93">
            <v>2034</v>
          </cell>
          <cell r="J93">
            <v>5.0000000000000266</v>
          </cell>
          <cell r="K93">
            <v>4.8624721292225503</v>
          </cell>
        </row>
        <row r="94">
          <cell r="B94">
            <v>2035</v>
          </cell>
          <cell r="J94">
            <v>5.0000000000000044</v>
          </cell>
          <cell r="K94">
            <v>5.0000000000000044</v>
          </cell>
        </row>
        <row r="95">
          <cell r="B95">
            <v>2036</v>
          </cell>
          <cell r="J95">
            <v>5.0000000000000044</v>
          </cell>
          <cell r="K95">
            <v>5.0000000000000044</v>
          </cell>
        </row>
        <row r="96">
          <cell r="B96">
            <v>2037</v>
          </cell>
          <cell r="J96">
            <v>5.0000000000000044</v>
          </cell>
          <cell r="K96">
            <v>5.0000000000000044</v>
          </cell>
        </row>
        <row r="116">
          <cell r="J116" t="str">
            <v>Baseline GDP Growth</v>
          </cell>
          <cell r="K116" t="str">
            <v>Projected Growth</v>
          </cell>
        </row>
        <row r="123">
          <cell r="J123">
            <v>7.3113398191734902</v>
          </cell>
          <cell r="K123">
            <v>7.3113398191734902</v>
          </cell>
        </row>
        <row r="124">
          <cell r="J124">
            <v>5.2408528739952498</v>
          </cell>
          <cell r="K124">
            <v>6.6239839294161662</v>
          </cell>
        </row>
        <row r="125">
          <cell r="J125">
            <v>5.039020851261844</v>
          </cell>
          <cell r="K125">
            <v>4.8965544840692043</v>
          </cell>
        </row>
        <row r="126">
          <cell r="J126">
            <v>4.950486407478305</v>
          </cell>
          <cell r="K126">
            <v>4.845907347351841</v>
          </cell>
        </row>
        <row r="127">
          <cell r="J127">
            <v>5.0327836705058804</v>
          </cell>
          <cell r="K127">
            <v>4.9244815262530217</v>
          </cell>
        </row>
        <row r="128">
          <cell r="J128">
            <v>5.0000000000002043</v>
          </cell>
          <cell r="K128">
            <v>4.9090993957864759</v>
          </cell>
        </row>
        <row r="129">
          <cell r="J129">
            <v>5.0000000000000044</v>
          </cell>
          <cell r="K129">
            <v>4.9190918522576288</v>
          </cell>
        </row>
        <row r="130">
          <cell r="J130">
            <v>5.0000000000007594</v>
          </cell>
          <cell r="K130">
            <v>4.7409788021092414</v>
          </cell>
        </row>
        <row r="131">
          <cell r="J131">
            <v>5.0000000000000266</v>
          </cell>
          <cell r="K131">
            <v>4.9474775161479245</v>
          </cell>
        </row>
        <row r="132">
          <cell r="J132">
            <v>5.0000000000000266</v>
          </cell>
          <cell r="K132">
            <v>4.469638787185759</v>
          </cell>
        </row>
        <row r="133">
          <cell r="J133">
            <v>5.0000000000000044</v>
          </cell>
          <cell r="K133">
            <v>5.0000000000000044</v>
          </cell>
        </row>
        <row r="134">
          <cell r="J134">
            <v>5.0000000000000044</v>
          </cell>
          <cell r="K134">
            <v>5.0000000000000044</v>
          </cell>
        </row>
        <row r="135">
          <cell r="J135">
            <v>5.0000000000000044</v>
          </cell>
          <cell r="K135">
            <v>5.0000000000000044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NA (2)"/>
      <sheetName val="SUPPLY (38-38)-2024"/>
      <sheetName val="USE (38-38)-2024"/>
      <sheetName val="WEO_Data"/>
    </sheetNames>
    <sheetDataSet>
      <sheetData sheetId="0">
        <row r="1">
          <cell r="J1" t="str">
            <v>Baseline GDP Growth</v>
          </cell>
          <cell r="K1" t="str">
            <v>Projected Growth</v>
          </cell>
        </row>
        <row r="8">
          <cell r="B8">
            <v>2025</v>
          </cell>
          <cell r="J8">
            <v>5.9773350122213076</v>
          </cell>
          <cell r="K8">
            <v>5.9773350122213076</v>
          </cell>
        </row>
        <row r="9">
          <cell r="B9">
            <v>2026</v>
          </cell>
          <cell r="J9">
            <v>5.0000000000000044</v>
          </cell>
          <cell r="K9">
            <v>5.5262183226381101</v>
          </cell>
        </row>
        <row r="10">
          <cell r="B10">
            <v>2027</v>
          </cell>
          <cell r="J10">
            <v>5.0001996884859512</v>
          </cell>
          <cell r="K10">
            <v>5.4402001752454687</v>
          </cell>
        </row>
        <row r="11">
          <cell r="B11">
            <v>2028</v>
          </cell>
          <cell r="J11">
            <v>5.0000000000000044</v>
          </cell>
          <cell r="K11">
            <v>5.361589224478025</v>
          </cell>
        </row>
        <row r="12">
          <cell r="B12">
            <v>2029</v>
          </cell>
          <cell r="J12">
            <v>5.0000000000000044</v>
          </cell>
          <cell r="K12">
            <v>5.2947176456340728</v>
          </cell>
        </row>
        <row r="13">
          <cell r="B13">
            <v>2030</v>
          </cell>
          <cell r="J13">
            <v>5.0000000000000044</v>
          </cell>
          <cell r="K13">
            <v>4.8680499915734421</v>
          </cell>
        </row>
        <row r="14">
          <cell r="B14">
            <v>2031</v>
          </cell>
          <cell r="J14">
            <v>5.0000000000000044</v>
          </cell>
          <cell r="K14">
            <v>4.5398644726665216</v>
          </cell>
        </row>
        <row r="15">
          <cell r="B15">
            <v>2032</v>
          </cell>
          <cell r="J15">
            <v>5.0000000000000044</v>
          </cell>
          <cell r="K15">
            <v>4.6037405318378299</v>
          </cell>
        </row>
        <row r="16">
          <cell r="B16">
            <v>2033</v>
          </cell>
          <cell r="J16">
            <v>5.0000000000000044</v>
          </cell>
          <cell r="K16">
            <v>4.660654383455487</v>
          </cell>
        </row>
        <row r="17">
          <cell r="B17">
            <v>2034</v>
          </cell>
          <cell r="J17">
            <v>5.0000000000000044</v>
          </cell>
          <cell r="K17">
            <v>4.7112244699393901</v>
          </cell>
        </row>
        <row r="18">
          <cell r="B18">
            <v>2035</v>
          </cell>
          <cell r="J18">
            <v>5.0000000000000044</v>
          </cell>
          <cell r="K18">
            <v>5.0000000000000044</v>
          </cell>
        </row>
        <row r="19">
          <cell r="B19">
            <v>2036</v>
          </cell>
          <cell r="J19">
            <v>5.0000000000000044</v>
          </cell>
          <cell r="K19">
            <v>5.0000000000000044</v>
          </cell>
        </row>
        <row r="20">
          <cell r="B20">
            <v>2037</v>
          </cell>
          <cell r="J20">
            <v>4.9999999999999822</v>
          </cell>
          <cell r="K20">
            <v>4.9999999999999822</v>
          </cell>
        </row>
        <row r="40">
          <cell r="J40" t="str">
            <v>Baseline GDP Growth</v>
          </cell>
          <cell r="K40" t="str">
            <v>Projected Growth</v>
          </cell>
        </row>
        <row r="47">
          <cell r="B47">
            <v>2025</v>
          </cell>
          <cell r="J47">
            <v>5.9773350122213076</v>
          </cell>
          <cell r="K47">
            <v>5.9773350122213076</v>
          </cell>
        </row>
        <row r="48">
          <cell r="B48">
            <v>2026</v>
          </cell>
          <cell r="J48">
            <v>5.0000000000000044</v>
          </cell>
          <cell r="K48">
            <v>5.6577729032976531</v>
          </cell>
        </row>
        <row r="49">
          <cell r="B49">
            <v>2027</v>
          </cell>
          <cell r="J49">
            <v>5.0001996884859512</v>
          </cell>
          <cell r="K49">
            <v>5.5495154907216904</v>
          </cell>
        </row>
        <row r="50">
          <cell r="B50">
            <v>2028</v>
          </cell>
          <cell r="J50">
            <v>5.0000000000000044</v>
          </cell>
          <cell r="K50">
            <v>5.4509562321159999</v>
          </cell>
        </row>
        <row r="51">
          <cell r="B51">
            <v>2029</v>
          </cell>
          <cell r="J51">
            <v>5.0000000000000044</v>
          </cell>
          <cell r="K51">
            <v>5.3672458043975135</v>
          </cell>
        </row>
        <row r="52">
          <cell r="B52">
            <v>2030</v>
          </cell>
          <cell r="J52">
            <v>5.0000000000000044</v>
          </cell>
          <cell r="K52">
            <v>4.835691102263584</v>
          </cell>
        </row>
        <row r="53">
          <cell r="B53">
            <v>2031</v>
          </cell>
          <cell r="J53">
            <v>5.0000000000000044</v>
          </cell>
          <cell r="K53">
            <v>4.4268458299520086</v>
          </cell>
        </row>
        <row r="54">
          <cell r="B54">
            <v>2032</v>
          </cell>
          <cell r="J54">
            <v>5.0000000000000044</v>
          </cell>
          <cell r="K54">
            <v>4.5058769489794814</v>
          </cell>
        </row>
        <row r="55">
          <cell r="B55">
            <v>2033</v>
          </cell>
          <cell r="J55">
            <v>5.0000000000000044</v>
          </cell>
          <cell r="K55">
            <v>4.5764504677153095</v>
          </cell>
        </row>
        <row r="56">
          <cell r="B56">
            <v>2034</v>
          </cell>
          <cell r="J56">
            <v>5.0000000000000044</v>
          </cell>
          <cell r="K56">
            <v>4.63927860530986</v>
          </cell>
        </row>
        <row r="57">
          <cell r="B57">
            <v>2035</v>
          </cell>
          <cell r="J57">
            <v>5.0000000000000044</v>
          </cell>
          <cell r="K57">
            <v>5.0000000000000044</v>
          </cell>
        </row>
        <row r="58">
          <cell r="B58">
            <v>2036</v>
          </cell>
          <cell r="J58">
            <v>5.0000000000000044</v>
          </cell>
          <cell r="K58">
            <v>5.0000000000000044</v>
          </cell>
        </row>
        <row r="59">
          <cell r="B59">
            <v>2037</v>
          </cell>
          <cell r="J59">
            <v>4.9999999999999822</v>
          </cell>
          <cell r="K59">
            <v>4.9999999999999822</v>
          </cell>
        </row>
        <row r="77">
          <cell r="J77" t="str">
            <v>Baseline GDP Growth</v>
          </cell>
          <cell r="K77" t="str">
            <v>Projected Growth</v>
          </cell>
        </row>
        <row r="84">
          <cell r="B84">
            <v>2025</v>
          </cell>
          <cell r="J84">
            <v>5.9773350122213076</v>
          </cell>
          <cell r="K84">
            <v>5.9773350122213076</v>
          </cell>
        </row>
        <row r="85">
          <cell r="B85">
            <v>2026</v>
          </cell>
          <cell r="J85">
            <v>5.0000000000000044</v>
          </cell>
          <cell r="K85">
            <v>5.3398559986587824</v>
          </cell>
        </row>
        <row r="86">
          <cell r="B86">
            <v>2027</v>
          </cell>
          <cell r="J86">
            <v>5.0001996884859512</v>
          </cell>
          <cell r="K86">
            <v>5.284874987468946</v>
          </cell>
        </row>
        <row r="87">
          <cell r="B87">
            <v>2028</v>
          </cell>
          <cell r="J87">
            <v>5.0000000000000044</v>
          </cell>
          <cell r="K87">
            <v>5.2342892403760555</v>
          </cell>
        </row>
        <row r="88">
          <cell r="B88">
            <v>2029</v>
          </cell>
          <cell r="J88">
            <v>5.0000000000000044</v>
          </cell>
          <cell r="K88">
            <v>5.1911912638872515</v>
          </cell>
        </row>
        <row r="89">
          <cell r="B89">
            <v>2030</v>
          </cell>
          <cell r="J89">
            <v>5.0000000000000044</v>
          </cell>
          <cell r="K89">
            <v>4.9143162356320103</v>
          </cell>
        </row>
        <row r="90">
          <cell r="B90">
            <v>2031</v>
          </cell>
          <cell r="J90">
            <v>5.0000000000000044</v>
          </cell>
          <cell r="K90">
            <v>4.7013356951920215</v>
          </cell>
        </row>
        <row r="91">
          <cell r="B91">
            <v>2032</v>
          </cell>
          <cell r="J91">
            <v>5.0000000000000044</v>
          </cell>
          <cell r="K91">
            <v>4.7431929649289772</v>
          </cell>
        </row>
        <row r="92">
          <cell r="B92">
            <v>2033</v>
          </cell>
          <cell r="J92">
            <v>5.0000000000000044</v>
          </cell>
          <cell r="K92">
            <v>4.780370377970633</v>
          </cell>
        </row>
        <row r="93">
          <cell r="B93">
            <v>2034</v>
          </cell>
          <cell r="J93">
            <v>5.0000000000000044</v>
          </cell>
          <cell r="K93">
            <v>4.8133136447871427</v>
          </cell>
        </row>
        <row r="94">
          <cell r="B94">
            <v>2035</v>
          </cell>
          <cell r="J94">
            <v>5.0000000000000044</v>
          </cell>
          <cell r="K94">
            <v>5.0000000000000044</v>
          </cell>
        </row>
        <row r="95">
          <cell r="B95">
            <v>2036</v>
          </cell>
          <cell r="J95">
            <v>5.0000000000000044</v>
          </cell>
          <cell r="K95">
            <v>5.0000000000000044</v>
          </cell>
        </row>
        <row r="96">
          <cell r="B96">
            <v>2037</v>
          </cell>
          <cell r="J96">
            <v>4.9999999999999822</v>
          </cell>
          <cell r="K96">
            <v>4.9999999999999822</v>
          </cell>
        </row>
      </sheetData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31" t="inlineStr">
        <is>
          <t>Year</t>
        </is>
      </c>
      <c r="B1" s="31" t="inlineStr">
        <is>
          <t>Real GDP Growth (%)</t>
        </is>
      </c>
      <c r="C1" s="31" t="inlineStr">
        <is>
          <t>Nominal GDP (billion Lari)</t>
        </is>
      </c>
      <c r="D1" s="31" t="inlineStr">
        <is>
          <t>GDP Deflator (2020=100)</t>
        </is>
      </c>
      <c r="E1" s="31" t="inlineStr">
        <is>
          <t>Inflation (%)</t>
        </is>
      </c>
      <c r="F1" s="31" t="inlineStr">
        <is>
          <t>Deflator Growth (%)</t>
        </is>
      </c>
      <c r="G1" s="31" t="inlineStr">
        <is>
          <t>Avg Deflator Growth (4yr)</t>
        </is>
      </c>
    </row>
    <row r="2">
      <c r="A2" t="n">
        <v>2020</v>
      </c>
      <c r="B2" t="n">
        <v>-6.8</v>
      </c>
      <c r="C2" t="n">
        <v>56.2</v>
      </c>
      <c r="D2" t="n">
        <v>100</v>
      </c>
      <c r="E2">
        <f>F2</f>
        <v/>
      </c>
      <c r="G2">
        <f>AVERAGE(F6:F9)</f>
        <v/>
      </c>
    </row>
    <row r="3">
      <c r="A3" t="n">
        <v>2021</v>
      </c>
      <c r="B3" t="n">
        <v>10.5</v>
      </c>
      <c r="C3" t="n">
        <v>65.3</v>
      </c>
      <c r="D3" t="n">
        <v>109.5</v>
      </c>
      <c r="E3">
        <f>F3</f>
        <v/>
      </c>
      <c r="F3">
        <f>(D3/D2-1)*100</f>
        <v/>
      </c>
    </row>
    <row r="4">
      <c r="A4" t="n">
        <v>2022</v>
      </c>
      <c r="B4" t="n">
        <v>10.1</v>
      </c>
      <c r="C4" t="n">
        <v>79</v>
      </c>
      <c r="D4" t="n">
        <v>118.8</v>
      </c>
      <c r="E4">
        <f>F4</f>
        <v/>
      </c>
      <c r="F4">
        <f>(D4/D3-1)*100</f>
        <v/>
      </c>
    </row>
    <row r="5">
      <c r="A5" t="n">
        <v>2023</v>
      </c>
      <c r="B5" t="n">
        <v>7</v>
      </c>
      <c r="C5" t="n">
        <v>91.5</v>
      </c>
      <c r="D5" t="n">
        <v>128.5</v>
      </c>
      <c r="E5">
        <f>F5</f>
        <v/>
      </c>
      <c r="F5">
        <f>(D5/D4-1)*100</f>
        <v/>
      </c>
    </row>
    <row r="6">
      <c r="A6" t="n">
        <v>2024</v>
      </c>
      <c r="B6" t="n">
        <v>6</v>
      </c>
      <c r="C6" t="n">
        <v>103.5</v>
      </c>
      <c r="D6" t="n">
        <v>136</v>
      </c>
      <c r="E6">
        <f>F6</f>
        <v/>
      </c>
      <c r="F6">
        <f>(D6/D5-1)*100</f>
        <v/>
      </c>
    </row>
    <row r="7">
      <c r="A7" t="n">
        <v>2025</v>
      </c>
      <c r="B7" t="n">
        <v>5.5</v>
      </c>
      <c r="C7" t="n">
        <v>115</v>
      </c>
      <c r="D7" t="n">
        <v>142.5</v>
      </c>
      <c r="E7">
        <f>F7</f>
        <v/>
      </c>
      <c r="F7">
        <f>(D7/D6-1)*100</f>
        <v/>
      </c>
    </row>
    <row r="8">
      <c r="A8" t="n">
        <v>2026</v>
      </c>
      <c r="B8" t="n">
        <v>5</v>
      </c>
      <c r="C8" t="n">
        <v>127</v>
      </c>
      <c r="D8" t="n">
        <v>148.8</v>
      </c>
      <c r="E8">
        <f>F8</f>
        <v/>
      </c>
      <c r="F8">
        <f>(D8/D7-1)*100</f>
        <v/>
      </c>
    </row>
    <row r="9">
      <c r="A9" t="n">
        <v>2027</v>
      </c>
      <c r="B9" t="n">
        <v>4.5</v>
      </c>
      <c r="C9" t="n">
        <v>139.5</v>
      </c>
      <c r="D9" t="n">
        <v>155</v>
      </c>
      <c r="E9">
        <f>F9</f>
        <v/>
      </c>
    </row>
    <row r="10">
      <c r="A10" t="n">
        <v>2028</v>
      </c>
      <c r="B10" t="n">
        <v>4.5</v>
      </c>
      <c r="C10">
        <f>C9*(1+B10/100)*(1+F10/100)</f>
        <v/>
      </c>
      <c r="D10">
        <f>D9*(1+$G$2/100)</f>
        <v/>
      </c>
      <c r="E10">
        <f>F10</f>
        <v/>
      </c>
      <c r="F10">
        <f>(D10/D9-1)*100</f>
        <v/>
      </c>
    </row>
    <row r="11">
      <c r="A11" t="n">
        <v>2029</v>
      </c>
      <c r="B11" t="n">
        <v>4.5</v>
      </c>
      <c r="C11">
        <f>C10*(1+B11/100)*(1+F11/100)</f>
        <v/>
      </c>
      <c r="D11">
        <f>D10*(1+$G$2/100)</f>
        <v/>
      </c>
      <c r="E11">
        <f>F11</f>
        <v/>
      </c>
      <c r="F11">
        <f>(D11/D10-1)*100</f>
        <v/>
      </c>
    </row>
    <row r="12">
      <c r="A12" t="n">
        <v>2030</v>
      </c>
      <c r="B12" t="n">
        <v>4.5</v>
      </c>
      <c r="C12">
        <f>C11*(1+B12/100)*(1+F12/100)</f>
        <v/>
      </c>
      <c r="D12">
        <f>D11*(1+$G$2/100)</f>
        <v/>
      </c>
      <c r="E12">
        <f>F12</f>
        <v/>
      </c>
      <c r="F12">
        <f>(D12/D11-1)*100</f>
        <v/>
      </c>
    </row>
    <row r="13">
      <c r="A13" t="n">
        <v>2031</v>
      </c>
      <c r="B13" t="n">
        <v>4.5</v>
      </c>
      <c r="C13">
        <f>C12*(1+B13/100)*(1+F13/100)</f>
        <v/>
      </c>
      <c r="D13">
        <f>D12*(1+$G$2/100)</f>
        <v/>
      </c>
      <c r="E13">
        <f>F13</f>
        <v/>
      </c>
      <c r="F13">
        <f>(D13/D12-1)*100</f>
        <v/>
      </c>
    </row>
    <row r="14">
      <c r="A14" t="n">
        <v>2032</v>
      </c>
      <c r="B14" t="n">
        <v>4.5</v>
      </c>
      <c r="C14">
        <f>C13*(1+B14/100)*(1+F14/100)</f>
        <v/>
      </c>
      <c r="D14">
        <f>D13*(1+$G$2/100)</f>
        <v/>
      </c>
      <c r="E14">
        <f>F14</f>
        <v/>
      </c>
      <c r="F14">
        <f>(D14/D13-1)*100</f>
        <v/>
      </c>
    </row>
    <row r="15">
      <c r="A15" t="n">
        <v>2033</v>
      </c>
      <c r="B15" t="n">
        <v>4.5</v>
      </c>
      <c r="C15">
        <f>C14*(1+B15/100)*(1+F15/100)</f>
        <v/>
      </c>
      <c r="D15">
        <f>D14*(1+$G$2/100)</f>
        <v/>
      </c>
      <c r="E15">
        <f>F15</f>
        <v/>
      </c>
      <c r="F15">
        <f>(D15/D14-1)*100</f>
        <v/>
      </c>
    </row>
    <row r="16">
      <c r="A16" t="n">
        <v>2034</v>
      </c>
      <c r="B16" t="n">
        <v>4.5</v>
      </c>
      <c r="C16">
        <f>C15*(1+B16/100)*(1+F16/100)</f>
        <v/>
      </c>
      <c r="D16">
        <f>D15*(1+$G$2/100)</f>
        <v/>
      </c>
      <c r="E16">
        <f>F16</f>
        <v/>
      </c>
      <c r="F16">
        <f>(D16/D15-1)*100</f>
        <v/>
      </c>
    </row>
    <row r="17">
      <c r="A17" t="n">
        <v>2035</v>
      </c>
      <c r="B17" t="n">
        <v>4.5</v>
      </c>
      <c r="C17">
        <f>C16*(1+B17/100)*(1+F17/100)</f>
        <v/>
      </c>
      <c r="D17">
        <f>D16*(1+$G$2/100)</f>
        <v/>
      </c>
      <c r="E17">
        <f>F17</f>
        <v/>
      </c>
      <c r="F17">
        <f>(D17/D16-1)*100</f>
        <v/>
      </c>
    </row>
    <row r="18">
      <c r="A18" t="n">
        <v>2036</v>
      </c>
      <c r="B18" t="n">
        <v>4.5</v>
      </c>
      <c r="C18">
        <f>C17*(1+B18/100)*(1+F18/100)</f>
        <v/>
      </c>
      <c r="D18">
        <f>D17*(1+$G$2/100)</f>
        <v/>
      </c>
      <c r="E18">
        <f>F18</f>
        <v/>
      </c>
      <c r="F18">
        <f>(D18/D17-1)*100</f>
        <v/>
      </c>
    </row>
    <row r="19">
      <c r="A19" t="n">
        <v>2037</v>
      </c>
      <c r="B19" t="n">
        <v>4.5</v>
      </c>
      <c r="C19">
        <f>C18*(1+B19/100)*(1+F19/100)</f>
        <v/>
      </c>
      <c r="D19">
        <f>D18*(1+$G$2/100)</f>
        <v/>
      </c>
      <c r="E19">
        <f>F19</f>
        <v/>
      </c>
      <c r="F19">
        <f>(D19/D18-1)*100</f>
        <v/>
      </c>
    </row>
    <row r="20">
      <c r="A20" t="n">
        <v>2038</v>
      </c>
      <c r="B20" t="n">
        <v>4.5</v>
      </c>
      <c r="C20">
        <f>C19*(1+B20/100)*(1+F20/100)</f>
        <v/>
      </c>
      <c r="D20">
        <f>D19*(1+$G$2/100)</f>
        <v/>
      </c>
      <c r="E20">
        <f>F20</f>
        <v/>
      </c>
      <c r="F20">
        <f>(D20/D19-1)*100</f>
        <v/>
      </c>
    </row>
    <row r="21">
      <c r="A21" t="n">
        <v>2039</v>
      </c>
      <c r="B21" t="n">
        <v>4.5</v>
      </c>
      <c r="C21">
        <f>C20*(1+B21/100)*(1+F21/100)</f>
        <v/>
      </c>
      <c r="D21">
        <f>D20*(1+$G$2/100)</f>
        <v/>
      </c>
      <c r="E21">
        <f>F21</f>
        <v/>
      </c>
      <c r="F21">
        <f>(D21/D20-1)*100</f>
        <v/>
      </c>
    </row>
    <row r="22">
      <c r="A22" t="n">
        <v>2040</v>
      </c>
      <c r="B22" t="n">
        <v>4.5</v>
      </c>
      <c r="C22">
        <f>C21*(1+B22/100)*(1+F22/100)</f>
        <v/>
      </c>
      <c r="D22">
        <f>D21*(1+$G$2/100)</f>
        <v/>
      </c>
      <c r="E22">
        <f>F22</f>
        <v/>
      </c>
      <c r="F22">
        <f>(D22/D21-1)*100</f>
        <v/>
      </c>
    </row>
    <row r="23">
      <c r="A23" t="n">
        <v>2041</v>
      </c>
      <c r="B23" t="n">
        <v>4.5</v>
      </c>
      <c r="C23">
        <f>C22*(1+B23/100)*(1+F23/100)</f>
        <v/>
      </c>
      <c r="D23">
        <f>D22*(1+$G$2/100)</f>
        <v/>
      </c>
      <c r="E23">
        <f>F23</f>
        <v/>
      </c>
      <c r="F23">
        <f>(D23/D22-1)*100</f>
        <v/>
      </c>
    </row>
    <row r="24">
      <c r="A24" t="n">
        <v>2042</v>
      </c>
      <c r="B24" t="n">
        <v>4.5</v>
      </c>
      <c r="C24">
        <f>C23*(1+B24/100)*(1+F24/100)</f>
        <v/>
      </c>
      <c r="D24">
        <f>D23*(1+$G$2/100)</f>
        <v/>
      </c>
      <c r="E24">
        <f>F24</f>
        <v/>
      </c>
      <c r="F24">
        <f>(D24/D23-1)*100</f>
        <v/>
      </c>
    </row>
    <row r="25">
      <c r="A25" t="n">
        <v>2043</v>
      </c>
      <c r="B25" t="n">
        <v>4.5</v>
      </c>
      <c r="C25">
        <f>C24*(1+B25/100)*(1+F25/100)</f>
        <v/>
      </c>
      <c r="D25">
        <f>D24*(1+$G$2/100)</f>
        <v/>
      </c>
      <c r="E25">
        <f>F25</f>
        <v/>
      </c>
      <c r="F25">
        <f>(D25/D24-1)*100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K105"/>
  <sheetViews>
    <sheetView tabSelected="1" workbookViewId="0">
      <selection activeCell="E14" sqref="E14"/>
    </sheetView>
  </sheetViews>
  <sheetFormatPr baseColWidth="8" defaultRowHeight="12.45"/>
  <cols>
    <col width="18" customWidth="1" min="3" max="3"/>
    <col width="11" customWidth="1" min="5" max="5"/>
    <col width="11.15234375" customWidth="1" min="7" max="7"/>
    <col width="11.84375" customWidth="1" min="8" max="8"/>
    <col width="14.53515625" customWidth="1" style="14" min="10" max="10"/>
    <col width="17.3828125" bestFit="1" customWidth="1" style="14" min="11" max="11"/>
  </cols>
  <sheetData>
    <row r="1" ht="37.3" customFormat="1" customHeight="1" s="3">
      <c r="B1" s="40" t="inlineStr">
        <is>
          <t>SCENARIO 1: Base Case (Multiplier=0.8, Import Share from SUT)</t>
        </is>
      </c>
    </row>
    <row r="2">
      <c r="B2" s="41" t="inlineStr">
        <is>
          <t>Year</t>
        </is>
      </c>
      <c r="C2" s="42" t="inlineStr">
        <is>
          <t>Real GDP</t>
        </is>
      </c>
      <c r="D2" s="41" t="inlineStr">
        <is>
          <t>Project Allocation (%)</t>
        </is>
      </c>
      <c r="E2" s="41" t="inlineStr">
        <is>
          <t>Project Investment</t>
        </is>
      </c>
      <c r="F2" s="41" t="inlineStr">
        <is>
          <t>Imports</t>
        </is>
      </c>
      <c r="G2" s="41" t="inlineStr">
        <is>
          <t>GDP impact</t>
        </is>
      </c>
      <c r="H2" s="43" t="n"/>
      <c r="I2" s="44" t="n"/>
      <c r="J2" s="41" t="inlineStr">
        <is>
          <t>Baseline GDP Growth</t>
        </is>
      </c>
      <c r="K2" s="41" t="inlineStr">
        <is>
          <t>Projected Growth</t>
        </is>
      </c>
    </row>
    <row r="3">
      <c r="B3" s="9" t="n"/>
      <c r="C3" s="5" t="n"/>
      <c r="D3" s="5" t="n"/>
      <c r="E3" s="5" t="n"/>
      <c r="F3" s="5" t="n"/>
      <c r="G3" s="4" t="inlineStr">
        <is>
          <t>I-M</t>
        </is>
      </c>
      <c r="H3" s="6" t="inlineStr">
        <is>
          <t>Multiplier</t>
        </is>
      </c>
      <c r="I3" s="4" t="inlineStr">
        <is>
          <t>% of GDP</t>
        </is>
      </c>
      <c r="J3" s="7" t="n"/>
      <c r="K3" s="8" t="n"/>
    </row>
    <row r="4">
      <c r="B4" s="9" t="n">
        <v>2020</v>
      </c>
      <c r="C4" s="10">
        <f>WEO_Data!C2</f>
        <v/>
      </c>
      <c r="D4" s="35" t="n">
        <v>0</v>
      </c>
      <c r="E4" s="10">
        <f>$D$31*D4*$D$30</f>
        <v/>
      </c>
      <c r="F4" s="10">
        <f>E4*$D$32</f>
        <v/>
      </c>
      <c r="G4" s="10">
        <f>(E4-F4)*$D$33</f>
        <v/>
      </c>
      <c r="H4" s="10" t="n"/>
      <c r="I4" s="10">
        <f>IF(C4&gt;0,G4/C4*100,0)</f>
        <v/>
      </c>
      <c r="J4" s="11">
        <f>WEO_Data!B2</f>
        <v/>
      </c>
      <c r="K4" s="12">
        <f>J4+I4</f>
        <v/>
      </c>
    </row>
    <row r="5">
      <c r="B5" s="13" t="n">
        <v>2021</v>
      </c>
      <c r="C5">
        <f>WEO_Data!C3</f>
        <v/>
      </c>
      <c r="D5" s="36" t="n">
        <v>0</v>
      </c>
      <c r="E5">
        <f>$D$31*D5*$D$30</f>
        <v/>
      </c>
      <c r="F5">
        <f>E5*$D$32</f>
        <v/>
      </c>
      <c r="G5">
        <f>(E5-F5)*$D$33</f>
        <v/>
      </c>
      <c r="I5">
        <f>IF(C5&gt;0,G5/C5*100,0)</f>
        <v/>
      </c>
      <c r="J5">
        <f>WEO_Data!B3</f>
        <v/>
      </c>
      <c r="K5" s="15">
        <f>J5+I5</f>
        <v/>
      </c>
    </row>
    <row r="6">
      <c r="B6" s="13" t="n">
        <v>2022</v>
      </c>
      <c r="C6">
        <f>WEO_Data!C4</f>
        <v/>
      </c>
      <c r="D6" s="36" t="n">
        <v>0</v>
      </c>
      <c r="E6">
        <f>$D$31*D6*$D$30</f>
        <v/>
      </c>
      <c r="F6">
        <f>E6*$D$32</f>
        <v/>
      </c>
      <c r="G6">
        <f>(E6-F6)*$D$33</f>
        <v/>
      </c>
      <c r="I6">
        <f>IF(C6&gt;0,G6/C6*100,0)</f>
        <v/>
      </c>
      <c r="J6">
        <f>WEO_Data!B4</f>
        <v/>
      </c>
      <c r="K6" s="15">
        <f>J6+I6</f>
        <v/>
      </c>
    </row>
    <row r="7">
      <c r="B7" s="13" t="n">
        <v>2023</v>
      </c>
      <c r="C7">
        <f>WEO_Data!C5</f>
        <v/>
      </c>
      <c r="D7" s="36" t="n">
        <v>0</v>
      </c>
      <c r="E7">
        <f>$D$31*D7*$D$30</f>
        <v/>
      </c>
      <c r="F7">
        <f>E7*$D$32</f>
        <v/>
      </c>
      <c r="G7">
        <f>(E7-F7)*$D$33</f>
        <v/>
      </c>
      <c r="I7">
        <f>IF(C7&gt;0,G7/C7*100,0)</f>
        <v/>
      </c>
      <c r="J7">
        <f>WEO_Data!B5</f>
        <v/>
      </c>
      <c r="K7" s="15">
        <f>J7+I7</f>
        <v/>
      </c>
    </row>
    <row r="8">
      <c r="B8" s="13" t="n">
        <v>2024</v>
      </c>
      <c r="C8">
        <f>WEO_Data!C6</f>
        <v/>
      </c>
      <c r="D8" s="36" t="n">
        <v>0</v>
      </c>
      <c r="E8">
        <f>$D$31*D8*$D$30</f>
        <v/>
      </c>
      <c r="F8">
        <f>E8*$D$32</f>
        <v/>
      </c>
      <c r="G8">
        <f>(E8-F8)*$D$33</f>
        <v/>
      </c>
      <c r="I8">
        <f>IF(C8&gt;0,G8/C8*100,0)</f>
        <v/>
      </c>
      <c r="J8">
        <f>WEO_Data!B6</f>
        <v/>
      </c>
      <c r="K8" s="15">
        <f>J8+I8</f>
        <v/>
      </c>
    </row>
    <row r="9">
      <c r="B9" s="13" t="n">
        <v>2025</v>
      </c>
      <c r="C9">
        <f>WEO_Data!C7</f>
        <v/>
      </c>
      <c r="D9" s="36" t="n">
        <v>0</v>
      </c>
      <c r="E9">
        <f>$D$31*D9*$D$30</f>
        <v/>
      </c>
      <c r="F9">
        <f>E9*$D$32</f>
        <v/>
      </c>
      <c r="G9">
        <f>(E9-F9)*$D$33</f>
        <v/>
      </c>
      <c r="I9">
        <f>IF(C9&gt;0,G9/C9*100,0)</f>
        <v/>
      </c>
      <c r="J9">
        <f>WEO_Data!B7</f>
        <v/>
      </c>
      <c r="K9" s="15">
        <f>J9+I9</f>
        <v/>
      </c>
    </row>
    <row r="10">
      <c r="B10" s="13" t="n">
        <v>2026</v>
      </c>
      <c r="C10">
        <f>WEO_Data!C8</f>
        <v/>
      </c>
      <c r="D10" s="36" t="n">
        <v>0.045</v>
      </c>
      <c r="E10">
        <f>$D$31*D10*$D$30</f>
        <v/>
      </c>
      <c r="F10">
        <f>E10*$D$32</f>
        <v/>
      </c>
      <c r="G10">
        <f>(E10-F10)*$D$33</f>
        <v/>
      </c>
      <c r="I10">
        <f>IF(C10&gt;0,G10/C10*100,0)</f>
        <v/>
      </c>
      <c r="J10" s="16">
        <f>WEO_Data!B8</f>
        <v/>
      </c>
      <c r="K10" s="15">
        <f>J10+I10</f>
        <v/>
      </c>
    </row>
    <row r="11">
      <c r="B11" s="13" t="n">
        <v>2027</v>
      </c>
      <c r="C11">
        <f>WEO_Data!C9</f>
        <v/>
      </c>
      <c r="D11" s="36" t="n">
        <v>0.091</v>
      </c>
      <c r="E11">
        <f>$D$31*D11*$D$30</f>
        <v/>
      </c>
      <c r="F11">
        <f>E11*$D$32</f>
        <v/>
      </c>
      <c r="G11">
        <f>(E11-F11)*$D$33</f>
        <v/>
      </c>
      <c r="I11">
        <f>IF(C11&gt;0,G11/C11*100,0)</f>
        <v/>
      </c>
      <c r="J11">
        <f>WEO_Data!B9</f>
        <v/>
      </c>
      <c r="K11" s="15">
        <f>J11+I11</f>
        <v/>
      </c>
    </row>
    <row r="12">
      <c r="B12" s="13" t="n">
        <v>2028</v>
      </c>
      <c r="C12">
        <f>WEO_Data!C10</f>
        <v/>
      </c>
      <c r="D12" s="36" t="n">
        <v>0.164</v>
      </c>
      <c r="E12">
        <f>$D$31*D12*$D$30</f>
        <v/>
      </c>
      <c r="F12">
        <f>E12*$D$32</f>
        <v/>
      </c>
      <c r="G12">
        <f>(E12-F12)*$D$33</f>
        <v/>
      </c>
      <c r="I12">
        <f>IF(C12&gt;0,G12/C12*100,0)</f>
        <v/>
      </c>
      <c r="J12">
        <f>WEO_Data!B10</f>
        <v/>
      </c>
      <c r="K12" s="15">
        <f>J12+I12</f>
        <v/>
      </c>
    </row>
    <row r="13">
      <c r="B13" s="13" t="n">
        <v>2029</v>
      </c>
      <c r="C13">
        <f>WEO_Data!C11</f>
        <v/>
      </c>
      <c r="D13" s="36" t="n">
        <v>0.2</v>
      </c>
      <c r="E13">
        <f>$D$31*D13*$D$30</f>
        <v/>
      </c>
      <c r="F13">
        <f>E13*$D$32</f>
        <v/>
      </c>
      <c r="G13">
        <f>(E13-F13)*$D$33</f>
        <v/>
      </c>
      <c r="I13">
        <f>IF(C13&gt;0,G13/C13*100,0)</f>
        <v/>
      </c>
      <c r="J13">
        <f>WEO_Data!B11</f>
        <v/>
      </c>
      <c r="K13" s="15">
        <f>J13+I13</f>
        <v/>
      </c>
    </row>
    <row r="14">
      <c r="B14" s="13" t="n">
        <v>2030</v>
      </c>
      <c r="C14">
        <f>WEO_Data!C12</f>
        <v/>
      </c>
      <c r="D14" s="36" t="n">
        <v>0.2</v>
      </c>
      <c r="E14">
        <f>$D$31*D14*$D$30</f>
        <v/>
      </c>
      <c r="F14">
        <f>E14*$D$32</f>
        <v/>
      </c>
      <c r="G14">
        <f>(E14-F14)*$D$33</f>
        <v/>
      </c>
      <c r="I14">
        <f>IF(C14&gt;0,G14/C14*100,0)</f>
        <v/>
      </c>
      <c r="J14" s="17">
        <f>WEO_Data!B12</f>
        <v/>
      </c>
      <c r="K14" s="15">
        <f>J14+I14</f>
        <v/>
      </c>
    </row>
    <row r="15">
      <c r="B15" s="13" t="n">
        <v>2031</v>
      </c>
      <c r="C15">
        <f>WEO_Data!C13</f>
        <v/>
      </c>
      <c r="D15" s="36" t="n">
        <v>0.164</v>
      </c>
      <c r="E15">
        <f>$D$31*D15*$D$30</f>
        <v/>
      </c>
      <c r="F15">
        <f>E15*$D$32</f>
        <v/>
      </c>
      <c r="G15">
        <f>(E15-F15)*$D$33</f>
        <v/>
      </c>
      <c r="I15">
        <f>IF(C15&gt;0,G15/C15*100,0)</f>
        <v/>
      </c>
      <c r="J15" s="17">
        <f>WEO_Data!B13</f>
        <v/>
      </c>
      <c r="K15" s="15">
        <f>J15+I15</f>
        <v/>
      </c>
    </row>
    <row r="16">
      <c r="B16" s="13" t="n">
        <v>2032</v>
      </c>
      <c r="C16">
        <f>WEO_Data!C14</f>
        <v/>
      </c>
      <c r="D16" s="36" t="n">
        <v>0.091</v>
      </c>
      <c r="E16">
        <f>$D$31*D16*$D$30</f>
        <v/>
      </c>
      <c r="F16">
        <f>E16*$D$32</f>
        <v/>
      </c>
      <c r="G16">
        <f>(E16-F16)*$D$33</f>
        <v/>
      </c>
      <c r="I16">
        <f>IF(C16&gt;0,G16/C16*100,0)</f>
        <v/>
      </c>
      <c r="J16" s="17">
        <f>WEO_Data!B14</f>
        <v/>
      </c>
      <c r="K16" s="15">
        <f>J16+I16</f>
        <v/>
      </c>
    </row>
    <row r="17">
      <c r="B17" s="13" t="n">
        <v>2033</v>
      </c>
      <c r="C17">
        <f>WEO_Data!C15</f>
        <v/>
      </c>
      <c r="D17" s="36" t="n">
        <v>0.045</v>
      </c>
      <c r="E17">
        <f>$D$31*D17*$D$30</f>
        <v/>
      </c>
      <c r="F17">
        <f>E17*$D$32</f>
        <v/>
      </c>
      <c r="G17">
        <f>(E17-F17)*$D$33</f>
        <v/>
      </c>
      <c r="I17">
        <f>IF(C17&gt;0,G17/C17*100,0)</f>
        <v/>
      </c>
      <c r="J17" s="17">
        <f>WEO_Data!B15</f>
        <v/>
      </c>
      <c r="K17" s="15">
        <f>J17+I17</f>
        <v/>
      </c>
    </row>
    <row r="18">
      <c r="B18" s="13" t="n">
        <v>2034</v>
      </c>
      <c r="C18">
        <f>WEO_Data!C16</f>
        <v/>
      </c>
      <c r="D18" s="36" t="n">
        <v>0</v>
      </c>
      <c r="E18">
        <f>$D$31*D18*$D$30</f>
        <v/>
      </c>
      <c r="F18">
        <f>E18*$D$32</f>
        <v/>
      </c>
      <c r="G18">
        <f>(E18-F18)*$D$33</f>
        <v/>
      </c>
      <c r="I18">
        <f>IF(C18&gt;0,G18/C18*100,0)</f>
        <v/>
      </c>
      <c r="J18" s="17">
        <f>WEO_Data!B16</f>
        <v/>
      </c>
      <c r="K18" s="15">
        <f>J18+I18</f>
        <v/>
      </c>
    </row>
    <row r="19">
      <c r="B19" s="13" t="n">
        <v>2035</v>
      </c>
      <c r="C19">
        <f>WEO_Data!C17</f>
        <v/>
      </c>
      <c r="D19" s="36" t="n">
        <v>0</v>
      </c>
      <c r="E19">
        <f>$D$31*D19*$D$30</f>
        <v/>
      </c>
      <c r="F19">
        <f>E19*$D$32</f>
        <v/>
      </c>
      <c r="G19">
        <f>(E19-F19)*$D$33</f>
        <v/>
      </c>
      <c r="I19">
        <f>IF(C19&gt;0,G19/C19*100,0)</f>
        <v/>
      </c>
      <c r="J19" s="17">
        <f>WEO_Data!B17</f>
        <v/>
      </c>
      <c r="K19" s="15">
        <f>J19+I19</f>
        <v/>
      </c>
    </row>
    <row r="20">
      <c r="B20" s="13" t="n">
        <v>2036</v>
      </c>
      <c r="C20">
        <f>WEO_Data!C18</f>
        <v/>
      </c>
      <c r="D20" s="36" t="n">
        <v>0</v>
      </c>
      <c r="E20">
        <f>$D$31*D20*$D$30</f>
        <v/>
      </c>
      <c r="F20">
        <f>E20*$D$32</f>
        <v/>
      </c>
      <c r="G20">
        <f>(E20-F20)*$D$33</f>
        <v/>
      </c>
      <c r="I20">
        <f>IF(C20&gt;0,G20/C20*100,0)</f>
        <v/>
      </c>
      <c r="J20" s="17">
        <f>WEO_Data!B18</f>
        <v/>
      </c>
      <c r="K20" s="15">
        <f>J20+I20</f>
        <v/>
      </c>
    </row>
    <row r="21">
      <c r="B21" s="13" t="n">
        <v>2037</v>
      </c>
      <c r="C21">
        <f>WEO_Data!C19</f>
        <v/>
      </c>
      <c r="D21" s="36" t="n">
        <v>0</v>
      </c>
      <c r="E21">
        <f>$D$31*D21*$D$30</f>
        <v/>
      </c>
      <c r="F21">
        <f>E21*$D$32</f>
        <v/>
      </c>
      <c r="G21">
        <f>(E21-F21)*$D$33</f>
        <v/>
      </c>
      <c r="I21">
        <f>IF(C21&gt;0,G21/C21*100,0)</f>
        <v/>
      </c>
      <c r="J21" s="17">
        <f>WEO_Data!B19</f>
        <v/>
      </c>
      <c r="K21" s="15">
        <f>J21+I21</f>
        <v/>
      </c>
    </row>
    <row r="22">
      <c r="B22" s="13" t="n">
        <v>2038</v>
      </c>
      <c r="C22">
        <f>WEO_Data!C20</f>
        <v/>
      </c>
      <c r="D22" s="36" t="n">
        <v>0</v>
      </c>
      <c r="E22">
        <f>$D$31*D22*$D$30</f>
        <v/>
      </c>
      <c r="F22">
        <f>E22*$D$32</f>
        <v/>
      </c>
      <c r="G22">
        <f>(E22-F22)*$D$33</f>
        <v/>
      </c>
      <c r="I22">
        <f>IF(C22&gt;0,G22/C22*100,0)</f>
        <v/>
      </c>
      <c r="J22" s="17">
        <f>WEO_Data!B20</f>
        <v/>
      </c>
      <c r="K22" s="15">
        <f>J22+I22</f>
        <v/>
      </c>
    </row>
    <row r="23">
      <c r="B23" s="13" t="n">
        <v>2039</v>
      </c>
      <c r="C23">
        <f>WEO_Data!C21</f>
        <v/>
      </c>
      <c r="D23" s="36" t="n">
        <v>0</v>
      </c>
      <c r="E23">
        <f>$D$31*D23*$D$30</f>
        <v/>
      </c>
      <c r="F23">
        <f>E23*$D$32</f>
        <v/>
      </c>
      <c r="G23">
        <f>(E23-F23)*$D$33</f>
        <v/>
      </c>
      <c r="I23">
        <f>IF(C23&gt;0,G23/C23*100,0)</f>
        <v/>
      </c>
      <c r="J23" s="17">
        <f>WEO_Data!B21</f>
        <v/>
      </c>
      <c r="K23" s="15">
        <f>J23+I23</f>
        <v/>
      </c>
    </row>
    <row r="24">
      <c r="B24" s="13" t="n">
        <v>2040</v>
      </c>
      <c r="C24">
        <f>WEO_Data!C22</f>
        <v/>
      </c>
      <c r="D24" s="36" t="n">
        <v>0</v>
      </c>
      <c r="E24">
        <f>$D$31*D24*$D$30</f>
        <v/>
      </c>
      <c r="F24">
        <f>E24*$D$32</f>
        <v/>
      </c>
      <c r="G24">
        <f>(E24-F24)*$D$33</f>
        <v/>
      </c>
      <c r="I24">
        <f>IF(C24&gt;0,G24/C24*100,0)</f>
        <v/>
      </c>
      <c r="J24" s="17">
        <f>WEO_Data!B22</f>
        <v/>
      </c>
      <c r="K24" s="15">
        <f>J24+I24</f>
        <v/>
      </c>
    </row>
    <row r="25">
      <c r="B25" s="13" t="n">
        <v>2041</v>
      </c>
      <c r="C25">
        <f>WEO_Data!C23</f>
        <v/>
      </c>
      <c r="D25" s="36" t="n">
        <v>0</v>
      </c>
      <c r="E25">
        <f>$D$31*D25*$D$30</f>
        <v/>
      </c>
      <c r="F25">
        <f>E25*$D$32</f>
        <v/>
      </c>
      <c r="G25">
        <f>(E25-F25)*$D$33</f>
        <v/>
      </c>
      <c r="I25">
        <f>IF(C25&gt;0,G25/C25*100,0)</f>
        <v/>
      </c>
      <c r="J25" s="17">
        <f>WEO_Data!B23</f>
        <v/>
      </c>
      <c r="K25" s="15">
        <f>J25+I25</f>
        <v/>
      </c>
    </row>
    <row r="26">
      <c r="B26" s="18" t="n">
        <v>2042</v>
      </c>
      <c r="C26" s="19">
        <f>WEO_Data!C24</f>
        <v/>
      </c>
      <c r="D26" s="37" t="n">
        <v>0</v>
      </c>
      <c r="E26" s="19">
        <f>$D$31*D26*$D$30</f>
        <v/>
      </c>
      <c r="F26" s="19">
        <f>E26*$D$32</f>
        <v/>
      </c>
      <c r="G26" s="19">
        <f>(E26-F26)*$D$33</f>
        <v/>
      </c>
      <c r="H26" s="19" t="n"/>
      <c r="I26" s="19">
        <f>IF(C26&gt;0,G26/C26*100,0)</f>
        <v/>
      </c>
      <c r="J26" s="20">
        <f>WEO_Data!B24</f>
        <v/>
      </c>
      <c r="K26" s="21">
        <f>J26+I26</f>
        <v/>
      </c>
    </row>
    <row r="29">
      <c r="C29" s="45" t="inlineStr">
        <is>
          <t>Assumptions</t>
        </is>
      </c>
      <c r="D29" s="23" t="n"/>
      <c r="E29" s="24" t="n"/>
      <c r="F29" s="24" t="n"/>
      <c r="G29" s="24" t="n"/>
      <c r="H29" s="24" t="n"/>
      <c r="I29" s="24" t="n"/>
      <c r="J29" s="25" t="n"/>
      <c r="K29" s="26" t="n"/>
    </row>
    <row r="30">
      <c r="C30" s="13" t="inlineStr">
        <is>
          <t>Exchange Rate (Lari/USD):</t>
        </is>
      </c>
      <c r="D30" t="n">
        <v>2.746</v>
      </c>
      <c r="E30" t="inlineStr">
        <is>
          <t>(fixed)</t>
        </is>
      </c>
      <c r="K30" s="15" t="n"/>
    </row>
    <row r="31">
      <c r="C31" s="13" t="inlineStr">
        <is>
          <t>total investment</t>
        </is>
      </c>
      <c r="D31" t="n">
        <v>6.5</v>
      </c>
      <c r="E31" t="inlineStr">
        <is>
          <t>billion USD</t>
        </is>
      </c>
      <c r="K31" s="15" t="n"/>
    </row>
    <row r="32">
      <c r="C32" s="13" t="inlineStr">
        <is>
          <t>import content share</t>
        </is>
      </c>
      <c r="D32" s="28">
        <f>"SUT Calc"!C46</f>
        <v/>
      </c>
      <c r="E32" t="inlineStr">
        <is>
          <t>(from SUT analysis)</t>
        </is>
      </c>
      <c r="K32" s="15" t="n"/>
    </row>
    <row r="33">
      <c r="C33" s="13" t="inlineStr">
        <is>
          <t>demand multiplier</t>
        </is>
      </c>
      <c r="D33" s="29" t="n">
        <v>0.8</v>
      </c>
      <c r="E33" t="inlineStr">
        <is>
          <t>(small open economy)</t>
        </is>
      </c>
      <c r="K33" s="15" t="n"/>
    </row>
    <row r="34">
      <c r="C34" s="18" t="inlineStr">
        <is>
          <t>Project allocation</t>
        </is>
      </c>
      <c r="D34" s="19" t="inlineStr">
        <is>
          <t>Bell-shaped</t>
        </is>
      </c>
      <c r="E34" s="19" t="inlineStr">
        <is>
          <t>(8 years: 2026-2033)</t>
        </is>
      </c>
      <c r="F34" s="19" t="n"/>
      <c r="G34" s="19" t="n"/>
      <c r="H34" s="19" t="n"/>
      <c r="I34" s="19" t="n"/>
      <c r="J34" s="27" t="n"/>
      <c r="K34" s="21" t="n"/>
    </row>
    <row r="36">
      <c r="B36" s="38" t="inlineStr">
        <is>
          <t>SCENARIO 2: Demand Multiplier = 1.0</t>
        </is>
      </c>
    </row>
    <row r="37">
      <c r="B37" s="31" t="inlineStr">
        <is>
          <t>Year</t>
        </is>
      </c>
      <c r="C37" s="31" t="inlineStr">
        <is>
          <t>Real GDP</t>
        </is>
      </c>
      <c r="D37" s="31" t="inlineStr">
        <is>
          <t>Project Allocation (%)</t>
        </is>
      </c>
      <c r="E37" s="31" t="inlineStr">
        <is>
          <t>Project Investment</t>
        </is>
      </c>
      <c r="F37" s="31" t="inlineStr">
        <is>
          <t>Imports</t>
        </is>
      </c>
      <c r="G37" s="31" t="inlineStr">
        <is>
          <t>GDP impact</t>
        </is>
      </c>
      <c r="H37" s="31" t="n"/>
      <c r="I37" s="31" t="n"/>
      <c r="J37" s="31" t="inlineStr">
        <is>
          <t>Baseline GDP Growth</t>
        </is>
      </c>
      <c r="K37" s="31" t="inlineStr">
        <is>
          <t>Projected Growth</t>
        </is>
      </c>
    </row>
    <row r="38">
      <c r="G38" t="inlineStr">
        <is>
          <t>I-M</t>
        </is>
      </c>
      <c r="H38" t="inlineStr">
        <is>
          <t>Multiplier</t>
        </is>
      </c>
      <c r="I38" t="inlineStr">
        <is>
          <t>% of GDP</t>
        </is>
      </c>
    </row>
    <row r="39">
      <c r="B39" t="n">
        <v>2020</v>
      </c>
      <c r="C39">
        <f>C4</f>
        <v/>
      </c>
      <c r="D39" s="36">
        <f>D4</f>
        <v/>
      </c>
      <c r="E39">
        <f>$D$31*D39*$D$30</f>
        <v/>
      </c>
      <c r="F39">
        <f>E39*$D$32</f>
        <v/>
      </c>
      <c r="G39">
        <f>(E39-F39)*1.0</f>
        <v/>
      </c>
      <c r="I39">
        <f>IF(C39&gt;0,G39/C39*100,0)</f>
        <v/>
      </c>
      <c r="J39">
        <f>J4</f>
        <v/>
      </c>
      <c r="K39">
        <f>J39+I39</f>
        <v/>
      </c>
    </row>
    <row r="40">
      <c r="B40" t="n">
        <v>2021</v>
      </c>
      <c r="C40">
        <f>C5</f>
        <v/>
      </c>
      <c r="D40" s="36">
        <f>D5</f>
        <v/>
      </c>
      <c r="E40">
        <f>$D$31*D40*$D$30</f>
        <v/>
      </c>
      <c r="F40">
        <f>E40*$D$32</f>
        <v/>
      </c>
      <c r="G40">
        <f>(E40-F40)*1.0</f>
        <v/>
      </c>
      <c r="I40">
        <f>IF(C40&gt;0,G40/C40*100,0)</f>
        <v/>
      </c>
      <c r="J40">
        <f>J5</f>
        <v/>
      </c>
      <c r="K40">
        <f>J40+I40</f>
        <v/>
      </c>
    </row>
    <row r="41">
      <c r="B41" t="n">
        <v>2022</v>
      </c>
      <c r="C41">
        <f>C6</f>
        <v/>
      </c>
      <c r="D41" s="36">
        <f>D6</f>
        <v/>
      </c>
      <c r="E41">
        <f>$D$31*D41*$D$30</f>
        <v/>
      </c>
      <c r="F41">
        <f>E41*$D$32</f>
        <v/>
      </c>
      <c r="G41">
        <f>(E41-F41)*1.0</f>
        <v/>
      </c>
      <c r="I41">
        <f>IF(C41&gt;0,G41/C41*100,0)</f>
        <v/>
      </c>
      <c r="J41">
        <f>J6</f>
        <v/>
      </c>
      <c r="K41">
        <f>J41+I41</f>
        <v/>
      </c>
    </row>
    <row r="42">
      <c r="B42" t="n">
        <v>2023</v>
      </c>
      <c r="C42">
        <f>C7</f>
        <v/>
      </c>
      <c r="D42" s="36">
        <f>D7</f>
        <v/>
      </c>
      <c r="E42">
        <f>$D$31*D42*$D$30</f>
        <v/>
      </c>
      <c r="F42">
        <f>E42*$D$32</f>
        <v/>
      </c>
      <c r="G42">
        <f>(E42-F42)*1.0</f>
        <v/>
      </c>
      <c r="I42">
        <f>IF(C42&gt;0,G42/C42*100,0)</f>
        <v/>
      </c>
      <c r="J42">
        <f>J7</f>
        <v/>
      </c>
      <c r="K42">
        <f>J42+I42</f>
        <v/>
      </c>
    </row>
    <row r="43">
      <c r="B43" t="n">
        <v>2024</v>
      </c>
      <c r="C43">
        <f>C8</f>
        <v/>
      </c>
      <c r="D43" s="36">
        <f>D8</f>
        <v/>
      </c>
      <c r="E43">
        <f>$D$31*D43*$D$30</f>
        <v/>
      </c>
      <c r="F43">
        <f>E43*$D$32</f>
        <v/>
      </c>
      <c r="G43">
        <f>(E43-F43)*1.0</f>
        <v/>
      </c>
      <c r="I43">
        <f>IF(C43&gt;0,G43/C43*100,0)</f>
        <v/>
      </c>
      <c r="J43">
        <f>J8</f>
        <v/>
      </c>
      <c r="K43">
        <f>J43+I43</f>
        <v/>
      </c>
    </row>
    <row r="44">
      <c r="B44" t="n">
        <v>2025</v>
      </c>
      <c r="C44">
        <f>C9</f>
        <v/>
      </c>
      <c r="D44" s="36">
        <f>D9</f>
        <v/>
      </c>
      <c r="E44">
        <f>$D$31*D44*$D$30</f>
        <v/>
      </c>
      <c r="F44">
        <f>E44*$D$32</f>
        <v/>
      </c>
      <c r="G44">
        <f>(E44-F44)*1.0</f>
        <v/>
      </c>
      <c r="I44">
        <f>IF(C44&gt;0,G44/C44*100,0)</f>
        <v/>
      </c>
      <c r="J44">
        <f>J9</f>
        <v/>
      </c>
      <c r="K44">
        <f>J44+I44</f>
        <v/>
      </c>
    </row>
    <row r="45">
      <c r="B45" t="n">
        <v>2026</v>
      </c>
      <c r="C45">
        <f>C10</f>
        <v/>
      </c>
      <c r="D45" s="36">
        <f>D10</f>
        <v/>
      </c>
      <c r="E45">
        <f>$D$31*D45*$D$30</f>
        <v/>
      </c>
      <c r="F45">
        <f>E45*$D$32</f>
        <v/>
      </c>
      <c r="G45">
        <f>(E45-F45)*1.0</f>
        <v/>
      </c>
      <c r="I45">
        <f>IF(C45&gt;0,G45/C45*100,0)</f>
        <v/>
      </c>
      <c r="J45">
        <f>J10</f>
        <v/>
      </c>
      <c r="K45">
        <f>J45+I45</f>
        <v/>
      </c>
    </row>
    <row r="46">
      <c r="B46" t="n">
        <v>2027</v>
      </c>
      <c r="C46">
        <f>C11</f>
        <v/>
      </c>
      <c r="D46" s="36">
        <f>D11</f>
        <v/>
      </c>
      <c r="E46">
        <f>$D$31*D46*$D$30</f>
        <v/>
      </c>
      <c r="F46">
        <f>E46*$D$32</f>
        <v/>
      </c>
      <c r="G46">
        <f>(E46-F46)*1.0</f>
        <v/>
      </c>
      <c r="I46">
        <f>IF(C46&gt;0,G46/C46*100,0)</f>
        <v/>
      </c>
      <c r="J46">
        <f>J11</f>
        <v/>
      </c>
      <c r="K46">
        <f>J46+I46</f>
        <v/>
      </c>
    </row>
    <row r="47">
      <c r="B47" t="n">
        <v>2028</v>
      </c>
      <c r="C47">
        <f>C12</f>
        <v/>
      </c>
      <c r="D47" s="36">
        <f>D12</f>
        <v/>
      </c>
      <c r="E47">
        <f>$D$31*D47*$D$30</f>
        <v/>
      </c>
      <c r="F47">
        <f>E47*$D$32</f>
        <v/>
      </c>
      <c r="G47">
        <f>(E47-F47)*1.0</f>
        <v/>
      </c>
      <c r="I47">
        <f>IF(C47&gt;0,G47/C47*100,0)</f>
        <v/>
      </c>
      <c r="J47">
        <f>J12</f>
        <v/>
      </c>
      <c r="K47">
        <f>J47+I47</f>
        <v/>
      </c>
    </row>
    <row r="48">
      <c r="B48" t="n">
        <v>2029</v>
      </c>
      <c r="C48">
        <f>C13</f>
        <v/>
      </c>
      <c r="D48" s="36">
        <f>D13</f>
        <v/>
      </c>
      <c r="E48">
        <f>$D$31*D48*$D$30</f>
        <v/>
      </c>
      <c r="F48">
        <f>E48*$D$32</f>
        <v/>
      </c>
      <c r="G48">
        <f>(E48-F48)*1.0</f>
        <v/>
      </c>
      <c r="I48">
        <f>IF(C48&gt;0,G48/C48*100,0)</f>
        <v/>
      </c>
      <c r="J48">
        <f>J13</f>
        <v/>
      </c>
      <c r="K48">
        <f>J48+I48</f>
        <v/>
      </c>
    </row>
    <row r="49">
      <c r="B49" t="n">
        <v>2030</v>
      </c>
      <c r="C49">
        <f>C14</f>
        <v/>
      </c>
      <c r="D49" s="36">
        <f>D14</f>
        <v/>
      </c>
      <c r="E49">
        <f>$D$31*D49*$D$30</f>
        <v/>
      </c>
      <c r="F49">
        <f>E49*$D$32</f>
        <v/>
      </c>
      <c r="G49">
        <f>(E49-F49)*1.0</f>
        <v/>
      </c>
      <c r="I49">
        <f>IF(C49&gt;0,G49/C49*100,0)</f>
        <v/>
      </c>
      <c r="J49">
        <f>J14</f>
        <v/>
      </c>
      <c r="K49">
        <f>J49+I49</f>
        <v/>
      </c>
    </row>
    <row r="50">
      <c r="B50" t="n">
        <v>2031</v>
      </c>
      <c r="C50">
        <f>C15</f>
        <v/>
      </c>
      <c r="D50" s="36">
        <f>D15</f>
        <v/>
      </c>
      <c r="E50">
        <f>$D$31*D50*$D$30</f>
        <v/>
      </c>
      <c r="F50">
        <f>E50*$D$32</f>
        <v/>
      </c>
      <c r="G50">
        <f>(E50-F50)*1.0</f>
        <v/>
      </c>
      <c r="I50">
        <f>IF(C50&gt;0,G50/C50*100,0)</f>
        <v/>
      </c>
      <c r="J50">
        <f>J15</f>
        <v/>
      </c>
      <c r="K50">
        <f>J50+I50</f>
        <v/>
      </c>
    </row>
    <row r="51">
      <c r="B51" t="n">
        <v>2032</v>
      </c>
      <c r="C51">
        <f>C16</f>
        <v/>
      </c>
      <c r="D51" s="36">
        <f>D16</f>
        <v/>
      </c>
      <c r="E51">
        <f>$D$31*D51*$D$30</f>
        <v/>
      </c>
      <c r="F51">
        <f>E51*$D$32</f>
        <v/>
      </c>
      <c r="G51">
        <f>(E51-F51)*1.0</f>
        <v/>
      </c>
      <c r="I51">
        <f>IF(C51&gt;0,G51/C51*100,0)</f>
        <v/>
      </c>
      <c r="J51">
        <f>J16</f>
        <v/>
      </c>
      <c r="K51">
        <f>J51+I51</f>
        <v/>
      </c>
    </row>
    <row r="52">
      <c r="B52" t="n">
        <v>2033</v>
      </c>
      <c r="C52">
        <f>C17</f>
        <v/>
      </c>
      <c r="D52" s="36">
        <f>D17</f>
        <v/>
      </c>
      <c r="E52">
        <f>$D$31*D52*$D$30</f>
        <v/>
      </c>
      <c r="F52">
        <f>E52*$D$32</f>
        <v/>
      </c>
      <c r="G52">
        <f>(E52-F52)*1.0</f>
        <v/>
      </c>
      <c r="I52">
        <f>IF(C52&gt;0,G52/C52*100,0)</f>
        <v/>
      </c>
      <c r="J52">
        <f>J17</f>
        <v/>
      </c>
      <c r="K52">
        <f>J52+I52</f>
        <v/>
      </c>
    </row>
    <row r="53">
      <c r="B53" t="n">
        <v>2034</v>
      </c>
      <c r="C53">
        <f>C18</f>
        <v/>
      </c>
      <c r="D53" s="36">
        <f>D18</f>
        <v/>
      </c>
      <c r="E53">
        <f>$D$31*D53*$D$30</f>
        <v/>
      </c>
      <c r="F53">
        <f>E53*$D$32</f>
        <v/>
      </c>
      <c r="G53">
        <f>(E53-F53)*1.0</f>
        <v/>
      </c>
      <c r="I53">
        <f>IF(C53&gt;0,G53/C53*100,0)</f>
        <v/>
      </c>
      <c r="J53">
        <f>J18</f>
        <v/>
      </c>
      <c r="K53">
        <f>J53+I53</f>
        <v/>
      </c>
    </row>
    <row r="54">
      <c r="B54" t="n">
        <v>2035</v>
      </c>
      <c r="C54">
        <f>C19</f>
        <v/>
      </c>
      <c r="D54" s="36">
        <f>D19</f>
        <v/>
      </c>
      <c r="E54">
        <f>$D$31*D54*$D$30</f>
        <v/>
      </c>
      <c r="F54">
        <f>E54*$D$32</f>
        <v/>
      </c>
      <c r="G54">
        <f>(E54-F54)*1.0</f>
        <v/>
      </c>
      <c r="I54">
        <f>IF(C54&gt;0,G54/C54*100,0)</f>
        <v/>
      </c>
      <c r="J54">
        <f>J19</f>
        <v/>
      </c>
      <c r="K54">
        <f>J54+I54</f>
        <v/>
      </c>
    </row>
    <row r="55">
      <c r="B55" t="n">
        <v>2036</v>
      </c>
      <c r="C55">
        <f>C20</f>
        <v/>
      </c>
      <c r="D55" s="36">
        <f>D20</f>
        <v/>
      </c>
      <c r="E55">
        <f>$D$31*D55*$D$30</f>
        <v/>
      </c>
      <c r="F55">
        <f>E55*$D$32</f>
        <v/>
      </c>
      <c r="G55">
        <f>(E55-F55)*1.0</f>
        <v/>
      </c>
      <c r="I55">
        <f>IF(C55&gt;0,G55/C55*100,0)</f>
        <v/>
      </c>
      <c r="J55">
        <f>J20</f>
        <v/>
      </c>
      <c r="K55">
        <f>J55+I55</f>
        <v/>
      </c>
    </row>
    <row r="56">
      <c r="B56" t="n">
        <v>2037</v>
      </c>
      <c r="C56">
        <f>C21</f>
        <v/>
      </c>
      <c r="D56" s="36">
        <f>D21</f>
        <v/>
      </c>
      <c r="E56">
        <f>$D$31*D56*$D$30</f>
        <v/>
      </c>
      <c r="F56">
        <f>E56*$D$32</f>
        <v/>
      </c>
      <c r="G56">
        <f>(E56-F56)*1.0</f>
        <v/>
      </c>
      <c r="I56">
        <f>IF(C56&gt;0,G56/C56*100,0)</f>
        <v/>
      </c>
      <c r="J56">
        <f>J21</f>
        <v/>
      </c>
      <c r="K56">
        <f>J56+I56</f>
        <v/>
      </c>
    </row>
    <row r="57">
      <c r="B57" t="n">
        <v>2038</v>
      </c>
      <c r="C57">
        <f>C22</f>
        <v/>
      </c>
      <c r="D57" s="36">
        <f>D22</f>
        <v/>
      </c>
      <c r="E57">
        <f>$D$31*D57*$D$30</f>
        <v/>
      </c>
      <c r="F57">
        <f>E57*$D$32</f>
        <v/>
      </c>
      <c r="G57">
        <f>(E57-F57)*1.0</f>
        <v/>
      </c>
      <c r="I57">
        <f>IF(C57&gt;0,G57/C57*100,0)</f>
        <v/>
      </c>
      <c r="J57">
        <f>J22</f>
        <v/>
      </c>
      <c r="K57">
        <f>J57+I57</f>
        <v/>
      </c>
    </row>
    <row r="58">
      <c r="B58" t="n">
        <v>2039</v>
      </c>
      <c r="C58">
        <f>C23</f>
        <v/>
      </c>
      <c r="D58" s="36">
        <f>D23</f>
        <v/>
      </c>
      <c r="E58">
        <f>$D$31*D58*$D$30</f>
        <v/>
      </c>
      <c r="F58">
        <f>E58*$D$32</f>
        <v/>
      </c>
      <c r="G58">
        <f>(E58-F58)*1.0</f>
        <v/>
      </c>
      <c r="I58">
        <f>IF(C58&gt;0,G58/C58*100,0)</f>
        <v/>
      </c>
      <c r="J58">
        <f>J23</f>
        <v/>
      </c>
      <c r="K58">
        <f>J58+I58</f>
        <v/>
      </c>
    </row>
    <row r="59">
      <c r="B59" t="n">
        <v>2040</v>
      </c>
      <c r="C59">
        <f>C24</f>
        <v/>
      </c>
      <c r="D59" s="36">
        <f>D24</f>
        <v/>
      </c>
      <c r="E59">
        <f>$D$31*D59*$D$30</f>
        <v/>
      </c>
      <c r="F59">
        <f>E59*$D$32</f>
        <v/>
      </c>
      <c r="G59">
        <f>(E59-F59)*1.0</f>
        <v/>
      </c>
      <c r="I59">
        <f>IF(C59&gt;0,G59/C59*100,0)</f>
        <v/>
      </c>
      <c r="J59">
        <f>J24</f>
        <v/>
      </c>
      <c r="K59">
        <f>J59+I59</f>
        <v/>
      </c>
    </row>
    <row r="60">
      <c r="B60" t="n">
        <v>2041</v>
      </c>
      <c r="C60">
        <f>C25</f>
        <v/>
      </c>
      <c r="D60" s="36">
        <f>D25</f>
        <v/>
      </c>
      <c r="E60">
        <f>$D$31*D60*$D$30</f>
        <v/>
      </c>
      <c r="F60">
        <f>E60*$D$32</f>
        <v/>
      </c>
      <c r="G60">
        <f>(E60-F60)*1.0</f>
        <v/>
      </c>
      <c r="I60">
        <f>IF(C60&gt;0,G60/C60*100,0)</f>
        <v/>
      </c>
      <c r="J60">
        <f>J25</f>
        <v/>
      </c>
      <c r="K60">
        <f>J60+I60</f>
        <v/>
      </c>
    </row>
    <row r="61">
      <c r="B61" t="n">
        <v>2042</v>
      </c>
      <c r="C61">
        <f>C26</f>
        <v/>
      </c>
      <c r="D61" s="36">
        <f>D26</f>
        <v/>
      </c>
      <c r="E61">
        <f>$D$31*D61*$D$30</f>
        <v/>
      </c>
      <c r="F61">
        <f>E61*$D$32</f>
        <v/>
      </c>
      <c r="G61">
        <f>(E61-F61)*1.0</f>
        <v/>
      </c>
      <c r="I61">
        <f>IF(C61&gt;0,G61/C61*100,0)</f>
        <v/>
      </c>
      <c r="J61">
        <f>J26</f>
        <v/>
      </c>
      <c r="K61">
        <f>J61+I61</f>
        <v/>
      </c>
    </row>
    <row r="63">
      <c r="C63" s="31" t="inlineStr">
        <is>
          <t>Assumptions</t>
        </is>
      </c>
    </row>
    <row r="64">
      <c r="C64" t="inlineStr">
        <is>
          <t>total investment</t>
        </is>
      </c>
      <c r="D64">
        <f>$D$31</f>
        <v/>
      </c>
    </row>
    <row r="65">
      <c r="C65" t="inlineStr">
        <is>
          <t>import content share</t>
        </is>
      </c>
      <c r="D65">
        <f>$D$32</f>
        <v/>
      </c>
    </row>
    <row r="66">
      <c r="C66" t="inlineStr">
        <is>
          <t>demand multiplier</t>
        </is>
      </c>
      <c r="D66" s="31" t="n">
        <v>1</v>
      </c>
    </row>
    <row r="67">
      <c r="C67" t="inlineStr">
        <is>
          <t>Project allocation</t>
        </is>
      </c>
      <c r="D67" t="inlineStr">
        <is>
          <t>Bell-shaped</t>
        </is>
      </c>
    </row>
    <row r="68">
      <c r="C68" t="inlineStr">
        <is>
          <t>demand multiplier</t>
        </is>
      </c>
      <c r="D68" s="31" t="n">
        <v>1</v>
      </c>
    </row>
    <row r="69">
      <c r="C69" t="inlineStr">
        <is>
          <t>Project allocation</t>
        </is>
      </c>
      <c r="D69" t="inlineStr">
        <is>
          <t>Bell-shaped</t>
        </is>
      </c>
    </row>
    <row r="72">
      <c r="B72" s="46" t="inlineStr">
        <is>
          <t>SCENARIO 3: Import Content Share = 0.5</t>
        </is>
      </c>
    </row>
    <row r="73">
      <c r="B73" s="31" t="inlineStr">
        <is>
          <t>Year</t>
        </is>
      </c>
      <c r="C73" s="31" t="inlineStr">
        <is>
          <t>Real GDP</t>
        </is>
      </c>
      <c r="D73" s="31" t="inlineStr">
        <is>
          <t>Project Allocation (%)</t>
        </is>
      </c>
      <c r="E73" s="31" t="inlineStr">
        <is>
          <t>Project Investment</t>
        </is>
      </c>
      <c r="F73" s="31" t="inlineStr">
        <is>
          <t>Imports</t>
        </is>
      </c>
      <c r="G73" s="31" t="inlineStr">
        <is>
          <t>GDP impact</t>
        </is>
      </c>
      <c r="H73" s="31" t="n"/>
      <c r="I73" s="31" t="n"/>
      <c r="J73" s="31" t="inlineStr">
        <is>
          <t>Baseline GDP Growth</t>
        </is>
      </c>
      <c r="K73" s="31" t="inlineStr">
        <is>
          <t>Projected Growth</t>
        </is>
      </c>
    </row>
    <row r="74">
      <c r="G74" t="inlineStr">
        <is>
          <t>I-M</t>
        </is>
      </c>
      <c r="H74" t="inlineStr">
        <is>
          <t>Multiplier</t>
        </is>
      </c>
      <c r="I74" t="inlineStr">
        <is>
          <t>% of GDP</t>
        </is>
      </c>
    </row>
    <row r="75">
      <c r="B75" t="n">
        <v>2020</v>
      </c>
      <c r="C75">
        <f>C4</f>
        <v/>
      </c>
      <c r="D75" s="36">
        <f>D4</f>
        <v/>
      </c>
      <c r="E75">
        <f>$D$31*D75*$D$30</f>
        <v/>
      </c>
      <c r="F75">
        <f>E75*0.5</f>
        <v/>
      </c>
      <c r="G75">
        <f>(E75-F75)*$D$33</f>
        <v/>
      </c>
      <c r="I75">
        <f>IF(C75&gt;0,G75/C75*100,0)</f>
        <v/>
      </c>
      <c r="J75">
        <f>J4</f>
        <v/>
      </c>
      <c r="K75">
        <f>J75+I75</f>
        <v/>
      </c>
    </row>
    <row r="76">
      <c r="B76" t="n">
        <v>2021</v>
      </c>
      <c r="C76">
        <f>C5</f>
        <v/>
      </c>
      <c r="D76" s="36">
        <f>D5</f>
        <v/>
      </c>
      <c r="E76">
        <f>$D$31*D76*$D$30</f>
        <v/>
      </c>
      <c r="F76">
        <f>E76*0.5</f>
        <v/>
      </c>
      <c r="G76">
        <f>(E76-F76)*$D$33</f>
        <v/>
      </c>
      <c r="I76">
        <f>IF(C76&gt;0,G76/C76*100,0)</f>
        <v/>
      </c>
      <c r="J76">
        <f>J5</f>
        <v/>
      </c>
      <c r="K76">
        <f>J76+I76</f>
        <v/>
      </c>
    </row>
    <row r="77">
      <c r="B77" t="n">
        <v>2022</v>
      </c>
      <c r="C77">
        <f>C6</f>
        <v/>
      </c>
      <c r="D77" s="36">
        <f>D6</f>
        <v/>
      </c>
      <c r="E77">
        <f>$D$31*D77*$D$30</f>
        <v/>
      </c>
      <c r="F77">
        <f>E77*0.5</f>
        <v/>
      </c>
      <c r="G77">
        <f>(E77-F77)*$D$33</f>
        <v/>
      </c>
      <c r="I77">
        <f>IF(C77&gt;0,G77/C77*100,0)</f>
        <v/>
      </c>
      <c r="J77">
        <f>J6</f>
        <v/>
      </c>
      <c r="K77">
        <f>J77+I77</f>
        <v/>
      </c>
    </row>
    <row r="78">
      <c r="B78" t="n">
        <v>2023</v>
      </c>
      <c r="C78">
        <f>C7</f>
        <v/>
      </c>
      <c r="D78" s="36">
        <f>D7</f>
        <v/>
      </c>
      <c r="E78">
        <f>$D$31*D78*$D$30</f>
        <v/>
      </c>
      <c r="F78">
        <f>E78*0.5</f>
        <v/>
      </c>
      <c r="G78">
        <f>(E78-F78)*$D$33</f>
        <v/>
      </c>
      <c r="I78">
        <f>IF(C78&gt;0,G78/C78*100,0)</f>
        <v/>
      </c>
      <c r="J78">
        <f>J7</f>
        <v/>
      </c>
      <c r="K78">
        <f>J78+I78</f>
        <v/>
      </c>
    </row>
    <row r="79">
      <c r="B79" t="n">
        <v>2024</v>
      </c>
      <c r="C79">
        <f>C8</f>
        <v/>
      </c>
      <c r="D79" s="36">
        <f>D8</f>
        <v/>
      </c>
      <c r="E79">
        <f>$D$31*D79*$D$30</f>
        <v/>
      </c>
      <c r="F79">
        <f>E79*0.5</f>
        <v/>
      </c>
      <c r="G79">
        <f>(E79-F79)*$D$33</f>
        <v/>
      </c>
      <c r="I79">
        <f>IF(C79&gt;0,G79/C79*100,0)</f>
        <v/>
      </c>
      <c r="J79">
        <f>J8</f>
        <v/>
      </c>
      <c r="K79">
        <f>J79+I79</f>
        <v/>
      </c>
    </row>
    <row r="80">
      <c r="B80" t="n">
        <v>2025</v>
      </c>
      <c r="C80">
        <f>C9</f>
        <v/>
      </c>
      <c r="D80" s="36">
        <f>D9</f>
        <v/>
      </c>
      <c r="E80">
        <f>$D$31*D80*$D$30</f>
        <v/>
      </c>
      <c r="F80">
        <f>E80*0.5</f>
        <v/>
      </c>
      <c r="G80">
        <f>(E80-F80)*$D$33</f>
        <v/>
      </c>
      <c r="I80">
        <f>IF(C80&gt;0,G80/C80*100,0)</f>
        <v/>
      </c>
      <c r="J80">
        <f>J9</f>
        <v/>
      </c>
      <c r="K80">
        <f>J80+I80</f>
        <v/>
      </c>
    </row>
    <row r="81">
      <c r="B81" t="n">
        <v>2026</v>
      </c>
      <c r="C81">
        <f>C10</f>
        <v/>
      </c>
      <c r="D81" s="36">
        <f>D10</f>
        <v/>
      </c>
      <c r="E81">
        <f>$D$31*D81*$D$30</f>
        <v/>
      </c>
      <c r="F81">
        <f>E81*0.5</f>
        <v/>
      </c>
      <c r="G81">
        <f>(E81-F81)*$D$33</f>
        <v/>
      </c>
      <c r="I81">
        <f>IF(C81&gt;0,G81/C81*100,0)</f>
        <v/>
      </c>
      <c r="J81">
        <f>J10</f>
        <v/>
      </c>
      <c r="K81">
        <f>J81+I81</f>
        <v/>
      </c>
    </row>
    <row r="82">
      <c r="B82" t="n">
        <v>2027</v>
      </c>
      <c r="C82">
        <f>C11</f>
        <v/>
      </c>
      <c r="D82" s="36">
        <f>D11</f>
        <v/>
      </c>
      <c r="E82">
        <f>$D$31*D82*$D$30</f>
        <v/>
      </c>
      <c r="F82">
        <f>E82*0.5</f>
        <v/>
      </c>
      <c r="G82">
        <f>(E82-F82)*$D$33</f>
        <v/>
      </c>
      <c r="I82">
        <f>IF(C82&gt;0,G82/C82*100,0)</f>
        <v/>
      </c>
      <c r="J82">
        <f>J11</f>
        <v/>
      </c>
      <c r="K82">
        <f>J82+I82</f>
        <v/>
      </c>
    </row>
    <row r="83">
      <c r="B83" t="n">
        <v>2028</v>
      </c>
      <c r="C83">
        <f>C12</f>
        <v/>
      </c>
      <c r="D83" s="36">
        <f>D12</f>
        <v/>
      </c>
      <c r="E83">
        <f>$D$31*D83*$D$30</f>
        <v/>
      </c>
      <c r="F83">
        <f>E83*0.5</f>
        <v/>
      </c>
      <c r="G83">
        <f>(E83-F83)*$D$33</f>
        <v/>
      </c>
      <c r="I83">
        <f>IF(C83&gt;0,G83/C83*100,0)</f>
        <v/>
      </c>
      <c r="J83">
        <f>J12</f>
        <v/>
      </c>
      <c r="K83">
        <f>J83+I83</f>
        <v/>
      </c>
    </row>
    <row r="84">
      <c r="B84" t="n">
        <v>2029</v>
      </c>
      <c r="C84">
        <f>C13</f>
        <v/>
      </c>
      <c r="D84" s="36">
        <f>D13</f>
        <v/>
      </c>
      <c r="E84">
        <f>$D$31*D84*$D$30</f>
        <v/>
      </c>
      <c r="F84">
        <f>E84*0.5</f>
        <v/>
      </c>
      <c r="G84">
        <f>(E84-F84)*$D$33</f>
        <v/>
      </c>
      <c r="I84">
        <f>IF(C84&gt;0,G84/C84*100,0)</f>
        <v/>
      </c>
      <c r="J84">
        <f>J13</f>
        <v/>
      </c>
      <c r="K84">
        <f>J84+I84</f>
        <v/>
      </c>
    </row>
    <row r="85">
      <c r="B85" t="n">
        <v>2030</v>
      </c>
      <c r="C85">
        <f>C14</f>
        <v/>
      </c>
      <c r="D85" s="36">
        <f>D14</f>
        <v/>
      </c>
      <c r="E85">
        <f>$D$31*D85*$D$30</f>
        <v/>
      </c>
      <c r="F85">
        <f>E85*0.5</f>
        <v/>
      </c>
      <c r="G85">
        <f>(E85-F85)*$D$33</f>
        <v/>
      </c>
      <c r="I85">
        <f>IF(C85&gt;0,G85/C85*100,0)</f>
        <v/>
      </c>
      <c r="J85">
        <f>J14</f>
        <v/>
      </c>
      <c r="K85">
        <f>J85+I85</f>
        <v/>
      </c>
    </row>
    <row r="86">
      <c r="B86" t="n">
        <v>2031</v>
      </c>
      <c r="C86">
        <f>C15</f>
        <v/>
      </c>
      <c r="D86" s="36">
        <f>D15</f>
        <v/>
      </c>
      <c r="E86">
        <f>$D$31*D86*$D$30</f>
        <v/>
      </c>
      <c r="F86">
        <f>E86*0.5</f>
        <v/>
      </c>
      <c r="G86">
        <f>(E86-F86)*$D$33</f>
        <v/>
      </c>
      <c r="I86">
        <f>IF(C86&gt;0,G86/C86*100,0)</f>
        <v/>
      </c>
      <c r="J86">
        <f>J15</f>
        <v/>
      </c>
      <c r="K86">
        <f>J86+I86</f>
        <v/>
      </c>
    </row>
    <row r="87">
      <c r="B87" t="n">
        <v>2032</v>
      </c>
      <c r="C87">
        <f>C16</f>
        <v/>
      </c>
      <c r="D87" s="36">
        <f>D16</f>
        <v/>
      </c>
      <c r="E87">
        <f>$D$31*D87*$D$30</f>
        <v/>
      </c>
      <c r="F87">
        <f>E87*0.5</f>
        <v/>
      </c>
      <c r="G87">
        <f>(E87-F87)*$D$33</f>
        <v/>
      </c>
      <c r="I87">
        <f>IF(C87&gt;0,G87/C87*100,0)</f>
        <v/>
      </c>
      <c r="J87">
        <f>J16</f>
        <v/>
      </c>
      <c r="K87">
        <f>J87+I87</f>
        <v/>
      </c>
    </row>
    <row r="88">
      <c r="B88" t="n">
        <v>2033</v>
      </c>
      <c r="C88">
        <f>C17</f>
        <v/>
      </c>
      <c r="D88" s="36">
        <f>D17</f>
        <v/>
      </c>
      <c r="E88">
        <f>$D$31*D88*$D$30</f>
        <v/>
      </c>
      <c r="F88">
        <f>E88*0.5</f>
        <v/>
      </c>
      <c r="G88">
        <f>(E88-F88)*$D$33</f>
        <v/>
      </c>
      <c r="I88">
        <f>IF(C88&gt;0,G88/C88*100,0)</f>
        <v/>
      </c>
      <c r="J88">
        <f>J17</f>
        <v/>
      </c>
      <c r="K88">
        <f>J88+I88</f>
        <v/>
      </c>
    </row>
    <row r="89">
      <c r="B89" t="n">
        <v>2034</v>
      </c>
      <c r="C89">
        <f>C18</f>
        <v/>
      </c>
      <c r="D89" s="36">
        <f>D18</f>
        <v/>
      </c>
      <c r="E89">
        <f>$D$31*D89*$D$30</f>
        <v/>
      </c>
      <c r="F89">
        <f>E89*0.5</f>
        <v/>
      </c>
      <c r="G89">
        <f>(E89-F89)*$D$33</f>
        <v/>
      </c>
      <c r="I89">
        <f>IF(C89&gt;0,G89/C89*100,0)</f>
        <v/>
      </c>
      <c r="J89">
        <f>J18</f>
        <v/>
      </c>
      <c r="K89">
        <f>J89+I89</f>
        <v/>
      </c>
    </row>
    <row r="90">
      <c r="B90" t="n">
        <v>2035</v>
      </c>
      <c r="C90">
        <f>C19</f>
        <v/>
      </c>
      <c r="D90" s="36">
        <f>D19</f>
        <v/>
      </c>
      <c r="E90">
        <f>$D$31*D90*$D$30</f>
        <v/>
      </c>
      <c r="F90">
        <f>E90*0.5</f>
        <v/>
      </c>
      <c r="G90">
        <f>(E90-F90)*$D$33</f>
        <v/>
      </c>
      <c r="I90">
        <f>IF(C90&gt;0,G90/C90*100,0)</f>
        <v/>
      </c>
      <c r="J90">
        <f>J19</f>
        <v/>
      </c>
      <c r="K90">
        <f>J90+I90</f>
        <v/>
      </c>
    </row>
    <row r="91">
      <c r="B91" t="n">
        <v>2036</v>
      </c>
      <c r="C91">
        <f>C20</f>
        <v/>
      </c>
      <c r="D91" s="36">
        <f>D20</f>
        <v/>
      </c>
      <c r="E91">
        <f>$D$31*D91*$D$30</f>
        <v/>
      </c>
      <c r="F91">
        <f>E91*0.5</f>
        <v/>
      </c>
      <c r="G91">
        <f>(E91-F91)*$D$33</f>
        <v/>
      </c>
      <c r="I91">
        <f>IF(C91&gt;0,G91/C91*100,0)</f>
        <v/>
      </c>
      <c r="J91">
        <f>J20</f>
        <v/>
      </c>
      <c r="K91">
        <f>J91+I91</f>
        <v/>
      </c>
    </row>
    <row r="92">
      <c r="B92" t="n">
        <v>2037</v>
      </c>
      <c r="C92">
        <f>C21</f>
        <v/>
      </c>
      <c r="D92" s="36">
        <f>D21</f>
        <v/>
      </c>
      <c r="E92">
        <f>$D$31*D92*$D$30</f>
        <v/>
      </c>
      <c r="F92">
        <f>E92*0.5</f>
        <v/>
      </c>
      <c r="G92">
        <f>(E92-F92)*$D$33</f>
        <v/>
      </c>
      <c r="I92">
        <f>IF(C92&gt;0,G92/C92*100,0)</f>
        <v/>
      </c>
      <c r="J92">
        <f>J21</f>
        <v/>
      </c>
      <c r="K92">
        <f>J92+I92</f>
        <v/>
      </c>
    </row>
    <row r="93">
      <c r="B93" t="n">
        <v>2038</v>
      </c>
      <c r="C93">
        <f>C22</f>
        <v/>
      </c>
      <c r="D93" s="36">
        <f>D22</f>
        <v/>
      </c>
      <c r="E93">
        <f>$D$31*D93*$D$30</f>
        <v/>
      </c>
      <c r="F93">
        <f>E93*0.5</f>
        <v/>
      </c>
      <c r="G93">
        <f>(E93-F93)*$D$33</f>
        <v/>
      </c>
      <c r="I93">
        <f>IF(C93&gt;0,G93/C93*100,0)</f>
        <v/>
      </c>
      <c r="J93">
        <f>J22</f>
        <v/>
      </c>
      <c r="K93">
        <f>J93+I93</f>
        <v/>
      </c>
    </row>
    <row r="94">
      <c r="B94" t="n">
        <v>2039</v>
      </c>
      <c r="C94">
        <f>C23</f>
        <v/>
      </c>
      <c r="D94" s="36">
        <f>D23</f>
        <v/>
      </c>
      <c r="E94">
        <f>$D$31*D94*$D$30</f>
        <v/>
      </c>
      <c r="F94">
        <f>E94*0.5</f>
        <v/>
      </c>
      <c r="G94">
        <f>(E94-F94)*$D$33</f>
        <v/>
      </c>
      <c r="I94">
        <f>IF(C94&gt;0,G94/C94*100,0)</f>
        <v/>
      </c>
      <c r="J94">
        <f>J23</f>
        <v/>
      </c>
      <c r="K94">
        <f>J94+I94</f>
        <v/>
      </c>
    </row>
    <row r="95">
      <c r="B95" t="n">
        <v>2040</v>
      </c>
      <c r="C95">
        <f>C24</f>
        <v/>
      </c>
      <c r="D95" s="36">
        <f>D24</f>
        <v/>
      </c>
      <c r="E95">
        <f>$D$31*D95*$D$30</f>
        <v/>
      </c>
      <c r="F95">
        <f>E95*0.5</f>
        <v/>
      </c>
      <c r="G95">
        <f>(E95-F95)*$D$33</f>
        <v/>
      </c>
      <c r="I95">
        <f>IF(C95&gt;0,G95/C95*100,0)</f>
        <v/>
      </c>
      <c r="J95">
        <f>J24</f>
        <v/>
      </c>
      <c r="K95">
        <f>J95+I95</f>
        <v/>
      </c>
    </row>
    <row r="96">
      <c r="B96" t="n">
        <v>2041</v>
      </c>
      <c r="C96">
        <f>C25</f>
        <v/>
      </c>
      <c r="D96" s="36">
        <f>D25</f>
        <v/>
      </c>
      <c r="E96">
        <f>$D$31*D96*$D$30</f>
        <v/>
      </c>
      <c r="F96">
        <f>E96*0.5</f>
        <v/>
      </c>
      <c r="G96">
        <f>(E96-F96)*$D$33</f>
        <v/>
      </c>
      <c r="I96">
        <f>IF(C96&gt;0,G96/C96*100,0)</f>
        <v/>
      </c>
      <c r="J96">
        <f>J25</f>
        <v/>
      </c>
      <c r="K96">
        <f>J96+I96</f>
        <v/>
      </c>
    </row>
    <row r="97">
      <c r="B97" t="n">
        <v>2042</v>
      </c>
      <c r="C97">
        <f>C26</f>
        <v/>
      </c>
      <c r="D97" s="36">
        <f>D26</f>
        <v/>
      </c>
      <c r="E97">
        <f>$D$31*D97*$D$30</f>
        <v/>
      </c>
      <c r="F97">
        <f>E97*0.5</f>
        <v/>
      </c>
      <c r="G97">
        <f>(E97-F97)*$D$33</f>
        <v/>
      </c>
      <c r="I97">
        <f>IF(C97&gt;0,G97/C97*100,0)</f>
        <v/>
      </c>
      <c r="J97">
        <f>J26</f>
        <v/>
      </c>
      <c r="K97">
        <f>J97+I97</f>
        <v/>
      </c>
    </row>
    <row r="99">
      <c r="C99" s="31" t="inlineStr">
        <is>
          <t>Assumptions</t>
        </is>
      </c>
    </row>
    <row r="100">
      <c r="C100" t="inlineStr">
        <is>
          <t>total investment</t>
        </is>
      </c>
      <c r="D100">
        <f>$D$31</f>
        <v/>
      </c>
    </row>
    <row r="101">
      <c r="C101" t="inlineStr">
        <is>
          <t>import content share</t>
        </is>
      </c>
      <c r="D101" s="31" t="n">
        <v>0.5</v>
      </c>
    </row>
    <row r="102">
      <c r="C102" t="inlineStr">
        <is>
          <t>demand multiplier</t>
        </is>
      </c>
      <c r="D102">
        <f>$D$33</f>
        <v/>
      </c>
    </row>
    <row r="103">
      <c r="C103" t="inlineStr">
        <is>
          <t>Project allocation</t>
        </is>
      </c>
      <c r="D103" s="31" t="inlineStr">
        <is>
          <t>Bell-shaped</t>
        </is>
      </c>
    </row>
    <row r="104">
      <c r="C104" t="inlineStr">
        <is>
          <t>demand multiplier</t>
        </is>
      </c>
      <c r="D104">
        <f>$D$32</f>
        <v/>
      </c>
    </row>
    <row r="105">
      <c r="C105" t="inlineStr">
        <is>
          <t>Project allocation</t>
        </is>
      </c>
      <c r="D105" t="inlineStr">
        <is>
          <t>Bell-shaped</t>
        </is>
      </c>
    </row>
  </sheetData>
  <mergeCells count="1">
    <mergeCell ref="G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8"/>
  <sheetViews>
    <sheetView workbookViewId="0">
      <selection activeCell="A1" sqref="A1"/>
    </sheetView>
  </sheetViews>
  <sheetFormatPr baseColWidth="8" defaultRowHeight="15"/>
  <sheetData>
    <row r="1">
      <c r="A1" s="31" t="inlineStr">
        <is>
          <t>Products / Industries</t>
        </is>
      </c>
      <c r="B1" s="31" t="inlineStr">
        <is>
          <t>Agriculture</t>
        </is>
      </c>
      <c r="C1" s="31" t="inlineStr">
        <is>
          <t>Mining</t>
        </is>
      </c>
      <c r="D1" s="31" t="inlineStr">
        <is>
          <t>Manufacturing</t>
        </is>
      </c>
      <c r="E1" s="31" t="inlineStr">
        <is>
          <t>Electricity</t>
        </is>
      </c>
      <c r="F1" s="31" t="inlineStr">
        <is>
          <t>Water supply</t>
        </is>
      </c>
      <c r="G1" s="31" t="inlineStr">
        <is>
          <t>Construction</t>
        </is>
      </c>
      <c r="H1" s="31" t="inlineStr">
        <is>
          <t>Trade</t>
        </is>
      </c>
      <c r="I1" s="31" t="inlineStr">
        <is>
          <t>Transport</t>
        </is>
      </c>
      <c r="J1" s="31" t="inlineStr">
        <is>
          <t>Accommodation</t>
        </is>
      </c>
      <c r="K1" s="31" t="inlineStr">
        <is>
          <t>Information</t>
        </is>
      </c>
      <c r="L1" s="31" t="inlineStr">
        <is>
          <t>Finance</t>
        </is>
      </c>
      <c r="M1" s="31" t="inlineStr">
        <is>
          <t>Real estate</t>
        </is>
      </c>
      <c r="N1" s="31" t="inlineStr">
        <is>
          <t>Professional services</t>
        </is>
      </c>
      <c r="O1" s="31" t="inlineStr">
        <is>
          <t>Administrative</t>
        </is>
      </c>
      <c r="P1" s="31" t="inlineStr">
        <is>
          <t>Public admin</t>
        </is>
      </c>
      <c r="Q1" s="31" t="inlineStr">
        <is>
          <t>Education</t>
        </is>
      </c>
      <c r="R1" s="31" t="inlineStr">
        <is>
          <t>Health</t>
        </is>
      </c>
      <c r="S1" s="31" t="inlineStr">
        <is>
          <t>Arts</t>
        </is>
      </c>
      <c r="T1" s="31" t="inlineStr">
        <is>
          <t>Other services</t>
        </is>
      </c>
      <c r="U1" s="31" t="inlineStr">
        <is>
          <t>Domestic services</t>
        </is>
      </c>
      <c r="V1" s="31" t="inlineStr">
        <is>
          <t>Industry_21</t>
        </is>
      </c>
      <c r="W1" s="31" t="inlineStr">
        <is>
          <t>Industry_22</t>
        </is>
      </c>
      <c r="X1" s="31" t="inlineStr">
        <is>
          <t>Industry_23</t>
        </is>
      </c>
      <c r="Y1" s="31" t="inlineStr">
        <is>
          <t>Industry_24</t>
        </is>
      </c>
      <c r="Z1" s="31" t="inlineStr">
        <is>
          <t>Industry_25</t>
        </is>
      </c>
      <c r="AA1" s="31" t="inlineStr">
        <is>
          <t>Industry_26</t>
        </is>
      </c>
      <c r="AB1" s="31" t="inlineStr">
        <is>
          <t>Industry_27</t>
        </is>
      </c>
      <c r="AC1" s="31" t="inlineStr">
        <is>
          <t>Industry_28</t>
        </is>
      </c>
      <c r="AD1" s="31" t="inlineStr">
        <is>
          <t>Industry_29</t>
        </is>
      </c>
      <c r="AE1" s="31" t="inlineStr">
        <is>
          <t>Industry_30</t>
        </is>
      </c>
      <c r="AF1" s="31" t="inlineStr">
        <is>
          <t>Industry_31</t>
        </is>
      </c>
      <c r="AG1" s="31" t="inlineStr">
        <is>
          <t>Industry_32</t>
        </is>
      </c>
      <c r="AH1" s="31" t="inlineStr">
        <is>
          <t>Industry_33</t>
        </is>
      </c>
      <c r="AI1" s="31" t="inlineStr">
        <is>
          <t>Industry_34</t>
        </is>
      </c>
      <c r="AJ1" s="31" t="inlineStr">
        <is>
          <t>Total Supply</t>
        </is>
      </c>
      <c r="AK1" s="31" t="inlineStr">
        <is>
          <t>Imports</t>
        </is>
      </c>
      <c r="AL1" s="31" t="inlineStr">
        <is>
          <t>Total Resources</t>
        </is>
      </c>
    </row>
    <row r="2">
      <c r="A2" s="31" t="inlineStr">
        <is>
          <t>Agriculture</t>
        </is>
      </c>
      <c r="B2" t="n">
        <v>3500</v>
      </c>
      <c r="AJ2">
        <f>SUM(B2:AI2)</f>
        <v/>
      </c>
      <c r="AK2" t="n">
        <v>800</v>
      </c>
      <c r="AL2">
        <f>AJ2+AK2</f>
        <v/>
      </c>
    </row>
    <row r="3">
      <c r="A3" s="31" t="inlineStr">
        <is>
          <t>Mining</t>
        </is>
      </c>
      <c r="C3" t="n">
        <v>1200</v>
      </c>
      <c r="AJ3">
        <f>SUM(B3:AI3)</f>
        <v/>
      </c>
      <c r="AK3" t="n">
        <v>8500</v>
      </c>
      <c r="AL3">
        <f>AJ3+AK3</f>
        <v/>
      </c>
    </row>
    <row r="4">
      <c r="A4" s="31" t="inlineStr">
        <is>
          <t>Manufacturing</t>
        </is>
      </c>
      <c r="AJ4">
        <f>SUM(B4:AI4)</f>
        <v/>
      </c>
      <c r="AK4" t="n">
        <v>2500</v>
      </c>
      <c r="AL4">
        <f>AJ4+AK4</f>
        <v/>
      </c>
    </row>
    <row r="5">
      <c r="A5" s="31" t="inlineStr">
        <is>
          <t>Electricity</t>
        </is>
      </c>
      <c r="AJ5">
        <f>SUM(B5:AI5)</f>
        <v/>
      </c>
      <c r="AL5">
        <f>AJ5+AK5</f>
        <v/>
      </c>
    </row>
    <row r="6">
      <c r="A6" s="31" t="inlineStr">
        <is>
          <t>Water supply</t>
        </is>
      </c>
      <c r="F6" t="n">
        <v>8500</v>
      </c>
      <c r="AJ6">
        <f>SUM(B6:AI6)</f>
        <v/>
      </c>
      <c r="AK6" t="n">
        <v>1200</v>
      </c>
      <c r="AL6">
        <f>AJ6+AK6</f>
        <v/>
      </c>
    </row>
    <row r="7">
      <c r="A7" s="31" t="inlineStr">
        <is>
          <t>Construction</t>
        </is>
      </c>
      <c r="G7" t="n">
        <v>15000</v>
      </c>
      <c r="AJ7">
        <f>SUM(B7:AI7)</f>
        <v/>
      </c>
      <c r="AL7">
        <f>AJ7+AK7</f>
        <v/>
      </c>
    </row>
    <row r="8">
      <c r="A8" s="31" t="inlineStr">
        <is>
          <t>Trade</t>
        </is>
      </c>
      <c r="H8" t="n">
        <v>6500</v>
      </c>
      <c r="AJ8">
        <f>SUM(B8:AI8)</f>
        <v/>
      </c>
      <c r="AK8" t="n">
        <v>1500</v>
      </c>
      <c r="AL8">
        <f>AJ8+AK8</f>
        <v/>
      </c>
    </row>
    <row r="9">
      <c r="A9" s="31" t="inlineStr">
        <is>
          <t>Transport</t>
        </is>
      </c>
      <c r="AJ9">
        <f>SUM(B9:AI9)</f>
        <v/>
      </c>
      <c r="AL9">
        <f>AJ9+AK9</f>
        <v/>
      </c>
    </row>
    <row r="10">
      <c r="A10" s="31" t="inlineStr">
        <is>
          <t>Accommodation</t>
        </is>
      </c>
      <c r="AJ10">
        <f>SUM(B10:AI10)</f>
        <v/>
      </c>
      <c r="AL10">
        <f>AJ10+AK10</f>
        <v/>
      </c>
    </row>
    <row r="11">
      <c r="A11" s="31" t="inlineStr">
        <is>
          <t>Information</t>
        </is>
      </c>
      <c r="AJ11">
        <f>SUM(B11:AI11)</f>
        <v/>
      </c>
      <c r="AL11">
        <f>AJ11+AK11</f>
        <v/>
      </c>
    </row>
    <row r="12">
      <c r="A12" s="31" t="inlineStr">
        <is>
          <t>Finance</t>
        </is>
      </c>
      <c r="AJ12">
        <f>SUM(B12:AI12)</f>
        <v/>
      </c>
      <c r="AL12">
        <f>AJ12+AK12</f>
        <v/>
      </c>
    </row>
    <row r="13">
      <c r="A13" s="31" t="inlineStr">
        <is>
          <t>Real estate</t>
        </is>
      </c>
      <c r="AJ13">
        <f>SUM(B13:AI13)</f>
        <v/>
      </c>
      <c r="AL13">
        <f>AJ13+AK13</f>
        <v/>
      </c>
    </row>
    <row r="14">
      <c r="A14" s="31" t="inlineStr">
        <is>
          <t>Professional services</t>
        </is>
      </c>
      <c r="AJ14">
        <f>SUM(B14:AI14)</f>
        <v/>
      </c>
      <c r="AL14">
        <f>AJ14+AK14</f>
        <v/>
      </c>
    </row>
    <row r="15">
      <c r="A15" s="31" t="inlineStr">
        <is>
          <t>Administrative</t>
        </is>
      </c>
      <c r="AJ15">
        <f>SUM(B15:AI15)</f>
        <v/>
      </c>
      <c r="AL15">
        <f>AJ15+AK15</f>
        <v/>
      </c>
    </row>
    <row r="16">
      <c r="A16" s="31" t="inlineStr">
        <is>
          <t>Public admin</t>
        </is>
      </c>
      <c r="AJ16">
        <f>SUM(B16:AI16)</f>
        <v/>
      </c>
      <c r="AL16">
        <f>AJ16+AK16</f>
        <v/>
      </c>
    </row>
    <row r="17">
      <c r="A17" s="31" t="inlineStr">
        <is>
          <t>Education</t>
        </is>
      </c>
      <c r="AJ17">
        <f>SUM(B17:AI17)</f>
        <v/>
      </c>
      <c r="AL17">
        <f>AJ17+AK17</f>
        <v/>
      </c>
    </row>
    <row r="18">
      <c r="A18" s="31" t="inlineStr">
        <is>
          <t>Health</t>
        </is>
      </c>
      <c r="AJ18">
        <f>SUM(B18:AI18)</f>
        <v/>
      </c>
      <c r="AL18">
        <f>AJ18+AK18</f>
        <v/>
      </c>
    </row>
    <row r="19">
      <c r="A19" s="31" t="inlineStr">
        <is>
          <t>Arts</t>
        </is>
      </c>
      <c r="AJ19">
        <f>SUM(B19:AI19)</f>
        <v/>
      </c>
      <c r="AL19">
        <f>AJ19+AK19</f>
        <v/>
      </c>
    </row>
    <row r="20">
      <c r="A20" s="31" t="inlineStr">
        <is>
          <t>Other services</t>
        </is>
      </c>
      <c r="AJ20">
        <f>SUM(B20:AI20)</f>
        <v/>
      </c>
      <c r="AL20">
        <f>AJ20+AK20</f>
        <v/>
      </c>
    </row>
    <row r="21">
      <c r="A21" s="31" t="inlineStr">
        <is>
          <t>Domestic services</t>
        </is>
      </c>
      <c r="AJ21">
        <f>SUM(B21:AI21)</f>
        <v/>
      </c>
      <c r="AL21">
        <f>AJ21+AK21</f>
        <v/>
      </c>
    </row>
    <row r="22">
      <c r="A22" s="31" t="inlineStr">
        <is>
          <t>Industry_21</t>
        </is>
      </c>
      <c r="AJ22">
        <f>SUM(B22:AI22)</f>
        <v/>
      </c>
      <c r="AL22">
        <f>AJ22+AK22</f>
        <v/>
      </c>
    </row>
    <row r="23">
      <c r="A23" s="31" t="inlineStr">
        <is>
          <t>Industry_22</t>
        </is>
      </c>
      <c r="AJ23">
        <f>SUM(B23:AI23)</f>
        <v/>
      </c>
      <c r="AL23">
        <f>AJ23+AK23</f>
        <v/>
      </c>
    </row>
    <row r="24">
      <c r="A24" s="31" t="inlineStr">
        <is>
          <t>Industry_23</t>
        </is>
      </c>
      <c r="AJ24">
        <f>SUM(B24:AI24)</f>
        <v/>
      </c>
      <c r="AL24">
        <f>AJ24+AK24</f>
        <v/>
      </c>
    </row>
    <row r="25">
      <c r="A25" s="31" t="inlineStr">
        <is>
          <t>Industry_24</t>
        </is>
      </c>
      <c r="AJ25">
        <f>SUM(B25:AI25)</f>
        <v/>
      </c>
      <c r="AL25">
        <f>AJ25+AK25</f>
        <v/>
      </c>
    </row>
    <row r="26">
      <c r="A26" s="31" t="inlineStr">
        <is>
          <t>Industry_25</t>
        </is>
      </c>
      <c r="AJ26">
        <f>SUM(B26:AI26)</f>
        <v/>
      </c>
      <c r="AL26">
        <f>AJ26+AK26</f>
        <v/>
      </c>
    </row>
    <row r="27">
      <c r="A27" s="31" t="inlineStr">
        <is>
          <t>Industry_26</t>
        </is>
      </c>
      <c r="AJ27">
        <f>SUM(B27:AI27)</f>
        <v/>
      </c>
      <c r="AL27">
        <f>AJ27+AK27</f>
        <v/>
      </c>
    </row>
    <row r="28">
      <c r="A28" s="31" t="inlineStr">
        <is>
          <t>Industry_27</t>
        </is>
      </c>
      <c r="AJ28">
        <f>SUM(B28:AI28)</f>
        <v/>
      </c>
      <c r="AL28">
        <f>AJ28+AK28</f>
        <v/>
      </c>
    </row>
    <row r="29">
      <c r="A29" s="31" t="inlineStr">
        <is>
          <t>Industry_28</t>
        </is>
      </c>
      <c r="AJ29">
        <f>SUM(B29:AI29)</f>
        <v/>
      </c>
      <c r="AL29">
        <f>AJ29+AK29</f>
        <v/>
      </c>
    </row>
    <row r="30">
      <c r="A30" s="31" t="inlineStr">
        <is>
          <t>Industry_29</t>
        </is>
      </c>
      <c r="AJ30">
        <f>SUM(B30:AI30)</f>
        <v/>
      </c>
      <c r="AL30">
        <f>AJ30+AK30</f>
        <v/>
      </c>
    </row>
    <row r="31">
      <c r="A31" s="31" t="inlineStr">
        <is>
          <t>Industry_30</t>
        </is>
      </c>
      <c r="AJ31">
        <f>SUM(B31:AI31)</f>
        <v/>
      </c>
      <c r="AL31">
        <f>AJ31+AK31</f>
        <v/>
      </c>
    </row>
    <row r="32">
      <c r="A32" s="31" t="inlineStr">
        <is>
          <t>Industry_31</t>
        </is>
      </c>
      <c r="AJ32">
        <f>SUM(B32:AI32)</f>
        <v/>
      </c>
      <c r="AL32">
        <f>AJ32+AK32</f>
        <v/>
      </c>
    </row>
    <row r="33">
      <c r="A33" s="31" t="inlineStr">
        <is>
          <t>Industry_32</t>
        </is>
      </c>
      <c r="AJ33">
        <f>SUM(B33:AI33)</f>
        <v/>
      </c>
      <c r="AL33">
        <f>AJ33+AK33</f>
        <v/>
      </c>
    </row>
    <row r="34">
      <c r="A34" s="31" t="inlineStr">
        <is>
          <t>Industry_33</t>
        </is>
      </c>
      <c r="AJ34">
        <f>SUM(B34:AI34)</f>
        <v/>
      </c>
      <c r="AL34">
        <f>AJ34+AK34</f>
        <v/>
      </c>
    </row>
    <row r="35">
      <c r="A35" s="31" t="inlineStr">
        <is>
          <t>Industry_34</t>
        </is>
      </c>
      <c r="AJ35">
        <f>SUM(B35:AI35)</f>
        <v/>
      </c>
      <c r="AL35">
        <f>AJ35+AK35</f>
        <v/>
      </c>
    </row>
    <row r="36">
      <c r="A36" s="31" t="inlineStr">
        <is>
          <t>Taxes on products</t>
        </is>
      </c>
    </row>
    <row r="37">
      <c r="A37" s="31" t="inlineStr">
        <is>
          <t>Total at purchasers prices</t>
        </is>
      </c>
    </row>
    <row r="38">
      <c r="A38" s="31" t="inlineStr">
        <is>
          <t>Total intermediate consumption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38"/>
  <sheetViews>
    <sheetView workbookViewId="0">
      <selection activeCell="A1" sqref="A1"/>
    </sheetView>
  </sheetViews>
  <sheetFormatPr baseColWidth="8" defaultRowHeight="15"/>
  <sheetData>
    <row r="1">
      <c r="A1" s="31" t="inlineStr">
        <is>
          <t>Products / Industries</t>
        </is>
      </c>
      <c r="B1" s="31" t="inlineStr">
        <is>
          <t>Agriculture</t>
        </is>
      </c>
      <c r="C1" s="31" t="inlineStr">
        <is>
          <t>Mining</t>
        </is>
      </c>
      <c r="D1" s="31" t="inlineStr">
        <is>
          <t>Manufacturing</t>
        </is>
      </c>
      <c r="E1" s="31" t="inlineStr">
        <is>
          <t>Electricity</t>
        </is>
      </c>
      <c r="F1" s="31" t="inlineStr">
        <is>
          <t>Water supply</t>
        </is>
      </c>
      <c r="G1" s="31" t="inlineStr">
        <is>
          <t>Construction</t>
        </is>
      </c>
      <c r="H1" s="31" t="inlineStr">
        <is>
          <t>Trade</t>
        </is>
      </c>
      <c r="I1" s="31" t="inlineStr">
        <is>
          <t>Transport</t>
        </is>
      </c>
      <c r="J1" s="31" t="inlineStr">
        <is>
          <t>Accommodation</t>
        </is>
      </c>
      <c r="K1" s="31" t="inlineStr">
        <is>
          <t>Information</t>
        </is>
      </c>
      <c r="L1" s="31" t="inlineStr">
        <is>
          <t>Finance</t>
        </is>
      </c>
      <c r="M1" s="31" t="inlineStr">
        <is>
          <t>Real estate</t>
        </is>
      </c>
      <c r="N1" s="31" t="inlineStr">
        <is>
          <t>Professional services</t>
        </is>
      </c>
      <c r="O1" s="31" t="inlineStr">
        <is>
          <t>Administrative</t>
        </is>
      </c>
      <c r="P1" s="31" t="inlineStr">
        <is>
          <t>Public admin</t>
        </is>
      </c>
      <c r="Q1" s="31" t="inlineStr">
        <is>
          <t>Education</t>
        </is>
      </c>
      <c r="R1" s="31" t="inlineStr">
        <is>
          <t>Health</t>
        </is>
      </c>
      <c r="S1" s="31" t="inlineStr">
        <is>
          <t>Arts</t>
        </is>
      </c>
      <c r="T1" s="31" t="inlineStr">
        <is>
          <t>Other services</t>
        </is>
      </c>
      <c r="U1" s="31" t="inlineStr">
        <is>
          <t>Domestic services</t>
        </is>
      </c>
      <c r="V1" s="31" t="inlineStr">
        <is>
          <t>Industry_21</t>
        </is>
      </c>
      <c r="W1" s="31" t="inlineStr">
        <is>
          <t>Industry_22</t>
        </is>
      </c>
      <c r="X1" s="31" t="inlineStr">
        <is>
          <t>Industry_23</t>
        </is>
      </c>
      <c r="Y1" s="31" t="inlineStr">
        <is>
          <t>Industry_24</t>
        </is>
      </c>
      <c r="Z1" s="31" t="inlineStr">
        <is>
          <t>Industry_25</t>
        </is>
      </c>
      <c r="AA1" s="31" t="inlineStr">
        <is>
          <t>Industry_26</t>
        </is>
      </c>
      <c r="AB1" s="31" t="inlineStr">
        <is>
          <t>Industry_27</t>
        </is>
      </c>
      <c r="AC1" s="31" t="inlineStr">
        <is>
          <t>Industry_28</t>
        </is>
      </c>
      <c r="AD1" s="31" t="inlineStr">
        <is>
          <t>Industry_29</t>
        </is>
      </c>
      <c r="AE1" s="31" t="inlineStr">
        <is>
          <t>Industry_30</t>
        </is>
      </c>
      <c r="AF1" s="31" t="inlineStr">
        <is>
          <t>Industry_31</t>
        </is>
      </c>
      <c r="AG1" s="31" t="inlineStr">
        <is>
          <t>Industry_32</t>
        </is>
      </c>
      <c r="AH1" s="31" t="inlineStr">
        <is>
          <t>Industry_33</t>
        </is>
      </c>
      <c r="AI1" s="31" t="inlineStr">
        <is>
          <t>Industry_34</t>
        </is>
      </c>
      <c r="AJ1" s="31" t="inlineStr">
        <is>
          <t>Total Intermediate</t>
        </is>
      </c>
      <c r="AK1" s="31" t="inlineStr">
        <is>
          <t>Final Consumption</t>
        </is>
      </c>
      <c r="AL1" s="31" t="inlineStr">
        <is>
          <t>Gross Fixed Capital Formation</t>
        </is>
      </c>
      <c r="AM1" s="31" t="inlineStr">
        <is>
          <t>Exports</t>
        </is>
      </c>
      <c r="AN1" s="31" t="inlineStr">
        <is>
          <t>Total Use</t>
        </is>
      </c>
    </row>
    <row r="2">
      <c r="A2" s="31" t="inlineStr">
        <is>
          <t>Agriculture</t>
        </is>
      </c>
      <c r="C2" t="n">
        <v>2500</v>
      </c>
      <c r="AJ2">
        <f>SUM(B2:AI2)</f>
        <v/>
      </c>
      <c r="AK2" t="n">
        <v>8500</v>
      </c>
      <c r="AM2" t="n">
        <v>2500</v>
      </c>
      <c r="AN2">
        <f>AJ2+AK2+AL2+AM2</f>
        <v/>
      </c>
    </row>
    <row r="3">
      <c r="A3" s="31" t="inlineStr">
        <is>
          <t>Mining</t>
        </is>
      </c>
      <c r="F3" t="n">
        <v>800</v>
      </c>
      <c r="G3" t="n">
        <v>4500</v>
      </c>
      <c r="AJ3">
        <f>SUM(B3:AI3)</f>
        <v/>
      </c>
      <c r="AK3" t="n">
        <v>15000</v>
      </c>
      <c r="AL3" t="n">
        <v>5200</v>
      </c>
      <c r="AM3" t="n">
        <v>4200</v>
      </c>
      <c r="AN3">
        <f>AJ3+AK3+AL3+AM3</f>
        <v/>
      </c>
    </row>
    <row r="4">
      <c r="A4" s="31" t="inlineStr">
        <is>
          <t>Manufacturing</t>
        </is>
      </c>
      <c r="F4" t="n">
        <v>450</v>
      </c>
      <c r="AJ4">
        <f>SUM(B4:AI4)</f>
        <v/>
      </c>
      <c r="AN4">
        <f>AJ4+AK4+AL4+AM4</f>
        <v/>
      </c>
    </row>
    <row r="5">
      <c r="A5" s="31" t="inlineStr">
        <is>
          <t>Electricity</t>
        </is>
      </c>
      <c r="AJ5">
        <f>SUM(B5:AI5)</f>
        <v/>
      </c>
      <c r="AN5">
        <f>AJ5+AK5+AL5+AM5</f>
        <v/>
      </c>
    </row>
    <row r="6">
      <c r="A6" s="31" t="inlineStr">
        <is>
          <t>Water supply</t>
        </is>
      </c>
      <c r="AJ6">
        <f>SUM(B6:AI6)</f>
        <v/>
      </c>
      <c r="AL6" t="n">
        <v>12500</v>
      </c>
      <c r="AN6">
        <f>AJ6+AK6+AL6+AM6</f>
        <v/>
      </c>
    </row>
    <row r="7">
      <c r="A7" s="31" t="inlineStr">
        <is>
          <t>Construction</t>
        </is>
      </c>
      <c r="B7" t="n">
        <v>800</v>
      </c>
      <c r="AJ7">
        <f>SUM(B7:AI7)</f>
        <v/>
      </c>
      <c r="AK7" t="n">
        <v>18000</v>
      </c>
      <c r="AM7" t="n">
        <v>3500</v>
      </c>
      <c r="AN7">
        <f>AJ7+AK7+AL7+AM7</f>
        <v/>
      </c>
    </row>
    <row r="8">
      <c r="A8" s="31" t="inlineStr">
        <is>
          <t>Trade</t>
        </is>
      </c>
      <c r="F8" t="n">
        <v>650</v>
      </c>
      <c r="AJ8">
        <f>SUM(B8:AI8)</f>
        <v/>
      </c>
      <c r="AL8" t="n">
        <v>2800</v>
      </c>
      <c r="AN8">
        <f>AJ8+AK8+AL8+AM8</f>
        <v/>
      </c>
    </row>
    <row r="9">
      <c r="A9" s="31" t="inlineStr">
        <is>
          <t>Transport</t>
        </is>
      </c>
      <c r="AJ9">
        <f>SUM(B9:AI9)</f>
        <v/>
      </c>
      <c r="AN9">
        <f>AJ9+AK9+AL9+AM9</f>
        <v/>
      </c>
    </row>
    <row r="10">
      <c r="A10" s="31" t="inlineStr">
        <is>
          <t>Accommodation</t>
        </is>
      </c>
      <c r="AJ10">
        <f>SUM(B10:AI10)</f>
        <v/>
      </c>
      <c r="AL10" t="n">
        <v>1500</v>
      </c>
      <c r="AN10">
        <f>AJ10+AK10+AL10+AM10</f>
        <v/>
      </c>
    </row>
    <row r="11">
      <c r="A11" s="31" t="inlineStr">
        <is>
          <t>Information</t>
        </is>
      </c>
      <c r="AJ11">
        <f>SUM(B11:AI11)</f>
        <v/>
      </c>
      <c r="AN11">
        <f>AJ11+AK11+AL11+AM11</f>
        <v/>
      </c>
    </row>
    <row r="12">
      <c r="A12" s="31" t="inlineStr">
        <is>
          <t>Finance</t>
        </is>
      </c>
      <c r="AJ12">
        <f>SUM(B12:AI12)</f>
        <v/>
      </c>
      <c r="AL12" t="n">
        <v>1200</v>
      </c>
      <c r="AN12">
        <f>AJ12+AK12+AL12+AM12</f>
        <v/>
      </c>
    </row>
    <row r="13">
      <c r="A13" s="31" t="inlineStr">
        <is>
          <t>Real estate</t>
        </is>
      </c>
      <c r="F13" t="n">
        <v>320</v>
      </c>
      <c r="AJ13">
        <f>SUM(B13:AI13)</f>
        <v/>
      </c>
      <c r="AN13">
        <f>AJ13+AK13+AL13+AM13</f>
        <v/>
      </c>
    </row>
    <row r="14">
      <c r="A14" s="31" t="inlineStr">
        <is>
          <t>Professional services</t>
        </is>
      </c>
      <c r="AJ14">
        <f>SUM(B14:AI14)</f>
        <v/>
      </c>
      <c r="AN14">
        <f>AJ14+AK14+AL14+AM14</f>
        <v/>
      </c>
    </row>
    <row r="15">
      <c r="A15" s="31" t="inlineStr">
        <is>
          <t>Administrative</t>
        </is>
      </c>
      <c r="AJ15">
        <f>SUM(B15:AI15)</f>
        <v/>
      </c>
      <c r="AN15">
        <f>AJ15+AK15+AL15+AM15</f>
        <v/>
      </c>
    </row>
    <row r="16">
      <c r="A16" s="31" t="inlineStr">
        <is>
          <t>Public admin</t>
        </is>
      </c>
      <c r="AJ16">
        <f>SUM(B16:AI16)</f>
        <v/>
      </c>
      <c r="AK16" t="n">
        <v>5800</v>
      </c>
      <c r="AN16">
        <f>AJ16+AK16+AL16+AM16</f>
        <v/>
      </c>
    </row>
    <row r="17">
      <c r="A17" s="31" t="inlineStr">
        <is>
          <t>Education</t>
        </is>
      </c>
      <c r="AJ17">
        <f>SUM(B17:AI17)</f>
        <v/>
      </c>
      <c r="AK17" t="n">
        <v>6500</v>
      </c>
      <c r="AN17">
        <f>AJ17+AK17+AL17+AM17</f>
        <v/>
      </c>
    </row>
    <row r="18">
      <c r="A18" s="31" t="inlineStr">
        <is>
          <t>Health</t>
        </is>
      </c>
      <c r="AJ18">
        <f>SUM(B18:AI18)</f>
        <v/>
      </c>
      <c r="AN18">
        <f>AJ18+AK18+AL18+AM18</f>
        <v/>
      </c>
    </row>
    <row r="19">
      <c r="A19" s="31" t="inlineStr">
        <is>
          <t>Arts</t>
        </is>
      </c>
      <c r="AJ19">
        <f>SUM(B19:AI19)</f>
        <v/>
      </c>
      <c r="AN19">
        <f>AJ19+AK19+AL19+AM19</f>
        <v/>
      </c>
    </row>
    <row r="20">
      <c r="A20" s="31" t="inlineStr">
        <is>
          <t>Other services</t>
        </is>
      </c>
      <c r="AJ20">
        <f>SUM(B20:AI20)</f>
        <v/>
      </c>
      <c r="AN20">
        <f>AJ20+AK20+AL20+AM20</f>
        <v/>
      </c>
    </row>
    <row r="21">
      <c r="A21" s="31" t="inlineStr">
        <is>
          <t>Domestic services</t>
        </is>
      </c>
      <c r="AJ21">
        <f>SUM(B21:AI21)</f>
        <v/>
      </c>
      <c r="AN21">
        <f>AJ21+AK21+AL21+AM21</f>
        <v/>
      </c>
    </row>
    <row r="22">
      <c r="A22" s="31" t="inlineStr">
        <is>
          <t>Industry_21</t>
        </is>
      </c>
      <c r="AJ22">
        <f>SUM(B22:AI22)</f>
        <v/>
      </c>
      <c r="AN22">
        <f>AJ22+AK22+AL22+AM22</f>
        <v/>
      </c>
    </row>
    <row r="23">
      <c r="A23" s="31" t="inlineStr">
        <is>
          <t>Industry_22</t>
        </is>
      </c>
      <c r="AJ23">
        <f>SUM(B23:AI23)</f>
        <v/>
      </c>
      <c r="AN23">
        <f>AJ23+AK23+AL23+AM23</f>
        <v/>
      </c>
    </row>
    <row r="24">
      <c r="A24" s="31" t="inlineStr">
        <is>
          <t>Industry_23</t>
        </is>
      </c>
      <c r="AJ24">
        <f>SUM(B24:AI24)</f>
        <v/>
      </c>
      <c r="AN24">
        <f>AJ24+AK24+AL24+AM24</f>
        <v/>
      </c>
    </row>
    <row r="25">
      <c r="A25" s="31" t="inlineStr">
        <is>
          <t>Industry_24</t>
        </is>
      </c>
      <c r="AJ25">
        <f>SUM(B25:AI25)</f>
        <v/>
      </c>
      <c r="AN25">
        <f>AJ25+AK25+AL25+AM25</f>
        <v/>
      </c>
    </row>
    <row r="26">
      <c r="A26" s="31" t="inlineStr">
        <is>
          <t>Industry_25</t>
        </is>
      </c>
      <c r="AJ26">
        <f>SUM(B26:AI26)</f>
        <v/>
      </c>
      <c r="AN26">
        <f>AJ26+AK26+AL26+AM26</f>
        <v/>
      </c>
    </row>
    <row r="27">
      <c r="A27" s="31" t="inlineStr">
        <is>
          <t>Industry_26</t>
        </is>
      </c>
      <c r="AJ27">
        <f>SUM(B27:AI27)</f>
        <v/>
      </c>
      <c r="AN27">
        <f>AJ27+AK27+AL27+AM27</f>
        <v/>
      </c>
    </row>
    <row r="28">
      <c r="A28" s="31" t="inlineStr">
        <is>
          <t>Industry_27</t>
        </is>
      </c>
      <c r="AJ28">
        <f>SUM(B28:AI28)</f>
        <v/>
      </c>
      <c r="AN28">
        <f>AJ28+AK28+AL28+AM28</f>
        <v/>
      </c>
    </row>
    <row r="29">
      <c r="A29" s="31" t="inlineStr">
        <is>
          <t>Industry_28</t>
        </is>
      </c>
      <c r="AJ29">
        <f>SUM(B29:AI29)</f>
        <v/>
      </c>
      <c r="AN29">
        <f>AJ29+AK29+AL29+AM29</f>
        <v/>
      </c>
    </row>
    <row r="30">
      <c r="A30" s="31" t="inlineStr">
        <is>
          <t>Industry_29</t>
        </is>
      </c>
      <c r="AJ30">
        <f>SUM(B30:AI30)</f>
        <v/>
      </c>
      <c r="AN30">
        <f>AJ30+AK30+AL30+AM30</f>
        <v/>
      </c>
    </row>
    <row r="31">
      <c r="A31" s="31" t="inlineStr">
        <is>
          <t>Industry_30</t>
        </is>
      </c>
      <c r="AJ31">
        <f>SUM(B31:AI31)</f>
        <v/>
      </c>
      <c r="AN31">
        <f>AJ31+AK31+AL31+AM31</f>
        <v/>
      </c>
    </row>
    <row r="32">
      <c r="A32" s="31" t="inlineStr">
        <is>
          <t>Industry_31</t>
        </is>
      </c>
      <c r="AJ32">
        <f>SUM(B32:AI32)</f>
        <v/>
      </c>
      <c r="AN32">
        <f>AJ32+AK32+AL32+AM32</f>
        <v/>
      </c>
    </row>
    <row r="33">
      <c r="A33" s="31" t="inlineStr">
        <is>
          <t>Industry_32</t>
        </is>
      </c>
      <c r="AJ33">
        <f>SUM(B33:AI33)</f>
        <v/>
      </c>
      <c r="AN33">
        <f>AJ33+AK33+AL33+AM33</f>
        <v/>
      </c>
    </row>
    <row r="34">
      <c r="A34" s="31" t="inlineStr">
        <is>
          <t>Industry_33</t>
        </is>
      </c>
      <c r="AJ34">
        <f>SUM(B34:AI34)</f>
        <v/>
      </c>
      <c r="AN34">
        <f>AJ34+AK34+AL34+AM34</f>
        <v/>
      </c>
    </row>
    <row r="35">
      <c r="A35" s="31" t="inlineStr">
        <is>
          <t>Industry_34</t>
        </is>
      </c>
      <c r="AJ35">
        <f>SUM(B35:AI35)</f>
        <v/>
      </c>
      <c r="AN35">
        <f>AJ35+AK35+AL35+AM35</f>
        <v/>
      </c>
    </row>
    <row r="36">
      <c r="A36" s="31" t="inlineStr">
        <is>
          <t>Taxes on products</t>
        </is>
      </c>
    </row>
    <row r="37">
      <c r="A37" s="31" t="inlineStr">
        <is>
          <t>Total at purchasers prices</t>
        </is>
      </c>
    </row>
    <row r="38">
      <c r="A38" s="31" t="inlineStr">
        <is>
          <t>Value added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Import Content Calculation for Investment</t>
        </is>
      </c>
    </row>
    <row r="3">
      <c r="A3" s="31" t="inlineStr">
        <is>
          <t>Product</t>
        </is>
      </c>
      <c r="B3" s="31" t="inlineStr">
        <is>
          <t>Code</t>
        </is>
      </c>
      <c r="C3" s="31" t="inlineStr">
        <is>
          <t>Total Resources</t>
        </is>
      </c>
      <c r="D3" s="31" t="inlineStr">
        <is>
          <t>Imports</t>
        </is>
      </c>
      <c r="E3" s="31" t="inlineStr">
        <is>
          <t>GFCF (Investment)</t>
        </is>
      </c>
      <c r="F3" s="31" t="inlineStr">
        <is>
          <t>Import Share (%)</t>
        </is>
      </c>
      <c r="G3" s="31" t="inlineStr">
        <is>
          <t>Investment Share (%)</t>
        </is>
      </c>
      <c r="H3" s="31" t="inlineStr">
        <is>
          <t>Weighted Import Content</t>
        </is>
      </c>
    </row>
    <row r="4">
      <c r="A4" t="inlineStr">
        <is>
          <t>Agriculture</t>
        </is>
      </c>
      <c r="B4" t="n">
        <v>1</v>
      </c>
      <c r="C4">
        <f>SUPPLY!AL2</f>
        <v/>
      </c>
      <c r="D4">
        <f>SUPPLY!AK2</f>
        <v/>
      </c>
      <c r="E4">
        <f>USE!AL2</f>
        <v/>
      </c>
      <c r="F4">
        <f>IF(C4&gt;0,D4/C4,0)</f>
        <v/>
      </c>
      <c r="G4">
        <f>IF($E$44&gt;0,E4/$E$44,0)</f>
        <v/>
      </c>
      <c r="H4">
        <f>F4*G4</f>
        <v/>
      </c>
    </row>
    <row r="5">
      <c r="A5" t="inlineStr">
        <is>
          <t>Mining</t>
        </is>
      </c>
      <c r="B5" t="n">
        <v>2</v>
      </c>
      <c r="C5">
        <f>SUPPLY!AL3</f>
        <v/>
      </c>
      <c r="D5">
        <f>SUPPLY!AK3</f>
        <v/>
      </c>
      <c r="E5">
        <f>USE!AL3</f>
        <v/>
      </c>
      <c r="F5">
        <f>IF(C5&gt;0,D5/C5,0)</f>
        <v/>
      </c>
      <c r="G5">
        <f>IF($E$44&gt;0,E5/$E$44,0)</f>
        <v/>
      </c>
      <c r="H5">
        <f>F5*G5</f>
        <v/>
      </c>
    </row>
    <row r="6">
      <c r="A6" t="inlineStr">
        <is>
          <t>Manufacturing</t>
        </is>
      </c>
      <c r="B6" t="n">
        <v>3</v>
      </c>
      <c r="C6">
        <f>SUPPLY!AL4</f>
        <v/>
      </c>
      <c r="D6">
        <f>SUPPLY!AK4</f>
        <v/>
      </c>
      <c r="E6">
        <f>USE!AL4</f>
        <v/>
      </c>
      <c r="F6">
        <f>IF(C6&gt;0,D6/C6,0)</f>
        <v/>
      </c>
      <c r="G6">
        <f>IF($E$44&gt;0,E6/$E$44,0)</f>
        <v/>
      </c>
      <c r="H6">
        <f>F6*G6</f>
        <v/>
      </c>
    </row>
    <row r="7">
      <c r="A7" t="inlineStr">
        <is>
          <t>Electricity</t>
        </is>
      </c>
      <c r="B7" t="n">
        <v>4</v>
      </c>
      <c r="C7">
        <f>SUPPLY!AL5</f>
        <v/>
      </c>
      <c r="D7">
        <f>SUPPLY!AK5</f>
        <v/>
      </c>
      <c r="E7">
        <f>USE!AL5</f>
        <v/>
      </c>
      <c r="F7">
        <f>IF(C7&gt;0,D7/C7,0)</f>
        <v/>
      </c>
      <c r="G7">
        <f>IF($E$44&gt;0,E7/$E$44,0)</f>
        <v/>
      </c>
      <c r="H7">
        <f>F7*G7</f>
        <v/>
      </c>
    </row>
    <row r="8">
      <c r="A8" t="inlineStr">
        <is>
          <t>Water supply</t>
        </is>
      </c>
      <c r="B8" t="n">
        <v>5</v>
      </c>
      <c r="C8">
        <f>SUPPLY!AL6</f>
        <v/>
      </c>
      <c r="D8">
        <f>SUPPLY!AK6</f>
        <v/>
      </c>
      <c r="E8">
        <f>USE!AL6</f>
        <v/>
      </c>
      <c r="F8">
        <f>IF(C8&gt;0,D8/C8,0)</f>
        <v/>
      </c>
      <c r="G8">
        <f>IF($E$44&gt;0,E8/$E$44,0)</f>
        <v/>
      </c>
      <c r="H8">
        <f>F8*G8</f>
        <v/>
      </c>
    </row>
    <row r="9">
      <c r="A9" t="inlineStr">
        <is>
          <t>Construction</t>
        </is>
      </c>
      <c r="B9" t="n">
        <v>6</v>
      </c>
      <c r="C9">
        <f>SUPPLY!AL7</f>
        <v/>
      </c>
      <c r="D9">
        <f>SUPPLY!AK7</f>
        <v/>
      </c>
      <c r="E9">
        <f>USE!AL7</f>
        <v/>
      </c>
      <c r="F9">
        <f>IF(C9&gt;0,D9/C9,0)</f>
        <v/>
      </c>
      <c r="G9">
        <f>IF($E$44&gt;0,E9/$E$44,0)</f>
        <v/>
      </c>
      <c r="H9">
        <f>F9*G9</f>
        <v/>
      </c>
    </row>
    <row r="10">
      <c r="A10" t="inlineStr">
        <is>
          <t>Trade</t>
        </is>
      </c>
      <c r="B10" t="n">
        <v>7</v>
      </c>
      <c r="C10">
        <f>SUPPLY!AL8</f>
        <v/>
      </c>
      <c r="D10">
        <f>SUPPLY!AK8</f>
        <v/>
      </c>
      <c r="E10">
        <f>USE!AL8</f>
        <v/>
      </c>
      <c r="F10">
        <f>IF(C10&gt;0,D10/C10,0)</f>
        <v/>
      </c>
      <c r="G10">
        <f>IF($E$44&gt;0,E10/$E$44,0)</f>
        <v/>
      </c>
      <c r="H10">
        <f>F10*G10</f>
        <v/>
      </c>
    </row>
    <row r="11">
      <c r="A11" t="inlineStr">
        <is>
          <t>Transport</t>
        </is>
      </c>
      <c r="B11" t="n">
        <v>8</v>
      </c>
      <c r="C11">
        <f>SUPPLY!AL9</f>
        <v/>
      </c>
      <c r="D11">
        <f>SUPPLY!AK9</f>
        <v/>
      </c>
      <c r="E11">
        <f>USE!AL9</f>
        <v/>
      </c>
      <c r="F11">
        <f>IF(C11&gt;0,D11/C11,0)</f>
        <v/>
      </c>
      <c r="G11">
        <f>IF($E$44&gt;0,E11/$E$44,0)</f>
        <v/>
      </c>
      <c r="H11">
        <f>F11*G11</f>
        <v/>
      </c>
    </row>
    <row r="12">
      <c r="A12" t="inlineStr">
        <is>
          <t>Accommodation</t>
        </is>
      </c>
      <c r="B12" t="n">
        <v>9</v>
      </c>
      <c r="C12">
        <f>SUPPLY!AL10</f>
        <v/>
      </c>
      <c r="D12">
        <f>SUPPLY!AK10</f>
        <v/>
      </c>
      <c r="E12">
        <f>USE!AL10</f>
        <v/>
      </c>
      <c r="F12">
        <f>IF(C12&gt;0,D12/C12,0)</f>
        <v/>
      </c>
      <c r="G12">
        <f>IF($E$44&gt;0,E12/$E$44,0)</f>
        <v/>
      </c>
      <c r="H12">
        <f>F12*G12</f>
        <v/>
      </c>
    </row>
    <row r="13">
      <c r="A13" t="inlineStr">
        <is>
          <t>Information</t>
        </is>
      </c>
      <c r="B13" t="n">
        <v>10</v>
      </c>
      <c r="C13">
        <f>SUPPLY!AL11</f>
        <v/>
      </c>
      <c r="D13">
        <f>SUPPLY!AK11</f>
        <v/>
      </c>
      <c r="E13">
        <f>USE!AL11</f>
        <v/>
      </c>
      <c r="F13">
        <f>IF(C13&gt;0,D13/C13,0)</f>
        <v/>
      </c>
      <c r="G13">
        <f>IF($E$44&gt;0,E13/$E$44,0)</f>
        <v/>
      </c>
      <c r="H13">
        <f>F13*G13</f>
        <v/>
      </c>
    </row>
    <row r="14">
      <c r="A14" t="inlineStr">
        <is>
          <t>Finance</t>
        </is>
      </c>
      <c r="B14" t="n">
        <v>11</v>
      </c>
      <c r="C14">
        <f>SUPPLY!AL12</f>
        <v/>
      </c>
      <c r="D14">
        <f>SUPPLY!AK12</f>
        <v/>
      </c>
      <c r="E14">
        <f>USE!AL12</f>
        <v/>
      </c>
      <c r="F14">
        <f>IF(C14&gt;0,D14/C14,0)</f>
        <v/>
      </c>
      <c r="G14">
        <f>IF($E$44&gt;0,E14/$E$44,0)</f>
        <v/>
      </c>
      <c r="H14">
        <f>F14*G14</f>
        <v/>
      </c>
    </row>
    <row r="15">
      <c r="A15" t="inlineStr">
        <is>
          <t>Real estate</t>
        </is>
      </c>
      <c r="B15" t="n">
        <v>12</v>
      </c>
      <c r="C15">
        <f>SUPPLY!AL13</f>
        <v/>
      </c>
      <c r="D15">
        <f>SUPPLY!AK13</f>
        <v/>
      </c>
      <c r="E15">
        <f>USE!AL13</f>
        <v/>
      </c>
      <c r="F15">
        <f>IF(C15&gt;0,D15/C15,0)</f>
        <v/>
      </c>
      <c r="G15">
        <f>IF($E$44&gt;0,E15/$E$44,0)</f>
        <v/>
      </c>
      <c r="H15">
        <f>F15*G15</f>
        <v/>
      </c>
    </row>
    <row r="16">
      <c r="A16" t="inlineStr">
        <is>
          <t>Professional services</t>
        </is>
      </c>
      <c r="B16" t="n">
        <v>13</v>
      </c>
      <c r="C16">
        <f>SUPPLY!AL14</f>
        <v/>
      </c>
      <c r="D16">
        <f>SUPPLY!AK14</f>
        <v/>
      </c>
      <c r="E16">
        <f>USE!AL14</f>
        <v/>
      </c>
      <c r="F16">
        <f>IF(C16&gt;0,D16/C16,0)</f>
        <v/>
      </c>
      <c r="G16">
        <f>IF($E$44&gt;0,E16/$E$44,0)</f>
        <v/>
      </c>
      <c r="H16">
        <f>F16*G16</f>
        <v/>
      </c>
    </row>
    <row r="17">
      <c r="A17" t="inlineStr">
        <is>
          <t>Administrative</t>
        </is>
      </c>
      <c r="B17" t="n">
        <v>14</v>
      </c>
      <c r="C17">
        <f>SUPPLY!AL15</f>
        <v/>
      </c>
      <c r="D17">
        <f>SUPPLY!AK15</f>
        <v/>
      </c>
      <c r="E17">
        <f>USE!AL15</f>
        <v/>
      </c>
      <c r="F17">
        <f>IF(C17&gt;0,D17/C17,0)</f>
        <v/>
      </c>
      <c r="G17">
        <f>IF($E$44&gt;0,E17/$E$44,0)</f>
        <v/>
      </c>
      <c r="H17">
        <f>F17*G17</f>
        <v/>
      </c>
    </row>
    <row r="18">
      <c r="A18" t="inlineStr">
        <is>
          <t>Public admin</t>
        </is>
      </c>
      <c r="B18" t="n">
        <v>15</v>
      </c>
      <c r="C18">
        <f>SUPPLY!AL16</f>
        <v/>
      </c>
      <c r="D18">
        <f>SUPPLY!AK16</f>
        <v/>
      </c>
      <c r="E18">
        <f>USE!AL16</f>
        <v/>
      </c>
      <c r="F18">
        <f>IF(C18&gt;0,D18/C18,0)</f>
        <v/>
      </c>
      <c r="G18">
        <f>IF($E$44&gt;0,E18/$E$44,0)</f>
        <v/>
      </c>
      <c r="H18">
        <f>F18*G18</f>
        <v/>
      </c>
    </row>
    <row r="19">
      <c r="A19" t="inlineStr">
        <is>
          <t>Education</t>
        </is>
      </c>
      <c r="B19" t="n">
        <v>16</v>
      </c>
      <c r="C19">
        <f>SUPPLY!AL17</f>
        <v/>
      </c>
      <c r="D19">
        <f>SUPPLY!AK17</f>
        <v/>
      </c>
      <c r="E19">
        <f>USE!AL17</f>
        <v/>
      </c>
      <c r="F19">
        <f>IF(C19&gt;0,D19/C19,0)</f>
        <v/>
      </c>
      <c r="G19">
        <f>IF($E$44&gt;0,E19/$E$44,0)</f>
        <v/>
      </c>
      <c r="H19">
        <f>F19*G19</f>
        <v/>
      </c>
    </row>
    <row r="20">
      <c r="A20" t="inlineStr">
        <is>
          <t>Health</t>
        </is>
      </c>
      <c r="B20" t="n">
        <v>17</v>
      </c>
      <c r="C20">
        <f>SUPPLY!AL18</f>
        <v/>
      </c>
      <c r="D20">
        <f>SUPPLY!AK18</f>
        <v/>
      </c>
      <c r="E20">
        <f>USE!AL18</f>
        <v/>
      </c>
      <c r="F20">
        <f>IF(C20&gt;0,D20/C20,0)</f>
        <v/>
      </c>
      <c r="G20">
        <f>IF($E$44&gt;0,E20/$E$44,0)</f>
        <v/>
      </c>
      <c r="H20">
        <f>F20*G20</f>
        <v/>
      </c>
    </row>
    <row r="21">
      <c r="A21" t="inlineStr">
        <is>
          <t>Arts</t>
        </is>
      </c>
      <c r="B21" t="n">
        <v>18</v>
      </c>
      <c r="C21">
        <f>SUPPLY!AL19</f>
        <v/>
      </c>
      <c r="D21">
        <f>SUPPLY!AK19</f>
        <v/>
      </c>
      <c r="E21">
        <f>USE!AL19</f>
        <v/>
      </c>
      <c r="F21">
        <f>IF(C21&gt;0,D21/C21,0)</f>
        <v/>
      </c>
      <c r="G21">
        <f>IF($E$44&gt;0,E21/$E$44,0)</f>
        <v/>
      </c>
      <c r="H21">
        <f>F21*G21</f>
        <v/>
      </c>
    </row>
    <row r="22">
      <c r="A22" t="inlineStr">
        <is>
          <t>Other services</t>
        </is>
      </c>
      <c r="B22" t="n">
        <v>19</v>
      </c>
      <c r="C22">
        <f>SUPPLY!AL20</f>
        <v/>
      </c>
      <c r="D22">
        <f>SUPPLY!AK20</f>
        <v/>
      </c>
      <c r="E22">
        <f>USE!AL20</f>
        <v/>
      </c>
      <c r="F22">
        <f>IF(C22&gt;0,D22/C22,0)</f>
        <v/>
      </c>
      <c r="G22">
        <f>IF($E$44&gt;0,E22/$E$44,0)</f>
        <v/>
      </c>
      <c r="H22">
        <f>F22*G22</f>
        <v/>
      </c>
    </row>
    <row r="23">
      <c r="A23" t="inlineStr">
        <is>
          <t>Domestic services</t>
        </is>
      </c>
      <c r="B23" t="n">
        <v>20</v>
      </c>
      <c r="C23">
        <f>SUPPLY!AL21</f>
        <v/>
      </c>
      <c r="D23">
        <f>SUPPLY!AK21</f>
        <v/>
      </c>
      <c r="E23">
        <f>USE!AL21</f>
        <v/>
      </c>
      <c r="F23">
        <f>IF(C23&gt;0,D23/C23,0)</f>
        <v/>
      </c>
      <c r="G23">
        <f>IF($E$44&gt;0,E23/$E$44,0)</f>
        <v/>
      </c>
      <c r="H23">
        <f>F23*G23</f>
        <v/>
      </c>
    </row>
    <row r="24">
      <c r="A24" t="inlineStr">
        <is>
          <t>Product_21</t>
        </is>
      </c>
      <c r="B24" t="n">
        <v>21</v>
      </c>
      <c r="C24">
        <f>SUPPLY!AL22</f>
        <v/>
      </c>
      <c r="D24">
        <f>SUPPLY!AK22</f>
        <v/>
      </c>
      <c r="E24">
        <f>USE!AL22</f>
        <v/>
      </c>
      <c r="F24">
        <f>IF(C24&gt;0,D24/C24,0)</f>
        <v/>
      </c>
      <c r="G24">
        <f>IF($E$44&gt;0,E24/$E$44,0)</f>
        <v/>
      </c>
      <c r="H24">
        <f>F24*G24</f>
        <v/>
      </c>
    </row>
    <row r="25">
      <c r="A25" t="inlineStr">
        <is>
          <t>Product_22</t>
        </is>
      </c>
      <c r="B25" t="n">
        <v>22</v>
      </c>
      <c r="C25">
        <f>SUPPLY!AL23</f>
        <v/>
      </c>
      <c r="D25">
        <f>SUPPLY!AK23</f>
        <v/>
      </c>
      <c r="E25">
        <f>USE!AL23</f>
        <v/>
      </c>
      <c r="F25">
        <f>IF(C25&gt;0,D25/C25,0)</f>
        <v/>
      </c>
      <c r="G25">
        <f>IF($E$44&gt;0,E25/$E$44,0)</f>
        <v/>
      </c>
      <c r="H25">
        <f>F25*G25</f>
        <v/>
      </c>
    </row>
    <row r="26">
      <c r="A26" t="inlineStr">
        <is>
          <t>Product_23</t>
        </is>
      </c>
      <c r="B26" t="n">
        <v>23</v>
      </c>
      <c r="C26">
        <f>SUPPLY!AL24</f>
        <v/>
      </c>
      <c r="D26">
        <f>SUPPLY!AK24</f>
        <v/>
      </c>
      <c r="E26">
        <f>USE!AL24</f>
        <v/>
      </c>
      <c r="F26">
        <f>IF(C26&gt;0,D26/C26,0)</f>
        <v/>
      </c>
      <c r="G26">
        <f>IF($E$44&gt;0,E26/$E$44,0)</f>
        <v/>
      </c>
      <c r="H26">
        <f>F26*G26</f>
        <v/>
      </c>
    </row>
    <row r="27">
      <c r="A27" t="inlineStr">
        <is>
          <t>Product_24</t>
        </is>
      </c>
      <c r="B27" t="n">
        <v>24</v>
      </c>
      <c r="C27">
        <f>SUPPLY!AL25</f>
        <v/>
      </c>
      <c r="D27">
        <f>SUPPLY!AK25</f>
        <v/>
      </c>
      <c r="E27">
        <f>USE!AL25</f>
        <v/>
      </c>
      <c r="F27">
        <f>IF(C27&gt;0,D27/C27,0)</f>
        <v/>
      </c>
      <c r="G27">
        <f>IF($E$44&gt;0,E27/$E$44,0)</f>
        <v/>
      </c>
      <c r="H27">
        <f>F27*G27</f>
        <v/>
      </c>
    </row>
    <row r="28">
      <c r="A28" t="inlineStr">
        <is>
          <t>Product_25</t>
        </is>
      </c>
      <c r="B28" t="n">
        <v>25</v>
      </c>
      <c r="C28">
        <f>SUPPLY!AL26</f>
        <v/>
      </c>
      <c r="D28">
        <f>SUPPLY!AK26</f>
        <v/>
      </c>
      <c r="E28">
        <f>USE!AL26</f>
        <v/>
      </c>
      <c r="F28">
        <f>IF(C28&gt;0,D28/C28,0)</f>
        <v/>
      </c>
      <c r="G28">
        <f>IF($E$44&gt;0,E28/$E$44,0)</f>
        <v/>
      </c>
      <c r="H28">
        <f>F28*G28</f>
        <v/>
      </c>
    </row>
    <row r="29">
      <c r="A29" t="inlineStr">
        <is>
          <t>Product_26</t>
        </is>
      </c>
      <c r="B29" t="n">
        <v>26</v>
      </c>
      <c r="C29">
        <f>SUPPLY!AL27</f>
        <v/>
      </c>
      <c r="D29">
        <f>SUPPLY!AK27</f>
        <v/>
      </c>
      <c r="E29">
        <f>USE!AL27</f>
        <v/>
      </c>
      <c r="F29">
        <f>IF(C29&gt;0,D29/C29,0)</f>
        <v/>
      </c>
      <c r="G29">
        <f>IF($E$44&gt;0,E29/$E$44,0)</f>
        <v/>
      </c>
      <c r="H29">
        <f>F29*G29</f>
        <v/>
      </c>
    </row>
    <row r="30">
      <c r="A30" t="inlineStr">
        <is>
          <t>Product_27</t>
        </is>
      </c>
      <c r="B30" t="n">
        <v>27</v>
      </c>
      <c r="C30">
        <f>SUPPLY!AL28</f>
        <v/>
      </c>
      <c r="D30">
        <f>SUPPLY!AK28</f>
        <v/>
      </c>
      <c r="E30">
        <f>USE!AL28</f>
        <v/>
      </c>
      <c r="F30">
        <f>IF(C30&gt;0,D30/C30,0)</f>
        <v/>
      </c>
      <c r="G30">
        <f>IF($E$44&gt;0,E30/$E$44,0)</f>
        <v/>
      </c>
      <c r="H30">
        <f>F30*G30</f>
        <v/>
      </c>
    </row>
    <row r="31">
      <c r="A31" t="inlineStr">
        <is>
          <t>Product_28</t>
        </is>
      </c>
      <c r="B31" t="n">
        <v>28</v>
      </c>
      <c r="C31">
        <f>SUPPLY!AL29</f>
        <v/>
      </c>
      <c r="D31">
        <f>SUPPLY!AK29</f>
        <v/>
      </c>
      <c r="E31">
        <f>USE!AL29</f>
        <v/>
      </c>
      <c r="F31">
        <f>IF(C31&gt;0,D31/C31,0)</f>
        <v/>
      </c>
      <c r="G31">
        <f>IF($E$44&gt;0,E31/$E$44,0)</f>
        <v/>
      </c>
      <c r="H31">
        <f>F31*G31</f>
        <v/>
      </c>
    </row>
    <row r="32">
      <c r="A32" t="inlineStr">
        <is>
          <t>Product_29</t>
        </is>
      </c>
      <c r="B32" t="n">
        <v>29</v>
      </c>
      <c r="C32">
        <f>SUPPLY!AL30</f>
        <v/>
      </c>
      <c r="D32">
        <f>SUPPLY!AK30</f>
        <v/>
      </c>
      <c r="E32">
        <f>USE!AL30</f>
        <v/>
      </c>
      <c r="F32">
        <f>IF(C32&gt;0,D32/C32,0)</f>
        <v/>
      </c>
      <c r="G32">
        <f>IF($E$44&gt;0,E32/$E$44,0)</f>
        <v/>
      </c>
      <c r="H32">
        <f>F32*G32</f>
        <v/>
      </c>
    </row>
    <row r="33">
      <c r="A33" t="inlineStr">
        <is>
          <t>Product_30</t>
        </is>
      </c>
      <c r="B33" t="n">
        <v>30</v>
      </c>
      <c r="C33">
        <f>SUPPLY!AL31</f>
        <v/>
      </c>
      <c r="D33">
        <f>SUPPLY!AK31</f>
        <v/>
      </c>
      <c r="E33">
        <f>USE!AL31</f>
        <v/>
      </c>
      <c r="F33">
        <f>IF(C33&gt;0,D33/C33,0)</f>
        <v/>
      </c>
      <c r="G33">
        <f>IF($E$44&gt;0,E33/$E$44,0)</f>
        <v/>
      </c>
      <c r="H33">
        <f>F33*G33</f>
        <v/>
      </c>
    </row>
    <row r="34">
      <c r="A34" t="inlineStr">
        <is>
          <t>Product_31</t>
        </is>
      </c>
      <c r="B34" t="n">
        <v>31</v>
      </c>
      <c r="C34">
        <f>SUPPLY!AL32</f>
        <v/>
      </c>
      <c r="D34">
        <f>SUPPLY!AK32</f>
        <v/>
      </c>
      <c r="E34">
        <f>USE!AL32</f>
        <v/>
      </c>
      <c r="F34">
        <f>IF(C34&gt;0,D34/C34,0)</f>
        <v/>
      </c>
      <c r="G34">
        <f>IF($E$44&gt;0,E34/$E$44,0)</f>
        <v/>
      </c>
      <c r="H34">
        <f>F34*G34</f>
        <v/>
      </c>
    </row>
    <row r="35">
      <c r="A35" t="inlineStr">
        <is>
          <t>Product_32</t>
        </is>
      </c>
      <c r="B35" t="n">
        <v>32</v>
      </c>
      <c r="C35">
        <f>SUPPLY!AL33</f>
        <v/>
      </c>
      <c r="D35">
        <f>SUPPLY!AK33</f>
        <v/>
      </c>
      <c r="E35">
        <f>USE!AL33</f>
        <v/>
      </c>
      <c r="F35">
        <f>IF(C35&gt;0,D35/C35,0)</f>
        <v/>
      </c>
      <c r="G35">
        <f>IF($E$44&gt;0,E35/$E$44,0)</f>
        <v/>
      </c>
      <c r="H35">
        <f>F35*G35</f>
        <v/>
      </c>
    </row>
    <row r="36">
      <c r="A36" t="inlineStr">
        <is>
          <t>Product_33</t>
        </is>
      </c>
      <c r="B36" t="n">
        <v>33</v>
      </c>
      <c r="C36">
        <f>SUPPLY!AL34</f>
        <v/>
      </c>
      <c r="D36">
        <f>SUPPLY!AK34</f>
        <v/>
      </c>
      <c r="E36">
        <f>USE!AL34</f>
        <v/>
      </c>
      <c r="F36">
        <f>IF(C36&gt;0,D36/C36,0)</f>
        <v/>
      </c>
      <c r="G36">
        <f>IF($E$44&gt;0,E36/$E$44,0)</f>
        <v/>
      </c>
      <c r="H36">
        <f>F36*G36</f>
        <v/>
      </c>
    </row>
    <row r="37">
      <c r="A37" t="inlineStr">
        <is>
          <t>Product_34</t>
        </is>
      </c>
      <c r="B37" t="n">
        <v>34</v>
      </c>
      <c r="C37">
        <f>SUPPLY!AL35</f>
        <v/>
      </c>
      <c r="D37">
        <f>SUPPLY!AK35</f>
        <v/>
      </c>
      <c r="E37">
        <f>USE!AL35</f>
        <v/>
      </c>
      <c r="F37">
        <f>IF(C37&gt;0,D37/C37,0)</f>
        <v/>
      </c>
      <c r="G37">
        <f>IF($E$44&gt;0,E37/$E$44,0)</f>
        <v/>
      </c>
      <c r="H37">
        <f>F37*G37</f>
        <v/>
      </c>
    </row>
    <row r="38">
      <c r="A38" s="31" t="inlineStr">
        <is>
          <t>TOTAL</t>
        </is>
      </c>
      <c r="C38">
        <f>SUM(C4:C37)</f>
        <v/>
      </c>
      <c r="D38">
        <f>SUM(D4:D37)</f>
        <v/>
      </c>
      <c r="E38">
        <f>SUM(E4:E37)</f>
        <v/>
      </c>
      <c r="H38">
        <f>SUM(H4:H37)</f>
        <v/>
      </c>
    </row>
    <row r="40">
      <c r="A40" s="34" t="inlineStr">
        <is>
          <t>Summary Statistics</t>
        </is>
      </c>
    </row>
    <row r="42">
      <c r="A42" t="inlineStr">
        <is>
          <t>Total Investment (GFCF):</t>
        </is>
      </c>
      <c r="B42">
        <f>E38</f>
        <v/>
      </c>
    </row>
    <row r="43">
      <c r="A43" t="inlineStr">
        <is>
          <t>Total Imports in Investment:</t>
        </is>
      </c>
      <c r="B43">
        <f>D38</f>
        <v/>
      </c>
    </row>
    <row r="44">
      <c r="A44" t="inlineStr">
        <is>
          <t>Total GFCF:</t>
        </is>
      </c>
      <c r="B44">
        <f>E38</f>
        <v/>
      </c>
      <c r="C44" t="inlineStr">
        <is>
          <t>(for reference)</t>
        </is>
      </c>
    </row>
    <row r="46">
      <c r="A46" s="31" t="inlineStr">
        <is>
          <t>Import Content Share for Investment:</t>
        </is>
      </c>
      <c r="B46" s="31">
        <f>H38</f>
        <v/>
      </c>
      <c r="C46" s="31">
        <f>H38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2026-01-15T21:01:40Z</dcterms:created>
  <dcterms:modified xsi:type="dcterms:W3CDTF">2026-01-29T07:38:11Z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2026-01-15T21:08:21Z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a7f43044-04cc-4a22-bdae-ed404f682e4f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