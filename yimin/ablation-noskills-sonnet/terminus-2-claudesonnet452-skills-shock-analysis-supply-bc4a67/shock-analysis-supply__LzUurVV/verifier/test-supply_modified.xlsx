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H5" t="inlineStr">
        <is>
          <t>LnZ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>
        <f>SUM(N6:N27)^2+100*SUMPRODUCT(M8:M27,M8:M27)</f>
        <v/>
      </c>
      <c r="P5" s="13">
        <f>SUMSQ(N6:N27)+100*SUMSQ(M8:M27)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  <c r="O6">
        <f>N6^2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N7" s="5">
        <f>K7-L7</f>
        <v/>
      </c>
      <c r="O7">
        <f>N7^2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  <c r="O8">
        <f>N8^2</f>
        <v/>
      </c>
      <c r="P8">
        <f>M8^2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  <c r="O9">
        <f>N9^2</f>
        <v/>
      </c>
      <c r="P9">
        <f>M9^2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  <c r="O10">
        <f>N10^2</f>
        <v/>
      </c>
      <c r="P10">
        <f>M10^2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  <c r="O11">
        <f>N11^2</f>
        <v/>
      </c>
      <c r="P11">
        <f>M11^2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  <c r="O12">
        <f>N12^2</f>
        <v/>
      </c>
      <c r="P12">
        <f>M12^2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  <c r="O13">
        <f>N13^2</f>
        <v/>
      </c>
      <c r="P13">
        <f>M13^2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  <c r="O14">
        <f>N14^2</f>
        <v/>
      </c>
      <c r="P14">
        <f>M14^2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  <c r="O15">
        <f>N15^2</f>
        <v/>
      </c>
      <c r="P15">
        <f>M15^2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  <c r="O16">
        <f>N16^2</f>
        <v/>
      </c>
      <c r="P16">
        <f>M16^2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  <c r="O17">
        <f>N17^2</f>
        <v/>
      </c>
      <c r="P17">
        <f>M17^2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  <c r="O18">
        <f>N18^2</f>
        <v/>
      </c>
      <c r="P18">
        <f>M18^2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  <c r="O19">
        <f>N19^2</f>
        <v/>
      </c>
      <c r="P19">
        <f>M19^2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  <c r="O20">
        <f>N20^2</f>
        <v/>
      </c>
      <c r="P20">
        <f>M20^2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  <c r="O21">
        <f>N21^2</f>
        <v/>
      </c>
      <c r="P21">
        <f>M21^2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  <c r="O22">
        <f>N22^2</f>
        <v/>
      </c>
      <c r="P22">
        <f>M22^2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  <c r="O23">
        <f>N23^2</f>
        <v/>
      </c>
      <c r="P23">
        <f>M23^2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  <c r="O24">
        <f>N24^2</f>
        <v/>
      </c>
      <c r="P24">
        <f>M24^2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  <c r="O25">
        <f>N25^2</f>
        <v/>
      </c>
      <c r="P25">
        <f>M25^2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  <c r="O26">
        <f>N26^2</f>
        <v/>
      </c>
      <c r="P26">
        <f>M26^2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  <c r="O27">
        <f>N27^2</f>
        <v/>
      </c>
      <c r="P27">
        <f>M27^2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EXP(G36+$B$2*LN(E36))</f>
        <v/>
      </c>
      <c r="I36" t="n">
        <v>0</v>
      </c>
      <c r="J36">
        <f>I36-$B$3*E36</f>
        <v/>
      </c>
      <c r="K36" s="19">
        <f>E36</f>
        <v/>
      </c>
      <c r="L36">
        <f>EXP(G36+$B$2*LN(K36))</f>
        <v/>
      </c>
      <c r="M36">
        <f>L36-H36</f>
        <v/>
      </c>
      <c r="N36">
        <f>L36</f>
        <v/>
      </c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EXP(G37+$B$2*LN(E37))</f>
        <v/>
      </c>
      <c r="I37" t="n">
        <v>0</v>
      </c>
      <c r="J37">
        <f>I37-$B$3*E37</f>
        <v/>
      </c>
      <c r="K37" s="19">
        <f>K36+J37</f>
        <v/>
      </c>
      <c r="L37">
        <f>EXP(G37+$B$2*LN(K37))</f>
        <v/>
      </c>
      <c r="M37">
        <f>L37-H37</f>
        <v/>
      </c>
      <c r="N37">
        <f>L37</f>
        <v/>
      </c>
      <c r="O37">
        <f>(N37/N36-1)*100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EXP(G38+$B$2*LN(E38))</f>
        <v/>
      </c>
      <c r="I38" t="n">
        <v>0</v>
      </c>
      <c r="J38">
        <f>I38-$B$3*E38</f>
        <v/>
      </c>
      <c r="K38" s="19">
        <f>K37+J38</f>
        <v/>
      </c>
      <c r="L38">
        <f>EXP(G38+$B$2*LN(K38))</f>
        <v/>
      </c>
      <c r="M38">
        <f>L38-H38</f>
        <v/>
      </c>
      <c r="N38">
        <f>L38</f>
        <v/>
      </c>
      <c r="O38">
        <f>(N38/N37-1)*100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EXP(G39+$B$2*LN(E39))</f>
        <v/>
      </c>
      <c r="I39" t="n">
        <v>0</v>
      </c>
      <c r="J39">
        <f>I39-$B$3*E39</f>
        <v/>
      </c>
      <c r="K39" s="19">
        <f>K38+J39</f>
        <v/>
      </c>
      <c r="L39">
        <f>EXP(G39+$B$2*LN(K39))</f>
        <v/>
      </c>
      <c r="M39">
        <f>L39-H39</f>
        <v/>
      </c>
      <c r="N39">
        <f>L39</f>
        <v/>
      </c>
      <c r="O39">
        <f>(N39/N38-1)*100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EXP(G40+$B$2*LN(E40))</f>
        <v/>
      </c>
      <c r="I40" t="n">
        <v>0</v>
      </c>
      <c r="J40">
        <f>I40-$B$3*E40</f>
        <v/>
      </c>
      <c r="K40" s="19">
        <f>K39+J40</f>
        <v/>
      </c>
      <c r="L40">
        <f>EXP(G40+$B$2*LN(K40))</f>
        <v/>
      </c>
      <c r="M40">
        <f>L40-H40</f>
        <v/>
      </c>
      <c r="N40">
        <f>L40</f>
        <v/>
      </c>
      <c r="O40">
        <f>(N40/N39-1)*100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EXP(G41+$B$2*LN(E41))</f>
        <v/>
      </c>
      <c r="I41" t="n">
        <v>0</v>
      </c>
      <c r="J41">
        <f>I41-$B$3*E41</f>
        <v/>
      </c>
      <c r="K41" s="19">
        <f>K40+J41</f>
        <v/>
      </c>
      <c r="L41">
        <f>EXP(G41+$B$2*LN(K41))</f>
        <v/>
      </c>
      <c r="M41">
        <f>L41-H41</f>
        <v/>
      </c>
      <c r="N41">
        <f>L41</f>
        <v/>
      </c>
      <c r="O41">
        <f>(N41/N40-1)*100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EXP(G42+$B$2*LN(E42))</f>
        <v/>
      </c>
      <c r="I42" t="n">
        <v>0</v>
      </c>
      <c r="J42">
        <f>I42-$B$3*E42</f>
        <v/>
      </c>
      <c r="K42" s="19">
        <f>K41+J42</f>
        <v/>
      </c>
      <c r="L42">
        <f>EXP(G42+$B$2*LN(K42))</f>
        <v/>
      </c>
      <c r="M42">
        <f>L42-H42</f>
        <v/>
      </c>
      <c r="N42">
        <f>L42</f>
        <v/>
      </c>
      <c r="O42">
        <f>(N42/N41-1)*100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EXP(G43+$B$2*LN(E43))</f>
        <v/>
      </c>
      <c r="I43" t="n">
        <v>0</v>
      </c>
      <c r="J43">
        <f>I43-$B$3*E43</f>
        <v/>
      </c>
      <c r="K43" s="19">
        <f>K42+J43</f>
        <v/>
      </c>
      <c r="L43">
        <f>EXP(G43+$B$2*LN(K43))</f>
        <v/>
      </c>
      <c r="M43">
        <f>L43-H43</f>
        <v/>
      </c>
      <c r="N43">
        <f>L43</f>
        <v/>
      </c>
      <c r="O43">
        <f>(N43/N42-1)*100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EXP(G44+$B$2*LN(E44))</f>
        <v/>
      </c>
      <c r="I44" t="n">
        <v>0</v>
      </c>
      <c r="J44">
        <f>I44-$B$3*E44</f>
        <v/>
      </c>
      <c r="K44" s="19">
        <f>K43+J44</f>
        <v/>
      </c>
      <c r="L44">
        <f>EXP(G44+$B$2*LN(K44))</f>
        <v/>
      </c>
      <c r="M44">
        <f>L44-H44</f>
        <v/>
      </c>
      <c r="N44">
        <f>L44</f>
        <v/>
      </c>
      <c r="O44">
        <f>(N44/N43-1)*100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EXP(G45+$B$2*LN(E45))</f>
        <v/>
      </c>
      <c r="I45" t="n">
        <v>0</v>
      </c>
      <c r="J45">
        <f>I45-$B$3*E45</f>
        <v/>
      </c>
      <c r="K45" s="19">
        <f>K44+J45</f>
        <v/>
      </c>
      <c r="L45">
        <f>EXP(G45+$B$2*LN(K45))</f>
        <v/>
      </c>
      <c r="M45">
        <f>L45-H45</f>
        <v/>
      </c>
      <c r="N45">
        <f>L45</f>
        <v/>
      </c>
      <c r="O45">
        <f>(N45/N44-1)*100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EXP(G46+$B$2*LN(E46))</f>
        <v/>
      </c>
      <c r="I46" t="n">
        <v>0</v>
      </c>
      <c r="J46">
        <f>I46-$B$3*E46</f>
        <v/>
      </c>
      <c r="K46" s="19">
        <f>K45+J46</f>
        <v/>
      </c>
      <c r="L46">
        <f>EXP(G46+$B$2*LN(K46))</f>
        <v/>
      </c>
      <c r="M46">
        <f>L46-H46</f>
        <v/>
      </c>
      <c r="N46">
        <f>L46</f>
        <v/>
      </c>
      <c r="O46">
        <f>(N46/N45-1)*100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EXP(G47+$B$2*LN(E47))</f>
        <v/>
      </c>
      <c r="I47" t="n">
        <v>0</v>
      </c>
      <c r="J47">
        <f>I47-$B$3*E47</f>
        <v/>
      </c>
      <c r="K47" s="19">
        <f>K46+J47</f>
        <v/>
      </c>
      <c r="L47">
        <f>EXP(G47+$B$2*LN(K47))</f>
        <v/>
      </c>
      <c r="M47">
        <f>L47-H47</f>
        <v/>
      </c>
      <c r="N47">
        <f>L47</f>
        <v/>
      </c>
      <c r="O47">
        <f>(N47/N46-1)*100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EXP(G48+$B$2*LN(E48))</f>
        <v/>
      </c>
      <c r="I48" t="n">
        <v>0</v>
      </c>
      <c r="J48">
        <f>I48-$B$3*E48</f>
        <v/>
      </c>
      <c r="K48" s="19">
        <f>K47+J48</f>
        <v/>
      </c>
      <c r="L48">
        <f>EXP(G48+$B$2*LN(K48))</f>
        <v/>
      </c>
      <c r="M48">
        <f>L48-H48</f>
        <v/>
      </c>
      <c r="N48">
        <f>L48</f>
        <v/>
      </c>
      <c r="O48">
        <f>(N48/N47-1)*100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EXP(G49+$B$2*LN(E49))</f>
        <v/>
      </c>
      <c r="I49" t="n">
        <v>0</v>
      </c>
      <c r="J49">
        <f>I49-$B$3*E49</f>
        <v/>
      </c>
      <c r="K49" s="19">
        <f>K48+J49</f>
        <v/>
      </c>
      <c r="L49">
        <f>EXP(G49+$B$2*LN(K49))</f>
        <v/>
      </c>
      <c r="M49">
        <f>L49-H49</f>
        <v/>
      </c>
      <c r="N49">
        <f>L49</f>
        <v/>
      </c>
      <c r="O49">
        <f>(N49/N48-1)*100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EXP(G50+$B$2*LN(E50))</f>
        <v/>
      </c>
      <c r="I50" t="n">
        <v>0</v>
      </c>
      <c r="J50">
        <f>I50-$B$3*E50</f>
        <v/>
      </c>
      <c r="K50" s="19">
        <f>K49+J50</f>
        <v/>
      </c>
      <c r="L50">
        <f>EXP(G50+$B$2*LN(K50))</f>
        <v/>
      </c>
      <c r="M50">
        <f>L50-H50</f>
        <v/>
      </c>
      <c r="N50">
        <f>L50</f>
        <v/>
      </c>
      <c r="O50">
        <f>(N50/N49-1)*100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EXP(G51+$B$2*LN(E51))</f>
        <v/>
      </c>
      <c r="I51" t="n">
        <v>0</v>
      </c>
      <c r="J51">
        <f>I51-$B$3*E51</f>
        <v/>
      </c>
      <c r="K51" s="19">
        <f>K50+J51</f>
        <v/>
      </c>
      <c r="L51">
        <f>EXP(G51+$B$2*LN(K51))</f>
        <v/>
      </c>
      <c r="M51">
        <f>L51-H51</f>
        <v/>
      </c>
      <c r="N51">
        <f>L51</f>
        <v/>
      </c>
      <c r="O51">
        <f>(N51/N50-1)*100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EXP(G52+$B$2*LN(E52))</f>
        <v/>
      </c>
      <c r="I52" t="n">
        <v>0</v>
      </c>
      <c r="J52">
        <f>I52-$B$3*E52</f>
        <v/>
      </c>
      <c r="K52" s="19">
        <f>K51+J52</f>
        <v/>
      </c>
      <c r="L52">
        <f>EXP(G52+$B$2*LN(K52))</f>
        <v/>
      </c>
      <c r="M52">
        <f>L52-H52</f>
        <v/>
      </c>
      <c r="N52">
        <f>L52</f>
        <v/>
      </c>
      <c r="O52">
        <f>(N52/N51-1)*100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EXP(G53+$B$2*LN(E53))</f>
        <v/>
      </c>
      <c r="I53" t="n">
        <v>0</v>
      </c>
      <c r="J53">
        <f>I53-$B$3*E53</f>
        <v/>
      </c>
      <c r="K53" s="19">
        <f>K52+J53</f>
        <v/>
      </c>
      <c r="L53">
        <f>EXP(G53+$B$2*LN(K53))</f>
        <v/>
      </c>
      <c r="M53">
        <f>L53-H53</f>
        <v/>
      </c>
      <c r="N53">
        <f>L53</f>
        <v/>
      </c>
      <c r="O53">
        <f>(N53/N52-1)*100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EXP(G54+$B$2*LN(E54))</f>
        <v/>
      </c>
      <c r="I54" t="n">
        <v>0</v>
      </c>
      <c r="J54">
        <f>I54-$B$3*E54</f>
        <v/>
      </c>
      <c r="K54" s="19">
        <f>K53+J54</f>
        <v/>
      </c>
      <c r="L54">
        <f>EXP(G54+$B$2*LN(K54))</f>
        <v/>
      </c>
      <c r="M54">
        <f>L54-H54</f>
        <v/>
      </c>
      <c r="N54">
        <f>L54</f>
        <v/>
      </c>
      <c r="O54">
        <f>(N54/N53-1)*100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EXP(G55+$B$2*LN(E55))</f>
        <v/>
      </c>
      <c r="I55" t="n">
        <v>0</v>
      </c>
      <c r="J55">
        <f>I55-$B$3*E55</f>
        <v/>
      </c>
      <c r="K55" s="19">
        <f>K54+J55</f>
        <v/>
      </c>
      <c r="L55">
        <f>EXP(G55+$B$2*LN(K55))</f>
        <v/>
      </c>
      <c r="M55">
        <f>L55-H55</f>
        <v/>
      </c>
      <c r="N55">
        <f>L55</f>
        <v/>
      </c>
      <c r="O55">
        <f>(N55/N54-1)*100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EXP(G56+$B$2*LN(E56))</f>
        <v/>
      </c>
      <c r="I56" t="n">
        <v>0</v>
      </c>
      <c r="J56">
        <f>I56-$B$3*E56</f>
        <v/>
      </c>
      <c r="K56" s="19">
        <f>K55+J56</f>
        <v/>
      </c>
      <c r="L56">
        <f>EXP(G56+$B$2*LN(K56))</f>
        <v/>
      </c>
      <c r="M56">
        <f>L56-H56</f>
        <v/>
      </c>
      <c r="N56">
        <f>L56</f>
        <v/>
      </c>
      <c r="O56">
        <f>(N56/N55-1)*100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EXP(G57+$B$2*LN(E57))</f>
        <v/>
      </c>
      <c r="I57" t="n">
        <v>0</v>
      </c>
      <c r="J57">
        <f>I57-$B$3*E57</f>
        <v/>
      </c>
      <c r="K57" s="19">
        <f>K56+J57</f>
        <v/>
      </c>
      <c r="L57">
        <f>EXP(G57+$B$2*LN(K57))</f>
        <v/>
      </c>
      <c r="M57">
        <f>L57-H57</f>
        <v/>
      </c>
      <c r="N57">
        <f>L57</f>
        <v/>
      </c>
      <c r="O57">
        <f>(N57/N56-1)*100</f>
        <v/>
      </c>
    </row>
    <row r="58">
      <c r="C58" t="n">
        <v>2024</v>
      </c>
      <c r="D58">
        <f>E58/F58</f>
        <v/>
      </c>
      <c r="E58" s="21">
        <f>F58*AVERAGE(D49:D57)</f>
        <v/>
      </c>
      <c r="F58">
        <f>WEO_Data!C32</f>
        <v/>
      </c>
      <c r="G58" s="20">
        <f>TREND(G36:G57,ROW(G36:G57),ROW(G58))</f>
        <v/>
      </c>
      <c r="H58">
        <f>EXP(G58+$B$2*LN(E58))</f>
        <v/>
      </c>
      <c r="I58" t="n">
        <v>0</v>
      </c>
      <c r="J58">
        <f>I58-$B$3*E58</f>
        <v/>
      </c>
      <c r="K58" s="19">
        <f>K57+J58</f>
        <v/>
      </c>
      <c r="L58">
        <f>EXP(G58+$B$2*LN(K58))</f>
        <v/>
      </c>
      <c r="M58">
        <f>L58-H58</f>
        <v/>
      </c>
      <c r="N58">
        <f>L58</f>
        <v/>
      </c>
      <c r="O58">
        <f>(N58/N57-1)*100</f>
        <v/>
      </c>
    </row>
    <row r="59">
      <c r="C59" t="n">
        <v>2025</v>
      </c>
      <c r="D59">
        <f>E59/F59</f>
        <v/>
      </c>
      <c r="E59" s="21">
        <f>F59*AVERAGE(D49:D57)</f>
        <v/>
      </c>
      <c r="F59">
        <f>WEO_Data!C33</f>
        <v/>
      </c>
      <c r="G59" s="20">
        <f>TREND(G36:G57,ROW(G36:G57),ROW(G59))</f>
        <v/>
      </c>
      <c r="H59">
        <f>EXP(G59+$B$2*LN(E59))</f>
        <v/>
      </c>
      <c r="I59" t="n">
        <v>0</v>
      </c>
      <c r="J59">
        <f>I59-$B$3*E59</f>
        <v/>
      </c>
      <c r="K59" s="19">
        <f>K58+J59</f>
        <v/>
      </c>
      <c r="L59">
        <f>EXP(G59+$B$2*LN(K59))</f>
        <v/>
      </c>
      <c r="M59">
        <f>L59-H59</f>
        <v/>
      </c>
      <c r="N59">
        <f>L59</f>
        <v/>
      </c>
      <c r="O59">
        <f>(N59/N58-1)*100</f>
        <v/>
      </c>
    </row>
    <row r="60">
      <c r="C60" t="n">
        <v>2026</v>
      </c>
      <c r="D60">
        <f>E60/F60</f>
        <v/>
      </c>
      <c r="E60" s="21">
        <f>F60*AVERAGE(D49:D57)</f>
        <v/>
      </c>
      <c r="F60" s="20">
        <f>WEO_Data!C34</f>
        <v/>
      </c>
      <c r="G60" s="20">
        <f>TREND(G36:G57,ROW(G36:G57),ROW(G60))</f>
        <v/>
      </c>
      <c r="H60">
        <f>EXP(G60+$B$2*LN(E60))</f>
        <v/>
      </c>
      <c r="I60" s="17">
        <f>Investment!C2</f>
        <v/>
      </c>
      <c r="J60">
        <f>I60-$B$3*E60</f>
        <v/>
      </c>
      <c r="K60" s="19">
        <f>K59+J60</f>
        <v/>
      </c>
      <c r="L60">
        <f>EXP(G60+$B$2*LN(K60))</f>
        <v/>
      </c>
      <c r="M60">
        <f>L60-H60</f>
        <v/>
      </c>
      <c r="N60">
        <f>L60</f>
        <v/>
      </c>
      <c r="O60">
        <f>(N60/N59-1)*100</f>
        <v/>
      </c>
    </row>
    <row r="61">
      <c r="C61" t="n">
        <v>2027</v>
      </c>
      <c r="D61">
        <f>E61/F61</f>
        <v/>
      </c>
      <c r="E61" s="21">
        <f>F61*AVERAGE(D49:D57)</f>
        <v/>
      </c>
      <c r="F61" s="20">
        <f>WEO_Data!C35</f>
        <v/>
      </c>
      <c r="G61" s="20">
        <f>TREND(G36:G57,ROW(G36:G57),ROW(G61))</f>
        <v/>
      </c>
      <c r="H61">
        <f>EXP(G61+$B$2*LN(E61))</f>
        <v/>
      </c>
      <c r="I61" s="17">
        <f>Investment!C3</f>
        <v/>
      </c>
      <c r="J61">
        <f>I61-$B$3*E61</f>
        <v/>
      </c>
      <c r="K61" s="19">
        <f>K60+J61</f>
        <v/>
      </c>
      <c r="L61">
        <f>EXP(G61+$B$2*LN(K61))</f>
        <v/>
      </c>
      <c r="M61">
        <f>L61-H61</f>
        <v/>
      </c>
      <c r="N61">
        <f>L61</f>
        <v/>
      </c>
      <c r="O61">
        <f>(N61/N60-1)*100</f>
        <v/>
      </c>
    </row>
    <row r="62">
      <c r="C62" t="n">
        <v>2028</v>
      </c>
      <c r="D62">
        <f>E62/F62</f>
        <v/>
      </c>
      <c r="E62" s="21">
        <f>F62*AVERAGE(D49:D57)</f>
        <v/>
      </c>
      <c r="F62" s="20">
        <f>WEO_Data!C36</f>
        <v/>
      </c>
      <c r="G62" s="20">
        <f>TREND(G36:G57,ROW(G36:G57),ROW(G62))</f>
        <v/>
      </c>
      <c r="H62">
        <f>EXP(G62+$B$2*LN(E62))</f>
        <v/>
      </c>
      <c r="I62" s="17">
        <f>Investment!C4</f>
        <v/>
      </c>
      <c r="J62">
        <f>I62-$B$3*E62</f>
        <v/>
      </c>
      <c r="K62" s="19">
        <f>K61+J62</f>
        <v/>
      </c>
      <c r="L62">
        <f>EXP(G62+$B$2*LN(K62))</f>
        <v/>
      </c>
      <c r="M62">
        <f>L62-H62</f>
        <v/>
      </c>
      <c r="N62">
        <f>L62</f>
        <v/>
      </c>
      <c r="O62">
        <f>(N62/N61-1)*100</f>
        <v/>
      </c>
    </row>
    <row r="63">
      <c r="C63" t="n">
        <v>2029</v>
      </c>
      <c r="D63">
        <f>E63/F63</f>
        <v/>
      </c>
      <c r="E63" s="21">
        <f>F63*AVERAGE(D49:D57)</f>
        <v/>
      </c>
      <c r="F63" s="20">
        <f>WEO_Data!C37</f>
        <v/>
      </c>
      <c r="G63" s="20">
        <f>TREND(G36:G57,ROW(G36:G57),ROW(G63))</f>
        <v/>
      </c>
      <c r="H63">
        <f>EXP(G63+$B$2*LN(E63))</f>
        <v/>
      </c>
      <c r="I63" s="17">
        <f>Investment!C5</f>
        <v/>
      </c>
      <c r="J63">
        <f>I63-$B$3*E63</f>
        <v/>
      </c>
      <c r="K63" s="19">
        <f>K62+J63</f>
        <v/>
      </c>
      <c r="L63">
        <f>EXP(G63+$B$2*LN(K63))</f>
        <v/>
      </c>
      <c r="M63">
        <f>L63-H63</f>
        <v/>
      </c>
      <c r="N63">
        <f>L63</f>
        <v/>
      </c>
      <c r="O63">
        <f>(N63/N62-1)*100</f>
        <v/>
      </c>
    </row>
    <row r="64">
      <c r="C64" t="n">
        <v>2030</v>
      </c>
      <c r="D64">
        <f>E64/F64</f>
        <v/>
      </c>
      <c r="E64" s="21">
        <f>F64*AVERAGE(D49:D57)</f>
        <v/>
      </c>
      <c r="F64" s="20">
        <f>WEO_Data!C38</f>
        <v/>
      </c>
      <c r="G64" s="20">
        <f>TREND(G36:G57,ROW(G36:G57),ROW(G64))</f>
        <v/>
      </c>
      <c r="H64">
        <f>EXP(G64+$B$2*LN(E64))</f>
        <v/>
      </c>
      <c r="I64" s="17">
        <f>Investment!C6</f>
        <v/>
      </c>
      <c r="J64">
        <f>I64-$B$3*E64</f>
        <v/>
      </c>
      <c r="K64" s="19">
        <f>K63+J64</f>
        <v/>
      </c>
      <c r="L64">
        <f>EXP(G64+$B$2*LN(K64))</f>
        <v/>
      </c>
      <c r="M64">
        <f>L64-H64</f>
        <v/>
      </c>
      <c r="N64">
        <f>L64</f>
        <v/>
      </c>
      <c r="O64">
        <f>(N64/N63-1)*100</f>
        <v/>
      </c>
    </row>
    <row r="65">
      <c r="C65" t="n">
        <v>2031</v>
      </c>
      <c r="D65">
        <f>E65/F65</f>
        <v/>
      </c>
      <c r="E65" s="21">
        <f>F65*AVERAGE(D49:D57)</f>
        <v/>
      </c>
      <c r="F65" s="20">
        <f>WEO_Data!C39</f>
        <v/>
      </c>
      <c r="G65" s="20">
        <f>TREND(G36:G57,ROW(G36:G57),ROW(G65))</f>
        <v/>
      </c>
      <c r="H65">
        <f>EXP(G65+$B$2*LN(E65))</f>
        <v/>
      </c>
      <c r="I65" s="17">
        <f>Investment!C7</f>
        <v/>
      </c>
      <c r="J65">
        <f>I65-$B$3*E65</f>
        <v/>
      </c>
      <c r="K65" s="19">
        <f>K64+J65</f>
        <v/>
      </c>
      <c r="L65">
        <f>EXP(G65+$B$2*LN(K65))</f>
        <v/>
      </c>
      <c r="M65">
        <f>L65-H65</f>
        <v/>
      </c>
      <c r="N65">
        <f>L65</f>
        <v/>
      </c>
      <c r="O65">
        <f>(N65/N64-1)*100</f>
        <v/>
      </c>
    </row>
    <row r="66">
      <c r="C66" t="n">
        <v>2032</v>
      </c>
      <c r="D66">
        <f>E66/F66</f>
        <v/>
      </c>
      <c r="E66" s="21">
        <f>F66*AVERAGE(D49:D57)</f>
        <v/>
      </c>
      <c r="F66" s="20">
        <f>WEO_Data!C40</f>
        <v/>
      </c>
      <c r="G66" s="20">
        <f>TREND(G36:G57,ROW(G36:G57),ROW(G66))</f>
        <v/>
      </c>
      <c r="H66">
        <f>EXP(G66+$B$2*LN(E66))</f>
        <v/>
      </c>
      <c r="I66" s="17">
        <f>Investment!C8</f>
        <v/>
      </c>
      <c r="J66">
        <f>I66-$B$3*E66</f>
        <v/>
      </c>
      <c r="K66" s="19">
        <f>K65+J66</f>
        <v/>
      </c>
      <c r="L66">
        <f>EXP(G66+$B$2*LN(K66))</f>
        <v/>
      </c>
      <c r="M66">
        <f>L66-H66</f>
        <v/>
      </c>
      <c r="N66">
        <f>L66</f>
        <v/>
      </c>
      <c r="O66">
        <f>(N66/N65-1)*100</f>
        <v/>
      </c>
    </row>
    <row r="67">
      <c r="C67" t="n">
        <v>2033</v>
      </c>
      <c r="D67">
        <f>E67/F67</f>
        <v/>
      </c>
      <c r="E67" s="21">
        <f>F67*AVERAGE(D49:D57)</f>
        <v/>
      </c>
      <c r="F67" s="20">
        <f>WEO_Data!C41</f>
        <v/>
      </c>
      <c r="G67" s="20">
        <f>TREND(G36:G57,ROW(G36:G57),ROW(G67))</f>
        <v/>
      </c>
      <c r="H67">
        <f>EXP(G67+$B$2*LN(E67))</f>
        <v/>
      </c>
      <c r="I67" s="17" t="n">
        <v>0</v>
      </c>
      <c r="J67">
        <f>I67-$B$3*E67</f>
        <v/>
      </c>
      <c r="K67" s="19">
        <f>K66+J67</f>
        <v/>
      </c>
      <c r="L67">
        <f>EXP(G67+$B$2*LN(K67))</f>
        <v/>
      </c>
      <c r="M67">
        <f>L67-H67</f>
        <v/>
      </c>
      <c r="N67">
        <f>L67</f>
        <v/>
      </c>
      <c r="O67">
        <f>(N67/N66-1)*100</f>
        <v/>
      </c>
    </row>
    <row r="68">
      <c r="C68" t="n">
        <v>2034</v>
      </c>
      <c r="D68">
        <f>E68/F68</f>
        <v/>
      </c>
      <c r="E68" s="21">
        <f>F68*AVERAGE(D49:D57)</f>
        <v/>
      </c>
      <c r="F68" s="20">
        <f>WEO_Data!C42</f>
        <v/>
      </c>
      <c r="G68" s="20">
        <f>TREND(G36:G57,ROW(G36:G57),ROW(G68))</f>
        <v/>
      </c>
      <c r="H68">
        <f>EXP(G68+$B$2*LN(E68))</f>
        <v/>
      </c>
      <c r="I68" t="n">
        <v>0</v>
      </c>
      <c r="J68">
        <f>I68-$B$3*E68</f>
        <v/>
      </c>
      <c r="K68" s="19">
        <f>K67+J68</f>
        <v/>
      </c>
      <c r="L68">
        <f>EXP(G68+$B$2*LN(K68))</f>
        <v/>
      </c>
      <c r="M68">
        <f>L68-H68</f>
        <v/>
      </c>
      <c r="N68">
        <f>L68</f>
        <v/>
      </c>
      <c r="O68">
        <f>(N68/N67-1)*100</f>
        <v/>
      </c>
    </row>
    <row r="69">
      <c r="C69" t="n">
        <v>2035</v>
      </c>
      <c r="D69">
        <f>E69/F69</f>
        <v/>
      </c>
      <c r="E69" s="21">
        <f>F69*AVERAGE(D49:D57)</f>
        <v/>
      </c>
      <c r="F69" s="20">
        <f>WEO_Data!C43</f>
        <v/>
      </c>
      <c r="G69" s="20">
        <f>TREND(G36:G57,ROW(G36:G57),ROW(G69))</f>
        <v/>
      </c>
      <c r="H69">
        <f>EXP(G69+$B$2*LN(E69))</f>
        <v/>
      </c>
      <c r="I69" t="n">
        <v>0</v>
      </c>
      <c r="J69">
        <f>I69-$B$3*E69</f>
        <v/>
      </c>
      <c r="K69" s="19">
        <f>K68+J69</f>
        <v/>
      </c>
      <c r="L69">
        <f>EXP(G69+$B$2*LN(K69))</f>
        <v/>
      </c>
      <c r="M69">
        <f>L69-H69</f>
        <v/>
      </c>
      <c r="N69">
        <f>L69</f>
        <v/>
      </c>
      <c r="O69">
        <f>(N69/N68-1)*100</f>
        <v/>
      </c>
    </row>
    <row r="70">
      <c r="C70" t="n">
        <v>2036</v>
      </c>
      <c r="D70">
        <f>E70/F70</f>
        <v/>
      </c>
      <c r="E70" s="21">
        <f>F70*AVERAGE(D49:D57)</f>
        <v/>
      </c>
      <c r="F70" s="20">
        <f>WEO_Data!C44</f>
        <v/>
      </c>
      <c r="G70" s="20">
        <f>TREND(G36:G57,ROW(G36:G57),ROW(G70))</f>
        <v/>
      </c>
      <c r="H70">
        <f>EXP(G70+$B$2*LN(E70))</f>
        <v/>
      </c>
      <c r="I70" t="n">
        <v>0</v>
      </c>
      <c r="J70">
        <f>I70-$B$3*E70</f>
        <v/>
      </c>
      <c r="K70" s="19">
        <f>K69+J70</f>
        <v/>
      </c>
      <c r="L70">
        <f>EXP(G70+$B$2*LN(K70))</f>
        <v/>
      </c>
      <c r="M70">
        <f>L70-H70</f>
        <v/>
      </c>
      <c r="N70">
        <f>L70</f>
        <v/>
      </c>
      <c r="O70">
        <f>(N70/N69-1)*100</f>
        <v/>
      </c>
    </row>
    <row r="71">
      <c r="C71" t="n">
        <v>2037</v>
      </c>
      <c r="D71">
        <f>E71/F71</f>
        <v/>
      </c>
      <c r="E71" s="21">
        <f>F71*AVERAGE(D49:D57)</f>
        <v/>
      </c>
      <c r="F71" s="20">
        <f>WEO_Data!C45</f>
        <v/>
      </c>
      <c r="G71" s="20">
        <f>TREND(G36:G57,ROW(G36:G57),ROW(G71))</f>
        <v/>
      </c>
      <c r="H71">
        <f>EXP(G71+$B$2*LN(E71))</f>
        <v/>
      </c>
      <c r="I71" t="n">
        <v>0</v>
      </c>
      <c r="J71">
        <f>I71-$B$3*E71</f>
        <v/>
      </c>
      <c r="K71" s="19">
        <f>K70+J71</f>
        <v/>
      </c>
      <c r="L71">
        <f>EXP(G71+$B$2*LN(K71))</f>
        <v/>
      </c>
      <c r="M71">
        <f>L71-H71</f>
        <v/>
      </c>
      <c r="N71">
        <f>L71</f>
        <v/>
      </c>
      <c r="O71">
        <f>(N71/N70-1)*100</f>
        <v/>
      </c>
    </row>
    <row r="72">
      <c r="C72" t="n">
        <v>2038</v>
      </c>
      <c r="D72">
        <f>E72/F72</f>
        <v/>
      </c>
      <c r="E72" s="21">
        <f>F72*AVERAGE(D49:D57)</f>
        <v/>
      </c>
      <c r="F72" s="20">
        <f>WEO_Data!C46</f>
        <v/>
      </c>
      <c r="G72" s="20">
        <f>TREND(G36:G57,ROW(G36:G57),ROW(G72))</f>
        <v/>
      </c>
      <c r="H72">
        <f>EXP(G72+$B$2*LN(E72))</f>
        <v/>
      </c>
      <c r="I72" t="n">
        <v>0</v>
      </c>
      <c r="J72">
        <f>I72-$B$3*E72</f>
        <v/>
      </c>
      <c r="K72" s="19">
        <f>K71+J72</f>
        <v/>
      </c>
      <c r="L72">
        <f>EXP(G72+$B$2*LN(K72))</f>
        <v/>
      </c>
      <c r="M72">
        <f>L72-H72</f>
        <v/>
      </c>
      <c r="N72">
        <f>L72</f>
        <v/>
      </c>
      <c r="O72">
        <f>(N72/N71-1)*100</f>
        <v/>
      </c>
    </row>
    <row r="73">
      <c r="C73" t="n">
        <v>2039</v>
      </c>
      <c r="D73">
        <f>E73/F73</f>
        <v/>
      </c>
      <c r="E73" s="21">
        <f>F73*AVERAGE(D49:D57)</f>
        <v/>
      </c>
      <c r="F73" s="20">
        <f>WEO_Data!C47</f>
        <v/>
      </c>
      <c r="G73" s="20">
        <f>TREND(G36:G57,ROW(G36:G57),ROW(G73))</f>
        <v/>
      </c>
      <c r="H73">
        <f>EXP(G73+$B$2*LN(E73))</f>
        <v/>
      </c>
      <c r="I73" t="n">
        <v>0</v>
      </c>
      <c r="J73">
        <f>I73-$B$3*E73</f>
        <v/>
      </c>
      <c r="K73" s="19">
        <f>K72+J73</f>
        <v/>
      </c>
      <c r="L73">
        <f>EXP(G73+$B$2*LN(K73))</f>
        <v/>
      </c>
      <c r="M73">
        <f>L73-H73</f>
        <v/>
      </c>
      <c r="N73">
        <f>L73</f>
        <v/>
      </c>
      <c r="O73">
        <f>(N73/N72-1)*100</f>
        <v/>
      </c>
    </row>
    <row r="74">
      <c r="C74" t="n">
        <v>2040</v>
      </c>
      <c r="D74">
        <f>E74/F74</f>
        <v/>
      </c>
      <c r="E74" s="21">
        <f>F74*AVERAGE(D49:D57)</f>
        <v/>
      </c>
      <c r="F74" s="20">
        <f>WEO_Data!C48</f>
        <v/>
      </c>
      <c r="G74" s="20">
        <f>TREND(G36:G57,ROW(G36:G57),ROW(G74))</f>
        <v/>
      </c>
      <c r="H74">
        <f>EXP(G74+$B$2*LN(E74))</f>
        <v/>
      </c>
      <c r="I74" t="n">
        <v>0</v>
      </c>
      <c r="J74">
        <f>I74-$B$3*E74</f>
        <v/>
      </c>
      <c r="K74" s="19">
        <f>K73+J74</f>
        <v/>
      </c>
      <c r="L74">
        <f>EXP(G74+$B$2*LN(K74))</f>
        <v/>
      </c>
      <c r="M74">
        <f>L74-H74</f>
        <v/>
      </c>
      <c r="N74">
        <f>L74</f>
        <v/>
      </c>
      <c r="O74">
        <f>(N74/N73-1)*100</f>
        <v/>
      </c>
    </row>
    <row r="75">
      <c r="C75" t="n">
        <v>2041</v>
      </c>
      <c r="D75">
        <f>E75/F75</f>
        <v/>
      </c>
      <c r="E75" s="21">
        <f>F75*AVERAGE(D49:D57)</f>
        <v/>
      </c>
      <c r="F75" s="20">
        <f>WEO_Data!C49</f>
        <v/>
      </c>
      <c r="G75" s="20">
        <f>TREND(G36:G57,ROW(G36:G57),ROW(G75))</f>
        <v/>
      </c>
      <c r="H75">
        <f>EXP(G75+$B$2*LN(E75))</f>
        <v/>
      </c>
      <c r="I75" t="n">
        <v>0</v>
      </c>
      <c r="J75">
        <f>I75-$B$3*E75</f>
        <v/>
      </c>
      <c r="K75" s="19">
        <f>K74+J75</f>
        <v/>
      </c>
      <c r="L75">
        <f>EXP(G75+$B$2*LN(K75))</f>
        <v/>
      </c>
      <c r="M75">
        <f>L75-H75</f>
        <v/>
      </c>
      <c r="N75">
        <f>L75</f>
        <v/>
      </c>
      <c r="O75">
        <f>(N75/N74-1)*100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>
        <f>PWT!B8</f>
        <v/>
      </c>
    </row>
    <row r="3">
      <c r="A3" s="18" t="n">
        <v>35795</v>
      </c>
      <c r="B3" t="n">
        <v>1997</v>
      </c>
      <c r="D3" s="19">
        <f>PWT!B9</f>
        <v/>
      </c>
    </row>
    <row r="4">
      <c r="A4" s="18" t="n">
        <v>36160</v>
      </c>
      <c r="B4" t="n">
        <v>1998</v>
      </c>
      <c r="D4" s="19">
        <f>PWT!B10</f>
        <v/>
      </c>
    </row>
    <row r="5">
      <c r="A5" s="18" t="n">
        <v>36525</v>
      </c>
      <c r="B5" t="n">
        <v>1999</v>
      </c>
      <c r="D5" s="19">
        <f>PWT!B11</f>
        <v/>
      </c>
    </row>
    <row r="6">
      <c r="A6" s="18" t="n">
        <v>36891</v>
      </c>
      <c r="B6" t="n">
        <v>2000</v>
      </c>
      <c r="C6" t="n">
        <v>0.65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0.72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0.79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0.89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0.98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1.12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1.28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1.52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1.68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1.72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1.85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2.05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2.24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2.38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2.58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2.72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2.85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3.05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3.28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3.52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3.58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3.95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4.35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4.72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25.5</v>
      </c>
    </row>
    <row r="3">
      <c r="A3" s="19" t="n">
        <v>1991</v>
      </c>
      <c r="B3" s="19" t="n">
        <v>23.8</v>
      </c>
    </row>
    <row r="4">
      <c r="A4" s="19" t="n">
        <v>1992</v>
      </c>
      <c r="B4" s="19" t="n">
        <v>21.2</v>
      </c>
    </row>
    <row r="5">
      <c r="A5" s="19" t="n">
        <v>1993</v>
      </c>
      <c r="B5" s="19" t="n">
        <v>19.5</v>
      </c>
    </row>
    <row r="6">
      <c r="A6" s="19" t="n">
        <v>1994</v>
      </c>
      <c r="B6" s="19" t="n">
        <v>18.9</v>
      </c>
    </row>
    <row r="7">
      <c r="A7" s="19" t="n">
        <v>1995</v>
      </c>
      <c r="B7" s="19" t="n">
        <v>19.2</v>
      </c>
    </row>
    <row r="8">
      <c r="A8" s="19" t="n">
        <v>1996</v>
      </c>
      <c r="B8" s="19" t="n">
        <v>19.8</v>
      </c>
    </row>
    <row r="9">
      <c r="A9" s="19" t="n">
        <v>1997</v>
      </c>
      <c r="B9" s="19" t="n">
        <v>20.5</v>
      </c>
    </row>
    <row r="10">
      <c r="A10" s="19" t="n">
        <v>1998</v>
      </c>
      <c r="B10" s="19" t="n">
        <v>21.1</v>
      </c>
    </row>
    <row r="11">
      <c r="A11" s="19" t="n">
        <v>1999</v>
      </c>
      <c r="B11" s="19" t="n">
        <v>21.8</v>
      </c>
    </row>
    <row r="12">
      <c r="A12" s="19" t="n">
        <v>2000</v>
      </c>
      <c r="B12" s="19" t="n">
        <v>22.6</v>
      </c>
    </row>
    <row r="13">
      <c r="A13" s="19" t="n">
        <v>2001</v>
      </c>
      <c r="B13" s="19" t="n">
        <v>23.5</v>
      </c>
    </row>
    <row r="14">
      <c r="A14" s="19" t="n">
        <v>2002</v>
      </c>
      <c r="B14" s="19" t="n">
        <v>24.5</v>
      </c>
    </row>
    <row r="15">
      <c r="A15" s="19" t="n">
        <v>2003</v>
      </c>
      <c r="B15" s="19" t="n">
        <v>26.2</v>
      </c>
    </row>
    <row r="16">
      <c r="A16" s="19" t="n">
        <v>2004</v>
      </c>
      <c r="B16" s="19" t="n">
        <v>28.5</v>
      </c>
    </row>
    <row r="17">
      <c r="A17" s="19" t="n">
        <v>2005</v>
      </c>
      <c r="B17" s="19" t="n">
        <v>31.4</v>
      </c>
    </row>
    <row r="18">
      <c r="A18" s="19" t="n">
        <v>2006</v>
      </c>
      <c r="B18" s="19" t="n">
        <v>35.2</v>
      </c>
    </row>
    <row r="19">
      <c r="A19" s="19" t="n">
        <v>2007</v>
      </c>
      <c r="B19" s="19" t="n">
        <v>40.1</v>
      </c>
    </row>
    <row r="20">
      <c r="A20" s="19" t="n">
        <v>2008</v>
      </c>
      <c r="B20" s="19" t="n">
        <v>44.8</v>
      </c>
    </row>
    <row r="21">
      <c r="A21" s="19" t="n">
        <v>2009</v>
      </c>
      <c r="B21" s="19" t="n">
        <v>46.2</v>
      </c>
    </row>
    <row r="22">
      <c r="A22" s="19" t="n">
        <v>2010</v>
      </c>
      <c r="B22" s="19" t="n">
        <v>48.5</v>
      </c>
    </row>
    <row r="23">
      <c r="A23" s="19" t="n">
        <v>2011</v>
      </c>
      <c r="B23" s="19" t="n">
        <v>52.3</v>
      </c>
    </row>
    <row r="24">
      <c r="A24" s="19" t="n">
        <v>2012</v>
      </c>
      <c r="B24" s="19" t="n">
        <v>56.8</v>
      </c>
    </row>
    <row r="25">
      <c r="A25" s="19" t="n">
        <v>2013</v>
      </c>
      <c r="B25" s="19" t="n">
        <v>61.5</v>
      </c>
    </row>
    <row r="26">
      <c r="A26" s="19" t="n">
        <v>2014</v>
      </c>
      <c r="B26" s="19" t="n">
        <v>65.2</v>
      </c>
    </row>
    <row r="27">
      <c r="A27" s="19" t="n">
        <v>2015</v>
      </c>
      <c r="B27" s="19" t="n">
        <v>68.90000000000001</v>
      </c>
    </row>
    <row r="28">
      <c r="A28" s="19" t="n">
        <v>2016</v>
      </c>
      <c r="B28" s="19" t="n">
        <v>72.5</v>
      </c>
    </row>
    <row r="29">
      <c r="A29" s="19" t="n">
        <v>2017</v>
      </c>
      <c r="B29" s="19" t="n">
        <v>76.8</v>
      </c>
    </row>
    <row r="30">
      <c r="A30" s="19" t="n">
        <v>2018</v>
      </c>
      <c r="B30" s="19" t="n">
        <v>81.5</v>
      </c>
    </row>
    <row r="31">
      <c r="A31" s="19" t="n">
        <v>2019</v>
      </c>
      <c r="B31" s="19" t="n">
        <v>86.2</v>
      </c>
    </row>
    <row r="32">
      <c r="A32" s="19" t="n">
        <v>2020</v>
      </c>
      <c r="B32" s="19" t="n">
        <v>88.5</v>
      </c>
    </row>
    <row r="33">
      <c r="A33" s="19" t="n">
        <v>2021</v>
      </c>
      <c r="B33" s="19" t="n">
        <v>92.3</v>
      </c>
    </row>
    <row r="34">
      <c r="A34" s="19" t="n">
        <v>2022</v>
      </c>
      <c r="B34" s="19" t="n">
        <v>97.8</v>
      </c>
    </row>
    <row r="35">
      <c r="A35" s="19" t="n">
        <v>2023</v>
      </c>
      <c r="B35" s="19" t="n">
        <v>103.5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6.015</v>
      </c>
      <c r="D8" t="n">
        <v>1.8</v>
      </c>
    </row>
    <row r="9">
      <c r="B9" t="n">
        <v>2001</v>
      </c>
      <c r="C9" t="n">
        <v>6.592</v>
      </c>
      <c r="D9" t="n">
        <v>4.8</v>
      </c>
    </row>
    <row r="10">
      <c r="B10" t="n">
        <v>2002</v>
      </c>
      <c r="C10" t="n">
        <v>7.146</v>
      </c>
      <c r="D10" t="n">
        <v>5.5</v>
      </c>
    </row>
    <row r="11">
      <c r="B11" t="n">
        <v>2003</v>
      </c>
      <c r="C11" t="n">
        <v>7.972</v>
      </c>
      <c r="D11" t="n">
        <v>11.1</v>
      </c>
    </row>
    <row r="12">
      <c r="B12" t="n">
        <v>2004</v>
      </c>
      <c r="C12" t="n">
        <v>8.707000000000001</v>
      </c>
      <c r="D12" t="n">
        <v>5.9</v>
      </c>
    </row>
    <row r="13">
      <c r="B13" t="n">
        <v>2005</v>
      </c>
      <c r="C13" t="n">
        <v>9.818</v>
      </c>
      <c r="D13" t="n">
        <v>9.6</v>
      </c>
    </row>
    <row r="14">
      <c r="B14" t="n">
        <v>2006</v>
      </c>
      <c r="C14" t="n">
        <v>11.001</v>
      </c>
      <c r="D14" t="n">
        <v>9.4</v>
      </c>
    </row>
    <row r="15">
      <c r="B15" t="n">
        <v>2007</v>
      </c>
      <c r="C15" t="n">
        <v>12.845</v>
      </c>
      <c r="D15" t="n">
        <v>12.6</v>
      </c>
    </row>
    <row r="16">
      <c r="B16" t="n">
        <v>2008</v>
      </c>
      <c r="C16" t="n">
        <v>13.775</v>
      </c>
      <c r="D16" t="n">
        <v>2.6</v>
      </c>
    </row>
    <row r="17">
      <c r="B17" t="n">
        <v>2009</v>
      </c>
      <c r="C17" t="n">
        <v>13.095</v>
      </c>
      <c r="D17" t="n">
        <v>-3.7</v>
      </c>
    </row>
    <row r="18">
      <c r="B18" t="n">
        <v>2010</v>
      </c>
      <c r="C18" t="n">
        <v>14.034</v>
      </c>
      <c r="D18" t="n">
        <v>6.2</v>
      </c>
    </row>
    <row r="19">
      <c r="B19" t="n">
        <v>2011</v>
      </c>
      <c r="C19" t="n">
        <v>15.215</v>
      </c>
      <c r="D19" t="n">
        <v>7.2</v>
      </c>
    </row>
    <row r="20">
      <c r="B20" t="n">
        <v>2012</v>
      </c>
      <c r="C20" t="n">
        <v>16.016</v>
      </c>
      <c r="D20" t="n">
        <v>6.4</v>
      </c>
    </row>
    <row r="21">
      <c r="B21" t="n">
        <v>2013</v>
      </c>
      <c r="C21" t="n">
        <v>16.631</v>
      </c>
      <c r="D21" t="n">
        <v>3.4</v>
      </c>
    </row>
    <row r="22">
      <c r="B22" t="n">
        <v>2014</v>
      </c>
      <c r="C22" t="n">
        <v>17.868</v>
      </c>
      <c r="D22" t="n">
        <v>4.6</v>
      </c>
    </row>
    <row r="23">
      <c r="B23" t="n">
        <v>2015</v>
      </c>
      <c r="C23" t="n">
        <v>18.608</v>
      </c>
      <c r="D23" t="n">
        <v>3</v>
      </c>
    </row>
    <row r="24">
      <c r="B24" t="n">
        <v>2016</v>
      </c>
      <c r="C24" t="n">
        <v>19.204</v>
      </c>
      <c r="D24" t="n">
        <v>2.8</v>
      </c>
    </row>
    <row r="25">
      <c r="B25" t="n">
        <v>2017</v>
      </c>
      <c r="C25" t="n">
        <v>20.269</v>
      </c>
      <c r="D25" t="n">
        <v>4.8</v>
      </c>
    </row>
    <row r="26">
      <c r="B26" t="n">
        <v>2018</v>
      </c>
      <c r="C26" t="n">
        <v>21.354</v>
      </c>
      <c r="D26" t="n">
        <v>4.8</v>
      </c>
    </row>
    <row r="27">
      <c r="B27" t="n">
        <v>2019</v>
      </c>
      <c r="C27" t="n">
        <v>22.595</v>
      </c>
      <c r="D27" t="n">
        <v>5</v>
      </c>
    </row>
    <row r="28">
      <c r="B28" t="n">
        <v>2020</v>
      </c>
      <c r="C28" t="n">
        <v>22.264</v>
      </c>
      <c r="D28" t="n">
        <v>-6.8</v>
      </c>
    </row>
    <row r="29">
      <c r="B29" t="n">
        <v>2021</v>
      </c>
      <c r="C29" t="n">
        <v>24.443</v>
      </c>
      <c r="D29" t="n">
        <v>10.5</v>
      </c>
    </row>
    <row r="30">
      <c r="B30" t="n">
        <v>2022</v>
      </c>
      <c r="C30" t="n">
        <v>26.353</v>
      </c>
      <c r="D30" t="n">
        <v>10.1</v>
      </c>
    </row>
    <row r="31">
      <c r="B31" t="n">
        <v>2023</v>
      </c>
      <c r="C31" t="n">
        <v>28.245</v>
      </c>
      <c r="D31" t="n">
        <v>7</v>
      </c>
    </row>
    <row r="32">
      <c r="B32" t="n">
        <v>2024</v>
      </c>
      <c r="C32" t="n">
        <v>30.125</v>
      </c>
      <c r="D32" t="n">
        <v>6</v>
      </c>
    </row>
    <row r="33">
      <c r="B33" t="n">
        <v>2025</v>
      </c>
      <c r="C33" t="n">
        <v>31.806</v>
      </c>
      <c r="D33" t="n">
        <v>5.5</v>
      </c>
    </row>
    <row r="34">
      <c r="B34" t="n">
        <v>2026</v>
      </c>
      <c r="C34" t="n">
        <v>33.342</v>
      </c>
      <c r="D34" t="n">
        <v>4.8</v>
      </c>
    </row>
    <row r="35">
      <c r="B35" t="n">
        <v>2027</v>
      </c>
      <c r="C35" t="n">
        <v>34.936</v>
      </c>
      <c r="D35" t="n">
        <v>4.8</v>
      </c>
    </row>
    <row r="36">
      <c r="B36" t="n">
        <v>2028</v>
      </c>
      <c r="C36">
        <f>C35*(1+D36/100)</f>
        <v/>
      </c>
      <c r="D36" t="n">
        <v>4.8</v>
      </c>
    </row>
    <row r="37">
      <c r="B37" t="n">
        <v>2029</v>
      </c>
      <c r="C37">
        <f>C36*(1+D37/100)</f>
        <v/>
      </c>
      <c r="D37" t="n">
        <v>4.8</v>
      </c>
    </row>
    <row r="38">
      <c r="B38" t="n">
        <v>2030</v>
      </c>
      <c r="C38">
        <f>C37*(1+D38/100)</f>
        <v/>
      </c>
      <c r="D38" t="n">
        <v>4.8</v>
      </c>
    </row>
    <row r="39">
      <c r="B39" t="n">
        <v>2031</v>
      </c>
      <c r="C39">
        <f>C38*(1+D39/100)</f>
        <v/>
      </c>
      <c r="D39" t="n">
        <v>4.8</v>
      </c>
    </row>
    <row r="40">
      <c r="B40" t="n">
        <v>2032</v>
      </c>
      <c r="C40">
        <f>C39*(1+D40/100)</f>
        <v/>
      </c>
      <c r="D40" t="n">
        <v>4.8</v>
      </c>
    </row>
    <row r="41">
      <c r="B41" t="n">
        <v>2033</v>
      </c>
      <c r="C41">
        <f>C40*(1+D41/100)</f>
        <v/>
      </c>
      <c r="D41" t="n">
        <v>4.8</v>
      </c>
    </row>
    <row r="42">
      <c r="B42" t="n">
        <v>2034</v>
      </c>
      <c r="C42">
        <f>C41*(1+D42/100)</f>
        <v/>
      </c>
      <c r="D42" t="n">
        <v>4.8</v>
      </c>
    </row>
    <row r="43">
      <c r="B43" t="n">
        <v>2035</v>
      </c>
      <c r="C43">
        <f>C42*(1+D43/100)</f>
        <v/>
      </c>
      <c r="D43" t="n">
        <v>4.8</v>
      </c>
    </row>
    <row r="44">
      <c r="B44" t="n">
        <v>2036</v>
      </c>
      <c r="C44">
        <f>C43*(1+D44/100)</f>
        <v/>
      </c>
      <c r="D44" t="n">
        <v>4.8</v>
      </c>
    </row>
    <row r="45">
      <c r="B45" t="n">
        <v>2037</v>
      </c>
      <c r="C45">
        <f>C44*(1+D45/100)</f>
        <v/>
      </c>
      <c r="D45" t="n">
        <v>4.8</v>
      </c>
    </row>
    <row r="46">
      <c r="B46" t="n">
        <v>2038</v>
      </c>
      <c r="C46">
        <f>C45*(1+D46/100)</f>
        <v/>
      </c>
      <c r="D46" t="n">
        <v>4.8</v>
      </c>
    </row>
    <row r="47">
      <c r="B47" t="n">
        <v>2039</v>
      </c>
      <c r="C47">
        <f>C46*(1+D47/100)</f>
        <v/>
      </c>
      <c r="D47" t="n">
        <v>4.8</v>
      </c>
    </row>
    <row r="48">
      <c r="B48" t="n">
        <v>2040</v>
      </c>
      <c r="C48">
        <f>C47*(1+D48/100)</f>
        <v/>
      </c>
      <c r="D48" t="n">
        <v>4.8</v>
      </c>
    </row>
    <row r="49">
      <c r="B49" t="n">
        <v>2041</v>
      </c>
      <c r="C49">
        <f>C48*(1+D49/100)</f>
        <v/>
      </c>
      <c r="D49" t="n">
        <v>4.8</v>
      </c>
    </row>
    <row r="50">
      <c r="B50" t="n">
        <v>2042</v>
      </c>
      <c r="C50">
        <f>C49*(1+D50/100)</f>
        <v/>
      </c>
      <c r="D50" t="n">
        <v>4.8</v>
      </c>
    </row>
    <row r="51">
      <c r="B51" t="n">
        <v>2043</v>
      </c>
      <c r="C51">
        <f>C50*(1+D51/100)</f>
        <v/>
      </c>
      <c r="D51" t="n">
        <v>4.8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2026-01-29T03:53:26Z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