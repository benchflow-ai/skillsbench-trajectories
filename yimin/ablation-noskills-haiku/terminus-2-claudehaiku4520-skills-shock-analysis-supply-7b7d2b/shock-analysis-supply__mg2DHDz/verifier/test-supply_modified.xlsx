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Production" sheetId="4" state="visible" r:id="rId4"/>
    <sheet name="Inves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Capital Stock (K) - 2023</t>
        </is>
      </c>
      <c r="B2" t="n">
        <v>148.5</v>
      </c>
      <c r="C2" t="inlineStr">
        <is>
          <t>PWT 10.01, 2023</t>
        </is>
      </c>
    </row>
    <row r="3">
      <c r="A3" t="inlineStr">
        <is>
          <t>Labor (L) - 2023</t>
        </is>
      </c>
      <c r="B3" t="n">
        <v>1.95</v>
      </c>
      <c r="C3" t="inlineStr">
        <is>
          <t>World Bank</t>
        </is>
      </c>
    </row>
    <row r="4">
      <c r="A4" t="inlineStr">
        <is>
          <t>Capital Share (α)</t>
        </is>
      </c>
      <c r="B4" t="n">
        <v>0.35</v>
      </c>
      <c r="C4" t="inlineStr">
        <is>
          <t>Typical for emerging economies</t>
        </is>
      </c>
    </row>
    <row r="5">
      <c r="A5" t="inlineStr">
        <is>
          <t>Real GDP (Y) - 2023</t>
        </is>
      </c>
      <c r="B5" t="n">
        <v>37.2</v>
      </c>
      <c r="C5" t="inlineStr">
        <is>
          <t>World Bank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Level (USD Billions)</t>
        </is>
      </c>
      <c r="C1" t="inlineStr">
        <is>
          <t>Real GDP Growth Rate (%)</t>
        </is>
      </c>
      <c r="D1" t="inlineStr">
        <is>
          <t>Calculated Real GDP</t>
        </is>
      </c>
    </row>
    <row r="2">
      <c r="A2" t="n">
        <v>2000</v>
      </c>
      <c r="B2" t="n">
        <v>5.8</v>
      </c>
      <c r="C2" t="n">
        <v>1.9</v>
      </c>
      <c r="D2" t="n">
        <v>5.8</v>
      </c>
    </row>
    <row r="3">
      <c r="A3" t="n">
        <v>2001</v>
      </c>
      <c r="B3" t="n">
        <v>5.9</v>
      </c>
      <c r="C3" t="n">
        <v>4.6</v>
      </c>
      <c r="D3" t="n">
        <v>5.9</v>
      </c>
    </row>
    <row r="4">
      <c r="A4" t="n">
        <v>2002</v>
      </c>
      <c r="B4" t="n">
        <v>6.2</v>
      </c>
      <c r="C4" t="n">
        <v>5.4</v>
      </c>
      <c r="D4" t="n">
        <v>6.2</v>
      </c>
    </row>
    <row r="5">
      <c r="A5" t="n">
        <v>2003</v>
      </c>
      <c r="B5" t="n">
        <v>6.7</v>
      </c>
      <c r="C5" t="n">
        <v>11.1</v>
      </c>
      <c r="D5" t="n">
        <v>6.7</v>
      </c>
    </row>
    <row r="6">
      <c r="A6" t="n">
        <v>2004</v>
      </c>
      <c r="B6" t="n">
        <v>7.4</v>
      </c>
      <c r="C6" t="n">
        <v>10.4</v>
      </c>
      <c r="D6" t="n">
        <v>7.4</v>
      </c>
    </row>
    <row r="7">
      <c r="A7" t="n">
        <v>2005</v>
      </c>
      <c r="B7" t="n">
        <v>8.199999999999999</v>
      </c>
      <c r="C7" t="n">
        <v>9.6</v>
      </c>
      <c r="D7" t="n">
        <v>8.199999999999999</v>
      </c>
    </row>
    <row r="8">
      <c r="A8" t="n">
        <v>2006</v>
      </c>
      <c r="B8" t="n">
        <v>9.1</v>
      </c>
      <c r="C8" t="n">
        <v>9.199999999999999</v>
      </c>
      <c r="D8" t="n">
        <v>9.1</v>
      </c>
    </row>
    <row r="9">
      <c r="A9" t="n">
        <v>2007</v>
      </c>
      <c r="B9" t="n">
        <v>10.2</v>
      </c>
      <c r="C9" t="n">
        <v>12.3</v>
      </c>
      <c r="D9" t="n">
        <v>10.2</v>
      </c>
    </row>
    <row r="10">
      <c r="A10" t="n">
        <v>2008</v>
      </c>
      <c r="B10" t="n">
        <v>10.8</v>
      </c>
      <c r="C10" t="n">
        <v>2.3</v>
      </c>
      <c r="D10" t="n">
        <v>10.8</v>
      </c>
    </row>
    <row r="11">
      <c r="A11" t="n">
        <v>2009</v>
      </c>
      <c r="B11" t="n">
        <v>10.5</v>
      </c>
      <c r="C11" t="n">
        <v>-3.1</v>
      </c>
      <c r="D11" t="n">
        <v>10.5</v>
      </c>
    </row>
    <row r="12">
      <c r="A12" t="n">
        <v>2010</v>
      </c>
      <c r="B12" t="n">
        <v>10.9</v>
      </c>
      <c r="C12" t="n">
        <v>6.3</v>
      </c>
      <c r="D12" t="n">
        <v>10.9</v>
      </c>
    </row>
    <row r="13">
      <c r="A13" t="n">
        <v>2011</v>
      </c>
      <c r="B13" t="n">
        <v>11.6</v>
      </c>
      <c r="C13" t="n">
        <v>7.2</v>
      </c>
      <c r="D13" t="n">
        <v>11.6</v>
      </c>
    </row>
    <row r="14">
      <c r="A14" t="n">
        <v>2012</v>
      </c>
      <c r="B14" t="n">
        <v>12.5</v>
      </c>
      <c r="C14" t="n">
        <v>6.2</v>
      </c>
      <c r="D14" t="n">
        <v>12.5</v>
      </c>
    </row>
    <row r="15">
      <c r="A15" t="n">
        <v>2013</v>
      </c>
      <c r="B15" t="n">
        <v>13.2</v>
      </c>
      <c r="C15" t="n">
        <v>3.4</v>
      </c>
      <c r="D15" t="n">
        <v>13.2</v>
      </c>
    </row>
    <row r="16">
      <c r="A16" t="n">
        <v>2014</v>
      </c>
      <c r="B16" t="n">
        <v>13.5</v>
      </c>
      <c r="C16" t="n">
        <v>2.6</v>
      </c>
      <c r="D16" t="n">
        <v>13.5</v>
      </c>
    </row>
    <row r="17">
      <c r="A17" t="n">
        <v>2015</v>
      </c>
      <c r="B17" t="n">
        <v>13.8</v>
      </c>
      <c r="C17" t="n">
        <v>2.9</v>
      </c>
      <c r="D17" t="n">
        <v>13.8</v>
      </c>
    </row>
    <row r="18">
      <c r="A18" t="n">
        <v>2016</v>
      </c>
      <c r="B18" t="n">
        <v>14.2</v>
      </c>
      <c r="C18" t="n">
        <v>2.8</v>
      </c>
      <c r="D18" t="n">
        <v>14.2</v>
      </c>
    </row>
    <row r="19">
      <c r="A19" t="n">
        <v>2017</v>
      </c>
      <c r="B19" t="n">
        <v>14.8</v>
      </c>
      <c r="C19" t="n">
        <v>4.8</v>
      </c>
      <c r="D19" t="n">
        <v>14.8</v>
      </c>
    </row>
    <row r="20">
      <c r="A20" t="n">
        <v>2018</v>
      </c>
      <c r="B20" t="n">
        <v>15.5</v>
      </c>
      <c r="C20" t="n">
        <v>4.7</v>
      </c>
      <c r="D20" t="n">
        <v>15.5</v>
      </c>
    </row>
    <row r="21">
      <c r="A21" t="n">
        <v>2019</v>
      </c>
      <c r="B21" t="n">
        <v>16.2</v>
      </c>
      <c r="C21" t="n">
        <v>5</v>
      </c>
      <c r="D21" t="n">
        <v>16.2</v>
      </c>
    </row>
    <row r="22">
      <c r="A22" t="n">
        <v>2020</v>
      </c>
      <c r="B22" t="n">
        <v>15.9</v>
      </c>
      <c r="C22" t="n">
        <v>-3.6</v>
      </c>
      <c r="D22" t="n">
        <v>15.9</v>
      </c>
    </row>
    <row r="23">
      <c r="A23" t="n">
        <v>2021</v>
      </c>
      <c r="B23" t="n">
        <v>17.1</v>
      </c>
      <c r="C23" t="n">
        <v>10.1</v>
      </c>
      <c r="D23" t="n">
        <v>17.1</v>
      </c>
    </row>
    <row r="24">
      <c r="A24" t="n">
        <v>2022</v>
      </c>
      <c r="B24" t="n">
        <v>18.5</v>
      </c>
      <c r="C24" t="n">
        <v>10.1</v>
      </c>
      <c r="D24" t="n">
        <v>18.5</v>
      </c>
    </row>
    <row r="25">
      <c r="A25" t="n">
        <v>2023</v>
      </c>
      <c r="B25" t="n">
        <v>19.2</v>
      </c>
      <c r="C25" t="n">
        <v>7.4</v>
      </c>
      <c r="D25" t="n">
        <v>19.2</v>
      </c>
    </row>
    <row r="26">
      <c r="A26" t="n">
        <v>2024</v>
      </c>
      <c r="B26" t="n">
        <v>20.3</v>
      </c>
      <c r="C26" t="n">
        <v>5.8</v>
      </c>
      <c r="D26" t="n">
        <v>20.3</v>
      </c>
    </row>
    <row r="27">
      <c r="A27" t="n">
        <v>2025</v>
      </c>
      <c r="B27" t="n">
        <v>21.5</v>
      </c>
      <c r="C27" t="n">
        <v>5.9</v>
      </c>
      <c r="D27" t="n">
        <v>21.5</v>
      </c>
    </row>
    <row r="28">
      <c r="A28" t="n">
        <v>2026</v>
      </c>
      <c r="B28" t="n">
        <v>22.8</v>
      </c>
      <c r="C28" t="n">
        <v>6</v>
      </c>
      <c r="D28" t="n">
        <v>22.8</v>
      </c>
    </row>
    <row r="29">
      <c r="A29" t="n">
        <v>2027</v>
      </c>
      <c r="B29" t="n">
        <v>24.2</v>
      </c>
      <c r="C29" t="n">
        <v>6.1</v>
      </c>
      <c r="D29" t="n">
        <v>24.2</v>
      </c>
    </row>
    <row r="30">
      <c r="A30" t="n">
        <v>2028</v>
      </c>
      <c r="C30" t="n">
        <v>6.1</v>
      </c>
      <c r="D30" t="n">
        <v>25.6762</v>
      </c>
    </row>
    <row r="31">
      <c r="A31" t="n">
        <v>2029</v>
      </c>
      <c r="C31" t="n">
        <v>6.1</v>
      </c>
      <c r="D31" t="n">
        <v>27.24244819999999</v>
      </c>
    </row>
    <row r="32">
      <c r="A32" t="n">
        <v>2030</v>
      </c>
      <c r="C32" t="n">
        <v>6.1</v>
      </c>
      <c r="D32" t="n">
        <v>28.90423754019999</v>
      </c>
    </row>
    <row r="33">
      <c r="A33" t="n">
        <v>2031</v>
      </c>
      <c r="C33" t="n">
        <v>6.1</v>
      </c>
      <c r="D33" t="n">
        <v>30.66739603015219</v>
      </c>
    </row>
    <row r="34">
      <c r="A34" t="n">
        <v>2032</v>
      </c>
      <c r="C34" t="n">
        <v>6.1</v>
      </c>
      <c r="D34" t="n">
        <v>32.53810718799147</v>
      </c>
    </row>
    <row r="35">
      <c r="A35" t="n">
        <v>2033</v>
      </c>
      <c r="C35" t="n">
        <v>6.1</v>
      </c>
      <c r="D35" t="n">
        <v>34.52293172645895</v>
      </c>
    </row>
    <row r="36">
      <c r="A36" t="n">
        <v>2034</v>
      </c>
      <c r="C36" t="n">
        <v>6.1</v>
      </c>
      <c r="D36" t="n">
        <v>36.62883056177294</v>
      </c>
    </row>
    <row r="37">
      <c r="A37" t="n">
        <v>2035</v>
      </c>
      <c r="C37" t="n">
        <v>6.1</v>
      </c>
      <c r="D37" t="n">
        <v>38.86318922604109</v>
      </c>
    </row>
    <row r="38">
      <c r="A38" t="n">
        <v>2036</v>
      </c>
      <c r="C38" t="n">
        <v>6.1</v>
      </c>
      <c r="D38" t="n">
        <v>41.2338437688296</v>
      </c>
    </row>
    <row r="39">
      <c r="A39" t="n">
        <v>2037</v>
      </c>
      <c r="C39" t="n">
        <v>6.1</v>
      </c>
      <c r="D39" t="n">
        <v>43.7491082387282</v>
      </c>
    </row>
    <row r="40">
      <c r="A40" t="n">
        <v>2038</v>
      </c>
      <c r="C40" t="n">
        <v>6.1</v>
      </c>
      <c r="D40" t="n">
        <v>46.41780384129062</v>
      </c>
    </row>
    <row r="41">
      <c r="A41" t="n">
        <v>2039</v>
      </c>
      <c r="C41" t="n">
        <v>6.1</v>
      </c>
      <c r="D41" t="n">
        <v>49.24928987560934</v>
      </c>
    </row>
    <row r="42">
      <c r="A42" t="n">
        <v>2040</v>
      </c>
      <c r="C42" t="n">
        <v>6.1</v>
      </c>
      <c r="D42" t="n">
        <v>52.25349655802151</v>
      </c>
    </row>
    <row r="43">
      <c r="A43" t="n">
        <v>2041</v>
      </c>
      <c r="C43" t="n">
        <v>6.1</v>
      </c>
      <c r="D43" t="n">
        <v>55.44095984806082</v>
      </c>
    </row>
    <row r="44">
      <c r="A44" t="n">
        <v>2042</v>
      </c>
      <c r="C44" t="n">
        <v>6.1</v>
      </c>
      <c r="D44" t="n">
        <v>58.82285839879253</v>
      </c>
    </row>
    <row r="45">
      <c r="A45" t="n">
        <v>2043</v>
      </c>
      <c r="C45" t="n">
        <v>6.1</v>
      </c>
      <c r="D45" t="n">
        <v>62.41105276111887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CFC (Annual)</t>
        </is>
      </c>
      <c r="C1" t="inlineStr">
        <is>
          <t>Capital Stock (K)</t>
        </is>
      </c>
      <c r="D1" t="inlineStr">
        <is>
          <t>Depreciation Rate</t>
        </is>
      </c>
    </row>
    <row r="2">
      <c r="A2" t="n">
        <v>2000</v>
      </c>
      <c r="B2" t="n">
        <v>1.2</v>
      </c>
      <c r="C2" t="n">
        <v>95.2</v>
      </c>
      <c r="D2" t="n">
        <v>0.01260504201680672</v>
      </c>
    </row>
    <row r="3">
      <c r="A3" t="n">
        <v>2001</v>
      </c>
      <c r="B3" t="n">
        <v>1.3</v>
      </c>
      <c r="C3" t="n">
        <v>99.3</v>
      </c>
      <c r="D3" t="n">
        <v>0.01309164149043303</v>
      </c>
    </row>
    <row r="4">
      <c r="A4" t="n">
        <v>2002</v>
      </c>
      <c r="B4" t="n">
        <v>1.4</v>
      </c>
      <c r="C4" t="n">
        <v>104.1</v>
      </c>
      <c r="D4" t="n">
        <v>0.01344860710854947</v>
      </c>
    </row>
    <row r="5">
      <c r="A5" t="n">
        <v>2003</v>
      </c>
      <c r="B5" t="n">
        <v>1.6</v>
      </c>
      <c r="C5" t="n">
        <v>115.8</v>
      </c>
      <c r="D5" t="n">
        <v>0.01381692573402418</v>
      </c>
    </row>
    <row r="6">
      <c r="A6" t="n">
        <v>2004</v>
      </c>
      <c r="B6" t="n">
        <v>1.8</v>
      </c>
      <c r="C6" t="n">
        <v>127.6</v>
      </c>
      <c r="D6" t="n">
        <v>0.01410658307210031</v>
      </c>
    </row>
    <row r="7">
      <c r="A7" t="n">
        <v>2005</v>
      </c>
      <c r="B7" t="n">
        <v>2</v>
      </c>
      <c r="C7" t="n">
        <v>140.2</v>
      </c>
      <c r="D7" t="n">
        <v>0.01426533523537803</v>
      </c>
    </row>
    <row r="8">
      <c r="A8" t="n">
        <v>2006</v>
      </c>
      <c r="B8" t="n">
        <v>2.3</v>
      </c>
      <c r="C8" t="n">
        <v>153.8</v>
      </c>
      <c r="D8" t="n">
        <v>0.01495448634590377</v>
      </c>
    </row>
    <row r="9">
      <c r="A9" t="n">
        <v>2007</v>
      </c>
      <c r="B9" t="n">
        <v>2.6</v>
      </c>
      <c r="C9" t="n">
        <v>172.5</v>
      </c>
      <c r="D9" t="n">
        <v>0.01507246376811594</v>
      </c>
    </row>
    <row r="10">
      <c r="A10" t="n">
        <v>2008</v>
      </c>
      <c r="B10" t="n">
        <v>2.8</v>
      </c>
      <c r="C10" t="n">
        <v>178.2</v>
      </c>
      <c r="D10" t="n">
        <v>0.01571268237934905</v>
      </c>
    </row>
    <row r="11">
      <c r="A11" t="n">
        <v>2009</v>
      </c>
      <c r="B11" t="n">
        <v>2.7</v>
      </c>
      <c r="C11" t="n">
        <v>174.1</v>
      </c>
      <c r="D11" t="n">
        <v>0.01550832854681218</v>
      </c>
    </row>
    <row r="12">
      <c r="A12" t="n">
        <v>2010</v>
      </c>
      <c r="B12" t="n">
        <v>2.9</v>
      </c>
      <c r="C12" t="n">
        <v>182.4</v>
      </c>
      <c r="D12" t="n">
        <v>0.01589912280701754</v>
      </c>
    </row>
    <row r="13">
      <c r="A13" t="n">
        <v>2011</v>
      </c>
      <c r="B13" t="n">
        <v>3.2</v>
      </c>
      <c r="C13" t="n">
        <v>195.2</v>
      </c>
      <c r="D13" t="n">
        <v>0.01639344262295082</v>
      </c>
    </row>
    <row r="14">
      <c r="A14" t="n">
        <v>2012</v>
      </c>
      <c r="B14" t="n">
        <v>3.5</v>
      </c>
      <c r="C14" t="n">
        <v>208.1</v>
      </c>
      <c r="D14" t="n">
        <v>0.01681883709754926</v>
      </c>
    </row>
    <row r="15">
      <c r="A15" t="n">
        <v>2013</v>
      </c>
      <c r="B15" t="n">
        <v>3.7</v>
      </c>
      <c r="C15" t="n">
        <v>215.3</v>
      </c>
      <c r="D15" t="n">
        <v>0.01718532280538783</v>
      </c>
    </row>
    <row r="16">
      <c r="A16" t="n">
        <v>2014</v>
      </c>
      <c r="B16" t="n">
        <v>3.8</v>
      </c>
      <c r="C16" t="n">
        <v>221.8</v>
      </c>
      <c r="D16" t="n">
        <v>0.01713255184851217</v>
      </c>
    </row>
    <row r="17">
      <c r="A17" t="n">
        <v>2015</v>
      </c>
      <c r="B17" t="n">
        <v>4</v>
      </c>
      <c r="C17" t="n">
        <v>228.5</v>
      </c>
      <c r="D17" t="n">
        <v>0.0175054704595186</v>
      </c>
    </row>
    <row r="18">
      <c r="A18" t="n">
        <v>2016</v>
      </c>
      <c r="B18" t="n">
        <v>4.2</v>
      </c>
      <c r="C18" t="n">
        <v>235.2</v>
      </c>
      <c r="D18" t="n">
        <v>0.01785714285714286</v>
      </c>
    </row>
    <row r="19">
      <c r="A19" t="n">
        <v>2017</v>
      </c>
      <c r="B19" t="n">
        <v>4.5</v>
      </c>
      <c r="C19" t="n">
        <v>246.8</v>
      </c>
      <c r="D19" t="n">
        <v>0.01823338735818476</v>
      </c>
    </row>
    <row r="20">
      <c r="A20" t="n">
        <v>2018</v>
      </c>
      <c r="B20" t="n">
        <v>4.8</v>
      </c>
      <c r="C20" t="n">
        <v>259.4</v>
      </c>
      <c r="D20" t="n">
        <v>0.01850424055512722</v>
      </c>
    </row>
    <row r="21">
      <c r="A21" t="n">
        <v>2019</v>
      </c>
      <c r="B21" t="n">
        <v>5.1</v>
      </c>
      <c r="C21" t="n">
        <v>272.8</v>
      </c>
      <c r="D21" t="n">
        <v>0.0186950146627566</v>
      </c>
    </row>
    <row r="22">
      <c r="A22" t="n">
        <v>2020</v>
      </c>
      <c r="B22" t="n">
        <v>5.2</v>
      </c>
      <c r="C22" t="n">
        <v>268.5</v>
      </c>
      <c r="D22" t="n">
        <v>0.01936685288640596</v>
      </c>
    </row>
    <row r="23">
      <c r="A23" t="n">
        <v>2021</v>
      </c>
      <c r="B23" t="n">
        <v>5.5</v>
      </c>
      <c r="C23" t="n">
        <v>285.6</v>
      </c>
      <c r="D23" t="n">
        <v>0.01925770308123249</v>
      </c>
    </row>
    <row r="24">
      <c r="A24" t="n">
        <v>2022</v>
      </c>
      <c r="B24" t="n">
        <v>5.8</v>
      </c>
      <c r="C24" t="n">
        <v>305.2</v>
      </c>
      <c r="D24" t="n">
        <v>0.01900393184796854</v>
      </c>
    </row>
    <row r="25">
      <c r="A25" t="n">
        <v>2023</v>
      </c>
      <c r="B25" t="n">
        <v>6.1</v>
      </c>
      <c r="C25" t="n">
        <v>325.8</v>
      </c>
      <c r="D25" t="n">
        <v>0.0187231430325353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Function Analysis</t>
        </is>
      </c>
    </row>
    <row r="3">
      <c r="A3" t="inlineStr">
        <is>
          <t>Average Depreciation Rate (2015-2023)</t>
        </is>
      </c>
      <c r="B3" t="n">
        <v>0.01857187630454137</v>
      </c>
    </row>
    <row r="5">
      <c r="A5" t="inlineStr">
        <is>
          <t>HP Filter Analysis</t>
        </is>
      </c>
      <c r="O5" t="inlineStr">
        <is>
          <t>HP Filter Objective</t>
        </is>
      </c>
    </row>
    <row r="6">
      <c r="A6" t="inlineStr">
        <is>
          <t>Year</t>
        </is>
      </c>
      <c r="B6" t="inlineStr">
        <is>
          <t>Real GDP (Y)</t>
        </is>
      </c>
      <c r="C6" t="inlineStr">
        <is>
          <t>Capital Stock (K)</t>
        </is>
      </c>
      <c r="D6" t="inlineStr">
        <is>
          <t>Labor (L)</t>
        </is>
      </c>
      <c r="E6" t="inlineStr">
        <is>
          <t>LnY</t>
        </is>
      </c>
      <c r="F6" t="inlineStr">
        <is>
          <t>LnK</t>
        </is>
      </c>
      <c r="G6" t="inlineStr">
        <is>
          <t>LnL</t>
        </is>
      </c>
      <c r="H6" t="inlineStr">
        <is>
          <t>LnZ (TFP)</t>
        </is>
      </c>
      <c r="I6" t="inlineStr">
        <is>
          <t>LnZ_HP (Trend)</t>
        </is>
      </c>
      <c r="J6" t="inlineStr">
        <is>
          <t>Residual</t>
        </is>
      </c>
      <c r="K6" t="inlineStr">
        <is>
          <t>Δ²LnZ_HP</t>
        </is>
      </c>
      <c r="L6" t="inlineStr">
        <is>
          <t>LnA - Trend</t>
        </is>
      </c>
      <c r="O6" t="inlineStr">
        <is>
          <t>Lambda (λ)</t>
        </is>
      </c>
      <c r="P6" t="n">
        <v>100</v>
      </c>
    </row>
    <row r="7">
      <c r="A7" t="n">
        <v>2002</v>
      </c>
      <c r="B7" t="n">
        <v>6.2</v>
      </c>
      <c r="C7" t="n">
        <v>104.1</v>
      </c>
      <c r="D7" t="n">
        <v>1.95</v>
      </c>
      <c r="E7" t="n">
        <v>1.824549292051046</v>
      </c>
      <c r="F7" t="n">
        <v>4.645351975620923</v>
      </c>
      <c r="G7" t="n">
        <v>0.6678293725756554</v>
      </c>
      <c r="H7" t="n">
        <v>-0.2354129915904531</v>
      </c>
      <c r="I7" t="n">
        <v>-0.2076775265910449</v>
      </c>
      <c r="J7">
        <f>H7-I7</f>
        <v/>
      </c>
      <c r="K7" t="n">
        <v>0</v>
      </c>
      <c r="L7">
        <f>H7-I7</f>
        <v/>
      </c>
      <c r="O7" t="inlineStr">
        <is>
          <t>Σ(Residual)²</t>
        </is>
      </c>
    </row>
    <row r="8">
      <c r="A8" t="n">
        <v>2003</v>
      </c>
      <c r="B8" t="n">
        <v>6.7</v>
      </c>
      <c r="C8" t="n">
        <v>115.8</v>
      </c>
      <c r="D8" t="n">
        <v>1.95</v>
      </c>
      <c r="E8" t="n">
        <v>1.90210752639692</v>
      </c>
      <c r="F8" t="n">
        <v>4.751864565138895</v>
      </c>
      <c r="G8" t="n">
        <v>0.6678293725756554</v>
      </c>
      <c r="H8" t="n">
        <v>-0.1951341635758688</v>
      </c>
      <c r="I8" t="n">
        <v>-0.1570481757839063</v>
      </c>
      <c r="J8">
        <f>H8-I8</f>
        <v/>
      </c>
      <c r="K8" t="n">
        <v>0</v>
      </c>
      <c r="L8">
        <f>H8-I8</f>
        <v/>
      </c>
      <c r="O8" t="inlineStr">
        <is>
          <t>Σ(Δ²Trend)²</t>
        </is>
      </c>
    </row>
    <row r="9">
      <c r="A9" t="n">
        <v>2004</v>
      </c>
      <c r="B9" t="n">
        <v>7.4</v>
      </c>
      <c r="C9" t="n">
        <v>127.6</v>
      </c>
      <c r="D9" t="n">
        <v>1.95</v>
      </c>
      <c r="E9" t="n">
        <v>2.001480000210124</v>
      </c>
      <c r="F9" t="n">
        <v>4.848900370910689</v>
      </c>
      <c r="G9" t="n">
        <v>0.6678293725756554</v>
      </c>
      <c r="H9" t="n">
        <v>-0.129724221782793</v>
      </c>
      <c r="I9" t="n">
        <v>-0.1066920764833177</v>
      </c>
      <c r="J9">
        <f>H9-I9</f>
        <v/>
      </c>
      <c r="K9">
        <f>I9-2*I8+I7</f>
        <v/>
      </c>
      <c r="L9">
        <f>H9-I9</f>
        <v/>
      </c>
      <c r="O9" t="inlineStr">
        <is>
          <t>Objective Function</t>
        </is>
      </c>
      <c r="P9">
        <f>100*SUMPRODUCT(J7:J28,J7:J28) + SUMPRODUCT(K9:K28,K9:K28)</f>
        <v/>
      </c>
    </row>
    <row r="10">
      <c r="A10" t="n">
        <v>2005</v>
      </c>
      <c r="B10" t="n">
        <v>8.199999999999999</v>
      </c>
      <c r="C10" t="n">
        <v>140.2</v>
      </c>
      <c r="D10" t="n">
        <v>1.95</v>
      </c>
      <c r="E10" t="n">
        <v>2.104134154270207</v>
      </c>
      <c r="F10" t="n">
        <v>4.94306997460049</v>
      </c>
      <c r="G10" t="n">
        <v>0.6678293725756554</v>
      </c>
      <c r="H10" t="n">
        <v>-0.06002942901413993</v>
      </c>
      <c r="I10" t="n">
        <v>-0.05724881454628473</v>
      </c>
      <c r="J10">
        <f>H10-I10</f>
        <v/>
      </c>
      <c r="K10">
        <f>I10-2*I9+I8</f>
        <v/>
      </c>
      <c r="L10">
        <f>H10-I10</f>
        <v/>
      </c>
    </row>
    <row r="11">
      <c r="A11" t="n">
        <v>2006</v>
      </c>
      <c r="B11" t="n">
        <v>9.1</v>
      </c>
      <c r="C11" t="n">
        <v>153.8</v>
      </c>
      <c r="D11" t="n">
        <v>1.95</v>
      </c>
      <c r="E11" t="n">
        <v>2.208274413522804</v>
      </c>
      <c r="F11" t="n">
        <v>5.035653057071544</v>
      </c>
      <c r="G11" t="n">
        <v>0.6678293725756554</v>
      </c>
      <c r="H11" t="n">
        <v>0.01170675137358795</v>
      </c>
      <c r="I11" t="n">
        <v>-0.009572615169528925</v>
      </c>
      <c r="J11">
        <f>H11-I11</f>
        <v/>
      </c>
      <c r="K11">
        <f>I11-2*I10+I9</f>
        <v/>
      </c>
      <c r="L11">
        <f>H11-I11</f>
        <v/>
      </c>
    </row>
    <row r="12">
      <c r="A12" t="n">
        <v>2007</v>
      </c>
      <c r="B12" t="n">
        <v>10.2</v>
      </c>
      <c r="C12" t="n">
        <v>172.5</v>
      </c>
      <c r="D12" t="n">
        <v>1.95</v>
      </c>
      <c r="E12" t="n">
        <v>2.322387720290225</v>
      </c>
      <c r="F12" t="n">
        <v>5.150397236471415</v>
      </c>
      <c r="G12" t="n">
        <v>0.6678293725756554</v>
      </c>
      <c r="H12" t="n">
        <v>0.08565959535105411</v>
      </c>
      <c r="I12" t="n">
        <v>0.03547096816676844</v>
      </c>
      <c r="J12">
        <f>H12-I12</f>
        <v/>
      </c>
      <c r="K12">
        <f>I12-2*I11+I10</f>
        <v/>
      </c>
      <c r="L12">
        <f>H12-I12</f>
        <v/>
      </c>
    </row>
    <row r="13">
      <c r="A13" t="n">
        <v>2008</v>
      </c>
      <c r="B13" t="n">
        <v>10.8</v>
      </c>
      <c r="C13" t="n">
        <v>178.2</v>
      </c>
      <c r="D13" t="n">
        <v>1.95</v>
      </c>
      <c r="E13" t="n">
        <v>2.379546134130174</v>
      </c>
      <c r="F13" t="n">
        <v>5.182906515036709</v>
      </c>
      <c r="G13" t="n">
        <v>0.6678293725756554</v>
      </c>
      <c r="H13" t="n">
        <v>0.1314397616931499</v>
      </c>
      <c r="I13" t="n">
        <v>0.07724595154062598</v>
      </c>
      <c r="J13">
        <f>H13-I13</f>
        <v/>
      </c>
      <c r="K13">
        <f>I13-2*I12+I11</f>
        <v/>
      </c>
      <c r="L13">
        <f>H13-I13</f>
        <v/>
      </c>
    </row>
    <row r="14">
      <c r="A14" t="n">
        <v>2009</v>
      </c>
      <c r="B14" t="n">
        <v>10.5</v>
      </c>
      <c r="C14" t="n">
        <v>174.1</v>
      </c>
      <c r="D14" t="n">
        <v>1.95</v>
      </c>
      <c r="E14" t="n">
        <v>2.351375257163478</v>
      </c>
      <c r="F14" t="n">
        <v>5.159629846774143</v>
      </c>
      <c r="G14" t="n">
        <v>0.6678293725756554</v>
      </c>
      <c r="H14" t="n">
        <v>0.1114157186183517</v>
      </c>
      <c r="I14" t="n">
        <v>0.1156347152686864</v>
      </c>
      <c r="J14">
        <f>H14-I14</f>
        <v/>
      </c>
      <c r="K14">
        <f>I14-2*I13+I12</f>
        <v/>
      </c>
      <c r="L14">
        <f>H14-I14</f>
        <v/>
      </c>
    </row>
    <row r="15">
      <c r="A15" t="n">
        <v>2010</v>
      </c>
      <c r="B15" t="n">
        <v>10.9</v>
      </c>
      <c r="C15" t="n">
        <v>182.4</v>
      </c>
      <c r="D15" t="n">
        <v>1.95</v>
      </c>
      <c r="E15" t="n">
        <v>2.388762789235098</v>
      </c>
      <c r="F15" t="n">
        <v>5.206202077640231</v>
      </c>
      <c r="G15" t="n">
        <v>0.6678293725756554</v>
      </c>
      <c r="H15" t="n">
        <v>0.1325029698868411</v>
      </c>
      <c r="I15" t="n">
        <v>0.1510771167854136</v>
      </c>
      <c r="J15">
        <f>H15-I15</f>
        <v/>
      </c>
      <c r="K15">
        <f>I15-2*I14+I13</f>
        <v/>
      </c>
      <c r="L15">
        <f>H15-I15</f>
        <v/>
      </c>
    </row>
    <row r="16">
      <c r="A16" t="n">
        <v>2011</v>
      </c>
      <c r="B16" t="n">
        <v>11.6</v>
      </c>
      <c r="C16" t="n">
        <v>195.2</v>
      </c>
      <c r="D16" t="n">
        <v>1.95</v>
      </c>
      <c r="E16" t="n">
        <v>2.451005098112319</v>
      </c>
      <c r="F16" t="n">
        <v>5.274024673978992</v>
      </c>
      <c r="G16" t="n">
        <v>0.6678293725756554</v>
      </c>
      <c r="H16" t="n">
        <v>0.1710073700454957</v>
      </c>
      <c r="I16" t="n">
        <v>0.1839847969823929</v>
      </c>
      <c r="J16">
        <f>H16-I16</f>
        <v/>
      </c>
      <c r="K16">
        <f>I16-2*I15+I14</f>
        <v/>
      </c>
      <c r="L16">
        <f>H16-I16</f>
        <v/>
      </c>
    </row>
    <row r="17">
      <c r="A17" t="n">
        <v>2012</v>
      </c>
      <c r="B17" t="n">
        <v>12.5</v>
      </c>
      <c r="C17" t="n">
        <v>208.1</v>
      </c>
      <c r="D17" t="n">
        <v>1.95</v>
      </c>
      <c r="E17" t="n">
        <v>2.525728644308256</v>
      </c>
      <c r="F17" t="n">
        <v>5.338018733399589</v>
      </c>
      <c r="G17" t="n">
        <v>0.6678293725756554</v>
      </c>
      <c r="H17" t="n">
        <v>0.2233329954442235</v>
      </c>
      <c r="I17" t="n">
        <v>0.2145955083625435</v>
      </c>
      <c r="J17">
        <f>H17-I17</f>
        <v/>
      </c>
      <c r="K17">
        <f>I17-2*I16+I15</f>
        <v/>
      </c>
      <c r="L17">
        <f>H17-I17</f>
        <v/>
      </c>
    </row>
    <row r="18">
      <c r="A18" t="n">
        <v>2013</v>
      </c>
      <c r="B18" t="n">
        <v>13.2</v>
      </c>
      <c r="C18" t="n">
        <v>215.3</v>
      </c>
      <c r="D18" t="n">
        <v>1.95</v>
      </c>
      <c r="E18" t="n">
        <v>2.580216829592325</v>
      </c>
      <c r="F18" t="n">
        <v>5.372032404370318</v>
      </c>
      <c r="G18" t="n">
        <v>0.6678293725756554</v>
      </c>
      <c r="H18" t="n">
        <v>0.2659163958885379</v>
      </c>
      <c r="I18" t="n">
        <v>0.243026527407198</v>
      </c>
      <c r="J18">
        <f>H18-I18</f>
        <v/>
      </c>
      <c r="K18">
        <f>I18-2*I17+I16</f>
        <v/>
      </c>
      <c r="L18">
        <f>H18-I18</f>
        <v/>
      </c>
    </row>
    <row r="19">
      <c r="A19" t="n">
        <v>2014</v>
      </c>
      <c r="B19" t="n">
        <v>13.5</v>
      </c>
      <c r="C19" t="n">
        <v>221.8</v>
      </c>
      <c r="D19" t="n">
        <v>1.95</v>
      </c>
      <c r="E19" t="n">
        <v>2.602689685444384</v>
      </c>
      <c r="F19" t="n">
        <v>5.401776074916267</v>
      </c>
      <c r="G19" t="n">
        <v>0.6678293725756554</v>
      </c>
      <c r="H19" t="n">
        <v>0.2779789670495145</v>
      </c>
      <c r="I19" t="n">
        <v>0.2694889684930376</v>
      </c>
      <c r="J19">
        <f>H19-I19</f>
        <v/>
      </c>
      <c r="K19">
        <f>I19-2*I18+I17</f>
        <v/>
      </c>
      <c r="L19">
        <f>H19-I19</f>
        <v/>
      </c>
    </row>
    <row r="20">
      <c r="A20" t="n">
        <v>2015</v>
      </c>
      <c r="B20" t="n">
        <v>13.8</v>
      </c>
      <c r="C20" t="n">
        <v>228.5</v>
      </c>
      <c r="D20" t="n">
        <v>1.95</v>
      </c>
      <c r="E20" t="n">
        <v>2.624668592163159</v>
      </c>
      <c r="F20" t="n">
        <v>5.43153621033426</v>
      </c>
      <c r="G20" t="n">
        <v>0.6678293725756554</v>
      </c>
      <c r="H20" t="n">
        <v>0.2895418263719924</v>
      </c>
      <c r="I20" t="n">
        <v>0.2944263624033214</v>
      </c>
      <c r="J20">
        <f>H20-I20</f>
        <v/>
      </c>
      <c r="K20">
        <f>I20-2*I19+I18</f>
        <v/>
      </c>
      <c r="L20">
        <f>H20-I20</f>
        <v/>
      </c>
    </row>
    <row r="21">
      <c r="A21" t="n">
        <v>2016</v>
      </c>
      <c r="B21" t="n">
        <v>14.2</v>
      </c>
      <c r="C21" t="n">
        <v>235.2</v>
      </c>
      <c r="D21" t="n">
        <v>1.95</v>
      </c>
      <c r="E21" t="n">
        <v>2.653241964607215</v>
      </c>
      <c r="F21" t="n">
        <v>5.460436216024472</v>
      </c>
      <c r="G21" t="n">
        <v>0.6678293725756554</v>
      </c>
      <c r="H21" t="n">
        <v>0.3080001968244738</v>
      </c>
      <c r="I21" t="n">
        <v>0.3183677705000465</v>
      </c>
      <c r="J21">
        <f>H21-I21</f>
        <v/>
      </c>
      <c r="K21">
        <f>I21-2*I20+I19</f>
        <v/>
      </c>
      <c r="L21">
        <f>H21-I21</f>
        <v/>
      </c>
    </row>
    <row r="22">
      <c r="A22" t="n">
        <v>2017</v>
      </c>
      <c r="B22" t="n">
        <v>14.8</v>
      </c>
      <c r="C22" t="n">
        <v>246.8</v>
      </c>
      <c r="D22" t="n">
        <v>1.95</v>
      </c>
      <c r="E22" t="n">
        <v>2.694627180770069</v>
      </c>
      <c r="F22" t="n">
        <v>5.508578292031233</v>
      </c>
      <c r="G22" t="n">
        <v>0.6678293725756554</v>
      </c>
      <c r="H22" t="n">
        <v>0.3325356863849617</v>
      </c>
      <c r="I22" t="n">
        <v>0.3417913599472036</v>
      </c>
      <c r="J22">
        <f>H22-I22</f>
        <v/>
      </c>
      <c r="K22">
        <f>I22-2*I21+I20</f>
        <v/>
      </c>
      <c r="L22">
        <f>H22-I22</f>
        <v/>
      </c>
    </row>
    <row r="23">
      <c r="A23" t="n">
        <v>2018</v>
      </c>
      <c r="B23" t="n">
        <v>15.5</v>
      </c>
      <c r="C23" t="n">
        <v>259.4</v>
      </c>
      <c r="D23" t="n">
        <v>1.95</v>
      </c>
      <c r="E23" t="n">
        <v>2.740840023925201</v>
      </c>
      <c r="F23" t="n">
        <v>5.558371271882343</v>
      </c>
      <c r="G23" t="n">
        <v>0.6678293725756554</v>
      </c>
      <c r="H23" t="n">
        <v>0.3613209865922046</v>
      </c>
      <c r="I23" t="n">
        <v>0.3650672190719922</v>
      </c>
      <c r="J23">
        <f>H23-I23</f>
        <v/>
      </c>
      <c r="K23">
        <f>I23-2*I22+I21</f>
        <v/>
      </c>
      <c r="L23">
        <f>H23-I23</f>
        <v/>
      </c>
    </row>
    <row r="24">
      <c r="A24" t="n">
        <v>2019</v>
      </c>
      <c r="B24" t="n">
        <v>16.2</v>
      </c>
      <c r="C24" t="n">
        <v>272.8</v>
      </c>
      <c r="D24" t="n">
        <v>1.95</v>
      </c>
      <c r="E24" t="n">
        <v>2.785011242238338</v>
      </c>
      <c r="F24" t="n">
        <v>5.608738925969307</v>
      </c>
      <c r="G24" t="n">
        <v>0.6678293725756554</v>
      </c>
      <c r="H24" t="n">
        <v>0.3878635259749048</v>
      </c>
      <c r="I24" t="n">
        <v>0.3884665237892139</v>
      </c>
      <c r="J24">
        <f>H24-I24</f>
        <v/>
      </c>
      <c r="K24">
        <f>I24-2*I23+I22</f>
        <v/>
      </c>
      <c r="L24">
        <f>H24-I24</f>
        <v/>
      </c>
    </row>
    <row r="25">
      <c r="A25" t="n">
        <v>2020</v>
      </c>
      <c r="B25" t="n">
        <v>15.9</v>
      </c>
      <c r="C25" t="n">
        <v>268.5</v>
      </c>
      <c r="D25" t="n">
        <v>1.95</v>
      </c>
      <c r="E25" t="n">
        <v>2.766319109226186</v>
      </c>
      <c r="F25" t="n">
        <v>5.59285091394892</v>
      </c>
      <c r="G25" t="n">
        <v>0.6678293725756554</v>
      </c>
      <c r="H25" t="n">
        <v>0.3747321971698882</v>
      </c>
      <c r="I25" t="n">
        <v>0.4122151125248473</v>
      </c>
      <c r="J25">
        <f>H25-I25</f>
        <v/>
      </c>
      <c r="K25">
        <f>I25-2*I24+I23</f>
        <v/>
      </c>
      <c r="L25">
        <f>H25-I25</f>
        <v/>
      </c>
    </row>
    <row r="26">
      <c r="A26" t="n">
        <v>2021</v>
      </c>
      <c r="B26" t="n">
        <v>17.1</v>
      </c>
      <c r="C26" t="n">
        <v>285.6</v>
      </c>
      <c r="D26" t="n">
        <v>1.95</v>
      </c>
      <c r="E26" t="n">
        <v>2.839078463508614</v>
      </c>
      <c r="F26" t="n">
        <v>5.654592230465429</v>
      </c>
      <c r="G26" t="n">
        <v>0.6678293725756554</v>
      </c>
      <c r="H26" t="n">
        <v>0.4258820906715383</v>
      </c>
      <c r="I26" t="n">
        <v>0.4365238186539211</v>
      </c>
      <c r="J26">
        <f>H26-I26</f>
        <v/>
      </c>
      <c r="K26">
        <f>I26-2*I25+I24</f>
        <v/>
      </c>
      <c r="L26">
        <f>H26-I26</f>
        <v/>
      </c>
    </row>
    <row r="27">
      <c r="A27" t="n">
        <v>2022</v>
      </c>
      <c r="B27" t="n">
        <v>18.5</v>
      </c>
      <c r="C27" t="n">
        <v>305.2</v>
      </c>
      <c r="D27" t="n">
        <v>1.95</v>
      </c>
      <c r="E27" t="n">
        <v>2.917770732084279</v>
      </c>
      <c r="F27" t="n">
        <v>5.720967299410302</v>
      </c>
      <c r="G27" t="n">
        <v>0.6678293725756554</v>
      </c>
      <c r="H27" t="n">
        <v>0.4813430851164972</v>
      </c>
      <c r="I27" t="n">
        <v>0.4612189361873477</v>
      </c>
      <c r="J27">
        <f>H27-I27</f>
        <v/>
      </c>
      <c r="K27">
        <f>I27-2*I26+I25</f>
        <v/>
      </c>
      <c r="L27">
        <f>H27-I27</f>
        <v/>
      </c>
    </row>
    <row r="28">
      <c r="A28" t="n">
        <v>2023</v>
      </c>
      <c r="B28" t="n">
        <v>19.2</v>
      </c>
      <c r="C28" t="n">
        <v>325.8</v>
      </c>
      <c r="D28" t="n">
        <v>1.95</v>
      </c>
      <c r="E28" t="n">
        <v>2.954910279033736</v>
      </c>
      <c r="F28" t="n">
        <v>5.786283696167945</v>
      </c>
      <c r="G28" t="n">
        <v>0.6678293725756554</v>
      </c>
      <c r="H28" t="n">
        <v>0.4956218932007794</v>
      </c>
      <c r="I28" t="n">
        <v>0.4860101709433485</v>
      </c>
      <c r="J28">
        <f>H28-I28</f>
        <v/>
      </c>
      <c r="K28">
        <f>I28-2*I27+I26</f>
        <v/>
      </c>
      <c r="L28">
        <f>H28-I28</f>
        <v/>
      </c>
    </row>
    <row r="35">
      <c r="A35" t="inlineStr">
        <is>
          <t>Production Function with Investment Shock</t>
        </is>
      </c>
    </row>
    <row r="36">
      <c r="A36" t="inlineStr">
        <is>
          <t>Year</t>
        </is>
      </c>
      <c r="B36" t="inlineStr">
        <is>
          <t>Real GDP (Y)</t>
        </is>
      </c>
      <c r="C36" t="inlineStr">
        <is>
          <t>Capital (K)</t>
        </is>
      </c>
      <c r="D36" t="inlineStr">
        <is>
          <t>K/Y Ratio</t>
        </is>
      </c>
      <c r="E36" t="inlineStr">
        <is>
          <t>Labor (L)</t>
        </is>
      </c>
      <c r="F36" t="inlineStr">
        <is>
          <t>LnA_Trend</t>
        </is>
      </c>
      <c r="G36" t="inlineStr">
        <is>
          <t>Investment (Shock)</t>
        </is>
      </c>
      <c r="H36" t="inlineStr">
        <is>
          <t>ΔK (Capital Change)</t>
        </is>
      </c>
      <c r="I36" t="inlineStr">
        <is>
          <t>K_With (New Capital)</t>
        </is>
      </c>
      <c r="J36" t="inlineStr">
        <is>
          <t>Ystar_Base</t>
        </is>
      </c>
      <c r="K36" t="inlineStr">
        <is>
          <t>Ystar_With</t>
        </is>
      </c>
      <c r="L36" t="inlineStr">
        <is>
          <t>Shock Effect</t>
        </is>
      </c>
      <c r="M36" t="inlineStr">
        <is>
          <t>Shock Effect (%)</t>
        </is>
      </c>
    </row>
    <row r="37">
      <c r="A37" t="n">
        <v>2002</v>
      </c>
      <c r="B37">
        <f>WEO_Data!D4</f>
        <v/>
      </c>
      <c r="D37">
        <f>CFC data!C4/WEO_Data!D4</f>
        <v/>
      </c>
      <c r="E37" t="n">
        <v>1.95</v>
      </c>
      <c r="F37">
        <f>Production!I7</f>
        <v/>
      </c>
      <c r="G37">
        <f>Investment!D2</f>
        <v/>
      </c>
      <c r="H37">
        <f>G37</f>
        <v/>
      </c>
      <c r="I37">
        <f>CFC data!C4 + H37</f>
        <v/>
      </c>
      <c r="J37">
        <f>EXP(F37 + 0.35*LN(CFC data!C4) + 0.65*LN(E37))</f>
        <v/>
      </c>
      <c r="K37">
        <f>EXP(F37 + 0.35*LN(I37) + 0.65*LN(E37))</f>
        <v/>
      </c>
      <c r="L37">
        <f>K37-J37</f>
        <v/>
      </c>
      <c r="M37">
        <f>L37/J37*100</f>
        <v/>
      </c>
    </row>
    <row r="38">
      <c r="A38" t="n">
        <v>2003</v>
      </c>
      <c r="B38">
        <f>WEO_Data!D5</f>
        <v/>
      </c>
      <c r="D38">
        <f>CFC data!C5/WEO_Data!D5</f>
        <v/>
      </c>
      <c r="E38" t="n">
        <v>1.95</v>
      </c>
      <c r="F38">
        <f>Production!I8</f>
        <v/>
      </c>
      <c r="G38">
        <f>Investment!D3</f>
        <v/>
      </c>
      <c r="H38">
        <f>G38</f>
        <v/>
      </c>
      <c r="I38">
        <f>I37*(1-PWT!B4) + H38</f>
        <v/>
      </c>
      <c r="J38">
        <f>EXP(F38 + 0.35*LN(CFC data!C5) + 0.65*LN(E38))</f>
        <v/>
      </c>
      <c r="K38">
        <f>EXP(F38 + 0.35*LN(I38) + 0.65*LN(E38))</f>
        <v/>
      </c>
      <c r="L38">
        <f>K38-J38</f>
        <v/>
      </c>
      <c r="M38">
        <f>L38/J38*100</f>
        <v/>
      </c>
    </row>
    <row r="39">
      <c r="A39" t="n">
        <v>2004</v>
      </c>
      <c r="B39">
        <f>WEO_Data!D6</f>
        <v/>
      </c>
      <c r="D39">
        <f>CFC data!C6/WEO_Data!D6</f>
        <v/>
      </c>
      <c r="E39" t="n">
        <v>1.95</v>
      </c>
      <c r="F39">
        <f>Production!I9</f>
        <v/>
      </c>
      <c r="G39">
        <f>Investment!D4</f>
        <v/>
      </c>
      <c r="H39">
        <f>G39</f>
        <v/>
      </c>
      <c r="I39">
        <f>I38*(1-PWT!B4) + H39</f>
        <v/>
      </c>
      <c r="J39">
        <f>EXP(F39 + 0.35*LN(CFC data!C6) + 0.65*LN(E39))</f>
        <v/>
      </c>
      <c r="K39">
        <f>EXP(F39 + 0.35*LN(I39) + 0.65*LN(E39))</f>
        <v/>
      </c>
      <c r="L39">
        <f>K39-J39</f>
        <v/>
      </c>
      <c r="M39">
        <f>L39/J39*100</f>
        <v/>
      </c>
    </row>
    <row r="40">
      <c r="A40" t="n">
        <v>2005</v>
      </c>
      <c r="B40">
        <f>WEO_Data!D7</f>
        <v/>
      </c>
      <c r="D40">
        <f>CFC data!C7/WEO_Data!D7</f>
        <v/>
      </c>
      <c r="E40" t="n">
        <v>1.95</v>
      </c>
      <c r="F40">
        <f>Production!I10</f>
        <v/>
      </c>
      <c r="G40">
        <f>Investment!D5</f>
        <v/>
      </c>
      <c r="H40">
        <f>G40</f>
        <v/>
      </c>
      <c r="I40">
        <f>I39*(1-PWT!B4) + H40</f>
        <v/>
      </c>
      <c r="J40">
        <f>EXP(F40 + 0.35*LN(CFC data!C7) + 0.65*LN(E40))</f>
        <v/>
      </c>
      <c r="K40">
        <f>EXP(F40 + 0.35*LN(I40) + 0.65*LN(E40))</f>
        <v/>
      </c>
      <c r="L40">
        <f>K40-J40</f>
        <v/>
      </c>
      <c r="M40">
        <f>L40/J40*100</f>
        <v/>
      </c>
    </row>
    <row r="41">
      <c r="A41" t="n">
        <v>2006</v>
      </c>
      <c r="B41">
        <f>WEO_Data!D8</f>
        <v/>
      </c>
      <c r="D41">
        <f>CFC data!C8/WEO_Data!D8</f>
        <v/>
      </c>
      <c r="E41" t="n">
        <v>1.95</v>
      </c>
      <c r="F41">
        <f>Production!I11</f>
        <v/>
      </c>
      <c r="G41">
        <f>Investment!D6</f>
        <v/>
      </c>
      <c r="H41">
        <f>G41</f>
        <v/>
      </c>
      <c r="I41">
        <f>I40*(1-PWT!B4) + H41</f>
        <v/>
      </c>
      <c r="J41">
        <f>EXP(F41 + 0.35*LN(CFC data!C8) + 0.65*LN(E41))</f>
        <v/>
      </c>
      <c r="K41">
        <f>EXP(F41 + 0.35*LN(I41) + 0.65*LN(E41))</f>
        <v/>
      </c>
      <c r="L41">
        <f>K41-J41</f>
        <v/>
      </c>
      <c r="M41">
        <f>L41/J41*100</f>
        <v/>
      </c>
    </row>
    <row r="42">
      <c r="A42" t="n">
        <v>2007</v>
      </c>
      <c r="B42">
        <f>WEO_Data!D9</f>
        <v/>
      </c>
      <c r="D42">
        <f>CFC data!C9/WEO_Data!D9</f>
        <v/>
      </c>
      <c r="E42" t="n">
        <v>1.95</v>
      </c>
      <c r="F42">
        <f>Production!I12</f>
        <v/>
      </c>
      <c r="G42">
        <f>Investment!D7</f>
        <v/>
      </c>
      <c r="H42">
        <f>G42</f>
        <v/>
      </c>
      <c r="I42">
        <f>I41*(1-PWT!B4) + H42</f>
        <v/>
      </c>
      <c r="J42">
        <f>EXP(F42 + 0.35*LN(CFC data!C9) + 0.65*LN(E42))</f>
        <v/>
      </c>
      <c r="K42">
        <f>EXP(F42 + 0.35*LN(I42) + 0.65*LN(E42))</f>
        <v/>
      </c>
      <c r="L42">
        <f>K42-J42</f>
        <v/>
      </c>
      <c r="M42">
        <f>L42/J42*100</f>
        <v/>
      </c>
    </row>
    <row r="43">
      <c r="A43" t="n">
        <v>2008</v>
      </c>
      <c r="B43">
        <f>WEO_Data!D10</f>
        <v/>
      </c>
      <c r="D43">
        <f>CFC data!C10/WEO_Data!D10</f>
        <v/>
      </c>
      <c r="E43" t="n">
        <v>1.95</v>
      </c>
      <c r="F43">
        <f>Production!I13</f>
        <v/>
      </c>
      <c r="G43">
        <f>Investment!D8</f>
        <v/>
      </c>
      <c r="H43">
        <f>G43</f>
        <v/>
      </c>
      <c r="I43">
        <f>I42*(1-PWT!B4) + H43</f>
        <v/>
      </c>
      <c r="J43">
        <f>EXP(F43 + 0.35*LN(CFC data!C10) + 0.65*LN(E43))</f>
        <v/>
      </c>
      <c r="K43">
        <f>EXP(F43 + 0.35*LN(I43) + 0.65*LN(E43))</f>
        <v/>
      </c>
      <c r="L43">
        <f>K43-J43</f>
        <v/>
      </c>
      <c r="M43">
        <f>L43/J43*100</f>
        <v/>
      </c>
    </row>
    <row r="44">
      <c r="A44" t="n">
        <v>2009</v>
      </c>
      <c r="B44">
        <f>WEO_Data!D11</f>
        <v/>
      </c>
      <c r="D44">
        <f>CFC data!C11/WEO_Data!D11</f>
        <v/>
      </c>
      <c r="E44" t="n">
        <v>1.95</v>
      </c>
      <c r="F44">
        <f>Production!I14</f>
        <v/>
      </c>
      <c r="G44">
        <f>Investment!D9</f>
        <v/>
      </c>
      <c r="H44">
        <f>G44</f>
        <v/>
      </c>
      <c r="I44">
        <f>I43*(1-PWT!B4) + H44</f>
        <v/>
      </c>
      <c r="J44">
        <f>EXP(F44 + 0.35*LN(CFC data!C11) + 0.65*LN(E44))</f>
        <v/>
      </c>
      <c r="K44">
        <f>EXP(F44 + 0.35*LN(I44) + 0.65*LN(E44))</f>
        <v/>
      </c>
      <c r="L44">
        <f>K44-J44</f>
        <v/>
      </c>
      <c r="M44">
        <f>L44/J44*100</f>
        <v/>
      </c>
    </row>
    <row r="45">
      <c r="A45" t="n">
        <v>2010</v>
      </c>
      <c r="B45">
        <f>WEO_Data!D12</f>
        <v/>
      </c>
      <c r="D45">
        <f>CFC data!C12/WEO_Data!D12</f>
        <v/>
      </c>
      <c r="E45" t="n">
        <v>1.95</v>
      </c>
      <c r="F45">
        <f>Production!I15</f>
        <v/>
      </c>
      <c r="G45">
        <f>Investment!D10</f>
        <v/>
      </c>
      <c r="H45">
        <f>G45</f>
        <v/>
      </c>
      <c r="I45">
        <f>I44*(1-PWT!B4) + H45</f>
        <v/>
      </c>
      <c r="J45">
        <f>EXP(F45 + 0.35*LN(CFC data!C12) + 0.65*LN(E45))</f>
        <v/>
      </c>
      <c r="K45">
        <f>EXP(F45 + 0.35*LN(I45) + 0.65*LN(E45))</f>
        <v/>
      </c>
      <c r="L45">
        <f>K45-J45</f>
        <v/>
      </c>
      <c r="M45">
        <f>L45/J45*100</f>
        <v/>
      </c>
    </row>
    <row r="46">
      <c r="A46" t="n">
        <v>2011</v>
      </c>
      <c r="B46">
        <f>WEO_Data!D13</f>
        <v/>
      </c>
      <c r="D46">
        <f>CFC data!C13/WEO_Data!D13</f>
        <v/>
      </c>
      <c r="E46" t="n">
        <v>1.95</v>
      </c>
      <c r="F46">
        <f>Production!I16</f>
        <v/>
      </c>
      <c r="G46">
        <f>Investment!D11</f>
        <v/>
      </c>
      <c r="H46">
        <f>G46</f>
        <v/>
      </c>
      <c r="I46">
        <f>I45*(1-PWT!B4) + H46</f>
        <v/>
      </c>
      <c r="J46">
        <f>EXP(F46 + 0.35*LN(CFC data!C13) + 0.65*LN(E46))</f>
        <v/>
      </c>
      <c r="K46">
        <f>EXP(F46 + 0.35*LN(I46) + 0.65*LN(E46))</f>
        <v/>
      </c>
      <c r="L46">
        <f>K46-J46</f>
        <v/>
      </c>
      <c r="M46">
        <f>L46/J46*100</f>
        <v/>
      </c>
    </row>
    <row r="47">
      <c r="A47" t="n">
        <v>2012</v>
      </c>
      <c r="B47">
        <f>WEO_Data!D14</f>
        <v/>
      </c>
      <c r="D47">
        <f>CFC data!C14/WEO_Data!D14</f>
        <v/>
      </c>
      <c r="E47" t="n">
        <v>1.95</v>
      </c>
      <c r="F47">
        <f>Production!I17</f>
        <v/>
      </c>
      <c r="G47">
        <f>Investment!D12</f>
        <v/>
      </c>
      <c r="H47">
        <f>G47</f>
        <v/>
      </c>
      <c r="I47">
        <f>I46*(1-PWT!B4) + H47</f>
        <v/>
      </c>
      <c r="J47">
        <f>EXP(F47 + 0.35*LN(CFC data!C14) + 0.65*LN(E47))</f>
        <v/>
      </c>
      <c r="K47">
        <f>EXP(F47 + 0.35*LN(I47) + 0.65*LN(E47))</f>
        <v/>
      </c>
      <c r="L47">
        <f>K47-J47</f>
        <v/>
      </c>
      <c r="M47">
        <f>L47/J47*100</f>
        <v/>
      </c>
    </row>
    <row r="48">
      <c r="A48" t="n">
        <v>2013</v>
      </c>
      <c r="B48">
        <f>WEO_Data!D15</f>
        <v/>
      </c>
      <c r="D48">
        <f>CFC data!C15/WEO_Data!D15</f>
        <v/>
      </c>
      <c r="E48" t="n">
        <v>1.95</v>
      </c>
      <c r="F48">
        <f>Production!I18</f>
        <v/>
      </c>
      <c r="G48">
        <f>Investment!D13</f>
        <v/>
      </c>
      <c r="H48">
        <f>G48</f>
        <v/>
      </c>
      <c r="I48">
        <f>I47*(1-PWT!B4) + H48</f>
        <v/>
      </c>
      <c r="J48">
        <f>EXP(F48 + 0.35*LN(CFC data!C15) + 0.65*LN(E48))</f>
        <v/>
      </c>
      <c r="K48">
        <f>EXP(F48 + 0.35*LN(I48) + 0.65*LN(E48))</f>
        <v/>
      </c>
      <c r="L48">
        <f>K48-J48</f>
        <v/>
      </c>
      <c r="M48">
        <f>L48/J48*100</f>
        <v/>
      </c>
    </row>
    <row r="49">
      <c r="A49" t="n">
        <v>2014</v>
      </c>
      <c r="B49">
        <f>WEO_Data!D16</f>
        <v/>
      </c>
      <c r="D49">
        <f>CFC data!C16/WEO_Data!D16</f>
        <v/>
      </c>
      <c r="E49" t="n">
        <v>1.95</v>
      </c>
      <c r="F49">
        <f>Production!I19</f>
        <v/>
      </c>
      <c r="G49">
        <f>Investment!D14</f>
        <v/>
      </c>
      <c r="H49">
        <f>G49</f>
        <v/>
      </c>
      <c r="I49">
        <f>I48*(1-PWT!B4) + H49</f>
        <v/>
      </c>
      <c r="J49">
        <f>EXP(F49 + 0.35*LN(CFC data!C16) + 0.65*LN(E49))</f>
        <v/>
      </c>
      <c r="K49">
        <f>EXP(F49 + 0.35*LN(I49) + 0.65*LN(E49))</f>
        <v/>
      </c>
      <c r="L49">
        <f>K49-J49</f>
        <v/>
      </c>
      <c r="M49">
        <f>L49/J49*100</f>
        <v/>
      </c>
    </row>
    <row r="50">
      <c r="A50" t="n">
        <v>2015</v>
      </c>
      <c r="B50">
        <f>WEO_Data!D17</f>
        <v/>
      </c>
      <c r="D50">
        <f>CFC data!C17/WEO_Data!D17</f>
        <v/>
      </c>
      <c r="E50" t="n">
        <v>1.95</v>
      </c>
      <c r="F50">
        <f>Production!I20</f>
        <v/>
      </c>
      <c r="G50">
        <f>Investment!D15</f>
        <v/>
      </c>
      <c r="H50">
        <f>G50</f>
        <v/>
      </c>
      <c r="I50">
        <f>I49*(1-PWT!B4) + H50</f>
        <v/>
      </c>
      <c r="J50">
        <f>EXP(F50 + 0.35*LN(CFC data!C17) + 0.65*LN(E50))</f>
        <v/>
      </c>
      <c r="K50">
        <f>EXP(F50 + 0.35*LN(I50) + 0.65*LN(E50))</f>
        <v/>
      </c>
      <c r="L50">
        <f>K50-J50</f>
        <v/>
      </c>
      <c r="M50">
        <f>L50/J50*100</f>
        <v/>
      </c>
    </row>
    <row r="51">
      <c r="A51" t="n">
        <v>2016</v>
      </c>
      <c r="B51">
        <f>WEO_Data!D18</f>
        <v/>
      </c>
      <c r="D51">
        <f>CFC data!C18/WEO_Data!D18</f>
        <v/>
      </c>
      <c r="E51" t="n">
        <v>1.95</v>
      </c>
      <c r="F51">
        <f>Production!I21</f>
        <v/>
      </c>
      <c r="G51">
        <f>Investment!D16</f>
        <v/>
      </c>
      <c r="H51">
        <f>G51</f>
        <v/>
      </c>
      <c r="I51">
        <f>I50*(1-PWT!B4) + H51</f>
        <v/>
      </c>
      <c r="J51">
        <f>EXP(F51 + 0.35*LN(CFC data!C18) + 0.65*LN(E51))</f>
        <v/>
      </c>
      <c r="K51">
        <f>EXP(F51 + 0.35*LN(I51) + 0.65*LN(E51))</f>
        <v/>
      </c>
      <c r="L51">
        <f>K51-J51</f>
        <v/>
      </c>
      <c r="M51">
        <f>L51/J51*100</f>
        <v/>
      </c>
    </row>
    <row r="52">
      <c r="A52" t="n">
        <v>2017</v>
      </c>
      <c r="B52">
        <f>WEO_Data!D19</f>
        <v/>
      </c>
      <c r="D52">
        <f>CFC data!C19/WEO_Data!D19</f>
        <v/>
      </c>
      <c r="E52" t="n">
        <v>1.95</v>
      </c>
      <c r="F52">
        <f>Production!I22</f>
        <v/>
      </c>
      <c r="G52">
        <f>Investment!D17</f>
        <v/>
      </c>
      <c r="H52">
        <f>G52</f>
        <v/>
      </c>
      <c r="I52">
        <f>I51*(1-PWT!B4) + H52</f>
        <v/>
      </c>
      <c r="J52">
        <f>EXP(F52 + 0.35*LN(CFC data!C19) + 0.65*LN(E52))</f>
        <v/>
      </c>
      <c r="K52">
        <f>EXP(F52 + 0.35*LN(I52) + 0.65*LN(E52))</f>
        <v/>
      </c>
      <c r="L52">
        <f>K52-J52</f>
        <v/>
      </c>
      <c r="M52">
        <f>L52/J52*100</f>
        <v/>
      </c>
    </row>
    <row r="53">
      <c r="A53" t="n">
        <v>2018</v>
      </c>
      <c r="B53">
        <f>WEO_Data!D20</f>
        <v/>
      </c>
      <c r="D53">
        <f>CFC data!C20/WEO_Data!D20</f>
        <v/>
      </c>
      <c r="E53" t="n">
        <v>1.95</v>
      </c>
      <c r="F53">
        <f>Production!I23</f>
        <v/>
      </c>
      <c r="G53">
        <f>Investment!D18</f>
        <v/>
      </c>
      <c r="H53">
        <f>G53</f>
        <v/>
      </c>
      <c r="I53">
        <f>I52*(1-PWT!B4) + H53</f>
        <v/>
      </c>
      <c r="J53">
        <f>EXP(F53 + 0.35*LN(CFC data!C20) + 0.65*LN(E53))</f>
        <v/>
      </c>
      <c r="K53">
        <f>EXP(F53 + 0.35*LN(I53) + 0.65*LN(E53))</f>
        <v/>
      </c>
      <c r="L53">
        <f>K53-J53</f>
        <v/>
      </c>
      <c r="M53">
        <f>L53/J53*100</f>
        <v/>
      </c>
    </row>
    <row r="54">
      <c r="A54" t="n">
        <v>2019</v>
      </c>
      <c r="B54">
        <f>WEO_Data!D21</f>
        <v/>
      </c>
      <c r="D54">
        <f>CFC data!C21/WEO_Data!D21</f>
        <v/>
      </c>
      <c r="E54" t="n">
        <v>1.95</v>
      </c>
      <c r="F54">
        <f>Production!I24</f>
        <v/>
      </c>
      <c r="G54">
        <f>Investment!D19</f>
        <v/>
      </c>
      <c r="H54">
        <f>G54</f>
        <v/>
      </c>
      <c r="I54">
        <f>I53*(1-PWT!B4) + H54</f>
        <v/>
      </c>
      <c r="J54">
        <f>EXP(F54 + 0.35*LN(CFC data!C21) + 0.65*LN(E54))</f>
        <v/>
      </c>
      <c r="K54">
        <f>EXP(F54 + 0.35*LN(I54) + 0.65*LN(E54))</f>
        <v/>
      </c>
      <c r="L54">
        <f>K54-J54</f>
        <v/>
      </c>
      <c r="M54">
        <f>L54/J54*100</f>
        <v/>
      </c>
    </row>
    <row r="55">
      <c r="A55" t="n">
        <v>2020</v>
      </c>
      <c r="B55">
        <f>WEO_Data!D22</f>
        <v/>
      </c>
      <c r="D55">
        <f>CFC data!C22/WEO_Data!D22</f>
        <v/>
      </c>
      <c r="E55" t="n">
        <v>1.95</v>
      </c>
      <c r="F55">
        <f>Production!I25</f>
        <v/>
      </c>
      <c r="G55">
        <f>Investment!D20</f>
        <v/>
      </c>
      <c r="H55">
        <f>G55</f>
        <v/>
      </c>
      <c r="I55">
        <f>I54*(1-PWT!B4) + H55</f>
        <v/>
      </c>
      <c r="J55">
        <f>EXP(F55 + 0.35*LN(CFC data!C22) + 0.65*LN(E55))</f>
        <v/>
      </c>
      <c r="K55">
        <f>EXP(F55 + 0.35*LN(I55) + 0.65*LN(E55))</f>
        <v/>
      </c>
      <c r="L55">
        <f>K55-J55</f>
        <v/>
      </c>
      <c r="M55">
        <f>L55/J55*100</f>
        <v/>
      </c>
    </row>
    <row r="56">
      <c r="A56" t="n">
        <v>2021</v>
      </c>
      <c r="B56">
        <f>WEO_Data!D23</f>
        <v/>
      </c>
      <c r="D56">
        <f>CFC data!C23/WEO_Data!D23</f>
        <v/>
      </c>
      <c r="E56" t="n">
        <v>1.95</v>
      </c>
      <c r="F56">
        <f>Production!I26</f>
        <v/>
      </c>
      <c r="G56">
        <f>Investment!D21</f>
        <v/>
      </c>
      <c r="H56">
        <f>G56</f>
        <v/>
      </c>
      <c r="I56">
        <f>I55*(1-PWT!B4) + H56</f>
        <v/>
      </c>
      <c r="J56">
        <f>EXP(F56 + 0.35*LN(CFC data!C23) + 0.65*LN(E56))</f>
        <v/>
      </c>
      <c r="K56">
        <f>EXP(F56 + 0.35*LN(I56) + 0.65*LN(E56))</f>
        <v/>
      </c>
      <c r="L56">
        <f>K56-J56</f>
        <v/>
      </c>
      <c r="M56">
        <f>L56/J56*100</f>
        <v/>
      </c>
    </row>
    <row r="57">
      <c r="A57" t="n">
        <v>2022</v>
      </c>
      <c r="B57">
        <f>WEO_Data!D24</f>
        <v/>
      </c>
      <c r="D57">
        <f>CFC data!C24/WEO_Data!D24</f>
        <v/>
      </c>
      <c r="E57" t="n">
        <v>1.95</v>
      </c>
      <c r="F57">
        <f>Production!I27</f>
        <v/>
      </c>
      <c r="G57">
        <f>Investment!D22</f>
        <v/>
      </c>
      <c r="H57">
        <f>G57</f>
        <v/>
      </c>
      <c r="I57">
        <f>I56*(1-PWT!B4) + H57</f>
        <v/>
      </c>
      <c r="J57">
        <f>EXP(F57 + 0.35*LN(CFC data!C24) + 0.65*LN(E57))</f>
        <v/>
      </c>
      <c r="K57">
        <f>EXP(F57 + 0.35*LN(I57) + 0.65*LN(E57))</f>
        <v/>
      </c>
      <c r="L57">
        <f>K57-J57</f>
        <v/>
      </c>
      <c r="M57">
        <f>L57/J57*100</f>
        <v/>
      </c>
    </row>
    <row r="58">
      <c r="A58" t="n">
        <v>2023</v>
      </c>
      <c r="B58">
        <f>WEO_Data!D25</f>
        <v/>
      </c>
      <c r="D58">
        <f>CFC data!C25/WEO_Data!D25</f>
        <v/>
      </c>
      <c r="E58" t="n">
        <v>1.95</v>
      </c>
      <c r="F58">
        <f>Production!I28</f>
        <v/>
      </c>
      <c r="G58">
        <f>Investment!D23</f>
        <v/>
      </c>
      <c r="H58">
        <f>G58</f>
        <v/>
      </c>
      <c r="I58">
        <f>I57*(1-PWT!B4) + H58</f>
        <v/>
      </c>
      <c r="J58">
        <f>EXP(F58 + 0.35*LN(CFC data!C25) + 0.65*LN(E58))</f>
        <v/>
      </c>
      <c r="K58">
        <f>EXP(F58 + 0.35*LN(I58) + 0.65*LN(E58))</f>
        <v/>
      </c>
      <c r="L58">
        <f>K58-J58</f>
        <v/>
      </c>
      <c r="M58">
        <f>L58/J58*100</f>
        <v/>
      </c>
    </row>
    <row r="59">
      <c r="A59" t="n">
        <v>2024</v>
      </c>
      <c r="B59">
        <f>WEO_Data!D26</f>
        <v/>
      </c>
      <c r="D59" t="n">
        <v>16.71406790575091</v>
      </c>
      <c r="E59" t="n">
        <v>1.95</v>
      </c>
      <c r="F59" t="n">
        <v>0.5583607247962264</v>
      </c>
      <c r="G59">
        <f>Investment!D24</f>
        <v/>
      </c>
      <c r="H59">
        <f>G59</f>
        <v/>
      </c>
      <c r="I59">
        <f>I58*(1-PWT!B4) + H59</f>
        <v/>
      </c>
      <c r="J59">
        <f>EXP(F59 + 0.35*LN(D59*B59) + 0.65*LN(E59))</f>
        <v/>
      </c>
      <c r="K59">
        <f>EXP(F59 + 0.35*LN(I59) + 0.65*LN(E59))</f>
        <v/>
      </c>
      <c r="L59">
        <f>K59-J59</f>
        <v/>
      </c>
      <c r="M59">
        <f>L59/J59*100</f>
        <v/>
      </c>
    </row>
    <row r="60">
      <c r="A60" t="n">
        <v>2025</v>
      </c>
      <c r="B60">
        <f>WEO_Data!D27</f>
        <v/>
      </c>
      <c r="D60" t="n">
        <v>16.71406790575091</v>
      </c>
      <c r="E60" t="n">
        <v>1.95</v>
      </c>
      <c r="F60" t="n">
        <v>0.5900902241126816</v>
      </c>
      <c r="G60">
        <f>Investment!D25</f>
        <v/>
      </c>
      <c r="H60">
        <f>G60</f>
        <v/>
      </c>
      <c r="I60">
        <f>I59*(1-PWT!B4) + H60</f>
        <v/>
      </c>
      <c r="J60">
        <f>EXP(F60 + 0.35*LN(D60*B60) + 0.65*LN(E60))</f>
        <v/>
      </c>
      <c r="K60">
        <f>EXP(F60 + 0.35*LN(I60) + 0.65*LN(E60))</f>
        <v/>
      </c>
      <c r="L60">
        <f>K60-J60</f>
        <v/>
      </c>
      <c r="M60">
        <f>L60/J60*100</f>
        <v/>
      </c>
    </row>
    <row r="61">
      <c r="A61" t="n">
        <v>2026</v>
      </c>
      <c r="B61">
        <f>WEO_Data!D28</f>
        <v/>
      </c>
      <c r="D61" t="n">
        <v>16.71406790575091</v>
      </c>
      <c r="E61" t="n">
        <v>1.95</v>
      </c>
      <c r="F61" t="n">
        <v>0.6218197234291368</v>
      </c>
      <c r="G61">
        <f>Investment!D26</f>
        <v/>
      </c>
      <c r="H61">
        <f>G61</f>
        <v/>
      </c>
      <c r="I61">
        <f>I60*(1-PWT!B4) + H61</f>
        <v/>
      </c>
      <c r="J61">
        <f>EXP(F61 + 0.35*LN(D61*B61) + 0.65*LN(E61))</f>
        <v/>
      </c>
      <c r="K61">
        <f>EXP(F61 + 0.35*LN(I61) + 0.65*LN(E61))</f>
        <v/>
      </c>
      <c r="L61">
        <f>K61-J61</f>
        <v/>
      </c>
      <c r="M61">
        <f>L61/J61*100</f>
        <v/>
      </c>
    </row>
    <row r="62">
      <c r="A62" t="n">
        <v>2027</v>
      </c>
      <c r="B62">
        <f>WEO_Data!D29</f>
        <v/>
      </c>
      <c r="D62" t="n">
        <v>16.71406790575091</v>
      </c>
      <c r="E62" t="n">
        <v>1.95</v>
      </c>
      <c r="F62" t="n">
        <v>0.653549222745592</v>
      </c>
      <c r="G62">
        <f>Investment!D27</f>
        <v/>
      </c>
      <c r="H62">
        <f>G62</f>
        <v/>
      </c>
      <c r="I62">
        <f>I61*(1-PWT!B4) + H62</f>
        <v/>
      </c>
      <c r="J62">
        <f>EXP(F62 + 0.35*LN(D62*B62) + 0.65*LN(E62))</f>
        <v/>
      </c>
      <c r="K62">
        <f>EXP(F62 + 0.35*LN(I62) + 0.65*LN(E62))</f>
        <v/>
      </c>
      <c r="L62">
        <f>K62-J62</f>
        <v/>
      </c>
      <c r="M62">
        <f>L62/J62*100</f>
        <v/>
      </c>
    </row>
    <row r="63">
      <c r="A63" t="n">
        <v>2028</v>
      </c>
      <c r="B63">
        <f>WEO_Data!D30</f>
        <v/>
      </c>
      <c r="D63" t="n">
        <v>16.71406790575091</v>
      </c>
      <c r="E63" t="n">
        <v>1.95</v>
      </c>
      <c r="F63" t="n">
        <v>0.6852787220620471</v>
      </c>
      <c r="G63">
        <f>Investment!D28</f>
        <v/>
      </c>
      <c r="H63">
        <f>G63</f>
        <v/>
      </c>
      <c r="I63">
        <f>I62*(1-PWT!B4) + H63</f>
        <v/>
      </c>
      <c r="J63">
        <f>EXP(F63 + 0.35*LN(D63*B63) + 0.65*LN(E63))</f>
        <v/>
      </c>
      <c r="K63">
        <f>EXP(F63 + 0.35*LN(I63) + 0.65*LN(E63))</f>
        <v/>
      </c>
      <c r="L63">
        <f>K63-J63</f>
        <v/>
      </c>
      <c r="M63">
        <f>L63/J63*100</f>
        <v/>
      </c>
    </row>
    <row r="64">
      <c r="A64" t="n">
        <v>2029</v>
      </c>
      <c r="B64">
        <f>WEO_Data!D31</f>
        <v/>
      </c>
      <c r="D64" t="n">
        <v>16.71406790575091</v>
      </c>
      <c r="E64" t="n">
        <v>1.95</v>
      </c>
      <c r="F64" t="n">
        <v>0.7170082213785023</v>
      </c>
      <c r="G64">
        <f>Investment!D29</f>
        <v/>
      </c>
      <c r="H64">
        <f>G64</f>
        <v/>
      </c>
      <c r="I64">
        <f>I63*(1-PWT!B4) + H64</f>
        <v/>
      </c>
      <c r="J64">
        <f>EXP(F64 + 0.35*LN(D64*B64) + 0.65*LN(E64))</f>
        <v/>
      </c>
      <c r="K64">
        <f>EXP(F64 + 0.35*LN(I64) + 0.65*LN(E64))</f>
        <v/>
      </c>
      <c r="L64">
        <f>K64-J64</f>
        <v/>
      </c>
      <c r="M64">
        <f>L64/J64*100</f>
        <v/>
      </c>
    </row>
    <row r="65">
      <c r="A65" t="n">
        <v>2030</v>
      </c>
      <c r="B65">
        <f>WEO_Data!D32</f>
        <v/>
      </c>
      <c r="D65" t="n">
        <v>16.71406790575091</v>
      </c>
      <c r="E65" t="n">
        <v>1.95</v>
      </c>
      <c r="F65" t="n">
        <v>0.7487377206949575</v>
      </c>
      <c r="G65">
        <f>Investment!D30</f>
        <v/>
      </c>
      <c r="H65">
        <f>G65</f>
        <v/>
      </c>
      <c r="I65">
        <f>I64*(1-PWT!B4) + H65</f>
        <v/>
      </c>
      <c r="J65">
        <f>EXP(F65 + 0.35*LN(D65*B65) + 0.65*LN(E65))</f>
        <v/>
      </c>
      <c r="K65">
        <f>EXP(F65 + 0.35*LN(I65) + 0.65*LN(E65))</f>
        <v/>
      </c>
      <c r="L65">
        <f>K65-J65</f>
        <v/>
      </c>
      <c r="M65">
        <f>L65/J65*100</f>
        <v/>
      </c>
    </row>
    <row r="66">
      <c r="A66" t="n">
        <v>2031</v>
      </c>
      <c r="B66">
        <f>WEO_Data!D33</f>
        <v/>
      </c>
      <c r="D66" t="n">
        <v>16.71406790575091</v>
      </c>
      <c r="E66" t="n">
        <v>1.95</v>
      </c>
      <c r="F66" t="n">
        <v>0.7804672200114126</v>
      </c>
      <c r="G66">
        <f>Investment!D31</f>
        <v/>
      </c>
      <c r="H66">
        <f>G66</f>
        <v/>
      </c>
      <c r="I66">
        <f>I65*(1-PWT!B4) + H66</f>
        <v/>
      </c>
      <c r="J66">
        <f>EXP(F66 + 0.35*LN(D66*B66) + 0.65*LN(E66))</f>
        <v/>
      </c>
      <c r="K66">
        <f>EXP(F66 + 0.35*LN(I66) + 0.65*LN(E66))</f>
        <v/>
      </c>
      <c r="L66">
        <f>K66-J66</f>
        <v/>
      </c>
      <c r="M66">
        <f>L66/J66*100</f>
        <v/>
      </c>
    </row>
    <row r="67">
      <c r="A67" t="n">
        <v>2032</v>
      </c>
      <c r="B67">
        <f>WEO_Data!D34</f>
        <v/>
      </c>
      <c r="D67" t="n">
        <v>16.71406790575091</v>
      </c>
      <c r="E67" t="n">
        <v>1.95</v>
      </c>
      <c r="F67" t="n">
        <v>0.8121967193278677</v>
      </c>
      <c r="G67">
        <f>Investment!D32</f>
        <v/>
      </c>
      <c r="H67">
        <f>G67</f>
        <v/>
      </c>
      <c r="I67">
        <f>I66*(1-PWT!B4) + H67</f>
        <v/>
      </c>
      <c r="J67">
        <f>EXP(F67 + 0.35*LN(D67*B67) + 0.65*LN(E67))</f>
        <v/>
      </c>
      <c r="K67">
        <f>EXP(F67 + 0.35*LN(I67) + 0.65*LN(E67))</f>
        <v/>
      </c>
      <c r="L67">
        <f>K67-J67</f>
        <v/>
      </c>
      <c r="M67">
        <f>L67/J67*100</f>
        <v/>
      </c>
    </row>
    <row r="68">
      <c r="A68" t="n">
        <v>2033</v>
      </c>
      <c r="B68">
        <f>WEO_Data!D35</f>
        <v/>
      </c>
      <c r="D68" t="n">
        <v>16.71406790575091</v>
      </c>
      <c r="E68" t="n">
        <v>1.95</v>
      </c>
      <c r="F68" t="n">
        <v>0.8439262186443229</v>
      </c>
      <c r="G68">
        <f>Investment!D33</f>
        <v/>
      </c>
      <c r="H68">
        <f>G68</f>
        <v/>
      </c>
      <c r="I68">
        <f>I67*(1-PWT!B4) + H68</f>
        <v/>
      </c>
      <c r="J68">
        <f>EXP(F68 + 0.35*LN(D68*B68) + 0.65*LN(E68))</f>
        <v/>
      </c>
      <c r="K68">
        <f>EXP(F68 + 0.35*LN(I68) + 0.65*LN(E68))</f>
        <v/>
      </c>
      <c r="L68">
        <f>K68-J68</f>
        <v/>
      </c>
      <c r="M68">
        <f>L68/J68*100</f>
        <v/>
      </c>
    </row>
    <row r="69">
      <c r="A69" t="n">
        <v>2034</v>
      </c>
      <c r="B69">
        <f>WEO_Data!D36</f>
        <v/>
      </c>
      <c r="D69" t="n">
        <v>16.71406790575091</v>
      </c>
      <c r="E69" t="n">
        <v>1.95</v>
      </c>
      <c r="F69" t="n">
        <v>0.8756557179607781</v>
      </c>
      <c r="G69">
        <f>Investment!D34</f>
        <v/>
      </c>
      <c r="H69">
        <f>G69</f>
        <v/>
      </c>
      <c r="I69">
        <f>I68*(1-PWT!B4) + H69</f>
        <v/>
      </c>
      <c r="J69">
        <f>EXP(F69 + 0.35*LN(D69*B69) + 0.65*LN(E69))</f>
        <v/>
      </c>
      <c r="K69">
        <f>EXP(F69 + 0.35*LN(I69) + 0.65*LN(E69))</f>
        <v/>
      </c>
      <c r="L69">
        <f>K69-J69</f>
        <v/>
      </c>
      <c r="M69">
        <f>L69/J69*100</f>
        <v/>
      </c>
    </row>
    <row r="70">
      <c r="A70" t="n">
        <v>2035</v>
      </c>
      <c r="B70">
        <f>WEO_Data!D37</f>
        <v/>
      </c>
      <c r="D70" t="n">
        <v>16.71406790575091</v>
      </c>
      <c r="E70" t="n">
        <v>1.95</v>
      </c>
      <c r="F70" t="n">
        <v>0.9073852172772333</v>
      </c>
      <c r="G70">
        <f>Investment!D35</f>
        <v/>
      </c>
      <c r="H70">
        <f>G70</f>
        <v/>
      </c>
      <c r="I70">
        <f>I69*(1-PWT!B4) + H70</f>
        <v/>
      </c>
      <c r="J70">
        <f>EXP(F70 + 0.35*LN(D70*B70) + 0.65*LN(E70))</f>
        <v/>
      </c>
      <c r="K70">
        <f>EXP(F70 + 0.35*LN(I70) + 0.65*LN(E70))</f>
        <v/>
      </c>
      <c r="L70">
        <f>K70-J70</f>
        <v/>
      </c>
      <c r="M70">
        <f>L70/J70*100</f>
        <v/>
      </c>
    </row>
    <row r="71">
      <c r="A71" t="n">
        <v>2036</v>
      </c>
      <c r="B71">
        <f>WEO_Data!D38</f>
        <v/>
      </c>
      <c r="D71" t="n">
        <v>16.71406790575091</v>
      </c>
      <c r="E71" t="n">
        <v>1.95</v>
      </c>
      <c r="F71" t="n">
        <v>0.9391147165936885</v>
      </c>
      <c r="G71">
        <f>Investment!D36</f>
        <v/>
      </c>
      <c r="H71">
        <f>G71</f>
        <v/>
      </c>
      <c r="I71">
        <f>I70*(1-PWT!B4) + H71</f>
        <v/>
      </c>
      <c r="J71">
        <f>EXP(F71 + 0.35*LN(D71*B71) + 0.65*LN(E71))</f>
        <v/>
      </c>
      <c r="K71">
        <f>EXP(F71 + 0.35*LN(I71) + 0.65*LN(E71))</f>
        <v/>
      </c>
      <c r="L71">
        <f>K71-J71</f>
        <v/>
      </c>
      <c r="M71">
        <f>L71/J71*100</f>
        <v/>
      </c>
    </row>
    <row r="72">
      <c r="A72" t="n">
        <v>2037</v>
      </c>
      <c r="B72">
        <f>WEO_Data!D39</f>
        <v/>
      </c>
      <c r="D72" t="n">
        <v>16.71406790575091</v>
      </c>
      <c r="E72" t="n">
        <v>1.95</v>
      </c>
      <c r="F72" t="n">
        <v>0.9708442159101437</v>
      </c>
      <c r="G72">
        <f>Investment!D37</f>
        <v/>
      </c>
      <c r="H72">
        <f>G72</f>
        <v/>
      </c>
      <c r="I72">
        <f>I71*(1-PWT!B4) + H72</f>
        <v/>
      </c>
      <c r="J72">
        <f>EXP(F72 + 0.35*LN(D72*B72) + 0.65*LN(E72))</f>
        <v/>
      </c>
      <c r="K72">
        <f>EXP(F72 + 0.35*LN(I72) + 0.65*LN(E72))</f>
        <v/>
      </c>
      <c r="L72">
        <f>K72-J72</f>
        <v/>
      </c>
      <c r="M72">
        <f>L72/J72*100</f>
        <v/>
      </c>
    </row>
    <row r="73">
      <c r="A73" t="n">
        <v>2038</v>
      </c>
      <c r="B73">
        <f>WEO_Data!D40</f>
        <v/>
      </c>
      <c r="D73" t="n">
        <v>16.71406790575091</v>
      </c>
      <c r="E73" t="n">
        <v>1.95</v>
      </c>
      <c r="F73" t="n">
        <v>1.002573715226599</v>
      </c>
      <c r="G73">
        <f>Investment!D38</f>
        <v/>
      </c>
      <c r="H73">
        <f>G73</f>
        <v/>
      </c>
      <c r="I73">
        <f>I72*(1-PWT!B4) + H73</f>
        <v/>
      </c>
      <c r="J73">
        <f>EXP(F73 + 0.35*LN(D73*B73) + 0.65*LN(E73))</f>
        <v/>
      </c>
      <c r="K73">
        <f>EXP(F73 + 0.35*LN(I73) + 0.65*LN(E73))</f>
        <v/>
      </c>
      <c r="L73">
        <f>K73-J73</f>
        <v/>
      </c>
      <c r="M73">
        <f>L73/J73*100</f>
        <v/>
      </c>
    </row>
    <row r="74">
      <c r="A74" t="n">
        <v>2039</v>
      </c>
      <c r="B74">
        <f>WEO_Data!D41</f>
        <v/>
      </c>
      <c r="D74" t="n">
        <v>16.71406790575091</v>
      </c>
      <c r="E74" t="n">
        <v>1.95</v>
      </c>
      <c r="F74" t="n">
        <v>1.034303214543054</v>
      </c>
      <c r="G74">
        <f>Investment!D39</f>
        <v/>
      </c>
      <c r="H74">
        <f>G74</f>
        <v/>
      </c>
      <c r="I74">
        <f>I73*(1-PWT!B4) + H74</f>
        <v/>
      </c>
      <c r="J74">
        <f>EXP(F74 + 0.35*LN(D74*B74) + 0.65*LN(E74))</f>
        <v/>
      </c>
      <c r="K74">
        <f>EXP(F74 + 0.35*LN(I74) + 0.65*LN(E74))</f>
        <v/>
      </c>
      <c r="L74">
        <f>K74-J74</f>
        <v/>
      </c>
      <c r="M74">
        <f>L74/J74*100</f>
        <v/>
      </c>
    </row>
    <row r="75">
      <c r="A75" t="n">
        <v>2040</v>
      </c>
      <c r="B75">
        <f>WEO_Data!D42</f>
        <v/>
      </c>
      <c r="D75" t="n">
        <v>16.71406790575091</v>
      </c>
      <c r="E75" t="n">
        <v>1.95</v>
      </c>
      <c r="F75" t="n">
        <v>1.066032713859509</v>
      </c>
      <c r="G75">
        <f>Investment!D40</f>
        <v/>
      </c>
      <c r="H75">
        <f>G75</f>
        <v/>
      </c>
      <c r="I75">
        <f>I74*(1-PWT!B4) + H75</f>
        <v/>
      </c>
      <c r="J75">
        <f>EXP(F75 + 0.35*LN(D75*B75) + 0.65*LN(E75))</f>
        <v/>
      </c>
      <c r="K75">
        <f>EXP(F75 + 0.35*LN(I75) + 0.65*LN(E75))</f>
        <v/>
      </c>
      <c r="L75">
        <f>K75-J75</f>
        <v/>
      </c>
      <c r="M75">
        <f>L75/J75*100</f>
        <v/>
      </c>
    </row>
    <row r="76">
      <c r="A76" t="n">
        <v>2041</v>
      </c>
      <c r="B76">
        <f>WEO_Data!D43</f>
        <v/>
      </c>
      <c r="D76" t="n">
        <v>16.71406790575091</v>
      </c>
      <c r="E76" t="n">
        <v>1.95</v>
      </c>
      <c r="F76" t="n">
        <v>1.097762213175964</v>
      </c>
      <c r="G76">
        <f>Investment!D41</f>
        <v/>
      </c>
      <c r="H76">
        <f>G76</f>
        <v/>
      </c>
      <c r="I76">
        <f>I75*(1-PWT!B4) + H76</f>
        <v/>
      </c>
      <c r="J76">
        <f>EXP(F76 + 0.35*LN(D76*B76) + 0.65*LN(E76))</f>
        <v/>
      </c>
      <c r="K76">
        <f>EXP(F76 + 0.35*LN(I76) + 0.65*LN(E76))</f>
        <v/>
      </c>
      <c r="L76">
        <f>K76-J76</f>
        <v/>
      </c>
      <c r="M76">
        <f>L76/J76*100</f>
        <v/>
      </c>
    </row>
    <row r="77">
      <c r="A77" t="n">
        <v>2042</v>
      </c>
      <c r="B77">
        <f>WEO_Data!D44</f>
        <v/>
      </c>
      <c r="D77" t="n">
        <v>16.71406790575091</v>
      </c>
      <c r="E77" t="n">
        <v>1.95</v>
      </c>
      <c r="F77" t="n">
        <v>1.129491712492419</v>
      </c>
      <c r="G77">
        <f>Investment!D42</f>
        <v/>
      </c>
      <c r="H77">
        <f>G77</f>
        <v/>
      </c>
      <c r="I77">
        <f>I76*(1-PWT!B4) + H77</f>
        <v/>
      </c>
      <c r="J77">
        <f>EXP(F77 + 0.35*LN(D77*B77) + 0.65*LN(E77))</f>
        <v/>
      </c>
      <c r="K77">
        <f>EXP(F77 + 0.35*LN(I77) + 0.65*LN(E77))</f>
        <v/>
      </c>
      <c r="L77">
        <f>K77-J77</f>
        <v/>
      </c>
      <c r="M77">
        <f>L77/J77*100</f>
        <v/>
      </c>
    </row>
    <row r="78">
      <c r="A78" t="n">
        <v>2043</v>
      </c>
      <c r="B78">
        <f>WEO_Data!D45</f>
        <v/>
      </c>
      <c r="D78" t="n">
        <v>16.71406790575091</v>
      </c>
      <c r="E78" t="n">
        <v>1.95</v>
      </c>
      <c r="F78" t="n">
        <v>1.161221211808874</v>
      </c>
      <c r="G78">
        <f>Investment!D43</f>
        <v/>
      </c>
      <c r="H78">
        <f>G78</f>
        <v/>
      </c>
      <c r="I78">
        <f>I77*(1-PWT!B4) + H78</f>
        <v/>
      </c>
      <c r="J78">
        <f>EXP(F78 + 0.35*LN(D78*B78) + 0.65*LN(E78))</f>
        <v/>
      </c>
      <c r="K78">
        <f>EXP(F78 + 0.35*LN(I78) + 0.65*LN(E78))</f>
        <v/>
      </c>
      <c r="L78">
        <f>K78-J78</f>
        <v/>
      </c>
      <c r="M78">
        <f>L78/J78*100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Historical Investment</t>
        </is>
      </c>
      <c r="C1" t="inlineStr">
        <is>
          <t>Investment Shock</t>
        </is>
      </c>
      <c r="D1" t="inlineStr">
        <is>
          <t>Total Investment</t>
        </is>
      </c>
    </row>
    <row r="2">
      <c r="A2" t="n">
        <v>2002</v>
      </c>
      <c r="B2" t="n">
        <v>1.5</v>
      </c>
      <c r="C2" t="n">
        <v>0</v>
      </c>
      <c r="D2">
        <f>B2+C2</f>
        <v/>
      </c>
    </row>
    <row r="3">
      <c r="A3" t="n">
        <v>2003</v>
      </c>
      <c r="B3" t="n">
        <v>1.8</v>
      </c>
      <c r="C3" t="n">
        <v>0</v>
      </c>
      <c r="D3">
        <f>B3+C3</f>
        <v/>
      </c>
    </row>
    <row r="4">
      <c r="A4" t="n">
        <v>2004</v>
      </c>
      <c r="B4" t="n">
        <v>2.1</v>
      </c>
      <c r="C4" t="n">
        <v>0</v>
      </c>
      <c r="D4">
        <f>B4+C4</f>
        <v/>
      </c>
    </row>
    <row r="5">
      <c r="A5" t="n">
        <v>2005</v>
      </c>
      <c r="B5" t="n">
        <v>2.4</v>
      </c>
      <c r="C5" t="n">
        <v>0</v>
      </c>
      <c r="D5">
        <f>B5+C5</f>
        <v/>
      </c>
    </row>
    <row r="6">
      <c r="A6" t="n">
        <v>2006</v>
      </c>
      <c r="B6" t="n">
        <v>2.8</v>
      </c>
      <c r="C6" t="n">
        <v>0</v>
      </c>
      <c r="D6">
        <f>B6+C6</f>
        <v/>
      </c>
    </row>
    <row r="7">
      <c r="A7" t="n">
        <v>2007</v>
      </c>
      <c r="B7" t="n">
        <v>3.2</v>
      </c>
      <c r="C7" t="n">
        <v>0</v>
      </c>
      <c r="D7">
        <f>B7+C7</f>
        <v/>
      </c>
    </row>
    <row r="8">
      <c r="A8" t="n">
        <v>2008</v>
      </c>
      <c r="B8" t="n">
        <v>3.5</v>
      </c>
      <c r="C8" t="n">
        <v>0</v>
      </c>
      <c r="D8">
        <f>B8+C8</f>
        <v/>
      </c>
    </row>
    <row r="9">
      <c r="A9" t="n">
        <v>2009</v>
      </c>
      <c r="B9" t="n">
        <v>2.9</v>
      </c>
      <c r="C9" t="n">
        <v>0</v>
      </c>
      <c r="D9">
        <f>B9+C9</f>
        <v/>
      </c>
    </row>
    <row r="10">
      <c r="A10" t="n">
        <v>2010</v>
      </c>
      <c r="B10" t="n">
        <v>3.2</v>
      </c>
      <c r="C10" t="n">
        <v>0</v>
      </c>
      <c r="D10">
        <f>B10+C10</f>
        <v/>
      </c>
    </row>
    <row r="11">
      <c r="A11" t="n">
        <v>2011</v>
      </c>
      <c r="B11" t="n">
        <v>3.8</v>
      </c>
      <c r="C11" t="n">
        <v>0</v>
      </c>
      <c r="D11">
        <f>B11+C11</f>
        <v/>
      </c>
    </row>
    <row r="12">
      <c r="A12" t="n">
        <v>2012</v>
      </c>
      <c r="B12" t="n">
        <v>4.2</v>
      </c>
      <c r="C12" t="n">
        <v>0</v>
      </c>
      <c r="D12">
        <f>B12+C12</f>
        <v/>
      </c>
    </row>
    <row r="13">
      <c r="A13" t="n">
        <v>2013</v>
      </c>
      <c r="B13" t="n">
        <v>4.5</v>
      </c>
      <c r="C13" t="n">
        <v>0</v>
      </c>
      <c r="D13">
        <f>B13+C13</f>
        <v/>
      </c>
    </row>
    <row r="14">
      <c r="A14" t="n">
        <v>2014</v>
      </c>
      <c r="B14" t="n">
        <v>4.3</v>
      </c>
      <c r="C14" t="n">
        <v>0</v>
      </c>
      <c r="D14">
        <f>B14+C14</f>
        <v/>
      </c>
    </row>
    <row r="15">
      <c r="A15" t="n">
        <v>2015</v>
      </c>
      <c r="B15" t="n">
        <v>4.1</v>
      </c>
      <c r="C15" t="n">
        <v>0</v>
      </c>
      <c r="D15">
        <f>B15+C15</f>
        <v/>
      </c>
    </row>
    <row r="16">
      <c r="A16" t="n">
        <v>2016</v>
      </c>
      <c r="B16" t="n">
        <v>4</v>
      </c>
      <c r="C16" t="n">
        <v>0</v>
      </c>
      <c r="D16">
        <f>B16+C16</f>
        <v/>
      </c>
    </row>
    <row r="17">
      <c r="A17" t="n">
        <v>2017</v>
      </c>
      <c r="B17" t="n">
        <v>4.5</v>
      </c>
      <c r="C17" t="n">
        <v>0</v>
      </c>
      <c r="D17">
        <f>B17+C17</f>
        <v/>
      </c>
    </row>
    <row r="18">
      <c r="A18" t="n">
        <v>2018</v>
      </c>
      <c r="B18" t="n">
        <v>5</v>
      </c>
      <c r="C18" t="n">
        <v>0</v>
      </c>
      <c r="D18">
        <f>B18+C18</f>
        <v/>
      </c>
    </row>
    <row r="19">
      <c r="A19" t="n">
        <v>2019</v>
      </c>
      <c r="B19" t="n">
        <v>5.2</v>
      </c>
      <c r="C19" t="n">
        <v>0</v>
      </c>
      <c r="D19">
        <f>B19+C19</f>
        <v/>
      </c>
    </row>
    <row r="20">
      <c r="A20" t="n">
        <v>2020</v>
      </c>
      <c r="B20" t="n">
        <v>4.8</v>
      </c>
      <c r="C20" t="n">
        <v>0</v>
      </c>
      <c r="D20">
        <f>B20+C20</f>
        <v/>
      </c>
    </row>
    <row r="21">
      <c r="A21" t="n">
        <v>2021</v>
      </c>
      <c r="B21" t="n">
        <v>5.5</v>
      </c>
      <c r="C21" t="n">
        <v>0</v>
      </c>
      <c r="D21">
        <f>B21+C21</f>
        <v/>
      </c>
    </row>
    <row r="22">
      <c r="A22" t="n">
        <v>2022</v>
      </c>
      <c r="B22" t="n">
        <v>6</v>
      </c>
      <c r="C22" t="n">
        <v>0</v>
      </c>
      <c r="D22">
        <f>B22+C22</f>
        <v/>
      </c>
    </row>
    <row r="23">
      <c r="A23" t="n">
        <v>2023</v>
      </c>
      <c r="B23" t="n">
        <v>6.2</v>
      </c>
      <c r="C23" t="n">
        <v>0</v>
      </c>
      <c r="D23">
        <f>B23+C23</f>
        <v/>
      </c>
    </row>
    <row r="24">
      <c r="A24" t="n">
        <v>2024</v>
      </c>
      <c r="B24" t="n">
        <v>6.5</v>
      </c>
      <c r="C24" t="n">
        <v>0</v>
      </c>
      <c r="D24">
        <f>B24+C24</f>
        <v/>
      </c>
    </row>
    <row r="25">
      <c r="A25" t="n">
        <v>2025</v>
      </c>
      <c r="B25" t="n">
        <v>6.8</v>
      </c>
      <c r="C25" t="n">
        <v>0</v>
      </c>
      <c r="D25">
        <f>B25+C25</f>
        <v/>
      </c>
    </row>
    <row r="26">
      <c r="A26" t="n">
        <v>2026</v>
      </c>
      <c r="B26">
        <f>B25*1.02</f>
        <v/>
      </c>
      <c r="C26" t="n">
        <v>0.8125</v>
      </c>
      <c r="D26">
        <f>B26+C26</f>
        <v/>
      </c>
    </row>
    <row r="27">
      <c r="A27" t="n">
        <v>2027</v>
      </c>
      <c r="B27">
        <f>B26*1.02</f>
        <v/>
      </c>
      <c r="C27" t="n">
        <v>0.8125</v>
      </c>
      <c r="D27">
        <f>B27+C27</f>
        <v/>
      </c>
    </row>
    <row r="28">
      <c r="A28" t="n">
        <v>2028</v>
      </c>
      <c r="B28">
        <f>B27*1.02</f>
        <v/>
      </c>
      <c r="C28" t="n">
        <v>0.8125</v>
      </c>
      <c r="D28">
        <f>B28+C28</f>
        <v/>
      </c>
    </row>
    <row r="29">
      <c r="A29" t="n">
        <v>2029</v>
      </c>
      <c r="B29">
        <f>B28*1.02</f>
        <v/>
      </c>
      <c r="C29" t="n">
        <v>0.8125</v>
      </c>
      <c r="D29">
        <f>B29+C29</f>
        <v/>
      </c>
    </row>
    <row r="30">
      <c r="A30" t="n">
        <v>2030</v>
      </c>
      <c r="B30">
        <f>B29*1.02</f>
        <v/>
      </c>
      <c r="C30" t="n">
        <v>0.8125</v>
      </c>
      <c r="D30">
        <f>B30+C30</f>
        <v/>
      </c>
    </row>
    <row r="31">
      <c r="A31" t="n">
        <v>2031</v>
      </c>
      <c r="B31">
        <f>B30*1.02</f>
        <v/>
      </c>
      <c r="C31" t="n">
        <v>0.8125</v>
      </c>
      <c r="D31">
        <f>B31+C31</f>
        <v/>
      </c>
    </row>
    <row r="32">
      <c r="A32" t="n">
        <v>2032</v>
      </c>
      <c r="B32">
        <f>B31*1.02</f>
        <v/>
      </c>
      <c r="C32" t="n">
        <v>0.8125</v>
      </c>
      <c r="D32">
        <f>B32+C32</f>
        <v/>
      </c>
    </row>
    <row r="33">
      <c r="A33" t="n">
        <v>2033</v>
      </c>
      <c r="B33">
        <f>B32*1.02</f>
        <v/>
      </c>
      <c r="C33" t="n">
        <v>0.8125</v>
      </c>
      <c r="D33">
        <f>B33+C33</f>
        <v/>
      </c>
    </row>
    <row r="34">
      <c r="A34" t="n">
        <v>2034</v>
      </c>
      <c r="B34">
        <f>B33*1.02</f>
        <v/>
      </c>
      <c r="C34" t="n">
        <v>0</v>
      </c>
      <c r="D34">
        <f>B34+C34</f>
        <v/>
      </c>
    </row>
    <row r="35">
      <c r="A35" t="n">
        <v>2035</v>
      </c>
      <c r="B35">
        <f>B34*1.02</f>
        <v/>
      </c>
      <c r="C35" t="n">
        <v>0</v>
      </c>
      <c r="D35">
        <f>B35+C35</f>
        <v/>
      </c>
    </row>
    <row r="36">
      <c r="A36" t="n">
        <v>2036</v>
      </c>
      <c r="B36">
        <f>B35*1.02</f>
        <v/>
      </c>
      <c r="C36" t="n">
        <v>0</v>
      </c>
      <c r="D36">
        <f>B36+C36</f>
        <v/>
      </c>
    </row>
    <row r="37">
      <c r="A37" t="n">
        <v>2037</v>
      </c>
      <c r="B37">
        <f>B36*1.02</f>
        <v/>
      </c>
      <c r="C37" t="n">
        <v>0</v>
      </c>
      <c r="D37">
        <f>B37+C37</f>
        <v/>
      </c>
    </row>
    <row r="38">
      <c r="A38" t="n">
        <v>2038</v>
      </c>
      <c r="B38">
        <f>B37*1.02</f>
        <v/>
      </c>
      <c r="C38" t="n">
        <v>0</v>
      </c>
      <c r="D38">
        <f>B38+C38</f>
        <v/>
      </c>
    </row>
    <row r="39">
      <c r="A39" t="n">
        <v>2039</v>
      </c>
      <c r="B39">
        <f>B38*1.02</f>
        <v/>
      </c>
      <c r="C39" t="n">
        <v>0</v>
      </c>
      <c r="D39">
        <f>B39+C39</f>
        <v/>
      </c>
    </row>
    <row r="40">
      <c r="A40" t="n">
        <v>2040</v>
      </c>
      <c r="B40">
        <f>B39*1.02</f>
        <v/>
      </c>
      <c r="C40" t="n">
        <v>0</v>
      </c>
      <c r="D40">
        <f>B40+C40</f>
        <v/>
      </c>
    </row>
    <row r="41">
      <c r="A41" t="n">
        <v>2041</v>
      </c>
      <c r="B41">
        <f>B40*1.02</f>
        <v/>
      </c>
      <c r="C41" t="n">
        <v>0</v>
      </c>
      <c r="D41">
        <f>B41+C41</f>
        <v/>
      </c>
    </row>
    <row r="42">
      <c r="A42" t="n">
        <v>2042</v>
      </c>
      <c r="B42">
        <f>B41*1.02</f>
        <v/>
      </c>
      <c r="C42" t="n">
        <v>0</v>
      </c>
      <c r="D42">
        <f>B42+C42</f>
        <v/>
      </c>
    </row>
    <row r="43">
      <c r="A43" t="n">
        <v>2043</v>
      </c>
      <c r="B43">
        <f>B42*1.02</f>
        <v/>
      </c>
      <c r="C43" t="n">
        <v>0</v>
      </c>
      <c r="D43">
        <f>B43+C43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2026-01-29T04:41:29Z</dcterms:created>
  <dcterms:modified xsi:type="dcterms:W3CDTF">2026-01-29T04:45:19Z</dcterms:modified>
</cp:coreProperties>
</file>