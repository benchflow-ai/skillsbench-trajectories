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<sst xmlns="http://schemas.openxmlformats.org/spreadsheetml/2006/main" count="871" uniqueCount="627">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</sst>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4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C4*SQRT(12/3)</f>
        <v>9.62664592458711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price'!B421:B429)</f>
        <v>3147.52052042841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1183.09504950761</v>
      </c>
      <c r="D13" s="1" t="n">
        <f aca="false">D12*$C$3*$C$5/100</f>
        <v>158.675042110377</v>
      </c>
      <c r="E13" s="1" t="n">
        <f aca="false">E12*$C$3*$C$5/100</f>
        <v>1.6960176656708</v>
      </c>
      <c r="F13" s="1" t="n">
        <f aca="false">F12*$C$3*$C$5/100</f>
        <v>614.056577134613</v>
      </c>
      <c r="G13" s="1" t="n">
        <f aca="false">G12*$C$3*$C$5/100</f>
        <v>8724.34337670915</v>
      </c>
      <c r="H13" s="1" t="n">
        <f aca="false">H12*$C$3*$C$5/100</f>
        <v>1602.88555088483</v>
      </c>
      <c r="I13" s="1" t="n">
        <f aca="false">I12*$C$3*$C$5/100</f>
        <v>145.89235807929</v>
      </c>
      <c r="J13" s="1" t="n">
        <f aca="false">J12*$C$3*$C$5/100</f>
        <v>127.811004478329</v>
      </c>
      <c r="K13" s="1" t="n">
        <f aca="false">K12*$C$3*$C$5/100</f>
        <v>498.436078964324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  <c r="J20" s="1"/>
      <c r="K20" s="1"/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5" t="n">
        <f aca="false">J12</f>
        <v>807.1</v>
      </c>
      <c r="J21" s="3"/>
      <c r="K21" s="5"/>
    </row>
    <row r="22" customFormat="false" ht="12.75" hidden="false" customHeight="true" outlineLevel="0" collapsed="false">
      <c r="B22" s="1" t="s">
        <v>17</v>
      </c>
      <c r="C22" s="1" t="n">
        <f aca="false">$C$5</f>
        <v>9.62664592458711</v>
      </c>
      <c r="D22" s="1" t="n">
        <f aca="false">$C$5</f>
        <v>9.62664592458711</v>
      </c>
      <c r="E22" s="1" t="n">
        <f aca="false">$C$5</f>
        <v>9.62664592458711</v>
      </c>
      <c r="F22" s="1" t="n">
        <f aca="false">$C$5</f>
        <v>9.62664592458711</v>
      </c>
      <c r="G22" s="1" t="n">
        <f aca="false">$C$5</f>
        <v>9.62664592458711</v>
      </c>
      <c r="H22" s="1" t="n">
        <f aca="false">$C$5</f>
        <v>9.62664592458711</v>
      </c>
      <c r="I22" s="1" t="n">
        <f aca="false">$C$5</f>
        <v>9.62664592458711</v>
      </c>
      <c r="J22" s="1"/>
      <c r="K22" s="1"/>
    </row>
    <row r="23" customFormat="false" ht="12.75" hidden="false" customHeight="true" outlineLevel="0" collapsed="false">
      <c r="B23" s="1" t="s">
        <v>19</v>
      </c>
      <c r="C23" s="3" t="n">
        <f aca="false">INDEX('Total Reserves'!$C$18:$N$18,MATCH(C20&amp;"*",'Total Reserves'!$C$1:$N$1,0))</f>
        <v>14425.9</v>
      </c>
      <c r="D23" s="5" t="n">
        <f aca="false">INDEX('Total Reserves'!$C$18:$N$18,MATCH(D20&amp;"*",'Total Reserves'!$C$1:$N$1,0))</f>
        <v>6158.7</v>
      </c>
      <c r="E23" s="5" t="n">
        <f aca="false">INDEX('Total Reserves'!$C$18:$N$18,MATCH(E20&amp;"*",'Total Reserves'!$C$1:$N$1,0))</f>
        <v>5999.34</v>
      </c>
      <c r="F23" s="5" t="n">
        <f aca="false">INDEX('Total Reserves'!$C$18:$N$18,MATCH(F20&amp;"*",'Total Reserves'!$C$1:$N$1,0))</f>
        <v>66311.75</v>
      </c>
      <c r="G23" s="5" t="n">
        <f aca="false">INDEX('Total Reserves'!$C$18:$N$18,MATCH(G20&amp;"*",'Total Reserves'!$C$1:$N$1,0))</f>
        <v>175830.49</v>
      </c>
      <c r="H23" s="5" t="n">
        <f aca="false">INDEX('Total Reserves'!$C$18:$N$18,MATCH(H20&amp;"*",'Total Reserves'!$C$1:$N$1,0))</f>
        <v>6076.9</v>
      </c>
      <c r="I23" s="5" t="n">
        <f aca="false">INDEX('Total Reserves'!$C$18:$N$18,MATCH(I20&amp;"*",'Total Reserves'!$C$1:$N$1,0))</f>
        <v>7082.7</v>
      </c>
      <c r="J23" s="3"/>
      <c r="K23" s="1"/>
    </row>
    <row r="24" customFormat="false" ht="12.75" hidden="false" customHeight="true" outlineLevel="0" collapsed="false">
      <c r="B24" s="1" t="s">
        <v>20</v>
      </c>
      <c r="C24" s="1" t="n">
        <f aca="false">C13/C23</f>
        <v>0.0820118709756487</v>
      </c>
      <c r="D24" s="1" t="n">
        <f aca="false">D13/D23</f>
        <v>0.0257643726939739</v>
      </c>
      <c r="E24" s="1" t="n">
        <f aca="false">E13/E23</f>
        <v>0.000282700708023015</v>
      </c>
      <c r="F24" s="1" t="n">
        <f aca="false">G13/F23</f>
        <v>0.1315655728692</v>
      </c>
      <c r="G24" s="1" t="n">
        <f aca="false">H13/G23</f>
        <v>0.00911608419498139</v>
      </c>
      <c r="H24" s="1" t="n">
        <f aca="false">I13/H23</f>
        <v>0.0240076943966972</v>
      </c>
      <c r="I24" s="1" t="n">
        <f aca="false">J13/I23</f>
        <v>0.0180455199963755</v>
      </c>
      <c r="J24" s="1"/>
      <c r="K2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2026-01-28T05:39:56Z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