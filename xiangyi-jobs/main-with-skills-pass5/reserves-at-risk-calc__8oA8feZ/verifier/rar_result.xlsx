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4.813322962293491</v>
      </c>
    </row>
    <row r="5">
      <c r="B5" t="inlineStr">
        <is>
          <t>3-month volatility annualized</t>
        </is>
      </c>
      <c r="C5" t="n">
        <v>16.67383984786052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Uzbekistan</t>
        </is>
      </c>
      <c r="D11" t="inlineStr">
        <is>
          <t>Czechia</t>
        </is>
      </c>
      <c r="E11" t="inlineStr">
        <is>
          <t>Belarus</t>
        </is>
      </c>
      <c r="F11" t="inlineStr">
        <is>
          <t>Ukraine</t>
        </is>
      </c>
      <c r="G11" t="inlineStr">
        <is>
          <t>Slovakia</t>
        </is>
      </c>
      <c r="H11" t="inlineStr">
        <is>
          <t>Georgia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Moldova</t>
        </is>
      </c>
    </row>
    <row r="12">
      <c r="B12" t="inlineStr">
        <is>
          <t>Gold reserves 
(in millions of USD)</t>
        </is>
      </c>
      <c r="C12" s="7" t="n">
        <v>55092.42</v>
      </c>
      <c r="D12" s="2" t="n">
        <v>10121.89</v>
      </c>
      <c r="E12" s="3" t="n">
        <v>7471</v>
      </c>
      <c r="F12" s="3" t="n">
        <v>3877.64</v>
      </c>
      <c r="G12" s="3" t="n">
        <v>3263.67725679204</v>
      </c>
      <c r="H12" s="3" t="n">
        <v>1002</v>
      </c>
      <c r="I12" s="3" t="n">
        <v>921.28</v>
      </c>
      <c r="J12" s="7" t="n">
        <v>807.1</v>
      </c>
      <c r="K12" s="3" t="n">
        <v>10.71</v>
      </c>
    </row>
    <row r="13">
      <c r="B13" t="inlineStr">
        <is>
          <t>Gold valuation exposure (95% one-sided shock)</t>
        </is>
      </c>
      <c r="C13" t="n">
        <v>15111.00599113707</v>
      </c>
      <c r="D13" t="n">
        <v>2776.279212850522</v>
      </c>
      <c r="E13" t="n">
        <v>2049.18073593037</v>
      </c>
      <c r="F13" t="n">
        <v>1063.577190318972</v>
      </c>
      <c r="G13" t="n">
        <v>895.1766246703686</v>
      </c>
      <c r="H13" t="n">
        <v>274.8332348283001</v>
      </c>
      <c r="I13" t="n">
        <v>252.6929766293576</v>
      </c>
      <c r="J13" t="n">
        <v>221.3751535228753</v>
      </c>
      <c r="K13" t="n">
        <v>2.937588767476143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921.28</v>
      </c>
      <c r="F21" s="3" t="n">
        <v>807.1</v>
      </c>
      <c r="G21" s="3" t="n">
        <v>10.71</v>
      </c>
      <c r="H21" s="7" t="n">
        <v>55092.42</v>
      </c>
    </row>
    <row r="22">
      <c r="B22" t="inlineStr">
        <is>
          <t>Gold valuation exposure (95% one-sided shock)</t>
        </is>
      </c>
      <c r="C22" t="n">
        <v>2049.18073593037</v>
      </c>
      <c r="D22" t="n">
        <v>274.8332348283001</v>
      </c>
      <c r="E22" t="n">
        <v>252.6929766293576</v>
      </c>
      <c r="F22" t="n">
        <v>221.3751535228753</v>
      </c>
      <c r="G22" t="n">
        <v>2.937588767476143</v>
      </c>
      <c r="H22" t="n">
        <v>15111.00599113707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6076.9</v>
      </c>
      <c r="F23" t="n">
        <v>7082.7</v>
      </c>
      <c r="G23" t="n">
        <v>5999.34</v>
      </c>
      <c r="H23" t="n">
        <v>66311.75</v>
      </c>
    </row>
    <row r="24">
      <c r="B24" t="inlineStr">
        <is>
          <t>RaR(in percent of total reserves)</t>
        </is>
      </c>
      <c r="C24">
        <f>IFERROR(C22/C23*100,"")</f>
        <v/>
      </c>
      <c r="D24">
        <f>IFERROR(D22/D23*100,"")</f>
        <v/>
      </c>
      <c r="E24">
        <f>IFERROR(E22/E23*100,"")</f>
        <v/>
      </c>
      <c r="F24">
        <f>IFERROR(F22/F23*100,"")</f>
        <v/>
      </c>
      <c r="G24">
        <f>IFERROR(G22/G23*100,"")</f>
        <v/>
      </c>
      <c r="H24">
        <f>IFERROR(H22/H23*100,"")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4.205911315509112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4.892228760325102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5.941105501529432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1.247309605995897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1.254652254250747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1.597359759375206</v>
      </c>
      <c r="E14" t="n">
        <v>3.980624949343241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3.574064325372217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0.4726587546187644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2.095240785444502</v>
      </c>
      <c r="E19" t="n">
        <v>3.393081621765821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1.656257810175536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2.918695850392226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1.723818040365719</v>
      </c>
      <c r="E22" t="n">
        <v>2.147977569810248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3.205553764076568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2.547714702201374</v>
      </c>
      <c r="E24" t="n">
        <v>2.35493201667823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1.435014040573792</v>
      </c>
      <c r="E25" t="n">
        <v>2.356100414333068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1.328974007298953</v>
      </c>
      <c r="E26" t="n">
        <v>2.287311823274308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1.247394635485114</v>
      </c>
      <c r="E27" t="n">
        <v>1.793226064327614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</v>
      </c>
      <c r="E28" t="n">
        <v>1.934352933404759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1.246481458450741</v>
      </c>
      <c r="E29" t="n">
        <v>1.951419565020439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1.139369361331299</v>
      </c>
      <c r="E30" t="n">
        <v>1.951216640702172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1.389991147179389</v>
      </c>
      <c r="E31" t="n">
        <v>1.756471688941242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1.860678729686223</v>
      </c>
      <c r="E32" t="n">
        <v>2.073437247546101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3.010673455729372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2.973674095443919</v>
      </c>
      <c r="E34" t="n">
        <v>1.951647215818312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1.753154009187614</v>
      </c>
      <c r="E35" t="n">
        <v>1.721136031902211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1.867624825289783</v>
      </c>
      <c r="E36" t="n">
        <v>1.860156695269886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1.641083136846755</v>
      </c>
      <c r="E37" t="n">
        <v>1.834664366766965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1.418966884548386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1.010431088620716</v>
      </c>
      <c r="E39" t="n">
        <v>1.833654119150848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1.101137486838653</v>
      </c>
      <c r="E40" t="n">
        <v>1.713853799989986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1.963086006082459</v>
      </c>
      <c r="E41" t="n">
        <v>1.994636054910123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3.353152162349913</v>
      </c>
      <c r="E42" t="n">
        <v>2.796194259404825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2.799963676763916</v>
      </c>
      <c r="E43" t="n">
        <v>2.800513413762123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</v>
      </c>
      <c r="E44" t="n">
        <v>3.035234727056669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4.480189866672999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3.848750251778794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0.5173950628882297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1.125814771716896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1.840442528364405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1.153449918060761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</v>
      </c>
      <c r="E53" t="n">
        <v>3.74783907912453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1.481593355883709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1.632008478587491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0.6889817773724568</v>
      </c>
      <c r="E56" t="n">
        <v>2.787047245988173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1.146792407639391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2.119684702493007</v>
      </c>
      <c r="E58" t="n">
        <v>1.664690671727898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2.212202855429692</v>
      </c>
      <c r="E59" t="n">
        <v>1.650185005926183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2.255727272207027</v>
      </c>
      <c r="E60" t="n">
        <v>1.514743645910842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0.4206721443399555</v>
      </c>
      <c r="E61" t="n">
        <v>1.404148248617265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0.635962237683608</v>
      </c>
      <c r="E62" t="n">
        <v>1.363525298366329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0.5637874714945056</v>
      </c>
      <c r="E63" t="n">
        <v>1.328848312869888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1.018904406350096</v>
      </c>
      <c r="E64" t="n">
        <v>1.390650324273143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1.504481853942507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2.031784191271353</v>
      </c>
      <c r="E66" t="n">
        <v>1.51188237259342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1.966060932904507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1.047244234305934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0.645812332456537</v>
      </c>
      <c r="E69" t="n">
        <v>1.45881287904442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0.2706753583709371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0.3368144238677002</v>
      </c>
      <c r="E71" t="n">
        <v>1.149153488618641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0.4410838906586836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0.3712496222906972</v>
      </c>
      <c r="E73" t="n">
        <v>1.025504957742187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1.501377538593847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1.410825992787841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2.625254159925056</v>
      </c>
      <c r="E76" t="n">
        <v>1.477687764828807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1.579271635576446</v>
      </c>
      <c r="E77" t="n">
        <v>1.346080379350055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0.891028263975739</v>
      </c>
      <c r="E78" t="n">
        <v>1.262994920855143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0.7150485671865706</v>
      </c>
      <c r="E79" t="n">
        <v>1.360801633069818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0.7788347999729799</v>
      </c>
      <c r="E80" t="n">
        <v>1.363331658131865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1.362996046069865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1.108189811828073</v>
      </c>
      <c r="E82" t="n">
        <v>1.427546069106108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1.114755517651864</v>
      </c>
      <c r="E83" t="n">
        <v>1.434580503595062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0.3496174459073531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1.139822190241487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1.576645815877798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0.7651316267106816</v>
      </c>
      <c r="E87" t="n">
        <v>1.285157097399204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2.145552691127017</v>
      </c>
      <c r="E89" t="n">
        <v>1.510642557838243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1.766342853500083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0.9181349127615426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0.1573621731584344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2.233904231363738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3.322518509226915</v>
      </c>
      <c r="E97" t="n">
        <v>2.538669252468311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3.804221635949935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2.867948823209733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1.629265098116416</v>
      </c>
      <c r="E100" t="n">
        <v>2.751360951572532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2.354895258236481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3.621166620928959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3.163086074307437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1.576280207290729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</v>
      </c>
      <c r="E109" t="n">
        <v>2.272143894874609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0.5497376770646722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0.9510703485385595</v>
      </c>
      <c r="E112" t="n">
        <v>2.153051593496658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0.7571993685507886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0.7689359955144096</v>
      </c>
      <c r="E114" t="n">
        <v>1.558834281537074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2.424245713074644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2.246680718935052</v>
      </c>
      <c r="E116" t="n">
        <v>2.116452273961598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3.004448632157971</v>
      </c>
      <c r="E117" t="n">
        <v>2.050636564136248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2.327231241552377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11.09539281073379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5.734941885334617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3.147810010910616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4.467214880805042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4.862469432424704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5.174579743191155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1.659297350729003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5.872708338930311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2.578357784958071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3.062544329987617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1.124625946947631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1.126956043748338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0.5851595781635083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1.880092897769349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1.305558343496388</v>
      </c>
      <c r="E136" t="n">
        <v>1.770151351538586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0.8848489855144975</v>
      </c>
      <c r="E137" t="n">
        <v>1.677952639860975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2.83214845837109</v>
      </c>
      <c r="E138" t="n">
        <v>2.204078493270006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3.054794468346494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</v>
      </c>
      <c r="E140" t="n">
        <v>1.921385368290011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1.473259126013792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2.72253435469531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2.615188560785959</v>
      </c>
      <c r="E143" t="n">
        <v>2.254283132208025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3.358561587351378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0.6989112169320196</v>
      </c>
      <c r="E145" t="n">
        <v>2.243843544980052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1.859169012904195</v>
      </c>
      <c r="E146" t="n">
        <v>2.161973907737215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2.732477721932076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2.700765257584094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2.71425875027743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2.232734321222476</v>
      </c>
      <c r="E150" t="n">
        <v>2.375074702696905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0.8631106270390531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3.263377994915286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2.337803059715889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2.138923704710542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1.816961963518299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2.185652962079484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3.019835419813184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3.315910125383825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6.242588165763904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5.984629755242276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5.098265088496817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1.991695522286902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3.36961259266078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2.601241863180367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2.604658466474263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1.307802257938354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3.246996714619923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1.962988477918984</v>
      </c>
      <c r="E172" t="n">
        <v>3.326804439666242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1.309115555806402</v>
      </c>
      <c r="E173" t="n">
        <v>3.0094959561433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2.817134965432225</v>
      </c>
      <c r="E174" t="n">
        <v>2.859333238329459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3.595912176552015</v>
      </c>
      <c r="E175" t="n">
        <v>2.890306288126749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3.934453770719925</v>
      </c>
      <c r="E176" t="n">
        <v>2.800050039049474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0.8046958796376404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0.4301556480676579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1.633662516241303</v>
      </c>
      <c r="E179" t="n">
        <v>2.570676853759491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1.688058619436192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3.384010806073479</v>
      </c>
      <c r="E184" t="n">
        <v>2.821962114839129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1.931945523289984</v>
      </c>
      <c r="E185" t="n">
        <v>2.838676638119023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2.33304723297587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2.04798136813612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2.111105083396598</v>
      </c>
      <c r="E188" t="n">
        <v>2.454412146137041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2.389143566170667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2.942428721106027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0.579876802460101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1.319819200409439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2.750289711119489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3.318269182693244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3.606108691900472</v>
      </c>
      <c r="E195" t="n">
        <v>2.961857551790536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3.966714260011613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4.930472169406607</v>
      </c>
      <c r="E197" t="n">
        <v>3.444354562197662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5.359682931475829</v>
      </c>
      <c r="E198" t="n">
        <v>3.668806696548079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9.456718753460461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5.857007760822535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2.746170968517778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6.462735883106066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4.674838684680558</v>
      </c>
      <c r="E205" t="n">
        <v>6.627106222589802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3.849467395440804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2.83996805538626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3.467827236966532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3.500207888828489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3.091001089780952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3.151819083684517</v>
      </c>
      <c r="E211" t="n">
        <v>3.845928145137545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1.891367019467658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1.604045050974687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3.601831722988529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3.6656330542301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0.6005324887703944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5.350765831151426</v>
      </c>
      <c r="E219" t="n">
        <v>4.00076638020535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3.505033487163462</v>
      </c>
      <c r="E220" t="n">
        <v>3.807792236468889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6.096411729465387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5.649834030003108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4.012527562532077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8.597216618360905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8.485446878420392</v>
      </c>
      <c r="E226" t="n">
        <v>6.054330354614767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5.480967145261514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2.401578533185133</v>
      </c>
      <c r="E228" t="n">
        <v>5.919399877732968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6.722514964200728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6.930157676063489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2.151472724282293</v>
      </c>
      <c r="E231" t="n">
        <v>6.276256724338449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5.760733614167104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7.138388447097153</v>
      </c>
      <c r="E233" t="n">
        <v>5.943424941008885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4.199723919171488</v>
      </c>
      <c r="E234" t="n">
        <v>6.028298041974113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4.095061457021284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2.728603869040616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1.694778161080531</v>
      </c>
      <c r="E237" t="n">
        <v>4.643351640245315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3.037909078892957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1.796641758168875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1.751479592707802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3.533070975698084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4.821828208388127</v>
      </c>
      <c r="E242" t="n">
        <v>4.049386378698198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1.436830725569091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1.974115688388596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2.65584814777496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1.600428708462842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1.305600846926947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4.148416553088409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3.105520719382719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3.940929588232316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1.826134332917689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1.738510807679238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2.133211436390905</v>
      </c>
      <c r="E253" t="n">
        <v>2.744462047599673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2.476887146466087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2.218421829721525</v>
      </c>
      <c r="E255" t="n">
        <v>2.630411362059003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3.097145835491651</v>
      </c>
      <c r="E256" t="n">
        <v>2.678021069748208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1.365205963844308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0.6439931862353698</v>
      </c>
      <c r="E258" t="n">
        <v>2.554645197632384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1.121735401178346</v>
      </c>
      <c r="E259" t="n">
        <v>2.558728767049192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0.8609575042904694</v>
      </c>
      <c r="E260" t="n">
        <v>2.002755305767364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5.251558508172079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8.649712977603739</v>
      </c>
      <c r="E263" t="n">
        <v>4.007037797418053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5.377440164291243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5.796049797882024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4.736973418543501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5.103789450890545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4.564340633273892</v>
      </c>
      <c r="E268" t="n">
        <v>4.798379758725024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4.698878638961957</v>
      </c>
      <c r="E269" t="n">
        <v>4.811149784735251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1.492333540353876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2.350710286838939</v>
      </c>
      <c r="E271" t="n">
        <v>4.978429914305879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2.495899547606372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1.091664684430587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3.695810583240678</v>
      </c>
      <c r="E274" t="n">
        <v>4.235773324458424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3.562149387105856</v>
      </c>
      <c r="E275" t="n">
        <v>3.779590857361076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4.521769885456759</v>
      </c>
      <c r="E276" t="n">
        <v>3.598055092623362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1.08809139331607</v>
      </c>
      <c r="E277" t="n">
        <v>3.297696562968141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0.4332535777276023</v>
      </c>
      <c r="E278" t="n">
        <v>3.316488439304807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0.7928374368281665</v>
      </c>
      <c r="E279" t="n">
        <v>2.987311903448041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0.8127594072157047</v>
      </c>
      <c r="E280" t="n">
        <v>2.834971744749033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2.673834648617985</v>
      </c>
      <c r="E281" t="n">
        <v>3.414638815294848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2.433616639240917</v>
      </c>
      <c r="E282" t="n">
        <v>3.503137496125119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1.133779140578413</v>
      </c>
      <c r="E283" t="n">
        <v>3.656419238504426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0.4857805415124276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5.380046148716512</v>
      </c>
      <c r="E285" t="n">
        <v>4.017769916425696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4.409240713791258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3.558225904850644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1.711438098071165</v>
      </c>
      <c r="E288" t="n">
        <v>2.960795959243106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0.7955047435591827</v>
      </c>
      <c r="E289" t="n">
        <v>2.986009535853091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3.004842230848331</v>
      </c>
      <c r="E290" t="n">
        <v>3.203110323763527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4.297568910633135</v>
      </c>
      <c r="E291" t="n">
        <v>3.764187070408136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1.434714720708028</v>
      </c>
      <c r="E292" t="n">
        <v>3.981271516524909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3.771182883733256</v>
      </c>
      <c r="E293" t="n">
        <v>3.618239857292545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2.778577829719632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1.184957730775925</v>
      </c>
      <c r="E295" t="n">
        <v>3.121046542926806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1.870311413687066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1.957914001306159</v>
      </c>
      <c r="E297" t="n">
        <v>2.633374223158206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3.487108930825695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1.892014403450343</v>
      </c>
      <c r="E299" t="n">
        <v>2.845902220958337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1.680835503002102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3.031876731223411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4.125976671405551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3.087804819262751</v>
      </c>
      <c r="E303" t="n">
        <v>2.743025966622211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4.198490776415924</v>
      </c>
      <c r="E304" t="n">
        <v>2.725530182833566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2.865723234548824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2.928166216675328</v>
      </c>
      <c r="E306" t="n">
        <v>2.772006761478056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1.548504189299115</v>
      </c>
      <c r="E307" t="n">
        <v>2.783731516062402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2.310711570399292</v>
      </c>
      <c r="E308" t="n">
        <v>2.794280656531426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1.831815053444522</v>
      </c>
      <c r="E309" t="n">
        <v>2.794385542234158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2.582711312899949</v>
      </c>
      <c r="E310" t="n">
        <v>2.635991728696931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2.087860381886189</v>
      </c>
      <c r="E311" t="n">
        <v>2.850377624244673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4.991184930745445</v>
      </c>
      <c r="E312" t="n">
        <v>3.226218019683205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4.797885426256808</v>
      </c>
      <c r="E313" t="n">
        <v>3.105015744575486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4.6254533453361</v>
      </c>
      <c r="E314" t="n">
        <v>2.92578086886148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5.305928967622948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3.331270854205987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2.072575358087607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0.9719336487294109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1.909258045513637</v>
      </c>
      <c r="E320" t="n">
        <v>3.811404382725374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2.285916959451312</v>
      </c>
      <c r="E321" t="n">
        <v>3.748145929840818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3.020242932310588</v>
      </c>
      <c r="E322" t="n">
        <v>3.819836610620534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2.505128297965896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1.745665218575691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2.324038832108141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5.316214653830566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2.161513453100839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1.973516987219587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1.738882079384433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2.800514413143253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2.950756579381357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2.631374483543203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1.49265271366755</v>
      </c>
      <c r="E337" t="n">
        <v>2.390891370419528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0.6421848333766109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1.591341454312976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1.653747937015505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0.8811886147842826</v>
      </c>
      <c r="E344" t="n">
        <v>2.705953184467262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0.9273142865399129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1.744314158394409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2.255517975352108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0.8199812043375665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0.8661655696917346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1.503763615660956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0.7357275287352465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2.004268720161589</v>
      </c>
      <c r="E353" t="n">
        <v>2.244692576110855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0.655704323630256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3.689287344193815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3.012892252385381</v>
      </c>
      <c r="E356" t="n">
        <v>2.511224037725362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1.101105936173527</v>
      </c>
      <c r="E357" t="n">
        <v>2.494602210352971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2.550628623970498</v>
      </c>
      <c r="E358" t="n">
        <v>2.432314339492371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3.612676092280729</v>
      </c>
      <c r="E359" t="n">
        <v>2.584301692455689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1.31164056688145</v>
      </c>
      <c r="E360" t="n">
        <v>2.747107747064544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1.074960766047753</v>
      </c>
      <c r="E361" t="n">
        <v>2.75741529143565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3.731312673065842</v>
      </c>
      <c r="E362" t="n">
        <v>2.961702789853199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2.613031445942335</v>
      </c>
      <c r="E363" t="n">
        <v>2.964496262996403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2.955541842770212</v>
      </c>
      <c r="E364" t="n">
        <v>2.874892617076369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2.947262604092687</v>
      </c>
      <c r="E365" t="n">
        <v>2.929340594056442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2.965599515518706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2.433519538114071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2.805150747124259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3.158450902910354</v>
      </c>
      <c r="E369" t="n">
        <v>2.964564182168118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5.047102450606682</v>
      </c>
      <c r="E370" t="n">
        <v>3.235517395781057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0.6151138420765011</v>
      </c>
      <c r="E372" t="n">
        <v>3.269851423082779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0.7748676896151906</v>
      </c>
      <c r="E373" t="n">
        <v>3.313505683731878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1.283475921860326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1.966308025778088</v>
      </c>
      <c r="E375" t="n">
        <v>3.382253631186547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2.899360972194757</v>
      </c>
      <c r="E376" t="n">
        <v>3.810841010311722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3.954725343417756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0.1866097813271769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0.5998175966565152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0.6527865380645631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1.518339076763399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2.143962186123636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2.192198007014075</v>
      </c>
      <c r="E387" t="n">
        <v>2.709214403556598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</v>
      </c>
      <c r="E388" t="n">
        <v>2.437152690213872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2.766101854352339</v>
      </c>
      <c r="E389" t="n">
        <v>2.439717722427218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4.65799426557022</v>
      </c>
      <c r="E390" t="n">
        <v>2.440404594432457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2.158844968907145</v>
      </c>
      <c r="E391" t="n">
        <v>2.425298576338754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2.557300675257546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3.635900323420107</v>
      </c>
      <c r="E393" t="n">
        <v>2.925209463659028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3.873556451940892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3.130737867059</v>
      </c>
      <c r="E395" t="n">
        <v>3.215007369693753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4.161118520361123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2.757393756848556</v>
      </c>
      <c r="E397" t="n">
        <v>3.521256094476606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0.9193835435033431</v>
      </c>
      <c r="E398" t="n">
        <v>3.821675900643192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4.055321335113484</v>
      </c>
      <c r="E399" t="n">
        <v>3.846119187172537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3.928507361998266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3.557006108468304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2.548918518015449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3.461748320196525</v>
      </c>
      <c r="E403" t="n">
        <v>3.707077228498129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1.321824799916983</v>
      </c>
      <c r="E404" t="n">
        <v>3.186493938649211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1.333777797104732</v>
      </c>
      <c r="E405" t="n">
        <v>3.263152672945628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0.9787054698361568</v>
      </c>
      <c r="E406" t="n">
        <v>2.814298629705064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0.8463709521110558</v>
      </c>
      <c r="E407" t="n">
        <v>2.765200522227028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2.206991536872639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1.913997013178666</v>
      </c>
      <c r="E409" t="n">
        <v>2.665399734313832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1.891406366341755</v>
      </c>
      <c r="E410" t="n">
        <v>2.302239752755555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1.566466697475691</v>
      </c>
      <c r="E411" t="n">
        <v>2.152512343585174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3.956540588022403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4.404129000492407</v>
      </c>
      <c r="E413" t="n">
        <v>3.155253373453094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3.71755367595776</v>
      </c>
      <c r="E414" t="n">
        <v>3.112017101102101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4.543294093927696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1.871808938887472</v>
      </c>
      <c r="E416" t="n">
        <v>2.984361991756591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2.241861904930747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0.6378273419124049</v>
      </c>
      <c r="E418" t="n">
        <v>2.761863604324836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0.7620873549592204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3.283941759548644</v>
      </c>
      <c r="E420" t="n">
        <v>2.941365422132827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3.198140282347496</v>
      </c>
      <c r="E421" t="n">
        <v>3.054061671035183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2.025191031332683</v>
      </c>
      <c r="E422" t="n">
        <v>2.974193549938556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3.574783673730537</v>
      </c>
      <c r="E423" t="n">
        <v>3.064810377395257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2.252037110554814</v>
      </c>
      <c r="E424" t="n">
        <v>2.849348470741028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2.361940090382935</v>
      </c>
      <c r="E425" t="n">
        <v>2.846024855335686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2.951046769429665</v>
      </c>
      <c r="E426" t="n">
        <v>2.788779825357895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3.246914418582457</v>
      </c>
      <c r="E427" t="n">
        <v>2.550393332338849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1.317685385688335</v>
      </c>
      <c r="E428" t="n">
        <v>2.727924270213711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1.114470789878097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4.813322962293491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2026-01-28T05:40:59Z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