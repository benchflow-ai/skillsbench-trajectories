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2"/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0"/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Value!$C$18</f>
        <v/>
      </c>
      <c r="D12" s="2">
        <f>Value!$E$18</f>
        <v/>
      </c>
      <c r="E12" s="3">
        <f>Value!$I$18</f>
        <v/>
      </c>
      <c r="F12" s="3">
        <f>Value!$K$18</f>
        <v/>
      </c>
      <c r="G12" s="3">
        <f>Value!$L$18</f>
        <v/>
      </c>
      <c r="H12" s="3">
        <f>Value!$M$18</f>
        <v/>
      </c>
      <c r="I12" s="3">
        <f>Value!$N$18</f>
        <v/>
      </c>
      <c r="J12" s="7">
        <f>Value!$P$18</f>
        <v/>
      </c>
      <c r="K12" s="3">
        <f>Volume!$H$18*AVERAGE('Gold price'!$B$422:$B$430)</f>
        <v/>
      </c>
    </row>
    <row r="13">
      <c r="B13" t="inlineStr">
        <is>
          <t>Gold valuation exposure (95% one-sided shock)</t>
        </is>
      </c>
      <c r="C13">
        <f>C12*$C$3*$C$5/100</f>
        <v/>
      </c>
      <c r="D13">
        <f>D12*$C$3*$C$5/100</f>
        <v/>
      </c>
      <c r="E13">
        <f>E12*$C$3*$C$5/100</f>
        <v/>
      </c>
      <c r="F13">
        <f>F12*$C$3*$C$5/100</f>
        <v/>
      </c>
      <c r="G13">
        <f>G12*$C$3*$C$5/100</f>
        <v/>
      </c>
      <c r="H13">
        <f>H12*$C$3*$C$5/100</f>
        <v/>
      </c>
      <c r="I13">
        <f>I12*$C$3*$C$5/100</f>
        <v/>
      </c>
      <c r="J13">
        <f>J12*$C$3*$C$5/100</f>
        <v/>
      </c>
      <c r="K13">
        <f>K12*$C$3*$C$5/100</f>
        <v/>
      </c>
    </row>
    <row r="16">
      <c r="B16" t="inlineStr">
        <is>
          <t>STEP 3</t>
        </is>
      </c>
    </row>
    <row r="17"/>
    <row r="18"/>
    <row r="19"/>
    <row r="20">
      <c r="B20" t="inlineStr">
        <is>
          <t>Country</t>
        </is>
      </c>
      <c r="C20">
        <f>C11</f>
        <v/>
      </c>
      <c r="D20">
        <f>D11</f>
        <v/>
      </c>
      <c r="E20">
        <f>E11</f>
        <v/>
      </c>
      <c r="F20">
        <f>G11</f>
        <v/>
      </c>
      <c r="G20">
        <f>H11</f>
        <v/>
      </c>
      <c r="H20">
        <f>I11</f>
        <v/>
      </c>
      <c r="I20">
        <f>J11</f>
        <v/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>
        <f>E12</f>
        <v/>
      </c>
      <c r="F21" s="3">
        <f>G12</f>
        <v/>
      </c>
      <c r="G21" s="3">
        <f>H12</f>
        <v/>
      </c>
      <c r="H21" s="7">
        <f>I12</f>
        <v/>
      </c>
      <c r="I21">
        <f>J12</f>
        <v/>
      </c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  <c r="E22">
        <f>E13</f>
        <v/>
      </c>
      <c r="F22">
        <f>G13</f>
        <v/>
      </c>
      <c r="G22">
        <f>H13</f>
        <v/>
      </c>
      <c r="H22">
        <f>I13</f>
        <v/>
      </c>
      <c r="I22">
        <f>J13</f>
        <v/>
      </c>
    </row>
    <row r="23">
      <c r="B23" t="inlineStr">
        <is>
          <t>Total Reserve</t>
        </is>
      </c>
      <c r="C23">
        <f>'Total Reserves'!C18</f>
        <v/>
      </c>
      <c r="D23">
        <f>'Total Reserves'!D18</f>
        <v/>
      </c>
      <c r="E23">
        <f>'Total Reserves'!G18</f>
        <v/>
      </c>
      <c r="F23">
        <f>'Total Reserves'!H18</f>
        <v/>
      </c>
      <c r="G23">
        <f>'Total Reserves'!I18</f>
        <v/>
      </c>
      <c r="H23">
        <f>'Total Reserves'!J18</f>
        <v/>
      </c>
      <c r="I23">
        <f>'Total Reserves'!M18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2026-01-27T20:44:10Z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