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Value" sheetId="2" state="visible" r:id="rId2"/>
    <sheet name="Volume" sheetId="3" state="visible" r:id="rId3"/>
    <sheet name="Total Reserves" sheetId="4" state="visible" r:id="rId4"/>
    <sheet name="Ans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Date</t>
        </is>
      </c>
      <c r="B1" s="1" t="inlineStr">
        <is>
          <t>Gold Price (US$/troy oz)</t>
        </is>
      </c>
      <c r="C1" s="1" t="inlineStr">
        <is>
          <t>Log Return (%)</t>
        </is>
      </c>
      <c r="D1" s="1" t="inlineStr">
        <is>
          <t>3-Month Volatility (%)</t>
        </is>
      </c>
      <c r="E1" s="1" t="inlineStr">
        <is>
          <t>12-Month Volatility (%)</t>
        </is>
      </c>
    </row>
    <row r="2">
      <c r="A2" t="inlineStr">
        <is>
          <t>2022M10</t>
        </is>
      </c>
      <c r="B2" s="2" t="n">
        <v>1666.626666666667</v>
      </c>
    </row>
    <row r="3">
      <c r="A3" t="inlineStr">
        <is>
          <t>2022M11</t>
        </is>
      </c>
      <c r="B3" s="2" t="n">
        <v>1727.898636363636</v>
      </c>
      <c r="C3" s="2">
        <f>IFERROR(LN(B3/B2)*100, "")</f>
        <v/>
      </c>
    </row>
    <row r="4">
      <c r="A4" t="inlineStr">
        <is>
          <t>2022M12</t>
        </is>
      </c>
      <c r="B4" s="2" t="n">
        <v>1797.408181818182</v>
      </c>
      <c r="C4" s="2">
        <f>IFERROR(LN(B4/B3)*100, "")</f>
        <v/>
      </c>
      <c r="D4" s="2">
        <f>IFERROR(STDEV(C2:C4)*SQRT(12)*100, "")</f>
        <v/>
      </c>
    </row>
    <row r="5">
      <c r="A5" t="inlineStr">
        <is>
          <t>2023M1</t>
        </is>
      </c>
      <c r="B5" s="2" t="n">
        <v>1896.059545454545</v>
      </c>
      <c r="C5" s="2">
        <f>IFERROR(LN(B5/B4)*100, "")</f>
        <v/>
      </c>
      <c r="D5" s="2">
        <f>IFERROR(STDEV(C3:C5)*SQRT(12)*100, "")</f>
        <v/>
      </c>
    </row>
    <row r="6">
      <c r="A6" t="inlineStr">
        <is>
          <t>2023M2</t>
        </is>
      </c>
      <c r="B6" s="2" t="n">
        <v>1853.409</v>
      </c>
      <c r="C6" s="2">
        <f>IFERROR(LN(B6/B5)*100, "")</f>
        <v/>
      </c>
      <c r="D6" s="2">
        <f>IFERROR(STDEV(C4:C6)*SQRT(12)*100, "")</f>
        <v/>
      </c>
    </row>
    <row r="7">
      <c r="A7" t="inlineStr">
        <is>
          <t>2023M3</t>
        </is>
      </c>
      <c r="B7" s="2" t="n">
        <v>1913.648260869565</v>
      </c>
      <c r="C7" s="2">
        <f>IFERROR(LN(B7/B6)*100, "")</f>
        <v/>
      </c>
      <c r="D7" s="2">
        <f>IFERROR(STDEV(C5:C7)*SQRT(12)*100, "")</f>
        <v/>
      </c>
    </row>
    <row r="8">
      <c r="A8" t="inlineStr">
        <is>
          <t>2023M4</t>
        </is>
      </c>
      <c r="B8" s="2" t="n">
        <v>1999.6685</v>
      </c>
      <c r="C8" s="2">
        <f>IFERROR(LN(B8/B7)*100, "")</f>
        <v/>
      </c>
      <c r="D8" s="2">
        <f>IFERROR(STDEV(C6:C8)*SQRT(12)*100, "")</f>
        <v/>
      </c>
    </row>
    <row r="9">
      <c r="A9" t="inlineStr">
        <is>
          <t>2023M5</t>
        </is>
      </c>
      <c r="B9" s="2" t="n">
        <v>1989.826956521739</v>
      </c>
      <c r="C9" s="2">
        <f>IFERROR(LN(B9/B8)*100, "")</f>
        <v/>
      </c>
      <c r="D9" s="2">
        <f>IFERROR(STDEV(C7:C9)*SQRT(12)*100, "")</f>
        <v/>
      </c>
    </row>
    <row r="10">
      <c r="A10" t="inlineStr">
        <is>
          <t>2023M6</t>
        </is>
      </c>
      <c r="B10" s="2" t="n">
        <v>1944.728636363636</v>
      </c>
      <c r="C10" s="2">
        <f>IFERROR(LN(B10/B9)*100, "")</f>
        <v/>
      </c>
      <c r="D10" s="2">
        <f>IFERROR(STDEV(C8:C10)*SQRT(12)*100, "")</f>
        <v/>
      </c>
    </row>
    <row r="11">
      <c r="A11" t="inlineStr">
        <is>
          <t>2023M7</t>
        </is>
      </c>
      <c r="B11" s="2" t="n">
        <v>1950.27</v>
      </c>
      <c r="C11" s="2">
        <f>IFERROR(LN(B11/B10)*100, "")</f>
        <v/>
      </c>
      <c r="D11" s="2">
        <f>IFERROR(STDEV(C9:C11)*SQRT(12)*100, "")</f>
        <v/>
      </c>
    </row>
    <row r="12">
      <c r="A12" t="inlineStr">
        <is>
          <t>2023M8</t>
        </is>
      </c>
      <c r="B12" s="2" t="n">
        <v>1919.302173913044</v>
      </c>
      <c r="C12" s="2">
        <f>IFERROR(LN(B12/B11)*100, "")</f>
        <v/>
      </c>
      <c r="D12" s="2">
        <f>IFERROR(STDEV(C10:C12)*SQRT(12)*100, "")</f>
        <v/>
      </c>
    </row>
    <row r="13">
      <c r="A13" t="inlineStr">
        <is>
          <t>2023M9</t>
        </is>
      </c>
      <c r="B13" s="2" t="n">
        <v>1915.434761904762</v>
      </c>
      <c r="C13" s="2">
        <f>IFERROR(LN(B13/B12)*100, "")</f>
        <v/>
      </c>
      <c r="D13" s="2">
        <f>IFERROR(STDEV(C11:C13)*SQRT(12)*100, "")</f>
        <v/>
      </c>
      <c r="E13" s="2">
        <f>IFERROR(STDEV(C2:C13)*SQRT(12)*100, "")</f>
        <v/>
      </c>
    </row>
    <row r="14">
      <c r="A14" t="inlineStr">
        <is>
          <t>2023M10</t>
        </is>
      </c>
      <c r="B14" s="2" t="n">
        <v>1913.984545454546</v>
      </c>
      <c r="C14" s="2">
        <f>IFERROR(LN(B14/B13)*100, "")</f>
        <v/>
      </c>
      <c r="D14" s="2">
        <f>IFERROR(STDEV(C12:C14)*SQRT(12)*100, "")</f>
        <v/>
      </c>
      <c r="E14" s="2">
        <f>IFERROR(STDEV(C3:C14)*SQRT(12)*100, "")</f>
        <v/>
      </c>
    </row>
    <row r="15">
      <c r="A15" t="inlineStr">
        <is>
          <t>2023M11</t>
        </is>
      </c>
      <c r="B15" s="2" t="n">
        <v>1985.777727272728</v>
      </c>
      <c r="C15" s="2">
        <f>IFERROR(LN(B15/B14)*100, "")</f>
        <v/>
      </c>
      <c r="D15" s="2">
        <f>IFERROR(STDEV(C13:C15)*SQRT(12)*100, "")</f>
        <v/>
      </c>
      <c r="E15" s="2">
        <f>IFERROR(STDEV(C4:C15)*SQRT(12)*100, "")</f>
        <v/>
      </c>
    </row>
    <row r="16">
      <c r="A16" t="inlineStr">
        <is>
          <t>2023M12</t>
        </is>
      </c>
      <c r="B16" s="2" t="n">
        <v>2034.704285714285</v>
      </c>
      <c r="C16" s="2">
        <f>IFERROR(LN(B16/B15)*100, "")</f>
        <v/>
      </c>
      <c r="D16" s="2">
        <f>IFERROR(STDEV(C14:C16)*SQRT(12)*100, "")</f>
        <v/>
      </c>
      <c r="E16" s="2">
        <f>IFERROR(STDEV(C5:C16)*SQRT(12)*100, "")</f>
        <v/>
      </c>
    </row>
    <row r="17">
      <c r="A17" t="inlineStr">
        <is>
          <t>2024M1</t>
        </is>
      </c>
      <c r="B17" s="2" t="n">
        <v>2034.006086956522</v>
      </c>
      <c r="C17" s="2">
        <f>IFERROR(LN(B17/B16)*100, "")</f>
        <v/>
      </c>
      <c r="D17" s="2">
        <f>IFERROR(STDEV(C15:C17)*SQRT(12)*100, "")</f>
        <v/>
      </c>
      <c r="E17" s="2">
        <f>IFERROR(STDEV(C6:C17)*SQRT(12)*100, "")</f>
        <v/>
      </c>
    </row>
    <row r="18">
      <c r="A18" t="inlineStr">
        <is>
          <t>2024M2</t>
        </is>
      </c>
      <c r="B18" s="2" t="n">
        <v>2024.44619047619</v>
      </c>
      <c r="C18" s="2">
        <f>IFERROR(LN(B18/B17)*100, "")</f>
        <v/>
      </c>
      <c r="D18" s="2">
        <f>IFERROR(STDEV(C16:C18)*SQRT(12)*100, "")</f>
        <v/>
      </c>
      <c r="E18" s="2">
        <f>IFERROR(STDEV(C7:C18)*SQRT(12)*100, "")</f>
        <v/>
      </c>
    </row>
    <row r="19">
      <c r="A19" t="inlineStr">
        <is>
          <t>2024M3</t>
        </is>
      </c>
      <c r="B19" s="2" t="n">
        <v>2162.346190476191</v>
      </c>
      <c r="C19" s="2">
        <f>IFERROR(LN(B19/B18)*100, "")</f>
        <v/>
      </c>
      <c r="D19" s="2">
        <f>IFERROR(STDEV(C17:C19)*SQRT(12)*100, "")</f>
        <v/>
      </c>
      <c r="E19" s="2">
        <f>IFERROR(STDEV(C8:C19)*SQRT(12)*100, "")</f>
        <v/>
      </c>
    </row>
    <row r="20">
      <c r="A20" t="inlineStr">
        <is>
          <t>2024M4</t>
        </is>
      </c>
      <c r="B20" s="2" t="n">
        <v>2333.550454545454</v>
      </c>
      <c r="C20" s="2">
        <f>IFERROR(LN(B20/B19)*100, "")</f>
        <v/>
      </c>
      <c r="D20" s="2">
        <f>IFERROR(STDEV(C18:C20)*SQRT(12)*100, "")</f>
        <v/>
      </c>
      <c r="E20" s="2">
        <f>IFERROR(STDEV(C9:C20)*SQRT(12)*100, "")</f>
        <v/>
      </c>
    </row>
    <row r="21">
      <c r="A21" t="inlineStr">
        <is>
          <t>2024M5</t>
        </is>
      </c>
      <c r="B21" s="2" t="n">
        <v>2350.596521739131</v>
      </c>
      <c r="C21" s="2">
        <f>IFERROR(LN(B21/B20)*100, "")</f>
        <v/>
      </c>
      <c r="D21" s="2">
        <f>IFERROR(STDEV(C19:C21)*SQRT(12)*100, "")</f>
        <v/>
      </c>
      <c r="E21" s="2">
        <f>IFERROR(STDEV(C10:C21)*SQRT(12)*100, "")</f>
        <v/>
      </c>
    </row>
    <row r="22">
      <c r="A22" t="inlineStr">
        <is>
          <t>2024M6</t>
        </is>
      </c>
      <c r="B22" s="2" t="n">
        <v>2328.2625</v>
      </c>
      <c r="C22" s="2">
        <f>IFERROR(LN(B22/B21)*100, "")</f>
        <v/>
      </c>
      <c r="D22" s="2">
        <f>IFERROR(STDEV(C20:C22)*SQRT(12)*100, "")</f>
        <v/>
      </c>
      <c r="E22" s="2">
        <f>IFERROR(STDEV(C11:C22)*SQRT(12)*100, "")</f>
        <v/>
      </c>
    </row>
    <row r="23">
      <c r="A23" t="inlineStr">
        <is>
          <t>2024M7</t>
        </is>
      </c>
      <c r="B23" s="2" t="n">
        <v>2393.962173913043</v>
      </c>
      <c r="C23" s="2">
        <f>IFERROR(LN(B23/B22)*100, "")</f>
        <v/>
      </c>
      <c r="D23" s="2">
        <f>IFERROR(STDEV(C21:C23)*SQRT(12)*100, "")</f>
        <v/>
      </c>
      <c r="E23" s="2">
        <f>IFERROR(STDEV(C12:C23)*SQRT(12)*100, "")</f>
        <v/>
      </c>
    </row>
    <row r="24">
      <c r="A24" t="inlineStr">
        <is>
          <t>2024M8</t>
        </is>
      </c>
      <c r="B24" s="2" t="n">
        <v>2468.328636363637</v>
      </c>
      <c r="C24" s="2">
        <f>IFERROR(LN(B24/B23)*100, "")</f>
        <v/>
      </c>
      <c r="D24" s="2">
        <f>IFERROR(STDEV(C22:C24)*SQRT(12)*100, "")</f>
        <v/>
      </c>
      <c r="E24" s="2">
        <f>IFERROR(STDEV(C13:C24)*SQRT(12)*100, "")</f>
        <v/>
      </c>
    </row>
    <row r="25">
      <c r="A25" t="inlineStr">
        <is>
          <t>2024M9</t>
        </is>
      </c>
      <c r="B25" s="2" t="n">
        <v>2569.049047619048</v>
      </c>
      <c r="C25" s="2">
        <f>IFERROR(LN(B25/B24)*100, "")</f>
        <v/>
      </c>
      <c r="D25" s="2">
        <f>IFERROR(STDEV(C23:C25)*SQRT(12)*100, "")</f>
        <v/>
      </c>
      <c r="E25" s="2">
        <f>IFERROR(STDEV(C14:C25)*SQRT(12)*100, "")</f>
        <v/>
      </c>
    </row>
    <row r="26">
      <c r="A26" t="inlineStr">
        <is>
          <t>2024M10</t>
        </is>
      </c>
      <c r="B26" s="2" t="n">
        <v>2689.128695652173</v>
      </c>
      <c r="C26" s="2">
        <f>IFERROR(LN(B26/B25)*100, "")</f>
        <v/>
      </c>
      <c r="D26" s="2">
        <f>IFERROR(STDEV(C24:C26)*SQRT(12)*100, "")</f>
        <v/>
      </c>
      <c r="E26" s="2">
        <f>IFERROR(STDEV(C15:C26)*SQRT(12)*100, "")</f>
        <v/>
      </c>
    </row>
    <row r="27">
      <c r="A27" t="inlineStr">
        <is>
          <t>2024M11</t>
        </is>
      </c>
      <c r="B27" s="2" t="n">
        <v>2652.199523809524</v>
      </c>
      <c r="C27" s="2">
        <f>IFERROR(LN(B27/B26)*100, "")</f>
        <v/>
      </c>
      <c r="D27" s="2">
        <f>IFERROR(STDEV(C25:C27)*SQRT(12)*100, "")</f>
        <v/>
      </c>
      <c r="E27" s="2">
        <f>IFERROR(STDEV(C16:C27)*SQRT(12)*100, "")</f>
        <v/>
      </c>
    </row>
    <row r="28">
      <c r="A28" t="inlineStr">
        <is>
          <t>2024M12</t>
        </is>
      </c>
      <c r="B28" s="2" t="n">
        <v>2640.605454545455</v>
      </c>
      <c r="C28" s="2">
        <f>IFERROR(LN(B28/B27)*100, "")</f>
        <v/>
      </c>
      <c r="D28" s="2">
        <f>IFERROR(STDEV(C26:C28)*SQRT(12)*100, "")</f>
        <v/>
      </c>
      <c r="E28" s="2">
        <f>IFERROR(STDEV(C17:C28)*SQRT(12)*100, "")</f>
        <v/>
      </c>
    </row>
    <row r="29">
      <c r="A29" t="inlineStr">
        <is>
          <t>2025M1</t>
        </is>
      </c>
      <c r="B29" s="2" t="n">
        <v>2707.467391304348</v>
      </c>
      <c r="C29" s="2">
        <f>IFERROR(LN(B29/B28)*100, "")</f>
        <v/>
      </c>
      <c r="D29" s="2">
        <f>IFERROR(STDEV(C27:C29)*SQRT(12)*100, "")</f>
        <v/>
      </c>
      <c r="E29" s="2">
        <f>IFERROR(STDEV(C18:C29)*SQRT(12)*100, "")</f>
        <v/>
      </c>
    </row>
    <row r="30">
      <c r="A30" t="inlineStr">
        <is>
          <t>2025M2</t>
        </is>
      </c>
      <c r="B30" s="2" t="n">
        <v>2894.38</v>
      </c>
      <c r="C30" s="2">
        <f>IFERROR(LN(B30/B29)*100, "")</f>
        <v/>
      </c>
      <c r="D30" s="2">
        <f>IFERROR(STDEV(C28:C30)*SQRT(12)*100, "")</f>
        <v/>
      </c>
      <c r="E30" s="2">
        <f>IFERROR(STDEV(C19:C30)*SQRT(12)*100, "")</f>
        <v/>
      </c>
    </row>
    <row r="31">
      <c r="A31" t="inlineStr">
        <is>
          <t>2025M3</t>
        </is>
      </c>
      <c r="B31" s="2" t="n">
        <v>2986.256190476191</v>
      </c>
      <c r="C31" s="2">
        <f>IFERROR(LN(B31/B30)*100, "")</f>
        <v/>
      </c>
      <c r="D31" s="2">
        <f>IFERROR(STDEV(C29:C31)*SQRT(12)*100, "")</f>
        <v/>
      </c>
      <c r="E31" s="2">
        <f>IFERROR(STDEV(C20:C31)*SQRT(12)*100, "")</f>
        <v/>
      </c>
    </row>
    <row r="32">
      <c r="A32" t="inlineStr">
        <is>
          <t>2025M4</t>
        </is>
      </c>
      <c r="B32" s="2" t="n">
        <v>3222.011818181818</v>
      </c>
      <c r="C32" s="2">
        <f>IFERROR(LN(B32/B31)*100, "")</f>
        <v/>
      </c>
      <c r="D32" s="2">
        <f>IFERROR(STDEV(C30:C32)*SQRT(12)*100, "")</f>
        <v/>
      </c>
      <c r="E32" s="2">
        <f>IFERROR(STDEV(C21:C32)*SQRT(12)*100, "")</f>
        <v/>
      </c>
    </row>
    <row r="33">
      <c r="A33" t="inlineStr">
        <is>
          <t>2025M5</t>
        </is>
      </c>
      <c r="B33" s="2" t="n">
        <v>3288.009545454546</v>
      </c>
      <c r="C33" s="2">
        <f>IFERROR(LN(B33/B32)*100, "")</f>
        <v/>
      </c>
      <c r="D33" s="2">
        <f>IFERROR(STDEV(C31:C33)*SQRT(12)*100, "")</f>
        <v/>
      </c>
      <c r="E33" s="2">
        <f>IFERROR(STDEV(C22:C33)*SQRT(12)*100, "")</f>
        <v/>
      </c>
    </row>
    <row r="34">
      <c r="A34" t="inlineStr">
        <is>
          <t>2025M6</t>
        </is>
      </c>
      <c r="B34" s="2" t="n">
        <v>3351.858571428571</v>
      </c>
      <c r="C34" s="2">
        <f>IFERROR(LN(B34/B33)*100, "")</f>
        <v/>
      </c>
      <c r="D34" s="2">
        <f>IFERROR(STDEV(C32:C34)*SQRT(12)*100, "")</f>
        <v/>
      </c>
      <c r="E34" s="2">
        <f>IFERROR(STDEV(C23:C34)*SQRT(12)*100, "")</f>
        <v/>
      </c>
    </row>
    <row r="35">
      <c r="A35" t="inlineStr">
        <is>
          <t>2025M7</t>
        </is>
      </c>
      <c r="B35" s="2" t="n">
        <v>3341.649130434783</v>
      </c>
      <c r="C35" s="2">
        <f>IFERROR(LN(B35/B34)*100, "")</f>
        <v/>
      </c>
      <c r="D35" s="2">
        <f>IFERROR(STDEV(C33:C35)*SQRT(12)*100, "")</f>
        <v/>
      </c>
      <c r="E35" s="2">
        <f>IFERROR(STDEV(C24:C35)*SQRT(12)*100, "")</f>
        <v/>
      </c>
    </row>
    <row r="36">
      <c r="A36" t="inlineStr">
        <is>
          <t>2025M8</t>
        </is>
      </c>
      <c r="B36" s="2" t="n">
        <v>3367.256190476191</v>
      </c>
      <c r="C36" s="2">
        <f>IFERROR(LN(B36/B35)*100, "")</f>
        <v/>
      </c>
      <c r="D36" s="2">
        <f>IFERROR(STDEV(C34:C36)*SQRT(12)*100, "")</f>
        <v/>
      </c>
      <c r="E36" s="2">
        <f>IFERROR(STDEV(C25:C36)*SQRT(12)*100, "")</f>
        <v/>
      </c>
    </row>
    <row r="37">
      <c r="A37" t="inlineStr">
        <is>
          <t>2025M9</t>
        </is>
      </c>
      <c r="B37" s="2" t="n">
        <v>3666.523636363636</v>
      </c>
      <c r="C37" s="2">
        <f>IFERROR(LN(B37/B36)*100, "")</f>
        <v/>
      </c>
      <c r="D37" s="2">
        <f>IFERROR(STDEV(C35:C37)*SQRT(12)*100, "")</f>
        <v/>
      </c>
      <c r="E37" s="2">
        <f>IFERROR(STDEV(C26:C37)*SQRT(12)*100,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3" t="inlineStr">
        <is>
          <t>Country</t>
        </is>
      </c>
      <c r="B1" s="3" t="inlineStr">
        <is>
          <t>2025 Gold Reserves (Million troy oz)</t>
        </is>
      </c>
    </row>
    <row r="2">
      <c r="A2" t="inlineStr">
        <is>
          <t>United States</t>
        </is>
      </c>
      <c r="B2" s="2" t="n">
        <v>261.3</v>
      </c>
    </row>
    <row r="3">
      <c r="A3" t="inlineStr">
        <is>
          <t>Germany</t>
        </is>
      </c>
      <c r="B3" s="2" t="n">
        <v>107.5</v>
      </c>
    </row>
    <row r="4">
      <c r="A4" t="inlineStr">
        <is>
          <t>Italy</t>
        </is>
      </c>
      <c r="B4" s="2" t="n">
        <v>78.8</v>
      </c>
    </row>
    <row r="5">
      <c r="A5" t="inlineStr">
        <is>
          <t>France</t>
        </is>
      </c>
      <c r="B5" s="2" t="n">
        <v>78.2</v>
      </c>
    </row>
    <row r="6">
      <c r="A6" t="inlineStr">
        <is>
          <t>Russia</t>
        </is>
      </c>
      <c r="B6" s="2" t="n">
        <v>75</v>
      </c>
    </row>
    <row r="7">
      <c r="A7" t="inlineStr">
        <is>
          <t>China</t>
        </is>
      </c>
      <c r="B7" s="2" t="n">
        <v>70.7</v>
      </c>
    </row>
    <row r="8">
      <c r="A8" t="inlineStr">
        <is>
          <t>Switzerland</t>
        </is>
      </c>
      <c r="B8" s="2" t="n">
        <v>33.4</v>
      </c>
    </row>
    <row r="9">
      <c r="A9" t="inlineStr">
        <is>
          <t>India</t>
        </is>
      </c>
      <c r="B9" s="2" t="n">
        <v>25.7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3" t="inlineStr">
        <is>
          <t>Country</t>
        </is>
      </c>
      <c r="B1" s="3" t="inlineStr">
        <is>
          <t>2025 Gold Reserves (Million troy oz)</t>
        </is>
      </c>
    </row>
    <row r="2">
      <c r="A2" t="inlineStr">
        <is>
          <t>United States</t>
        </is>
      </c>
      <c r="B2" s="2" t="n">
        <v>261.3</v>
      </c>
    </row>
    <row r="3">
      <c r="A3" t="inlineStr">
        <is>
          <t>Germany</t>
        </is>
      </c>
      <c r="B3" s="2" t="n">
        <v>107.5</v>
      </c>
    </row>
    <row r="4">
      <c r="A4" t="inlineStr">
        <is>
          <t>France</t>
        </is>
      </c>
      <c r="B4" s="2" t="n">
        <v>78.2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3" t="inlineStr">
        <is>
          <t>Country</t>
        </is>
      </c>
      <c r="B1" s="3" t="inlineStr">
        <is>
          <t>2025 Total Reserves (USD Billion)</t>
        </is>
      </c>
    </row>
    <row r="2">
      <c r="A2" t="inlineStr">
        <is>
          <t>United States</t>
        </is>
      </c>
      <c r="B2" s="2" t="n">
        <v>148.2</v>
      </c>
    </row>
    <row r="3">
      <c r="A3" t="inlineStr">
        <is>
          <t>Germany</t>
        </is>
      </c>
      <c r="B3" s="2" t="n">
        <v>273</v>
      </c>
    </row>
    <row r="4">
      <c r="A4" t="inlineStr">
        <is>
          <t>Italy</t>
        </is>
      </c>
      <c r="B4" s="2" t="n">
        <v>194.5</v>
      </c>
    </row>
    <row r="5">
      <c r="A5" t="inlineStr">
        <is>
          <t>France</t>
        </is>
      </c>
      <c r="B5" s="2" t="n">
        <v>185.3</v>
      </c>
    </row>
    <row r="6">
      <c r="A6" t="inlineStr">
        <is>
          <t>Russia</t>
        </is>
      </c>
      <c r="B6" s="2" t="n">
        <v>432</v>
      </c>
    </row>
    <row r="7">
      <c r="A7" t="inlineStr">
        <is>
          <t>China</t>
        </is>
      </c>
      <c r="B7" s="2" t="n">
        <v>3300</v>
      </c>
    </row>
    <row r="8">
      <c r="A8" t="inlineStr">
        <is>
          <t>Switzerland</t>
        </is>
      </c>
      <c r="B8" s="2" t="n">
        <v>812</v>
      </c>
    </row>
    <row r="9">
      <c r="A9" t="inlineStr">
        <is>
          <t>India</t>
        </is>
      </c>
      <c r="B9" s="2" t="n">
        <v>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STEP 1: Gold Price Analysis</t>
        </is>
      </c>
    </row>
    <row r="2">
      <c r="F2" s="2">
        <f>AVERAGE('Gold price'!B29:B37)</f>
        <v/>
      </c>
    </row>
    <row r="3">
      <c r="A3" t="inlineStr">
        <is>
          <t>Latest Gold Price (US$/troy oz)</t>
        </is>
      </c>
      <c r="B3" s="2">
        <f>'Gold price'!B37</f>
        <v/>
      </c>
    </row>
    <row r="4">
      <c r="A4" t="inlineStr">
        <is>
          <t>Latest 3-Month Volatility (annualized %)</t>
        </is>
      </c>
      <c r="B4" s="2">
        <f>'Gold price'!D37</f>
        <v/>
      </c>
    </row>
    <row r="5">
      <c r="A5" t="inlineStr">
        <is>
          <t>Latest 12-Month Volatility (annualized %)</t>
        </is>
      </c>
      <c r="B5" s="2">
        <f>'Gold price'!E37</f>
        <v/>
      </c>
    </row>
    <row r="6">
      <c r="A6" t="inlineStr">
        <is>
          <t>3-Month Annualized (from log returns)</t>
        </is>
      </c>
      <c r="B6" s="2">
        <f>STDEV('Gold price'!C35:C37)*SQRT(12)*100</f>
        <v/>
      </c>
    </row>
    <row r="9">
      <c r="A9" s="4" t="inlineStr">
        <is>
          <t>STEP 2: Gold Reserves Analysis</t>
        </is>
      </c>
    </row>
    <row r="11">
      <c r="A11" s="5" t="inlineStr">
        <is>
          <t>Country</t>
        </is>
      </c>
      <c r="B11" s="5" t="inlineStr">
        <is>
          <t>Gold Reserves (Million troy oz)</t>
        </is>
      </c>
      <c r="C11" s="5" t="inlineStr">
        <is>
          <t>Gold Value (USD Billion)</t>
        </is>
      </c>
    </row>
    <row r="12">
      <c r="A12" t="inlineStr">
        <is>
          <t>United States</t>
        </is>
      </c>
      <c r="B12" s="2">
        <f>'Value'!B2</f>
        <v/>
      </c>
      <c r="C12" s="2">
        <f>B12*$F$2/1000</f>
        <v/>
      </c>
    </row>
    <row r="13">
      <c r="A13" t="inlineStr">
        <is>
          <t>Germany</t>
        </is>
      </c>
      <c r="B13" s="2">
        <f>'Value'!B3</f>
        <v/>
      </c>
      <c r="C13" s="2">
        <f>B13*$F$2/1000</f>
        <v/>
      </c>
    </row>
    <row r="14">
      <c r="A14" t="inlineStr">
        <is>
          <t>Italy</t>
        </is>
      </c>
      <c r="B14" s="2">
        <f>'Value'!B4</f>
        <v/>
      </c>
      <c r="C14" s="2">
        <f>B14*$F$2/1000</f>
        <v/>
      </c>
    </row>
    <row r="15">
      <c r="A15" t="inlineStr">
        <is>
          <t>France</t>
        </is>
      </c>
      <c r="B15" s="2">
        <f>'Value'!B5</f>
        <v/>
      </c>
      <c r="C15" s="2">
        <f>B15*$F$2/1000</f>
        <v/>
      </c>
    </row>
    <row r="16">
      <c r="A16" t="inlineStr">
        <is>
          <t>Russia</t>
        </is>
      </c>
      <c r="B16" s="2">
        <f>'Value'!B6</f>
        <v/>
      </c>
      <c r="C16" s="2">
        <f>B16*$F$2/1000</f>
        <v/>
      </c>
    </row>
    <row r="17">
      <c r="A17" t="inlineStr">
        <is>
          <t>China</t>
        </is>
      </c>
      <c r="B17" s="2">
        <f>'Value'!B7</f>
        <v/>
      </c>
      <c r="C17" s="2">
        <f>B17*$F$2/1000</f>
        <v/>
      </c>
    </row>
    <row r="18">
      <c r="A18" t="inlineStr">
        <is>
          <t>Switzerland</t>
        </is>
      </c>
      <c r="B18" s="2">
        <f>'Value'!B8</f>
        <v/>
      </c>
      <c r="C18" s="2">
        <f>B18*$F$2/1000</f>
        <v/>
      </c>
    </row>
    <row r="19">
      <c r="A19" t="inlineStr">
        <is>
          <t>India</t>
        </is>
      </c>
      <c r="B19" s="2">
        <f>'Value'!B9</f>
        <v/>
      </c>
      <c r="C19" s="2">
        <f>B19*$F$2/1000</f>
        <v/>
      </c>
    </row>
    <row r="20">
      <c r="A20" s="6" t="inlineStr">
        <is>
          <t>TOTAL</t>
        </is>
      </c>
      <c r="B20" s="2">
        <f>SUM(B12:B19)</f>
        <v/>
      </c>
      <c r="C20" s="2">
        <f>SUM(C12:C19)</f>
        <v/>
      </c>
    </row>
    <row r="21">
      <c r="A21" t="inlineStr">
        <is>
          <t>Gold Price Exposure (1% price change = USD Billion)</t>
        </is>
      </c>
      <c r="C21" s="2">
        <f>C20*0.01</f>
        <v/>
      </c>
    </row>
    <row r="24">
      <c r="A24" s="4" t="inlineStr">
        <is>
          <t>STEP 3: Gold Reserves + Total Reserves (RaR Analysis)</t>
        </is>
      </c>
    </row>
    <row r="26">
      <c r="A26" s="5" t="inlineStr">
        <is>
          <t>Country</t>
        </is>
      </c>
      <c r="B26" s="5" t="inlineStr">
        <is>
          <t>Gold Reserves (Million troy oz)</t>
        </is>
      </c>
      <c r="C26" s="5" t="inlineStr">
        <is>
          <t>Gold Value (USD Billion)</t>
        </is>
      </c>
      <c r="D26" s="5" t="inlineStr">
        <is>
          <t>Total Reserves (USD Billion)</t>
        </is>
      </c>
      <c r="E26" s="5" t="inlineStr">
        <is>
          <t>RaR (Gold/Total) %</t>
        </is>
      </c>
    </row>
    <row r="27">
      <c r="A27" t="inlineStr">
        <is>
          <t>United States</t>
        </is>
      </c>
      <c r="B27" s="2">
        <f>'Value'!B2</f>
        <v/>
      </c>
      <c r="C27" s="2">
        <f>B27*$F$2/1000</f>
        <v/>
      </c>
      <c r="D27" s="2">
        <f>IFERROR(XLOOKUP(A27,'Total Reserves'!A:A,'Total Reserves'!B:B), IFERROR(INDEX('Total Reserves'!B:B,MATCH(A27,'Total Reserves'!A:A,0)), ""))</f>
        <v/>
      </c>
      <c r="E27" s="2">
        <f>IF(OR(D27="",D27=0), "", C27/D27*100)</f>
        <v/>
      </c>
    </row>
    <row r="28">
      <c r="A28" t="inlineStr">
        <is>
          <t>Germany</t>
        </is>
      </c>
      <c r="B28" s="2">
        <f>'Value'!B3</f>
        <v/>
      </c>
      <c r="C28" s="2">
        <f>B28*$F$2/1000</f>
        <v/>
      </c>
      <c r="D28" s="2">
        <f>IFERROR(XLOOKUP(A28,'Total Reserves'!A:A,'Total Reserves'!B:B), IFERROR(INDEX('Total Reserves'!B:B,MATCH(A28,'Total Reserves'!A:A,0)), ""))</f>
        <v/>
      </c>
      <c r="E28" s="2">
        <f>IF(OR(D28="",D28=0), "", C28/D28*100)</f>
        <v/>
      </c>
    </row>
    <row r="29">
      <c r="A29" t="inlineStr">
        <is>
          <t>Italy</t>
        </is>
      </c>
      <c r="B29" s="2">
        <f>'Value'!B4</f>
        <v/>
      </c>
      <c r="C29" s="2">
        <f>B29*$F$2/1000</f>
        <v/>
      </c>
      <c r="D29" s="2">
        <f>IFERROR(XLOOKUP(A29,'Total Reserves'!A:A,'Total Reserves'!B:B), IFERROR(INDEX('Total Reserves'!B:B,MATCH(A29,'Total Reserves'!A:A,0)), ""))</f>
        <v/>
      </c>
      <c r="E29" s="2">
        <f>IF(OR(D29="",D29=0), "", C29/D29*100)</f>
        <v/>
      </c>
    </row>
    <row r="30">
      <c r="A30" t="inlineStr">
        <is>
          <t>France</t>
        </is>
      </c>
      <c r="B30" s="2">
        <f>'Value'!B5</f>
        <v/>
      </c>
      <c r="C30" s="2">
        <f>B30*$F$2/1000</f>
        <v/>
      </c>
      <c r="D30" s="2">
        <f>IFERROR(XLOOKUP(A30,'Total Reserves'!A:A,'Total Reserves'!B:B), IFERROR(INDEX('Total Reserves'!B:B,MATCH(A30,'Total Reserves'!A:A,0)), ""))</f>
        <v/>
      </c>
      <c r="E30" s="2">
        <f>IF(OR(D30="",D30=0), "", C30/D30*100)</f>
        <v/>
      </c>
    </row>
    <row r="31">
      <c r="A31" t="inlineStr">
        <is>
          <t>Russia</t>
        </is>
      </c>
      <c r="B31" s="2">
        <f>'Value'!B6</f>
        <v/>
      </c>
      <c r="C31" s="2">
        <f>B31*$F$2/1000</f>
        <v/>
      </c>
      <c r="D31" s="2">
        <f>IFERROR(XLOOKUP(A31,'Total Reserves'!A:A,'Total Reserves'!B:B), IFERROR(INDEX('Total Reserves'!B:B,MATCH(A31,'Total Reserves'!A:A,0)), ""))</f>
        <v/>
      </c>
      <c r="E31" s="2">
        <f>IF(OR(D31="",D31=0), "", C31/D31*100)</f>
        <v/>
      </c>
    </row>
    <row r="32">
      <c r="A32" t="inlineStr">
        <is>
          <t>China</t>
        </is>
      </c>
      <c r="B32" s="2">
        <f>'Value'!B7</f>
        <v/>
      </c>
      <c r="C32" s="2">
        <f>B32*$F$2/1000</f>
        <v/>
      </c>
      <c r="D32" s="2">
        <f>IFERROR(XLOOKUP(A32,'Total Reserves'!A:A,'Total Reserves'!B:B), IFERROR(INDEX('Total Reserves'!B:B,MATCH(A32,'Total Reserves'!A:A,0)), ""))</f>
        <v/>
      </c>
      <c r="E32" s="2">
        <f>IF(OR(D32="",D32=0), "", C32/D32*100)</f>
        <v/>
      </c>
    </row>
    <row r="33">
      <c r="A33" t="inlineStr">
        <is>
          <t>Switzerland</t>
        </is>
      </c>
      <c r="B33" s="2">
        <f>'Value'!B8</f>
        <v/>
      </c>
      <c r="C33" s="2">
        <f>B33*$F$2/1000</f>
        <v/>
      </c>
      <c r="D33" s="2">
        <f>IFERROR(XLOOKUP(A33,'Total Reserves'!A:A,'Total Reserves'!B:B), IFERROR(INDEX('Total Reserves'!B:B,MATCH(A33,'Total Reserves'!A:A,0)), ""))</f>
        <v/>
      </c>
      <c r="E33" s="2">
        <f>IF(OR(D33="",D33=0), "", C33/D33*100)</f>
        <v/>
      </c>
    </row>
    <row r="34">
      <c r="A34" t="inlineStr">
        <is>
          <t>India</t>
        </is>
      </c>
      <c r="B34" s="2">
        <f>'Value'!B9</f>
        <v/>
      </c>
      <c r="C34" s="2">
        <f>B34*$F$2/1000</f>
        <v/>
      </c>
      <c r="D34" s="2">
        <f>IFERROR(XLOOKUP(A34,'Total Reserves'!A:A,'Total Reserves'!B:B), IFERROR(INDEX('Total Reserves'!B:B,MATCH(A34,'Total Reserves'!A:A,0)), ""))</f>
        <v/>
      </c>
      <c r="E34" s="2">
        <f>IF(OR(D34="",D34=0), "", C34/D34*100)</f>
        <v/>
      </c>
    </row>
    <row r="35">
      <c r="A35" s="6" t="inlineStr">
        <is>
          <t>TOTAL</t>
        </is>
      </c>
      <c r="B35" s="2">
        <f>SUM(B27:B34)</f>
        <v/>
      </c>
      <c r="C35" s="2">
        <f>SUM(C27:C34)</f>
        <v/>
      </c>
      <c r="D35" s="2">
        <f>SUM(D27:D34)</f>
        <v/>
      </c>
      <c r="E35" s="2">
        <f>IF(D35=0, "", C35/D35*100)</f>
        <v/>
      </c>
    </row>
    <row r="36">
      <c r="A36" t="inlineStr">
        <is>
          <t>Average RaR</t>
        </is>
      </c>
      <c r="E36" s="2">
        <f>AVERAGE(E27:E34)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2026-01-27T20:45:43Z</dcterms:created>
  <dcterms:modified xsi:type="dcterms:W3CDTF">2026-01-27T20:46:51Z</dcterms:modified>
</cp:coreProperties>
</file>