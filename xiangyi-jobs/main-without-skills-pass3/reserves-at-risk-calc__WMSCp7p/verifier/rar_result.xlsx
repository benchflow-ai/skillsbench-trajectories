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<sst xmlns="http://schemas.openxmlformats.org/spreadsheetml/2006/main" count="878" uniqueCount="627">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</sst>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4.81332296229347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16.6738398478605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3.25907254969864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v>7471</v>
      </c>
      <c r="D12" s="3" t="n">
        <v>1002</v>
      </c>
      <c r="E12" s="4" t="n">
        <v>10.71</v>
      </c>
      <c r="F12" s="4" t="n">
        <v>3877.64</v>
      </c>
      <c r="G12" s="4" t="n">
        <v>55092.42</v>
      </c>
      <c r="H12" s="4" t="n">
        <v>10121.89</v>
      </c>
      <c r="I12" s="4" t="n">
        <v>921.28</v>
      </c>
      <c r="J12" s="2" t="n">
        <v>807.1</v>
      </c>
      <c r="K12" s="4" t="n"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 * ($C$3 * $C$4 / 100)</f>
        <v>591.547524753795</v>
      </c>
      <c r="D13" s="0" t="n">
        <f aca="false">D12 * ($C$3 * $C$4 / 100)</f>
        <v>79.3375210551871</v>
      </c>
      <c r="E13" s="0" t="n">
        <f aca="false">E12 * ($C$3 * $C$4 / 100)</f>
        <v>0.848008832835383</v>
      </c>
      <c r="F13" s="0" t="n">
        <f aca="false">F12 * ($C$3 * $C$4 / 100)</f>
        <v>307.028288567301</v>
      </c>
      <c r="G13" s="0" t="n">
        <f aca="false">G12 * ($C$3 * $C$4 / 100)</f>
        <v>4362.1716883545</v>
      </c>
      <c r="H13" s="0" t="n">
        <f aca="false">H12 * ($C$3 * $C$4 / 100)</f>
        <v>801.442775442403</v>
      </c>
      <c r="I13" s="0" t="n">
        <f aca="false">I12 * ($C$3 * $C$4 / 100)</f>
        <v>72.9461790396435</v>
      </c>
      <c r="J13" s="0" t="n">
        <f aca="false">J12 * ($C$3 * $C$4 / 100)</f>
        <v>63.9055022391632</v>
      </c>
      <c r="K13" s="0" t="n">
        <f aca="false">K12 * ($C$3 * $C$4 / 100)</f>
        <v>258.415232612848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591.547524753795</v>
      </c>
      <c r="D22" s="0" t="n">
        <f aca="false">D13</f>
        <v>79.3375210551871</v>
      </c>
      <c r="E22" s="0" t="n">
        <f aca="false">E13</f>
        <v>0.848008832835383</v>
      </c>
      <c r="F22" s="0" t="n">
        <f aca="false">G13</f>
        <v>4362.1716883545</v>
      </c>
      <c r="G22" s="0" t="n">
        <f aca="false">H13</f>
        <v>801.442775442403</v>
      </c>
      <c r="H22" s="0" t="n">
        <f aca="false">I13</f>
        <v>72.9461790396435</v>
      </c>
      <c r="I22" s="0" t="n">
        <f aca="false">J13</f>
        <v>63.9055022391632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Reserves'!$C$18:$P$18, MATCH("*Belarus*", 'Total Reserves'!$C$1:$P$1, 0))</f>
        <v>14425.9</v>
      </c>
      <c r="D23" s="4" t="n">
        <f aca="false">INDEX('Total Reserves'!$C$18:$P$18, MATCH("*Georgia*", 'Total Reserves'!$C$1:$P$1, 0))</f>
        <v>6158.7</v>
      </c>
      <c r="E23" s="4" t="n">
        <f aca="false">INDEX('Total Reserves'!$C$18:$P$18, MATCH("*Moldova*", 'Total Reserves'!$C$1:$P$1, 0))</f>
        <v>5999.34</v>
      </c>
      <c r="F23" s="4" t="n">
        <f aca="false">INDEX('Total Reserves'!$C$18:$P$18, MATCH("*Uzbekistan*", 'Total Reserves'!$C$1:$P$1, 0))</f>
        <v>66311.75</v>
      </c>
      <c r="G23" s="4" t="n">
        <f aca="false">INDEX('Total Reserves'!$C$18:$P$18, MATCH("*Czechia*", 'Total Reserves'!$C$1:$P$1, 0))</f>
        <v>175830.49</v>
      </c>
      <c r="H23" s="4" t="n">
        <f aca="false">INDEX('Total Reserves'!$C$18:$P$18, MATCH("*Latvia*", 'Total Reserves'!$C$1:$P$1, 0))</f>
        <v>6076.9</v>
      </c>
      <c r="I23" s="2" t="n">
        <f aca="false">INDEX('Total Reserves'!$C$18:$P$18, MATCH("*Lithuania*", 'Total Reserves'!$C$1:$P$1, 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 / C23 * 100</f>
        <v>4.10059354878236</v>
      </c>
      <c r="D24" s="0" t="n">
        <f aca="false">D22 / D23 * 100</f>
        <v>1.28821863469867</v>
      </c>
      <c r="E24" s="0" t="n">
        <f aca="false">E22 / E23 * 100</f>
        <v>0.0141350354011505</v>
      </c>
      <c r="F24" s="0" t="n">
        <f aca="false">F22 / F23 * 100</f>
        <v>6.57827864345987</v>
      </c>
      <c r="G24" s="0" t="n">
        <f aca="false">G22 / G23 * 100</f>
        <v>0.455804209749062</v>
      </c>
      <c r="H24" s="0" t="n">
        <f aca="false">H22 / H23 * 100</f>
        <v>1.20038471983484</v>
      </c>
      <c r="I24" s="0" t="n">
        <f aca="false">I22 / I23 * 100</f>
        <v>0.902275999818758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  <c r="D4" s="5" t="n">
        <f aca="false">STDEV(C2:C4)</f>
        <v>5.53455593172088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  <c r="E13" s="5" t="n">
        <f aca="false">STDEV(C2:C13)</f>
        <v>4.09927502342735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356.859090909091</v>
      </c>
      <c r="C158" s="5" t="n">
        <f aca="false">LN(B158/B157)*100</f>
        <v>7.20972691527626</v>
      </c>
      <c r="D158" s="5" t="n">
        <f aca="false">STDEV(C156:C158)</f>
        <v>3.0198354198132</v>
      </c>
      <c r="E158" s="5" t="n">
        <f aca="false">STDEV(C147:C158)</f>
        <v>2.80307869271788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0.589781900898677</v>
      </c>
      <c r="D159" s="5" t="n">
        <f aca="false">STDEV(C157:C159)</f>
        <v>3.31591012538385</v>
      </c>
      <c r="E159" s="5" t="n">
        <f aca="false">STDEV(C148:C159)</f>
        <v>2.66278972398224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6.24258816576392</v>
      </c>
      <c r="E160" s="5" t="n">
        <f aca="false">STDEV(C149:C160)</f>
        <v>3.29440852204671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3.03231617507287</v>
      </c>
      <c r="E161" s="5" t="n">
        <f aca="false">STDEV(C150:C161)</f>
        <v>3.53178444444775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4.0468885254713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4.03828131176147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-1.50781121526914</v>
      </c>
      <c r="D164" s="5" t="n">
        <f aca="false">STDEV(C162:C164)</f>
        <v>5.09826508849682</v>
      </c>
      <c r="E164" s="5" t="n">
        <f aca="false">STDEV(C153:C164)</f>
        <v>3.97381427253634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</v>
      </c>
      <c r="D165" s="5" t="n">
        <f aca="false">STDEV(C163:C165)</f>
        <v>1.99169552228692</v>
      </c>
      <c r="E165" s="5" t="n">
        <f aca="false">STDEV(C154:C165)</f>
        <v>3.94688350947309</v>
      </c>
    </row>
    <row r="166" customFormat="false" ht="15" hidden="false" customHeight="false" outlineLevel="0" collapsed="false">
      <c r="A166" s="5" t="s">
        <v>187</v>
      </c>
      <c r="B166" s="5" t="n">
        <v>378.945454545455</v>
      </c>
      <c r="C166" s="5" t="n">
        <f aca="false">LN(B166/B165)*100</f>
        <v>5.1934285843263</v>
      </c>
      <c r="D166" s="5" t="n">
        <f aca="false">STDEV(C164:C166)</f>
        <v>3.36961259266079</v>
      </c>
      <c r="E166" s="5" t="n">
        <f aca="false">STDEV(C155:C166)</f>
        <v>4.09067793135216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-0.0068321739091654</v>
      </c>
      <c r="D167" s="5" t="n">
        <f aca="false">STDEV(C165:C167)</f>
        <v>2.60124186318037</v>
      </c>
      <c r="E167" s="5" t="n">
        <f aca="false">STDEV(C156:C167)</f>
        <v>4.05702668365762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2.85919896807964</v>
      </c>
      <c r="D168" s="5" t="n">
        <f aca="false">STDEV(C166:C168)</f>
        <v>2.60465846647426</v>
      </c>
      <c r="E168" s="5" t="n">
        <f aca="false">STDEV(C157:C168)</f>
        <v>4.0743366575341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4.27808510808961</v>
      </c>
      <c r="D169" s="5" t="n">
        <f aca="false">STDEV(C167:C169)</f>
        <v>2.18280738571279</v>
      </c>
      <c r="E169" s="5" t="n">
        <f aca="false">STDEV(C158:C169)</f>
        <v>4.11044613323699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1.66572011933134</v>
      </c>
      <c r="D170" s="5" t="n">
        <f aca="false">STDEV(C168:C170)</f>
        <v>1.30780225793835</v>
      </c>
      <c r="E170" s="5" t="n">
        <f aca="false">STDEV(C159:C170)</f>
        <v>3.72809547603489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-2.17694433180949</v>
      </c>
      <c r="D171" s="5" t="n">
        <f aca="false">STDEV(C169:C171)</f>
        <v>3.24699671461992</v>
      </c>
      <c r="E171" s="5" t="n">
        <f aca="false">STDEV(C160:C171)</f>
        <v>3.85491647545241</v>
      </c>
    </row>
    <row r="172" customFormat="false" ht="15" hidden="false" customHeight="false" outlineLevel="0" collapsed="false">
      <c r="A172" s="5" t="s">
        <v>193</v>
      </c>
      <c r="B172" s="5" t="n">
        <v>406.667391304348</v>
      </c>
      <c r="C172" s="5" t="n">
        <f aca="false">LN(B172/B171)*100</f>
        <v>0.441107873582108</v>
      </c>
      <c r="D172" s="5" t="n">
        <f aca="false">STDEV(C170:C172)</f>
        <v>1.96298847791899</v>
      </c>
      <c r="E172" s="5" t="n">
        <f aca="false">STDEV(C161:C172)</f>
        <v>3.32680443966624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-0.841411574361299</v>
      </c>
      <c r="D173" s="5" t="n">
        <f aca="false">STDEV(C171:C173)</f>
        <v>1.30911555580641</v>
      </c>
      <c r="E173" s="5" t="n">
        <f aca="false">STDEV(C162:C173)</f>
        <v>3.0094959561433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2.81713496543225</v>
      </c>
      <c r="E174" s="5" t="n">
        <f aca="false">STDEV(C163:C174)</f>
        <v>2.85933323832947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2.21454939743574</v>
      </c>
      <c r="D175" s="5" t="n">
        <f aca="false">STDEV(C173:C175)</f>
        <v>3.59591217655203</v>
      </c>
      <c r="E175" s="5" t="n">
        <f aca="false">STDEV(C164:C175)</f>
        <v>2.89030628812676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1.44681710903016</v>
      </c>
      <c r="D176" s="5" t="n">
        <f aca="false">STDEV(C174:C176)</f>
        <v>3.93445377071994</v>
      </c>
      <c r="E176" s="5" t="n">
        <f aca="false">STDEV(C165:C176)</f>
        <v>2.80005003904948</v>
      </c>
    </row>
    <row r="177" customFormat="false" ht="15" hidden="false" customHeight="false" outlineLevel="0" collapsed="false">
      <c r="A177" s="5" t="s">
        <v>198</v>
      </c>
      <c r="B177" s="5" t="n">
        <v>400.509523809524</v>
      </c>
      <c r="C177" s="5" t="n">
        <f aca="false">LN(B177/B176)*100</f>
        <v>0.605715202171171</v>
      </c>
      <c r="D177" s="5" t="n">
        <f aca="false">STDEV(C175:C177)</f>
        <v>0.804695879637652</v>
      </c>
      <c r="E177" s="5" t="n">
        <f aca="false">STDEV(C166:C177)</f>
        <v>2.76595907046884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1.18283030028972</v>
      </c>
      <c r="D178" s="5" t="n">
        <f aca="false">STDEV(C176:C178)</f>
        <v>0.430155648067682</v>
      </c>
      <c r="E178" s="5" t="n">
        <f aca="false">STDEV(C167:C178)</f>
        <v>2.41987460807981</v>
      </c>
    </row>
    <row r="179" customFormat="false" ht="15" hidden="false" customHeight="false" outlineLevel="0" collapsed="false">
      <c r="A179" s="5" t="s">
        <v>200</v>
      </c>
      <c r="B179" s="5" t="n">
        <v>420.464285714286</v>
      </c>
      <c r="C179" s="5" t="n">
        <f aca="false">LN(B179/B178)*100</f>
        <v>3.67936938753561</v>
      </c>
      <c r="D179" s="5" t="n">
        <f aca="false">STDEV(C177:C179)</f>
        <v>1.63366251624131</v>
      </c>
      <c r="E179" s="5" t="n">
        <f aca="false">STDEV(C168:C179)</f>
        <v>2.5706768537595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4.39937196619364</v>
      </c>
      <c r="D180" s="5" t="n">
        <f aca="false">STDEV(C178:C180)</f>
        <v>1.68805861943618</v>
      </c>
      <c r="E180" s="5" t="n">
        <f aca="false">STDEV(C169:C180)</f>
        <v>2.71365913334031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2.01040987874829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4.29353936900117</v>
      </c>
      <c r="E182" s="5" t="n">
        <f aca="false">STDEV(C171:C182)</f>
        <v>2.84554698709955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434.321428571429</v>
      </c>
      <c r="C184" s="5" t="n">
        <f aca="false">LN(B184/B183)*100</f>
        <v>2.55856187175094</v>
      </c>
      <c r="D184" s="5" t="n">
        <f aca="false">STDEV(C182:C184)</f>
        <v>3.38401080607347</v>
      </c>
      <c r="E184" s="5" t="n">
        <f aca="false">STDEV(C173:C184)</f>
        <v>2.82196211483913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-1.17842071941671</v>
      </c>
      <c r="D185" s="5" t="n">
        <f aca="false">STDEV(C183:C185)</f>
        <v>1.93194552328999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-1.72975359283186</v>
      </c>
      <c r="D186" s="5" t="n">
        <f aca="false">STDEV(C184:C186)</f>
        <v>2.33304723297587</v>
      </c>
      <c r="E186" s="5" t="n">
        <f aca="false">STDEV(C175:C186)</f>
        <v>2.39121993426235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2.06083917307767</v>
      </c>
      <c r="D187" s="5" t="n">
        <f aca="false">STDEV(C185:C187)</f>
        <v>2.04798136813614</v>
      </c>
      <c r="E187" s="5" t="n">
        <f aca="false">STDEV(C176:C187)</f>
        <v>2.38328580917229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-1.44500024926003</v>
      </c>
      <c r="D188" s="5" t="n">
        <f aca="false">STDEV(C186:C188)</f>
        <v>2.11110508339661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2.38914356617068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4.05394267978858</v>
      </c>
      <c r="D190" s="5" t="n">
        <f aca="false">STDEV(C188:C190)</f>
        <v>2.94242872110603</v>
      </c>
      <c r="E190" s="5" t="n">
        <f aca="false">STDEV(C179:C190)</f>
        <v>2.73843613524001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2.99173700525827</v>
      </c>
      <c r="D191" s="5" t="n">
        <f aca="false">STDEV(C189:C191)</f>
        <v>0.579876802460094</v>
      </c>
      <c r="E191" s="5" t="n">
        <f aca="false">STDEV(C180:C191)</f>
        <v>2.68354228637884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1.31981920040944</v>
      </c>
      <c r="E192" s="5" t="n">
        <f aca="false">STDEV(C181:C192)</f>
        <v>2.46193250426552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6.77854940939068</v>
      </c>
      <c r="D193" s="5" t="n">
        <f aca="false">STDEV(C191:C193)</f>
        <v>2.75028971111947</v>
      </c>
      <c r="E193" s="5" t="n">
        <f aca="false">STDEV(C182:C193)</f>
        <v>3.02575214203379</v>
      </c>
    </row>
    <row r="194" customFormat="false" ht="15" hidden="false" customHeight="false" outlineLevel="0" collapsed="false">
      <c r="A194" s="5" t="s">
        <v>215</v>
      </c>
      <c r="B194" s="5" t="n">
        <v>549.864285714286</v>
      </c>
      <c r="C194" s="5" t="n">
        <f aca="false">LN(B194/B193)*100</f>
        <v>7.50701551724559</v>
      </c>
      <c r="D194" s="5" t="n">
        <f aca="false">STDEV(C192:C194)</f>
        <v>3.31826918269324</v>
      </c>
      <c r="E194" s="5" t="n">
        <f aca="false">STDEV(C183:C194)</f>
        <v>3.02231602029589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0.928761016567218</v>
      </c>
      <c r="D195" s="5" t="n">
        <f aca="false">STDEV(C193:C195)</f>
        <v>3.60610869190047</v>
      </c>
      <c r="E195" s="5" t="n">
        <f aca="false">STDEV(C184:C195)</f>
        <v>2.96185755179054</v>
      </c>
    </row>
    <row r="196" customFormat="false" ht="15" hidden="false" customHeight="false" outlineLevel="0" collapsed="false">
      <c r="A196" s="5" t="s">
        <v>217</v>
      </c>
      <c r="B196" s="5" t="n">
        <v>557.09347826087</v>
      </c>
      <c r="C196" s="5" t="n">
        <f aca="false">LN(B196/B195)*100</f>
        <v>0.377394567527762</v>
      </c>
      <c r="D196" s="5" t="n">
        <f aca="false">STDEV(C194:C196)</f>
        <v>3.96671426001161</v>
      </c>
      <c r="E196" s="5" t="n">
        <f aca="false">STDEV(C185:C196)</f>
        <v>3.008188934286</v>
      </c>
    </row>
    <row r="197" customFormat="false" ht="15" hidden="false" customHeight="false" outlineLevel="0" collapsed="false">
      <c r="A197" s="5" t="s">
        <v>218</v>
      </c>
      <c r="B197" s="5" t="n">
        <v>610.652777777778</v>
      </c>
      <c r="C197" s="5" t="n">
        <f aca="false">LN(B197/B196)*100</f>
        <v>9.17954621215171</v>
      </c>
      <c r="D197" s="5" t="n">
        <f aca="false">STDEV(C195:C197)</f>
        <v>4.93047216940661</v>
      </c>
      <c r="E197" s="5" t="n">
        <f aca="false">STDEV(C186:C197)</f>
        <v>3.44435456219766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</v>
      </c>
      <c r="D198" s="5" t="n">
        <f aca="false">STDEV(C196:C198)</f>
        <v>5.35968293147583</v>
      </c>
      <c r="E198" s="5" t="n">
        <f aca="false">STDEV(C187:C198)</f>
        <v>3.66880669654808</v>
      </c>
    </row>
    <row r="199" customFormat="false" ht="15" hidden="false" customHeight="false" outlineLevel="0" collapsed="false">
      <c r="A199" s="5" t="s">
        <v>220</v>
      </c>
      <c r="B199" s="5" t="n">
        <v>596.145454545455</v>
      </c>
      <c r="C199" s="5" t="n">
        <f aca="false">LN(B199/B198)*100</f>
        <v>-12.4809843611619</v>
      </c>
      <c r="D199" s="5" t="n">
        <f aca="false">STDEV(C197:C199)</f>
        <v>12.7725486535444</v>
      </c>
      <c r="E199" s="5" t="n">
        <f aca="false">STDEV(C188:C199)</f>
        <v>6.00016448484534</v>
      </c>
    </row>
    <row r="200" customFormat="false" ht="15" hidden="false" customHeight="false" outlineLevel="0" collapsed="false">
      <c r="A200" s="5" t="s">
        <v>221</v>
      </c>
      <c r="B200" s="5" t="n">
        <v>633.709523809524</v>
      </c>
      <c r="C200" s="5" t="n">
        <f aca="false">LN(B200/B199)*100</f>
        <v>6.11059965691352</v>
      </c>
      <c r="D200" s="5" t="n">
        <f aca="false">STDEV(C198:C200)</f>
        <v>12.0431230135423</v>
      </c>
      <c r="E200" s="5" t="n">
        <f aca="false">STDEV(C189:C200)</f>
        <v>5.92044136474418</v>
      </c>
    </row>
    <row r="201" customFormat="false" ht="15" hidden="false" customHeight="false" outlineLevel="0" collapsed="false">
      <c r="A201" s="5" t="s">
        <v>222</v>
      </c>
      <c r="B201" s="5" t="n">
        <v>632.593181818182</v>
      </c>
      <c r="C201" s="5" t="n">
        <f aca="false">LN(B201/B200)*100</f>
        <v>-0.176315232618395</v>
      </c>
      <c r="D201" s="5" t="n">
        <f aca="false">STDEV(C199:C201)</f>
        <v>9.45671875346046</v>
      </c>
      <c r="E201" s="5" t="n">
        <f aca="false">STDEV(C190:C201)</f>
        <v>6.00737902559159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-5.5926268040025</v>
      </c>
      <c r="D202" s="5" t="n">
        <f aca="false">STDEV(C200:C202)</f>
        <v>5.85700776082254</v>
      </c>
      <c r="E202" s="5" t="n">
        <f aca="false">STDEV(C191:C202)</f>
        <v>6.48909243883099</v>
      </c>
    </row>
    <row r="203" customFormat="false" ht="15" hidden="false" customHeight="false" outlineLevel="0" collapsed="false">
      <c r="A203" s="5" t="s">
        <v>224</v>
      </c>
      <c r="B203" s="5" t="n">
        <v>585.779545454546</v>
      </c>
      <c r="C203" s="5" t="n">
        <f aca="false">LN(B203/B202)*100</f>
        <v>-2.09577482441979</v>
      </c>
      <c r="D203" s="5" t="n">
        <f aca="false">STDEV(C201:C203)</f>
        <v>2.74617096851778</v>
      </c>
      <c r="E203" s="5" t="n">
        <f aca="false">STDEV(C192:C203)</f>
        <v>6.60220876075624</v>
      </c>
    </row>
    <row r="204" customFormat="false" ht="15" hidden="false" customHeight="false" outlineLevel="0" collapsed="false">
      <c r="A204" s="5" t="s">
        <v>225</v>
      </c>
      <c r="B204" s="5" t="n">
        <v>627.827272727273</v>
      </c>
      <c r="C204" s="5" t="n">
        <f aca="false">LN(B204/B203)*100</f>
        <v>6.93215687097296</v>
      </c>
      <c r="D204" s="5" t="n">
        <f aca="false">STDEV(C202:C204)</f>
        <v>6.46273588310607</v>
      </c>
      <c r="E204" s="5" t="n">
        <f aca="false">STDEV(C193:C204)</f>
        <v>6.76054154541861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0.312321330999844</v>
      </c>
      <c r="D205" s="5" t="n">
        <f aca="false">STDEV(C203:C205)</f>
        <v>4.67483868468056</v>
      </c>
      <c r="E205" s="5" t="n">
        <f aca="false">STDEV(C194:C205)</f>
        <v>6.6271062225898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0.218045987564807</v>
      </c>
      <c r="D206" s="5" t="n">
        <f aca="false">STDEV(C204:C206)</f>
        <v>3.8494673954408</v>
      </c>
      <c r="E206" s="5" t="n">
        <f aca="false">STDEV(C195:C206)</f>
        <v>6.38161948757424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5.18347500756156</v>
      </c>
      <c r="D207" s="5" t="n">
        <f aca="false">STDEV(C205:C207)</f>
        <v>2.83996805538626</v>
      </c>
      <c r="E207" s="5" t="n">
        <f aca="false">STDEV(C196:C207)</f>
        <v>6.48560959514796</v>
      </c>
    </row>
    <row r="208" customFormat="false" ht="15" hidden="false" customHeight="false" outlineLevel="0" collapsed="false">
      <c r="A208" s="5" t="s">
        <v>229</v>
      </c>
      <c r="B208" s="5" t="n">
        <v>654.895454545455</v>
      </c>
      <c r="C208" s="5" t="n">
        <f aca="false">LN(B208/B207)*100</f>
        <v>-1.49278969551563</v>
      </c>
      <c r="D208" s="5" t="n">
        <f aca="false">STDEV(C206:C208)</f>
        <v>3.46782723696653</v>
      </c>
      <c r="E208" s="5" t="n">
        <f aca="false">STDEV(C197:C208)</f>
        <v>6.53739858893179</v>
      </c>
    </row>
    <row r="209" customFormat="false" ht="15" hidden="false" customHeight="false" outlineLevel="0" collapsed="false">
      <c r="A209" s="5" t="s">
        <v>230</v>
      </c>
      <c r="B209" s="5" t="n">
        <v>679.368421052632</v>
      </c>
      <c r="C209" s="5" t="n">
        <f aca="false">LN(B209/B208)*100</f>
        <v>3.66879624903975</v>
      </c>
      <c r="D209" s="5" t="n">
        <f aca="false">STDEV(C207:C209)</f>
        <v>3.50020788882849</v>
      </c>
      <c r="E209" s="5" t="n">
        <f aca="false">STDEV(C198:C209)</f>
        <v>6.11729339874818</v>
      </c>
    </row>
    <row r="210" customFormat="false" ht="15" hidden="false" customHeight="false" outlineLevel="0" collapsed="false">
      <c r="A210" s="5" t="s">
        <v>231</v>
      </c>
      <c r="B210" s="5" t="n">
        <v>666.859523809524</v>
      </c>
      <c r="C210" s="5" t="n">
        <f aca="false">LN(B210/B209)*100</f>
        <v>-1.8584159252198</v>
      </c>
      <c r="D210" s="5" t="n">
        <f aca="false">STDEV(C208:C210)</f>
        <v>3.09100108978095</v>
      </c>
      <c r="E210" s="5" t="n">
        <f aca="false">STDEV(C199:C210)</f>
        <v>5.41790802863387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-1.71956407313214</v>
      </c>
      <c r="D211" s="5" t="n">
        <f aca="false">STDEV(C209:C211)</f>
        <v>3.15181908368452</v>
      </c>
      <c r="E211" s="5" t="n">
        <f aca="false">STDEV(C200:C211)</f>
        <v>3.84592814513755</v>
      </c>
    </row>
    <row r="212" customFormat="false" ht="15" hidden="false" customHeight="false" outlineLevel="0" collapsed="false">
      <c r="A212" s="5" t="s">
        <v>233</v>
      </c>
      <c r="B212" s="5" t="n">
        <v>665.295454545455</v>
      </c>
      <c r="C212" s="5" t="n">
        <f aca="false">LN(B212/B211)*100</f>
        <v>1.48474605148065</v>
      </c>
      <c r="D212" s="5" t="n">
        <f aca="false">STDEV(C210:C212)</f>
        <v>1.89136701946766</v>
      </c>
      <c r="E212" s="5" t="n">
        <f aca="false">STDEV(C201:C212)</f>
        <v>3.47852001911676</v>
      </c>
    </row>
    <row r="213" customFormat="false" ht="15" hidden="false" customHeight="false" outlineLevel="0" collapsed="false">
      <c r="A213" s="5" t="s">
        <v>234</v>
      </c>
      <c r="B213" s="5" t="n">
        <v>665.411363636364</v>
      </c>
      <c r="C213" s="5" t="n">
        <f aca="false">LN(B213/B212)*100</f>
        <v>0.0174206804412088</v>
      </c>
      <c r="D213" s="5" t="n">
        <f aca="false">STDEV(C211:C213)</f>
        <v>1.60404505097469</v>
      </c>
      <c r="E213" s="5" t="n">
        <f aca="false">STDEV(C202:C213)</f>
        <v>3.47602369950808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6.85884829871722</v>
      </c>
      <c r="D214" s="5" t="n">
        <f aca="false">STDEV(C212:C214)</f>
        <v>3.60183172298853</v>
      </c>
      <c r="E214" s="5" t="n">
        <f aca="false">STDEV(C203:C214)</f>
        <v>3.37450842568971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5.71996449479663</v>
      </c>
      <c r="D215" s="5" t="n">
        <f aca="false">STDEV(C213:C215)</f>
        <v>3.6656330542301</v>
      </c>
      <c r="E215" s="5" t="n">
        <f aca="false">STDEV(C204:C215)</f>
        <v>3.38025875574091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0.600532488770394</v>
      </c>
      <c r="E216" s="5" t="n">
        <f aca="false">STDEV(C205:C216)</f>
        <v>3.34071847521983</v>
      </c>
    </row>
    <row r="217" customFormat="false" ht="15" hidden="false" customHeight="false" outlineLevel="0" collapsed="false">
      <c r="A217" s="5" t="s">
        <v>238</v>
      </c>
      <c r="B217" s="5" t="n">
        <v>803.202941176471</v>
      </c>
      <c r="C217" s="5" t="n">
        <f aca="false">LN(B217/B216)*100</f>
        <v>-0.378363846541401</v>
      </c>
      <c r="D217" s="5" t="n">
        <f aca="false">STDEV(C215:C217)</f>
        <v>3.80729099321325</v>
      </c>
      <c r="E217" s="5" t="n">
        <f aca="false">STDEV(C206:C217)</f>
        <v>3.3797466946566</v>
      </c>
    </row>
    <row r="218" customFormat="false" ht="15" hidden="false" customHeight="false" outlineLevel="0" collapsed="false">
      <c r="A218" s="5" t="s">
        <v>239</v>
      </c>
      <c r="B218" s="5" t="n">
        <v>889.595454545455</v>
      </c>
      <c r="C218" s="5" t="n">
        <f aca="false">LN(B218/B217)*100</f>
        <v>10.2159403180484</v>
      </c>
      <c r="D218" s="5" t="n">
        <f aca="false">STDEV(C216:C218)</f>
        <v>5.38741510835369</v>
      </c>
      <c r="E218" s="5" t="n">
        <f aca="false">STDEV(C207:C218)</f>
        <v>4.05764878337407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3.61011547659279</v>
      </c>
      <c r="D219" s="5" t="n">
        <f aca="false">STDEV(C217:C219)</f>
        <v>5.35076583115143</v>
      </c>
      <c r="E219" s="5" t="n">
        <f aca="false">STDEV(C208:C219)</f>
        <v>4.00076638020535</v>
      </c>
    </row>
    <row r="220" customFormat="false" ht="15" hidden="false" customHeight="false" outlineLevel="0" collapsed="false">
      <c r="A220" s="5" t="s">
        <v>241</v>
      </c>
      <c r="B220" s="5" t="n">
        <v>968.434210526316</v>
      </c>
      <c r="C220" s="5" t="n">
        <f aca="false">LN(B220/B219)*100</f>
        <v>4.88125825943892</v>
      </c>
      <c r="D220" s="5" t="n">
        <f aca="false">STDEV(C218:C220)</f>
        <v>3.50503348716346</v>
      </c>
      <c r="E220" s="5" t="n">
        <f aca="false">STDEV(C209:C220)</f>
        <v>3.80779223646889</v>
      </c>
    </row>
    <row r="221" customFormat="false" ht="15" hidden="false" customHeight="false" outlineLevel="0" collapsed="false">
      <c r="A221" s="5" t="s">
        <v>242</v>
      </c>
      <c r="B221" s="5" t="n">
        <v>909.704545454546</v>
      </c>
      <c r="C221" s="5" t="n">
        <f aca="false">LN(B221/B220)*100</f>
        <v>-6.25606798270805</v>
      </c>
      <c r="D221" s="5" t="n">
        <f aca="false">STDEV(C219:C221)</f>
        <v>6.09641172946539</v>
      </c>
      <c r="E221" s="5" t="n">
        <f aca="false">STDEV(C210:C221)</f>
        <v>4.68724355870385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-2.34023480803915</v>
      </c>
      <c r="D222" s="5" t="n">
        <f aca="false">STDEV(C220:C222)</f>
        <v>5.64983403000311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0.0928599973064087</v>
      </c>
      <c r="D223" s="5" t="n">
        <f aca="false">STDEV(C221:C223)</f>
        <v>3.20319076024328</v>
      </c>
      <c r="E223" s="5" t="n">
        <f aca="false">STDEV(C212:C223)</f>
        <v>4.61347138380821</v>
      </c>
    </row>
    <row r="224" customFormat="false" ht="15" hidden="false" customHeight="false" outlineLevel="0" collapsed="false">
      <c r="A224" s="5" t="s">
        <v>245</v>
      </c>
      <c r="B224" s="5" t="n">
        <v>939.771739130435</v>
      </c>
      <c r="C224" s="5" t="n">
        <f aca="false">LN(B224/B223)*100</f>
        <v>5.49908917031465</v>
      </c>
      <c r="D224" s="5" t="n">
        <f aca="false">STDEV(C222:C224)</f>
        <v>4.01252756253208</v>
      </c>
      <c r="E224" s="5" t="n">
        <f aca="false">STDEV(C213:C224)</f>
        <v>4.67482718934201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-11.3396511662491</v>
      </c>
      <c r="D225" s="5" t="n">
        <f aca="false">STDEV(C223:C225)</f>
        <v>8.59721661836091</v>
      </c>
      <c r="E225" s="5" t="n">
        <f aca="false">STDEV(C214:C225)</f>
        <v>6.20566359986776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-1.08969527535847</v>
      </c>
      <c r="D226" s="5" t="n">
        <f aca="false">STDEV(C224:C226)</f>
        <v>8.48544687842039</v>
      </c>
      <c r="E226" s="5" t="n">
        <f aca="false">STDEV(C215:C226)</f>
        <v>6.05433035461477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-2.84914120960469</v>
      </c>
      <c r="D227" s="5" t="n">
        <f aca="false">STDEV(C225:C227)</f>
        <v>5.48096714526151</v>
      </c>
      <c r="E227" s="5" t="n">
        <f aca="false">STDEV(C216:C227)</f>
        <v>5.98667377243319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-5.83994803264149</v>
      </c>
      <c r="D228" s="5" t="n">
        <f aca="false">STDEV(C226:C228)</f>
        <v>2.40157853318513</v>
      </c>
      <c r="E228" s="5" t="n">
        <f aca="false">STDEV(C217:C228)</f>
        <v>5.91939987773297</v>
      </c>
    </row>
    <row r="229" customFormat="false" ht="15" hidden="false" customHeight="false" outlineLevel="0" collapsed="false">
      <c r="A229" s="5" t="s">
        <v>250</v>
      </c>
      <c r="B229" s="5" t="n">
        <v>816.092105263158</v>
      </c>
      <c r="C229" s="5" t="n">
        <f aca="false">LN(B229/B228)*100</f>
        <v>7.00745644662552</v>
      </c>
      <c r="D229" s="5" t="n">
        <f aca="false">STDEV(C227:C229)</f>
        <v>6.72251496420073</v>
      </c>
      <c r="E229" s="5" t="n">
        <f aca="false">STDEV(C218:C229)</f>
        <v>6.30281114268786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</v>
      </c>
      <c r="D230" s="5" t="n">
        <f aca="false">STDEV(C228:C230)</f>
        <v>6.93015767606349</v>
      </c>
      <c r="E230" s="5" t="n">
        <f aca="false">STDEV(C219:C230)</f>
        <v>5.70225398493801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2.15147272428229</v>
      </c>
      <c r="E231" s="5" t="n">
        <f aca="false">STDEV(C220:C231)</f>
        <v>6.27625672433845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-2.02314026862696</v>
      </c>
      <c r="D232" s="5" t="n">
        <f aca="false">STDEV(C230:C232)</f>
        <v>5.7607336141671</v>
      </c>
      <c r="E232" s="5" t="n">
        <f aca="false">STDEV(C221:C232)</f>
        <v>6.12130035970631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-3.75610308950365</v>
      </c>
      <c r="D233" s="5" t="n">
        <f aca="false">STDEV(C231:C233)</f>
        <v>7.13838844709715</v>
      </c>
      <c r="E233" s="5" t="n">
        <f aca="false">STDEV(C222:C233)</f>
        <v>5.94342494100889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4.22800944989029</v>
      </c>
      <c r="D234" s="5" t="n">
        <f aca="false">STDEV(C232:C234)</f>
        <v>4.19972391917149</v>
      </c>
      <c r="E234" s="5" t="n">
        <f aca="false">STDEV(C223:C234)</f>
        <v>6.02829804197411</v>
      </c>
    </row>
    <row r="235" customFormat="false" ht="15" hidden="false" customHeight="false" outlineLevel="0" collapsed="false">
      <c r="A235" s="5" t="s">
        <v>256</v>
      </c>
      <c r="B235" s="5" t="n">
        <v>945.670454545455</v>
      </c>
      <c r="C235" s="5" t="n">
        <f aca="false">LN(B235/B234)*100</f>
        <v>1.81679005636468</v>
      </c>
      <c r="D235" s="5" t="n">
        <f aca="false">STDEV(C233:C235)</f>
        <v>4.09506145702128</v>
      </c>
      <c r="E235" s="5" t="n">
        <f aca="false">STDEV(C224:C235)</f>
        <v>6.04170449957323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-1.21733526213523</v>
      </c>
      <c r="D236" s="5" t="n">
        <f aca="false">STDEV(C234:C236)</f>
        <v>2.72860386904062</v>
      </c>
      <c r="E236" s="5" t="n">
        <f aca="false">STDEV(C225:C236)</f>
        <v>5.84545652697407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1.60830743270861</v>
      </c>
      <c r="D237" s="5" t="n">
        <f aca="false">STDEV(C235:C237)</f>
        <v>1.69477816108053</v>
      </c>
      <c r="E237" s="5" t="n">
        <f aca="false">STDEV(C226:C237)</f>
        <v>4.64335164024531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3.03790907889296</v>
      </c>
      <c r="E238" s="5" t="n">
        <f aca="false">STDEV(C227:C238)</f>
        <v>4.71318324804133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4.56686115186037</v>
      </c>
      <c r="D239" s="5" t="n">
        <f aca="false">STDEV(C237:C239)</f>
        <v>1.79664175816887</v>
      </c>
      <c r="E239" s="5" t="n">
        <f aca="false">STDEV(C228:C239)</f>
        <v>4.57157393362894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7.7337227831508</v>
      </c>
      <c r="D240" s="5" t="n">
        <f aca="false">STDEV(C238:C240)</f>
        <v>1.75147959270779</v>
      </c>
      <c r="E240" s="5" t="n">
        <f aca="false">STDEV(C229:C240)</f>
        <v>4.06836907749637</v>
      </c>
    </row>
    <row r="241" customFormat="false" ht="15" hidden="false" customHeight="false" outlineLevel="0" collapsed="false">
      <c r="A241" s="5" t="s">
        <v>262</v>
      </c>
      <c r="B241" s="5" t="n">
        <v>1134.72368421053</v>
      </c>
      <c r="C241" s="5" t="n">
        <f aca="false">LN(B241/B240)*100</f>
        <v>0.679824700977447</v>
      </c>
      <c r="D241" s="5" t="n">
        <f aca="false">STDEV(C239:C241)</f>
        <v>3.53307097569808</v>
      </c>
      <c r="E241" s="5" t="n">
        <f aca="false">STDEV(C230:C241)</f>
        <v>3.94880645265466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-1.48813391288123</v>
      </c>
      <c r="D242" s="5" t="n">
        <f aca="false">STDEV(C240:C242)</f>
        <v>4.82182820838811</v>
      </c>
      <c r="E242" s="5" t="n">
        <f aca="false">STDEV(C231:C242)</f>
        <v>4.0493863786982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1.43683072556909</v>
      </c>
      <c r="E243" s="5" t="n">
        <f aca="false">STDEV(C232:C243)</f>
        <v>3.51410380741561</v>
      </c>
    </row>
    <row r="244" customFormat="false" ht="15" hidden="false" customHeight="false" outlineLevel="0" collapsed="false">
      <c r="A244" s="5" t="s">
        <v>265</v>
      </c>
      <c r="B244" s="5" t="n">
        <v>1113.33695652174</v>
      </c>
      <c r="C244" s="5" t="n">
        <f aca="false">LN(B244/B243)*100</f>
        <v>1.62307680170904</v>
      </c>
      <c r="D244" s="5" t="n">
        <f aca="false">STDEV(C242:C244)</f>
        <v>1.97411568838858</v>
      </c>
      <c r="E244" s="5" t="n">
        <f aca="false">STDEV(C233:C244)</f>
        <v>3.35988936327581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3.12582135675085</v>
      </c>
      <c r="D245" s="5" t="n">
        <f aca="false">STDEV(C243:C245)</f>
        <v>2.65584814777497</v>
      </c>
      <c r="E245" s="5" t="n">
        <f aca="false">STDEV(C234:C245)</f>
        <v>2.9317472791425</v>
      </c>
    </row>
    <row r="246" customFormat="false" ht="15" hidden="false" customHeight="false" outlineLevel="0" collapsed="false">
      <c r="A246" s="5" t="s">
        <v>267</v>
      </c>
      <c r="B246" s="5" t="n">
        <v>1205.43421052632</v>
      </c>
      <c r="C246" s="5" t="n">
        <f aca="false">LN(B246/B245)*100</f>
        <v>4.82198564776891</v>
      </c>
      <c r="D246" s="5" t="n">
        <f aca="false">STDEV(C244:C246)</f>
        <v>1.60042870846286</v>
      </c>
      <c r="E246" s="5" t="n">
        <f aca="false">STDEV(C235:C246)</f>
        <v>2.97518444328113</v>
      </c>
    </row>
    <row r="247" customFormat="false" ht="15" hidden="false" customHeight="false" outlineLevel="0" collapsed="false">
      <c r="A247" s="5" t="s">
        <v>268</v>
      </c>
      <c r="B247" s="5" t="n">
        <v>1232.92045454546</v>
      </c>
      <c r="C247" s="5" t="n">
        <f aca="false">LN(B247/B246)*100</f>
        <v>2.2545865629216</v>
      </c>
      <c r="D247" s="5" t="n">
        <f aca="false">STDEV(C245:C247)</f>
        <v>1.30560084692696</v>
      </c>
      <c r="E247" s="5" t="n">
        <f aca="false">STDEV(C236:C247)</f>
        <v>2.97309070123596</v>
      </c>
    </row>
    <row r="248" customFormat="false" ht="15" hidden="false" customHeight="false" outlineLevel="0" collapsed="false">
      <c r="A248" s="5" t="s">
        <v>269</v>
      </c>
      <c r="B248" s="5" t="n">
        <v>1192.96590909091</v>
      </c>
      <c r="C248" s="5" t="n">
        <f aca="false">LN(B248/B247)*100</f>
        <v>-3.29431414259539</v>
      </c>
      <c r="D248" s="5" t="n">
        <f aca="false">STDEV(C246:C248)</f>
        <v>4.14841655308844</v>
      </c>
      <c r="E248" s="5" t="n">
        <f aca="false">STDEV(C237:C248)</f>
        <v>3.23931717248148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1.89675627458811</v>
      </c>
      <c r="D249" s="5" t="n">
        <f aca="false">STDEV(C247:C249)</f>
        <v>3.10552071938275</v>
      </c>
      <c r="E249" s="5" t="n">
        <f aca="false">STDEV(C238:C249)</f>
        <v>3.23691368864564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4.4375980966569</v>
      </c>
      <c r="D250" s="5" t="n">
        <f aca="false">STDEV(C248:C250)</f>
        <v>3.94092958823234</v>
      </c>
      <c r="E250" s="5" t="n">
        <f aca="false">STDEV(C239:C250)</f>
        <v>3.2063701571413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5.43926695761695</v>
      </c>
      <c r="D251" s="5" t="n">
        <f aca="false">STDEV(C249:C251)</f>
        <v>1.82613433291769</v>
      </c>
      <c r="E251" s="5" t="n">
        <f aca="false">STDEV(C240:C251)</f>
        <v>3.2782855679508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2.05490099358471</v>
      </c>
      <c r="D252" s="5" t="n">
        <f aca="false">STDEV(C250:C252)</f>
        <v>1.73851080767926</v>
      </c>
      <c r="E252" s="5" t="n">
        <f aca="false">STDEV(C241:C252)</f>
        <v>2.75989808384902</v>
      </c>
    </row>
    <row r="253" customFormat="false" ht="15" hidden="false" customHeight="false" outlineLevel="0" collapsed="false">
      <c r="A253" s="5" t="s">
        <v>274</v>
      </c>
      <c r="B253" s="5" t="n">
        <v>1390.55263157895</v>
      </c>
      <c r="C253" s="5" t="n">
        <f aca="false">LN(B253/B252)*100</f>
        <v>1.49734546564632</v>
      </c>
      <c r="D253" s="5" t="n">
        <f aca="false">STDEV(C251:C253)</f>
        <v>2.13321143639094</v>
      </c>
      <c r="E253" s="5" t="n">
        <f aca="false">STDEV(C242:C253)</f>
        <v>2.74446204759968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-2.48671135360906</v>
      </c>
      <c r="D254" s="5" t="n">
        <f aca="false">STDEV(C252:C254)</f>
        <v>2.47688714646606</v>
      </c>
      <c r="E254" s="5" t="n">
        <f aca="false">STDEV(C243:C254)</f>
        <v>2.86233534358419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2.2184218297215</v>
      </c>
      <c r="E255" s="5" t="n">
        <f aca="false">STDEV(C244:C255)</f>
        <v>2.63041136205902</v>
      </c>
    </row>
    <row r="256" customFormat="false" ht="15" hidden="false" customHeight="false" outlineLevel="0" collapsed="false">
      <c r="A256" s="5" t="s">
        <v>277</v>
      </c>
      <c r="B256" s="5" t="n">
        <v>1424.01086956522</v>
      </c>
      <c r="C256" s="5" t="n">
        <f aca="false">LN(B256/B255)*100</f>
        <v>3.66796306902946</v>
      </c>
      <c r="D256" s="5" t="n">
        <f aca="false">STDEV(C254:C256)</f>
        <v>3.09714583549163</v>
      </c>
      <c r="E256" s="5" t="n">
        <f aca="false">STDEV(C245:C256)</f>
        <v>2.67802106974822</v>
      </c>
    </row>
    <row r="257" customFormat="false" ht="15" hidden="false" customHeight="false" outlineLevel="0" collapsed="false">
      <c r="A257" s="5" t="s">
        <v>278</v>
      </c>
      <c r="B257" s="5" t="n">
        <v>1473.80555555556</v>
      </c>
      <c r="C257" s="5" t="n">
        <f aca="false">LN(B257/B256)*100</f>
        <v>3.43704228064558</v>
      </c>
      <c r="D257" s="5" t="n">
        <f aca="false">STDEV(C255:C257)</f>
        <v>1.36520596384431</v>
      </c>
      <c r="E257" s="5" t="n">
        <f aca="false">STDEV(C246:C257)</f>
        <v>2.69085299940481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2.45514750723136</v>
      </c>
      <c r="D258" s="5" t="n">
        <f aca="false">STDEV(C256:C258)</f>
        <v>0.643993186235391</v>
      </c>
      <c r="E258" s="5" t="n">
        <f aca="false">STDEV(C247:C258)</f>
        <v>2.55464519763239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1.19915959999459</v>
      </c>
      <c r="D259" s="5" t="n">
        <f aca="false">STDEV(C257:C259)</f>
        <v>1.12173540117838</v>
      </c>
      <c r="E259" s="5" t="n">
        <f aca="false">STDEV(C248:C259)</f>
        <v>2.5587287670492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2.84725857528399</v>
      </c>
      <c r="D260" s="5" t="n">
        <f aca="false">STDEV(C258:C260)</f>
        <v>0.860957504290462</v>
      </c>
      <c r="E260" s="5" t="n">
        <f aca="false">STDEV(C249:C260)</f>
        <v>2.00275530576737</v>
      </c>
    </row>
    <row r="261" customFormat="false" ht="15" hidden="false" customHeight="false" outlineLevel="0" collapsed="false">
      <c r="A261" s="5" t="s">
        <v>282</v>
      </c>
      <c r="B261" s="5" t="n">
        <v>1755.80681818182</v>
      </c>
      <c r="C261" s="5" t="n">
        <f aca="false">LN(B261/B260)*100</f>
        <v>11.0064951022333</v>
      </c>
      <c r="D261" s="5" t="n">
        <f aca="false">STDEV(C259:C261)</f>
        <v>5.25155850817206</v>
      </c>
      <c r="E261" s="5" t="n">
        <f aca="false">STDEV(C250:C261)</f>
        <v>3.2020198581176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0.909700443604268</v>
      </c>
      <c r="D262" s="5" t="n">
        <f aca="false">STDEV(C260:C262)</f>
        <v>5.3583662714622</v>
      </c>
      <c r="E262" s="5" t="n">
        <f aca="false">STDEV(C251:C262)</f>
        <v>3.22616858319962</v>
      </c>
    </row>
    <row r="263" customFormat="false" ht="15" hidden="false" customHeight="false" outlineLevel="0" collapsed="false">
      <c r="A263" s="5" t="s">
        <v>284</v>
      </c>
      <c r="B263" s="5" t="n">
        <v>1665.21428571429</v>
      </c>
      <c r="C263" s="5" t="n">
        <f aca="false">LN(B263/B262)*100</f>
        <v>-6.20716658922676</v>
      </c>
      <c r="D263" s="5" t="n">
        <f aca="false">STDEV(C261:C263)</f>
        <v>8.64971297760372</v>
      </c>
      <c r="E263" s="5" t="n">
        <f aca="false">STDEV(C252:C263)</f>
        <v>4.00703779741804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4.33433508447822</v>
      </c>
      <c r="D264" s="5" t="n">
        <f aca="false">STDEV(C262:C264)</f>
        <v>5.37744016429125</v>
      </c>
      <c r="E264" s="5" t="n">
        <f aca="false">STDEV(C253:C264)</f>
        <v>4.07378885936552</v>
      </c>
    </row>
    <row r="265" customFormat="false" ht="15" hidden="false" customHeight="false" outlineLevel="0" collapsed="false">
      <c r="A265" s="5" t="s">
        <v>286</v>
      </c>
      <c r="B265" s="5" t="n">
        <v>1652.30555555556</v>
      </c>
      <c r="C265" s="5" t="n">
        <f aca="false">LN(B265/B264)*100</f>
        <v>-5.11255471390812</v>
      </c>
      <c r="D265" s="5" t="n">
        <f aca="false">STDEV(C263:C265)</f>
        <v>5.79604979788202</v>
      </c>
      <c r="E265" s="5" t="n">
        <f aca="false">STDEV(C254:C265)</f>
        <v>4.5635968897133</v>
      </c>
    </row>
    <row r="266" customFormat="false" ht="15" hidden="false" customHeight="false" outlineLevel="0" collapsed="false">
      <c r="A266" s="5" t="s">
        <v>287</v>
      </c>
      <c r="B266" s="5" t="n">
        <v>1656.11904761905</v>
      </c>
      <c r="C266" s="5" t="n">
        <f aca="false">LN(B266/B265)*100</f>
        <v>0.230532305239006</v>
      </c>
      <c r="D266" s="5" t="n">
        <f aca="false">STDEV(C264:C266)</f>
        <v>4.7369734185435</v>
      </c>
      <c r="E266" s="5" t="n">
        <f aca="false">STDEV(C255:C266)</f>
        <v>4.41623014684847</v>
      </c>
    </row>
    <row r="267" customFormat="false" ht="15" hidden="false" customHeight="false" outlineLevel="0" collapsed="false">
      <c r="A267" s="5" t="s">
        <v>288</v>
      </c>
      <c r="B267" s="5" t="n">
        <v>1742.61904761905</v>
      </c>
      <c r="C267" s="5" t="n">
        <f aca="false">LN(B267/B266)*100</f>
        <v>5.09122392917201</v>
      </c>
      <c r="D267" s="5" t="n">
        <f aca="false">STDEV(C265:C267)</f>
        <v>5.10378945089054</v>
      </c>
      <c r="E267" s="5" t="n">
        <f aca="false">STDEV(C256:C267)</f>
        <v>4.52065377600932</v>
      </c>
    </row>
    <row r="268" customFormat="false" ht="15" hidden="false" customHeight="false" outlineLevel="0" collapsed="false">
      <c r="A268" s="5" t="s">
        <v>289</v>
      </c>
      <c r="B268" s="5" t="n">
        <v>1673.77272727273</v>
      </c>
      <c r="C268" s="5" t="n">
        <f aca="false">LN(B268/B267)*100</f>
        <v>-4.03089847443563</v>
      </c>
      <c r="D268" s="5" t="n">
        <f aca="false">STDEV(C266:C268)</f>
        <v>4.5643406332739</v>
      </c>
      <c r="E268" s="5" t="n">
        <f aca="false">STDEV(C257:C268)</f>
        <v>4.79837975872502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-1.42650370595122</v>
      </c>
      <c r="D269" s="5" t="n">
        <f aca="false">STDEV(C267:C269)</f>
        <v>4.69887863896197</v>
      </c>
      <c r="E269" s="5" t="n">
        <f aca="false">STDEV(C258:C269)</f>
        <v>4.81114978473524</v>
      </c>
    </row>
    <row r="270" customFormat="false" ht="15" hidden="false" customHeight="false" outlineLevel="0" collapsed="false">
      <c r="A270" s="5" t="s">
        <v>291</v>
      </c>
      <c r="B270" s="5" t="n">
        <v>1585.50454545455</v>
      </c>
      <c r="C270" s="5" t="n">
        <f aca="false">LN(B270/B269)*100</f>
        <v>-3.99124776434599</v>
      </c>
      <c r="D270" s="5" t="n">
        <f aca="false">STDEV(C268:C270)</f>
        <v>1.49233354035388</v>
      </c>
      <c r="E270" s="5" t="n">
        <f aca="false">STDEV(C259:C270)</f>
        <v>4.98356653959722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0.703466934359857</v>
      </c>
      <c r="D271" s="5" t="n">
        <f aca="false">STDEV(C269:C271)</f>
        <v>2.35071028683897</v>
      </c>
      <c r="E271" s="5" t="n">
        <f aca="false">STDEV(C260:C271)</f>
        <v>4.97842991430588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-0.174780453641693</v>
      </c>
      <c r="D272" s="5" t="n">
        <f aca="false">STDEV(C270:C272)</f>
        <v>2.49589954760639</v>
      </c>
      <c r="E272" s="5" t="n">
        <f aca="false">STDEV(C261:C272)</f>
        <v>4.91739335288068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1.09166468443059</v>
      </c>
      <c r="E273" s="5" t="n">
        <f aca="false">STDEV(C262:C273)</f>
        <v>3.61891444363087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7.02953427017627</v>
      </c>
      <c r="D274" s="5" t="n">
        <f aca="false">STDEV(C272:C274)</f>
        <v>3.69581058324068</v>
      </c>
      <c r="E274" s="5" t="n">
        <f aca="false">STDEV(C263:C274)</f>
        <v>4.23577332445843</v>
      </c>
    </row>
    <row r="275" customFormat="false" ht="15" hidden="false" customHeight="false" outlineLevel="0" collapsed="false">
      <c r="A275" s="5" t="s">
        <v>296</v>
      </c>
      <c r="B275" s="5" t="n">
        <v>1747.01086956522</v>
      </c>
      <c r="C275" s="5" t="n">
        <f aca="false">LN(B275/B274)*100</f>
        <v>0.146693325236224</v>
      </c>
      <c r="D275" s="5" t="n">
        <f aca="false">STDEV(C273:C275)</f>
        <v>3.56214938710587</v>
      </c>
      <c r="E275" s="5" t="n">
        <f aca="false">STDEV(C264:C275)</f>
        <v>3.77959085736108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-1.49215037712395</v>
      </c>
      <c r="D276" s="5" t="n">
        <f aca="false">STDEV(C274:C276)</f>
        <v>4.52176988545675</v>
      </c>
      <c r="E276" s="5" t="n">
        <f aca="false">STDEV(C265:C276)</f>
        <v>3.59805509262336</v>
      </c>
    </row>
    <row r="277" customFormat="false" ht="15" hidden="false" customHeight="false" outlineLevel="0" collapsed="false">
      <c r="A277" s="5" t="s">
        <v>298</v>
      </c>
      <c r="B277" s="5" t="n">
        <v>1688.52941176471</v>
      </c>
      <c r="C277" s="5" t="n">
        <f aca="false">LN(B277/B276)*100</f>
        <v>-1.91267696440862</v>
      </c>
      <c r="D277" s="5" t="n">
        <f aca="false">STDEV(C275:C277)</f>
        <v>1.08809139331605</v>
      </c>
      <c r="E277" s="5" t="n">
        <f aca="false">STDEV(C266:C277)</f>
        <v>3.29769656296814</v>
      </c>
    </row>
    <row r="278" customFormat="false" ht="15" hidden="false" customHeight="false" outlineLevel="0" collapsed="false">
      <c r="A278" s="5" t="s">
        <v>299</v>
      </c>
      <c r="B278" s="5" t="n">
        <v>1670.95454545455</v>
      </c>
      <c r="C278" s="5" t="n">
        <f aca="false">LN(B278/B277)*100</f>
        <v>-1.04629323221763</v>
      </c>
      <c r="D278" s="5" t="n">
        <f aca="false">STDEV(C276:C278)</f>
        <v>0.433253577727579</v>
      </c>
      <c r="E278" s="5" t="n">
        <f aca="false">STDEV(C267:C278)</f>
        <v>3.31648843930481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-2.62961901449623</v>
      </c>
      <c r="D279" s="5" t="n">
        <f aca="false">STDEV(C277:C279)</f>
        <v>0.792837436828127</v>
      </c>
      <c r="E279" s="5" t="n">
        <f aca="false">STDEV(C268:C279)</f>
        <v>2.98731190344804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0.812759407215666</v>
      </c>
      <c r="E280" s="5" t="n">
        <f aca="false">STDEV(C269:C280)</f>
        <v>2.83497174474903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-7.00618246708966</v>
      </c>
      <c r="D281" s="5" t="n">
        <f aca="false">STDEV(C279:C281)</f>
        <v>2.673834648618</v>
      </c>
      <c r="E281" s="5" t="n">
        <f aca="false">STDEV(C270:C281)</f>
        <v>3.41463881529485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-4.94019892514538</v>
      </c>
      <c r="D282" s="5" t="n">
        <f aca="false">STDEV(C280:C282)</f>
        <v>2.43361663924092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1.13377914057842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1286.72391304348</v>
      </c>
      <c r="C284" s="5" t="n">
        <f aca="false">LN(B284/B283)*100</f>
        <v>-4.23317354773047</v>
      </c>
      <c r="D284" s="5" t="n">
        <f aca="false">STDEV(C282:C284)</f>
        <v>0.485780541512406</v>
      </c>
      <c r="E284" s="5" t="n">
        <f aca="false">STDEV(C273:C284)</f>
        <v>3.71537518688075</v>
      </c>
    </row>
    <row r="285" customFormat="false" ht="15" hidden="false" customHeight="false" outlineLevel="0" collapsed="false">
      <c r="A285" s="5" t="s">
        <v>306</v>
      </c>
      <c r="B285" s="5" t="n">
        <v>1347.09523809524</v>
      </c>
      <c r="C285" s="5" t="n">
        <f aca="false">LN(B285/B284)*100</f>
        <v>4.58512129641293</v>
      </c>
      <c r="D285" s="5" t="n">
        <f aca="false">STDEV(C283:C285)</f>
        <v>5.38004614871655</v>
      </c>
      <c r="E285" s="5" t="n">
        <f aca="false">STDEV(C274:C285)</f>
        <v>4.0177699164257</v>
      </c>
    </row>
    <row r="286" customFormat="false" ht="15" hidden="false" customHeight="false" outlineLevel="0" collapsed="false">
      <c r="A286" s="5" t="s">
        <v>307</v>
      </c>
      <c r="B286" s="5" t="n">
        <v>1348.79761904762</v>
      </c>
      <c r="C286" s="5" t="n">
        <f aca="false">LN(B286/B285)*100</f>
        <v>0.126294424064311</v>
      </c>
      <c r="D286" s="5" t="n">
        <f aca="false">STDEV(C284:C286)</f>
        <v>4.4092407137913</v>
      </c>
      <c r="E286" s="5" t="n">
        <f aca="false">STDEV(C275:C286)</f>
        <v>3.05324264565478</v>
      </c>
    </row>
    <row r="287" customFormat="false" ht="15" hidden="false" customHeight="false" outlineLevel="0" collapsed="false">
      <c r="A287" s="5" t="s">
        <v>308</v>
      </c>
      <c r="B287" s="5" t="n">
        <v>1316.1847826087</v>
      </c>
      <c r="C287" s="5" t="n">
        <f aca="false">LN(B287/B286)*100</f>
        <v>-2.44763076634885</v>
      </c>
      <c r="D287" s="5" t="n">
        <f aca="false">STDEV(C285:C287)</f>
        <v>3.55822590485066</v>
      </c>
      <c r="E287" s="5" t="n">
        <f aca="false">STDEV(C276:C287)</f>
        <v>2.96696326243301</v>
      </c>
    </row>
    <row r="288" customFormat="false" ht="15" hidden="false" customHeight="false" outlineLevel="0" collapsed="false">
      <c r="A288" s="5" t="s">
        <v>309</v>
      </c>
      <c r="B288" s="5" t="n">
        <v>1275.82142857143</v>
      </c>
      <c r="C288" s="5" t="n">
        <f aca="false">LN(B288/B287)*100</f>
        <v>-3.11470064943063</v>
      </c>
      <c r="D288" s="5" t="n">
        <f aca="false">STDEV(C286:C288)</f>
        <v>1.71143809807116</v>
      </c>
      <c r="E288" s="5" t="n">
        <f aca="false">STDEV(C277:C288)</f>
        <v>2.96079595924312</v>
      </c>
    </row>
    <row r="289" customFormat="false" ht="15" hidden="false" customHeight="false" outlineLevel="0" collapsed="false">
      <c r="A289" s="5" t="s">
        <v>310</v>
      </c>
      <c r="B289" s="5" t="n">
        <v>1225.40277777778</v>
      </c>
      <c r="C289" s="5" t="n">
        <f aca="false">LN(B289/B288)*100</f>
        <v>-4.03206407282171</v>
      </c>
      <c r="D289" s="5" t="n">
        <f aca="false">STDEV(C287:C289)</f>
        <v>0.795504743559194</v>
      </c>
      <c r="E289" s="5" t="n">
        <f aca="false">STDEV(C278:C289)</f>
        <v>2.9860095358531</v>
      </c>
    </row>
    <row r="290" customFormat="false" ht="15" hidden="false" customHeight="false" outlineLevel="0" collapsed="false">
      <c r="A290" s="5" t="s">
        <v>311</v>
      </c>
      <c r="B290" s="5" t="n">
        <v>1244.79545454546</v>
      </c>
      <c r="C290" s="5" t="n">
        <f aca="false">LN(B290/B289)*100</f>
        <v>1.57016347408684</v>
      </c>
      <c r="D290" s="5" t="n">
        <f aca="false">STDEV(C288:C290)</f>
        <v>3.00484223084834</v>
      </c>
      <c r="E290" s="5" t="n">
        <f aca="false">STDEV(C279:C290)</f>
        <v>3.20311032376354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4.41427604768148</v>
      </c>
      <c r="D291" s="5" t="n">
        <f aca="false">STDEV(C289:C291)</f>
        <v>4.29756891063312</v>
      </c>
      <c r="E291" s="5" t="n">
        <f aca="false">STDEV(C280:C291)</f>
        <v>3.76418707040814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2.66284650606627</v>
      </c>
      <c r="D292" s="5" t="n">
        <f aca="false">STDEV(C290:C292)</f>
        <v>1.434714720708</v>
      </c>
      <c r="E292" s="5" t="n">
        <f aca="false">STDEV(C281:C292)</f>
        <v>3.98127151652491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-2.81477107302373</v>
      </c>
      <c r="D293" s="5" t="n">
        <f aca="false">STDEV(C291:C293)</f>
        <v>3.77118288373322</v>
      </c>
      <c r="E293" s="5" t="n">
        <f aca="false">STDEV(C282:C293)</f>
        <v>3.61823985729254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2.77857782971961</v>
      </c>
      <c r="E294" s="5" t="n">
        <f aca="false">STDEV(C283:C294)</f>
        <v>3.41206771982862</v>
      </c>
    </row>
    <row r="295" customFormat="false" ht="15" hidden="false" customHeight="false" outlineLevel="0" collapsed="false">
      <c r="A295" s="5" t="s">
        <v>316</v>
      </c>
      <c r="B295" s="5" t="n">
        <v>1279.09523809524</v>
      </c>
      <c r="C295" s="5" t="n">
        <f aca="false">LN(B295/B294)*100</f>
        <v>-0.656878808241321</v>
      </c>
      <c r="D295" s="5" t="n">
        <f aca="false">STDEV(C293:C295)</f>
        <v>1.18495773077591</v>
      </c>
      <c r="E295" s="5" t="n">
        <f aca="false">STDEV(C284:C295)</f>
        <v>3.12104654292681</v>
      </c>
    </row>
    <row r="296" customFormat="false" ht="15" hidden="false" customHeight="false" outlineLevel="0" collapsed="false">
      <c r="A296" s="5" t="s">
        <v>317</v>
      </c>
      <c r="B296" s="5" t="n">
        <v>1310.96739130435</v>
      </c>
      <c r="C296" s="5" t="n">
        <f aca="false">LN(B296/B295)*100</f>
        <v>2.46123485647181</v>
      </c>
      <c r="D296" s="5" t="n">
        <f aca="false">STDEV(C294:C296)</f>
        <v>1.87031141368708</v>
      </c>
      <c r="E296" s="5" t="n">
        <f aca="false">STDEV(C285:C296)</f>
        <v>2.9686258391837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-1.14923785034299</v>
      </c>
      <c r="D297" s="5" t="n">
        <f aca="false">STDEV(C295:C297)</f>
        <v>1.95791400130618</v>
      </c>
      <c r="E297" s="5" t="n">
        <f aca="false">STDEV(C286:C297)</f>
        <v>2.6333742231582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-4.51151068525273</v>
      </c>
      <c r="D298" s="5" t="n">
        <f aca="false">STDEV(C296:C298)</f>
        <v>3.48710893082569</v>
      </c>
      <c r="E298" s="5" t="n">
        <f aca="false">STDEV(C287:C298)</f>
        <v>2.88943126550631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</v>
      </c>
      <c r="D299" s="5" t="n">
        <f aca="false">STDEV(C297:C299)</f>
        <v>1.89201440345033</v>
      </c>
      <c r="E299" s="5" t="n">
        <f aca="false">STDEV(C288:C299)</f>
        <v>2.84590222095833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-3.85151320832127</v>
      </c>
      <c r="D300" s="5" t="n">
        <f aca="false">STDEV(C298:C300)</f>
        <v>1.68083550300211</v>
      </c>
      <c r="E300" s="5" t="n">
        <f aca="false">STDEV(C289:C300)</f>
        <v>2.91191026958416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2.18537148270196</v>
      </c>
      <c r="D301" s="5" t="n">
        <f aca="false">STDEV(C299:C301)</f>
        <v>3.03187673122345</v>
      </c>
      <c r="E301" s="5" t="n">
        <f aca="false">STDEV(C290:C301)</f>
        <v>2.81205717162563</v>
      </c>
    </row>
    <row r="302" customFormat="false" ht="15" hidden="false" customHeight="false" outlineLevel="0" collapsed="false">
      <c r="A302" s="5" t="s">
        <v>323</v>
      </c>
      <c r="B302" s="5" t="n">
        <v>1251.84523809524</v>
      </c>
      <c r="C302" s="5" t="n">
        <f aca="false">LN(B302/B301)*100</f>
        <v>4.03910194810497</v>
      </c>
      <c r="D302" s="5" t="n">
        <f aca="false">STDEV(C300:C302)</f>
        <v>4.12597667140556</v>
      </c>
      <c r="E302" s="5" t="n">
        <f aca="false">STDEV(C291:C302)</f>
        <v>3.03178371702879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-1.98936875021362</v>
      </c>
      <c r="D303" s="5" t="n">
        <f aca="false">STDEV(C301:C303)</f>
        <v>3.08780481926274</v>
      </c>
      <c r="E303" s="5" t="n">
        <f aca="false">STDEV(C292:C303)</f>
        <v>2.74302596662221</v>
      </c>
    </row>
    <row r="304" customFormat="false" ht="15" hidden="false" customHeight="false" outlineLevel="0" collapsed="false">
      <c r="A304" s="5" t="s">
        <v>325</v>
      </c>
      <c r="B304" s="5" t="n">
        <v>1178.62954545455</v>
      </c>
      <c r="C304" s="5" t="n">
        <f aca="false">LN(B304/B303)*100</f>
        <v>-4.03726044199118</v>
      </c>
      <c r="D304" s="5" t="n">
        <f aca="false">STDEV(C302:C304)</f>
        <v>4.19849077641591</v>
      </c>
      <c r="E304" s="5" t="n">
        <f aca="false">STDEV(C293:C304)</f>
        <v>2.72553018283357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1.62260102922569</v>
      </c>
      <c r="D305" s="5" t="n">
        <f aca="false">STDEV(C303:C305)</f>
        <v>2.86572323454888</v>
      </c>
      <c r="E305" s="5" t="n">
        <f aca="false">STDEV(C294:C305)</f>
        <v>2.76431939836127</v>
      </c>
    </row>
    <row r="306" customFormat="false" ht="15" hidden="false" customHeight="false" outlineLevel="0" collapsed="false">
      <c r="A306" s="5" t="s">
        <v>327</v>
      </c>
      <c r="B306" s="5" t="n">
        <v>1199.05263157895</v>
      </c>
      <c r="C306" s="5" t="n">
        <f aca="false">LN(B306/B305)*100</f>
        <v>0.095339964874283</v>
      </c>
      <c r="D306" s="5" t="n">
        <f aca="false">STDEV(C304:C306)</f>
        <v>2.92816621667537</v>
      </c>
      <c r="E306" s="5" t="n">
        <f aca="false">STDEV(C295:C306)</f>
        <v>2.77200676147806</v>
      </c>
    </row>
    <row r="307" customFormat="false" ht="15" hidden="false" customHeight="false" outlineLevel="0" collapsed="false">
      <c r="A307" s="5" t="s">
        <v>328</v>
      </c>
      <c r="B307" s="5" t="n">
        <v>1181.50454545455</v>
      </c>
      <c r="C307" s="5" t="n">
        <f aca="false">LN(B307/B306)*100</f>
        <v>-1.47431064842269</v>
      </c>
      <c r="D307" s="5" t="n">
        <f aca="false">STDEV(C305:C307)</f>
        <v>1.54850418929916</v>
      </c>
      <c r="E307" s="5" t="n">
        <f aca="false">STDEV(C296:C307)</f>
        <v>2.78373151606241</v>
      </c>
    </row>
    <row r="308" customFormat="false" ht="15" hidden="false" customHeight="false" outlineLevel="0" collapsed="false">
      <c r="A308" s="5" t="s">
        <v>329</v>
      </c>
      <c r="B308" s="5" t="n">
        <v>1130.03695652174</v>
      </c>
      <c r="C308" s="5" t="n">
        <f aca="false">LN(B308/B307)*100</f>
        <v>-4.45383277511018</v>
      </c>
      <c r="D308" s="5" t="n">
        <f aca="false">STDEV(C306:C308)</f>
        <v>2.31071157039925</v>
      </c>
      <c r="E308" s="5" t="n">
        <f aca="false">STDEV(C297:C308)</f>
        <v>2.79428065653143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-1.117866118526</v>
      </c>
      <c r="D309" s="5" t="n">
        <f aca="false">STDEV(C307:C309)</f>
        <v>1.83181505344449</v>
      </c>
      <c r="E309" s="5" t="n">
        <f aca="false">STDEV(C298:C309)</f>
        <v>2.79438554223416</v>
      </c>
    </row>
    <row r="310" customFormat="false" ht="15" hidden="false" customHeight="false" outlineLevel="0" collapsed="false">
      <c r="A310" s="5" t="s">
        <v>331</v>
      </c>
      <c r="B310" s="5" t="n">
        <v>1124.53181818182</v>
      </c>
      <c r="C310" s="5" t="n">
        <f aca="false">LN(B310/B309)*100</f>
        <v>0.629511153025287</v>
      </c>
      <c r="D310" s="5" t="n">
        <f aca="false">STDEV(C308:C310)</f>
        <v>2.58271131289991</v>
      </c>
      <c r="E310" s="5" t="n">
        <f aca="false">STDEV(C299:C310)</f>
        <v>2.63599172869693</v>
      </c>
    </row>
    <row r="311" customFormat="false" ht="15" hidden="false" customHeight="false" outlineLevel="0" collapsed="false">
      <c r="A311" s="5" t="s">
        <v>332</v>
      </c>
      <c r="B311" s="5" t="n">
        <v>1159.24545454546</v>
      </c>
      <c r="C311" s="5" t="n">
        <f aca="false">LN(B311/B310)*100</f>
        <v>3.04025358303558</v>
      </c>
      <c r="D311" s="5" t="n">
        <f aca="false">STDEV(C309:C311)</f>
        <v>2.08786038188622</v>
      </c>
      <c r="E311" s="5" t="n">
        <f aca="false">STDEV(C300:C311)</f>
        <v>2.85037762424468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-6.55421899867232</v>
      </c>
      <c r="D312" s="5" t="n">
        <f aca="false">STDEV(C310:C312)</f>
        <v>4.9911849307455</v>
      </c>
      <c r="E312" s="5" t="n">
        <f aca="false">STDEV(C301:C312)</f>
        <v>3.22621801968322</v>
      </c>
    </row>
    <row r="313" customFormat="false" ht="15" hidden="false" customHeight="false" outlineLevel="0" collapsed="false">
      <c r="A313" s="5" t="s">
        <v>334</v>
      </c>
      <c r="B313" s="5" t="n">
        <v>1068.25263157895</v>
      </c>
      <c r="C313" s="5" t="n">
        <f aca="false">LN(B313/B312)*100</f>
        <v>-1.62028742770319</v>
      </c>
      <c r="D313" s="5" t="n">
        <f aca="false">STDEV(C311:C313)</f>
        <v>4.79788542625687</v>
      </c>
      <c r="E313" s="5" t="n">
        <f aca="false">STDEV(C302:C313)</f>
        <v>3.1050157445755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2.68967052766914</v>
      </c>
      <c r="D314" s="5" t="n">
        <f aca="false">STDEV(C312:C314)</f>
        <v>4.62545334533615</v>
      </c>
      <c r="E314" s="5" t="n">
        <f aca="false">STDEV(C303:C314)</f>
        <v>2.9257808688615</v>
      </c>
    </row>
    <row r="315" customFormat="false" ht="15" hidden="false" customHeight="false" outlineLevel="0" collapsed="false">
      <c r="A315" s="5" t="s">
        <v>336</v>
      </c>
      <c r="B315" s="5" t="n">
        <v>1199.91190476191</v>
      </c>
      <c r="C315" s="5" t="n">
        <f aca="false">LN(B315/B314)*100</f>
        <v>8.93271771364623</v>
      </c>
      <c r="D315" s="5" t="n">
        <f aca="false">STDEV(C313:C315)</f>
        <v>5.30592896762293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1246.3380952381</v>
      </c>
      <c r="C316" s="5" t="n">
        <f aca="false">LN(B316/B315)*100</f>
        <v>3.79615866501579</v>
      </c>
      <c r="D316" s="5" t="n">
        <f aca="false">STDEV(C314:C316)</f>
        <v>3.33127085420596</v>
      </c>
      <c r="E316" s="5" t="n">
        <f aca="false">STDEV(C305:C316)</f>
        <v>4.04478190199537</v>
      </c>
    </row>
    <row r="317" customFormat="false" ht="15" hidden="false" customHeight="false" outlineLevel="0" collapsed="false">
      <c r="A317" s="5" t="s">
        <v>338</v>
      </c>
      <c r="B317" s="5" t="n">
        <v>1242.26190476191</v>
      </c>
      <c r="C317" s="5" t="n">
        <f aca="false">LN(B317/B316)*100</f>
        <v>-0.327589337095945</v>
      </c>
      <c r="D317" s="5" t="n">
        <f aca="false">STDEV(C315:C317)</f>
        <v>4.6393753731692</v>
      </c>
      <c r="E317" s="5" t="n">
        <f aca="false">STDEV(C306:C317)</f>
        <v>4.03322510725003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1.36995973183819</v>
      </c>
      <c r="D318" s="5" t="n">
        <f aca="false">STDEV(C316:C318)</f>
        <v>2.07257535808761</v>
      </c>
      <c r="E318" s="5" t="n">
        <f aca="false">STDEV(C307:C318)</f>
        <v>4.04402973217702</v>
      </c>
    </row>
    <row r="319" customFormat="false" ht="15" hidden="false" customHeight="false" outlineLevel="0" collapsed="false">
      <c r="A319" s="5" t="s">
        <v>340</v>
      </c>
      <c r="B319" s="5" t="n">
        <v>1276.40454545455</v>
      </c>
      <c r="C319" s="5" t="n">
        <f aca="false">LN(B319/B318)*100</f>
        <v>1.34137445694357</v>
      </c>
      <c r="D319" s="5" t="n">
        <f aca="false">STDEV(C317:C319)</f>
        <v>0.971933648729405</v>
      </c>
      <c r="E319" s="5" t="n">
        <f aca="false">STDEV(C308:C319)</f>
        <v>4.00632130407045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4.66250637301031</v>
      </c>
      <c r="D320" s="5" t="n">
        <f aca="false">STDEV(C318:C320)</f>
        <v>1.90925804551366</v>
      </c>
      <c r="E320" s="5" t="n">
        <f aca="false">STDEV(C309:C320)</f>
        <v>3.81140438272539</v>
      </c>
    </row>
    <row r="321" customFormat="false" ht="15" hidden="false" customHeight="false" outlineLevel="0" collapsed="false">
      <c r="A321" s="5" t="s">
        <v>342</v>
      </c>
      <c r="B321" s="5" t="n">
        <v>1341.08863636364</v>
      </c>
      <c r="C321" s="5" t="n">
        <f aca="false">LN(B321/B320)*100</f>
        <v>0.280945903114839</v>
      </c>
      <c r="D321" s="5" t="n">
        <f aca="false">STDEV(C319:C321)</f>
        <v>2.28591695945132</v>
      </c>
      <c r="E321" s="5" t="n">
        <f aca="false">STDEV(C310:C321)</f>
        <v>3.74814592984083</v>
      </c>
    </row>
    <row r="322" customFormat="false" ht="15" hidden="false" customHeight="false" outlineLevel="0" collapsed="false">
      <c r="A322" s="5" t="s">
        <v>343</v>
      </c>
      <c r="B322" s="5" t="n">
        <v>1326.02954545455</v>
      </c>
      <c r="C322" s="5" t="n">
        <f aca="false">LN(B322/B321)*100</f>
        <v>-1.12925261735985</v>
      </c>
      <c r="D322" s="5" t="n">
        <f aca="false">STDEV(C320:C322)</f>
        <v>3.02024293231061</v>
      </c>
      <c r="E322" s="5" t="n">
        <f aca="false">STDEV(C311:C322)</f>
        <v>3.81983661062055</v>
      </c>
    </row>
    <row r="323" customFormat="false" ht="15" hidden="false" customHeight="false" outlineLevel="0" collapsed="false">
      <c r="A323" s="5" t="s">
        <v>344</v>
      </c>
      <c r="B323" s="5" t="n">
        <v>1266.56904761905</v>
      </c>
      <c r="C323" s="5" t="n">
        <f aca="false">LN(B323/B322)*100</f>
        <v>-4.58774657301748</v>
      </c>
      <c r="D323" s="5" t="n">
        <f aca="false">STDEV(C321:C323)</f>
        <v>2.50512829796589</v>
      </c>
      <c r="E323" s="5" t="n">
        <f aca="false">STDEV(C312:C323)</f>
        <v>4.13864822048989</v>
      </c>
    </row>
    <row r="324" customFormat="false" ht="15" hidden="false" customHeight="false" outlineLevel="0" collapsed="false">
      <c r="A324" s="5" t="s">
        <v>345</v>
      </c>
      <c r="B324" s="5" t="n">
        <v>1235.97954545455</v>
      </c>
      <c r="C324" s="5" t="n">
        <f aca="false">LN(B324/B323)*100</f>
        <v>-2.44478975116254</v>
      </c>
      <c r="D324" s="5" t="n">
        <f aca="false">STDEV(C322:C324)</f>
        <v>1.74566521857566</v>
      </c>
      <c r="E324" s="5" t="n">
        <f aca="false">STDEV(C313:C324)</f>
        <v>3.61763502798746</v>
      </c>
    </row>
    <row r="325" customFormat="false" ht="15" hidden="false" customHeight="false" outlineLevel="0" collapsed="false">
      <c r="A325" s="5" t="s">
        <v>346</v>
      </c>
      <c r="B325" s="5" t="n">
        <v>1151.40277777778</v>
      </c>
      <c r="C325" s="5" t="n">
        <f aca="false">LN(B325/B324)*100</f>
        <v>-7.08828041349508</v>
      </c>
      <c r="D325" s="5" t="n">
        <f aca="false">STDEV(C323:C325)</f>
        <v>2.32403883210808</v>
      </c>
      <c r="E325" s="5" t="n">
        <f aca="false">STDEV(C314:C325)</f>
        <v>4.27360962391864</v>
      </c>
    </row>
    <row r="326" customFormat="false" ht="15" hidden="false" customHeight="false" outlineLevel="0" collapsed="false">
      <c r="A326" s="5" t="s">
        <v>347</v>
      </c>
      <c r="B326" s="5" t="n">
        <v>1192.61666666667</v>
      </c>
      <c r="C326" s="5" t="n">
        <f aca="false">LN(B326/B325)*100</f>
        <v>3.51687668990793</v>
      </c>
      <c r="D326" s="5" t="n">
        <f aca="false">STDEV(C324:C326)</f>
        <v>5.31621465383053</v>
      </c>
      <c r="E326" s="5" t="n">
        <f aca="false">STDEV(C315:C326)</f>
        <v>4.31640413912773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3.44008191139667</v>
      </c>
      <c r="D327" s="5" t="n">
        <f aca="false">STDEV(C325:C327)</f>
        <v>6.10084239907444</v>
      </c>
      <c r="E327" s="5" t="n">
        <f aca="false">STDEV(C316:C327)</f>
        <v>3.594067261689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-0.264781062360534</v>
      </c>
      <c r="D328" s="5" t="n">
        <f aca="false">STDEV(C326:C328)</f>
        <v>2.16151345310085</v>
      </c>
      <c r="E328" s="5" t="n">
        <f aca="false">STDEV(C317:C328)</f>
        <v>3.41508830129151</v>
      </c>
    </row>
    <row r="329" customFormat="false" ht="15" hidden="false" customHeight="false" outlineLevel="0" collapsed="false">
      <c r="A329" s="5" t="s">
        <v>350</v>
      </c>
      <c r="B329" s="5" t="n">
        <v>1265.62777777778</v>
      </c>
      <c r="C329" s="5" t="n">
        <f aca="false">LN(B329/B328)*100</f>
        <v>2.76654849296817</v>
      </c>
      <c r="D329" s="5" t="n">
        <f aca="false">STDEV(C327:C329)</f>
        <v>1.97351698721962</v>
      </c>
      <c r="E329" s="5" t="n">
        <f aca="false">STDEV(C318:C329)</f>
        <v>3.51198511647019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-1.64289113652801</v>
      </c>
      <c r="D330" s="5" t="n">
        <f aca="false">STDEV(C328:C330)</f>
        <v>2.25578161235016</v>
      </c>
      <c r="E330" s="5" t="n">
        <f aca="false">STDEV(C319:C330)</f>
        <v>3.52492435998031</v>
      </c>
    </row>
    <row r="331" customFormat="false" ht="15" hidden="false" customHeight="false" outlineLevel="0" collapsed="false">
      <c r="A331" s="5" t="s">
        <v>352</v>
      </c>
      <c r="B331" s="5" t="n">
        <v>1260.25681818182</v>
      </c>
      <c r="C331" s="5" t="n">
        <f aca="false">LN(B331/B330)*100</f>
        <v>1.21761694154722</v>
      </c>
      <c r="D331" s="5" t="n">
        <f aca="false">STDEV(C329:C331)</f>
        <v>2.23699401213222</v>
      </c>
      <c r="E331" s="5" t="n">
        <f aca="false">STDEV(C320:C331)</f>
        <v>3.52051559319287</v>
      </c>
    </row>
    <row r="332" customFormat="false" ht="15" hidden="false" customHeight="false" outlineLevel="0" collapsed="false">
      <c r="A332" s="5" t="s">
        <v>353</v>
      </c>
      <c r="B332" s="5" t="n">
        <v>1236.22142857143</v>
      </c>
      <c r="C332" s="5" t="n">
        <f aca="false">LN(B332/B331)*100</f>
        <v>-1.9256031828122</v>
      </c>
      <c r="D332" s="5" t="n">
        <f aca="false">STDEV(C330:C332)</f>
        <v>1.73888207938443</v>
      </c>
      <c r="E332" s="5" t="n">
        <f aca="false">STDEV(C321:C332)</f>
        <v>3.20919731431474</v>
      </c>
    </row>
    <row r="333" customFormat="false" ht="15" hidden="false" customHeight="false" outlineLevel="0" collapsed="false">
      <c r="A333" s="5" t="s">
        <v>354</v>
      </c>
      <c r="B333" s="5" t="n">
        <v>1282.31590909091</v>
      </c>
      <c r="C333" s="5" t="n">
        <f aca="false">LN(B333/B332)*100</f>
        <v>3.66082547701744</v>
      </c>
      <c r="D333" s="5" t="n">
        <f aca="false">STDEV(C331:C333)</f>
        <v>2.80051441314325</v>
      </c>
      <c r="E333" s="5" t="n">
        <f aca="false">STDEV(C322:C333)</f>
        <v>3.43891537941795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2.51526229153909</v>
      </c>
      <c r="D334" s="5" t="n">
        <f aca="false">STDEV(C332:C334)</f>
        <v>2.95075657938137</v>
      </c>
      <c r="E334" s="5" t="n">
        <f aca="false">STDEV(C323:C334)</f>
        <v>3.5259308633426</v>
      </c>
    </row>
    <row r="335" customFormat="false" ht="15" hidden="false" customHeight="false" outlineLevel="0" collapsed="false">
      <c r="A335" s="5" t="s">
        <v>356</v>
      </c>
      <c r="B335" s="5" t="n">
        <v>1279.51363636364</v>
      </c>
      <c r="C335" s="5" t="n">
        <f aca="false">LN(B335/B334)*100</f>
        <v>-2.73403358722534</v>
      </c>
      <c r="D335" s="5" t="n">
        <f aca="false">STDEV(C333:C335)</f>
        <v>3.40983002230963</v>
      </c>
      <c r="E335" s="5" t="n">
        <f aca="false">STDEV(C324:C335)</f>
        <v>3.34601249368336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0.216289958883679</v>
      </c>
      <c r="D336" s="5" t="n">
        <f aca="false">STDEV(C334:C336)</f>
        <v>2.63137448354321</v>
      </c>
      <c r="E336" s="5" t="n">
        <f aca="false">STDEV(C325:C336)</f>
        <v>3.24992991820383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1.49265271366753</v>
      </c>
      <c r="E337" s="5" t="n">
        <f aca="false">STDEV(C326:C337)</f>
        <v>2.39089137041953</v>
      </c>
    </row>
    <row r="338" customFormat="false" ht="15" hidden="false" customHeight="false" outlineLevel="0" collapsed="false">
      <c r="A338" s="5" t="s">
        <v>359</v>
      </c>
      <c r="B338" s="5" t="n">
        <v>1331.66590909091</v>
      </c>
      <c r="C338" s="5" t="n">
        <f aca="false">LN(B338/B337)*100</f>
        <v>5.43227650750383</v>
      </c>
      <c r="D338" s="5" t="n">
        <f aca="false">STDEV(C336:C338)</f>
        <v>3.67221136680876</v>
      </c>
      <c r="E338" s="5" t="n">
        <f aca="false">STDEV(C327:C338)</f>
        <v>2.64242275098844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-0.0105819744697569</v>
      </c>
      <c r="D339" s="5" t="n">
        <f aca="false">STDEV(C337:C339)</f>
        <v>3.70882004821058</v>
      </c>
      <c r="E339" s="5" t="n">
        <f aca="false">STDEV(C328:C339)</f>
        <v>2.5284282648129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-0.517123606613858</v>
      </c>
      <c r="D340" s="5" t="n">
        <f aca="false">STDEV(C338:C340)</f>
        <v>3.29839998074194</v>
      </c>
      <c r="E340" s="5" t="n">
        <f aca="false">STDEV(C329:C340)</f>
        <v>2.53759246161437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0.758285048418934</v>
      </c>
      <c r="D341" s="5" t="n">
        <f aca="false">STDEV(C339:C341)</f>
        <v>0.642184833376586</v>
      </c>
      <c r="E341" s="5" t="n">
        <f aca="false">STDEV(C330:C341)</f>
        <v>2.44707668315188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1.59134145431296</v>
      </c>
      <c r="E342" s="5" t="n">
        <f aca="false">STDEV(C331:C342)</f>
        <v>2.51505084994589</v>
      </c>
    </row>
    <row r="343" customFormat="false" ht="15" hidden="false" customHeight="false" outlineLevel="0" collapsed="false">
      <c r="A343" s="5" t="s">
        <v>364</v>
      </c>
      <c r="B343" s="5" t="n">
        <v>1281.56666666667</v>
      </c>
      <c r="C343" s="5" t="n">
        <f aca="false">LN(B343/B342)*100</f>
        <v>-1.66061102374304</v>
      </c>
      <c r="D343" s="5" t="n">
        <f aca="false">STDEV(C341:C343)</f>
        <v>1.65374793701547</v>
      </c>
      <c r="E343" s="5" t="n">
        <f aca="false">STDEV(C332:C343)</f>
        <v>2.56462000793828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-3.41621323864244</v>
      </c>
      <c r="D344" s="5" t="n">
        <f aca="false">STDEV(C342:C344)</f>
        <v>0.881188614784305</v>
      </c>
      <c r="E344" s="5" t="n">
        <f aca="false">STDEV(C333:C344)</f>
        <v>2.70595318446726</v>
      </c>
    </row>
    <row r="345" customFormat="false" ht="15" hidden="false" customHeight="false" outlineLevel="0" collapsed="false">
      <c r="A345" s="5" t="s">
        <v>366</v>
      </c>
      <c r="B345" s="5" t="n">
        <v>1201.24545454546</v>
      </c>
      <c r="C345" s="5" t="n">
        <f aca="false">LN(B345/B344)*100</f>
        <v>-3.05622580940472</v>
      </c>
      <c r="D345" s="5" t="n">
        <f aca="false">STDEV(C343:C345)</f>
        <v>0.92731428653993</v>
      </c>
      <c r="E345" s="5" t="n">
        <f aca="false">STDEV(C334:C345)</f>
        <v>2.57490332811109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-0.231106807731841</v>
      </c>
      <c r="D346" s="5" t="n">
        <f aca="false">STDEV(C344:C346)</f>
        <v>1.74431415839437</v>
      </c>
      <c r="E346" s="5" t="n">
        <f aca="false">STDEV(C335:C346)</f>
        <v>2.39393835302585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1.40200455040501</v>
      </c>
      <c r="D347" s="5" t="n">
        <f aca="false">STDEV(C345:C347)</f>
        <v>2.25551797535207</v>
      </c>
      <c r="E347" s="5" t="n">
        <f aca="false">STDEV(C336:C347)</f>
        <v>2.38366864197257</v>
      </c>
    </row>
    <row r="348" customFormat="false" ht="15" hidden="false" customHeight="false" outlineLevel="0" collapsed="false">
      <c r="A348" s="5" t="s">
        <v>369</v>
      </c>
      <c r="B348" s="5" t="n">
        <v>1220.94545454546</v>
      </c>
      <c r="C348" s="5" t="n">
        <f aca="false">LN(B348/B347)*100</f>
        <v>0.455764657401297</v>
      </c>
      <c r="D348" s="5" t="n">
        <f aca="false">STDEV(C346:C348)</f>
        <v>0.819981204337577</v>
      </c>
      <c r="E348" s="5" t="n">
        <f aca="false">STDEV(C337:C348)</f>
        <v>2.39054953230255</v>
      </c>
    </row>
    <row r="349" customFormat="false" ht="15" hidden="false" customHeight="false" outlineLevel="0" collapsed="false">
      <c r="A349" s="5" t="s">
        <v>370</v>
      </c>
      <c r="B349" s="5" t="n">
        <v>1247.92352941177</v>
      </c>
      <c r="C349" s="5" t="n">
        <f aca="false">LN(B349/B348)*100</f>
        <v>2.18554722013082</v>
      </c>
      <c r="D349" s="5" t="n">
        <f aca="false">STDEV(C347:C349)</f>
        <v>0.866165569691678</v>
      </c>
      <c r="E349" s="5" t="n">
        <f aca="false">STDEV(C338:C349)</f>
        <v>2.46452475598152</v>
      </c>
    </row>
    <row r="350" customFormat="false" ht="15" hidden="false" customHeight="false" outlineLevel="0" collapsed="false">
      <c r="A350" s="5" t="s">
        <v>371</v>
      </c>
      <c r="B350" s="5" t="n">
        <v>1291.74545454546</v>
      </c>
      <c r="C350" s="5" t="n">
        <f aca="false">LN(B350/B349)*100</f>
        <v>3.45133757843315</v>
      </c>
      <c r="D350" s="5" t="n">
        <f aca="false">STDEV(C348:C350)</f>
        <v>1.50376361566092</v>
      </c>
      <c r="E350" s="5" t="n">
        <f aca="false">STDEV(C339:C350)</f>
        <v>2.10058307984061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2.16866084657495</v>
      </c>
      <c r="D351" s="5" t="n">
        <f aca="false">STDEV(C349:C351)</f>
        <v>0.735727528735271</v>
      </c>
      <c r="E351" s="5" t="n">
        <f aca="false">STDEV(C340:C351)</f>
        <v>2.21461327801782</v>
      </c>
    </row>
    <row r="352" customFormat="false" ht="15" hidden="false" customHeight="false" outlineLevel="0" collapsed="false">
      <c r="A352" s="5" t="s">
        <v>373</v>
      </c>
      <c r="B352" s="5" t="n">
        <v>1300.89761904762</v>
      </c>
      <c r="C352" s="5" t="n">
        <f aca="false">LN(B352/B351)*100</f>
        <v>-1.46264754211982</v>
      </c>
      <c r="D352" s="5" t="n">
        <f aca="false">STDEV(C350:C352)</f>
        <v>2.54882031461849</v>
      </c>
      <c r="E352" s="5" t="n">
        <f aca="false">STDEV(C341:C352)</f>
        <v>2.24845066075907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-1.117190221494</v>
      </c>
      <c r="D353" s="5" t="n">
        <f aca="false">STDEV(C351:C353)</f>
        <v>2.00426872016158</v>
      </c>
      <c r="E353" s="5" t="n">
        <f aca="false">STDEV(C342:C353)</f>
        <v>2.24469257611085</v>
      </c>
    </row>
    <row r="354" customFormat="false" ht="15" hidden="false" customHeight="false" outlineLevel="0" collapsed="false">
      <c r="A354" s="5" t="s">
        <v>375</v>
      </c>
      <c r="B354" s="5" t="n">
        <v>1283.94761904762</v>
      </c>
      <c r="C354" s="5" t="n">
        <f aca="false">LN(B354/B353)*100</f>
        <v>-0.194319087264342</v>
      </c>
      <c r="D354" s="5" t="n">
        <f aca="false">STDEV(C352:C354)</f>
        <v>0.655704323630244</v>
      </c>
      <c r="E354" s="5" t="n">
        <f aca="false">STDEV(C343:C354)</f>
        <v>2.145412741048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5.68409983734938</v>
      </c>
      <c r="D355" s="5" t="n">
        <f aca="false">STDEV(C353:C355)</f>
        <v>3.68928734419383</v>
      </c>
      <c r="E355" s="5" t="n">
        <f aca="false">STDEV(C344:C355)</f>
        <v>2.65419550139494</v>
      </c>
    </row>
    <row r="356" customFormat="false" ht="15" hidden="false" customHeight="false" outlineLevel="0" collapsed="false">
      <c r="A356" s="5" t="s">
        <v>377</v>
      </c>
      <c r="B356" s="5" t="n">
        <v>1412.97826086957</v>
      </c>
      <c r="C356" s="5" t="n">
        <f aca="false">LN(B356/B355)*100</f>
        <v>3.89193108204006</v>
      </c>
      <c r="D356" s="5" t="n">
        <f aca="false">STDEV(C354:C356)</f>
        <v>3.0128922523854</v>
      </c>
      <c r="E356" s="5" t="n">
        <f aca="false">STDEV(C345:C356)</f>
        <v>2.51122403772536</v>
      </c>
    </row>
    <row r="357" customFormat="false" ht="15" hidden="false" customHeight="false" outlineLevel="0" collapsed="false">
      <c r="A357" s="5" t="s">
        <v>378</v>
      </c>
      <c r="B357" s="5" t="n">
        <v>1498.79761904762</v>
      </c>
      <c r="C357" s="5" t="n">
        <f aca="false">LN(B357/B356)*100</f>
        <v>5.89634808684215</v>
      </c>
      <c r="D357" s="5" t="n">
        <f aca="false">STDEV(C355:C357)</f>
        <v>1.10110593617353</v>
      </c>
      <c r="E357" s="5" t="n">
        <f aca="false">STDEV(C346:C357)</f>
        <v>2.49460221035297</v>
      </c>
    </row>
    <row r="358" customFormat="false" ht="15" hidden="false" customHeight="false" outlineLevel="0" collapsed="false">
      <c r="A358" s="5" t="s">
        <v>379</v>
      </c>
      <c r="B358" s="5" t="n">
        <v>1511.31428571429</v>
      </c>
      <c r="C358" s="5" t="n">
        <f aca="false">LN(B358/B357)*100</f>
        <v>0.831646078551191</v>
      </c>
      <c r="D358" s="5" t="n">
        <f aca="false">STDEV(C356:C358)</f>
        <v>2.55062862397048</v>
      </c>
      <c r="E358" s="5" t="n">
        <f aca="false">STDEV(C347:C358)</f>
        <v>2.43231433949237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-1.09872415200084</v>
      </c>
      <c r="D359" s="5" t="n">
        <f aca="false">STDEV(C357:C359)</f>
        <v>3.61267609228071</v>
      </c>
      <c r="E359" s="5" t="n">
        <f aca="false">STDEV(C348:C359)</f>
        <v>2.58430169245569</v>
      </c>
    </row>
    <row r="360" customFormat="false" ht="15" hidden="false" customHeight="false" outlineLevel="0" collapsed="false">
      <c r="A360" s="5" t="s">
        <v>381</v>
      </c>
      <c r="B360" s="5" t="n">
        <v>1470.01666666667</v>
      </c>
      <c r="C360" s="5" t="n">
        <f aca="false">LN(B360/B359)*100</f>
        <v>-1.67186800343389</v>
      </c>
      <c r="D360" s="5" t="n">
        <f aca="false">STDEV(C358:C360)</f>
        <v>1.31164056688145</v>
      </c>
      <c r="E360" s="5" t="n">
        <f aca="false">STDEV(C349:C360)</f>
        <v>2.74710774706454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0.409209854231334</v>
      </c>
      <c r="D361" s="5" t="n">
        <f aca="false">STDEV(C359:C361)</f>
        <v>1.07496076604772</v>
      </c>
      <c r="E361" s="5" t="n">
        <f aca="false">STDEV(C350:C361)</f>
        <v>2.75741529143565</v>
      </c>
    </row>
    <row r="362" customFormat="false" ht="15" hidden="false" customHeight="false" outlineLevel="0" collapsed="false">
      <c r="A362" s="5" t="s">
        <v>383</v>
      </c>
      <c r="B362" s="5" t="n">
        <v>1560.67272727273</v>
      </c>
      <c r="C362" s="5" t="n">
        <f aca="false">LN(B362/B361)*100</f>
        <v>5.57511266002387</v>
      </c>
      <c r="D362" s="5" t="n">
        <f aca="false">STDEV(C360:C362)</f>
        <v>3.73131267306584</v>
      </c>
      <c r="E362" s="5" t="n">
        <f aca="false">STDEV(C351:C362)</f>
        <v>2.9617027898532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2.30740862786701</v>
      </c>
      <c r="D363" s="5" t="n">
        <f aca="false">STDEV(C361:C363)</f>
        <v>2.61303144594235</v>
      </c>
      <c r="E363" s="5" t="n">
        <f aca="false">STDEV(C352:C363)</f>
        <v>2.96449626299641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-0.324564659763777</v>
      </c>
      <c r="D364" s="5" t="n">
        <f aca="false">STDEV(C362:C364)</f>
        <v>2.95554184277021</v>
      </c>
      <c r="E364" s="5" t="n">
        <f aca="false">STDEV(C353:C364)</f>
        <v>2.87489261707637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5.55909185307105</v>
      </c>
      <c r="D365" s="5" t="n">
        <f aca="false">STDEV(C363:C365)</f>
        <v>2.94726260409268</v>
      </c>
      <c r="E365" s="5" t="n">
        <f aca="false">STDEV(C354:C365)</f>
        <v>2.92934059405644</v>
      </c>
    </row>
    <row r="366" customFormat="false" ht="15" hidden="false" customHeight="false" outlineLevel="0" collapsed="false">
      <c r="A366" s="5" t="s">
        <v>387</v>
      </c>
      <c r="B366" s="5" t="n">
        <v>1716.38157894737</v>
      </c>
      <c r="C366" s="5" t="n">
        <f aca="false">LN(B366/B365)*100</f>
        <v>1.9682019751056</v>
      </c>
      <c r="D366" s="5" t="n">
        <f aca="false">STDEV(C364:C366)</f>
        <v>2.9655995155187</v>
      </c>
      <c r="E366" s="5" t="n">
        <f aca="false">STDEV(C355:C366)</f>
        <v>2.83091582151984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0.918443153302016</v>
      </c>
      <c r="D367" s="5" t="n">
        <f aca="false">STDEV(C365:C367)</f>
        <v>2.43351953811406</v>
      </c>
      <c r="E367" s="5" t="n">
        <f aca="false">STDEV(C356:C367)</f>
        <v>2.66036589662702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6.21617464176803</v>
      </c>
      <c r="D368" s="5" t="n">
        <f aca="false">STDEV(C366:C368)</f>
        <v>2.80515074712423</v>
      </c>
      <c r="E368" s="5" t="n">
        <f aca="false">STDEV(C357:C368)</f>
        <v>2.88409399437957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6.5469006691326</v>
      </c>
      <c r="D369" s="5" t="n">
        <f aca="false">STDEV(C367:C369)</f>
        <v>3.15845090291033</v>
      </c>
      <c r="E369" s="5" t="n">
        <f aca="false">STDEV(C358:C369)</f>
        <v>2.96456418216811</v>
      </c>
    </row>
    <row r="370" customFormat="false" ht="15" hidden="false" customHeight="false" outlineLevel="0" collapsed="false">
      <c r="A370" s="5" t="s">
        <v>391</v>
      </c>
      <c r="B370" s="5" t="n">
        <v>1922.21363636364</v>
      </c>
      <c r="C370" s="5" t="n">
        <f aca="false">LN(B370/B369)*100</f>
        <v>-2.35560688163261</v>
      </c>
      <c r="D370" s="5" t="n">
        <f aca="false">STDEV(C368:C370)</f>
        <v>5.0471024506067</v>
      </c>
      <c r="E370" s="5" t="n">
        <f aca="false">STDEV(C359:C370)</f>
        <v>3.23551739578106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-1.14788449847701</v>
      </c>
      <c r="D371" s="5" t="n">
        <f aca="false">STDEV(C369:C371)</f>
        <v>4.82912954236875</v>
      </c>
      <c r="E371" s="5" t="n">
        <f aca="false">STDEV(C360:C371)</f>
        <v>3.23983154609598</v>
      </c>
    </row>
    <row r="372" customFormat="false" ht="15" hidden="false" customHeight="false" outlineLevel="0" collapsed="false">
      <c r="A372" s="5" t="s">
        <v>393</v>
      </c>
      <c r="B372" s="5" t="n">
        <v>1863.49285714286</v>
      </c>
      <c r="C372" s="5" t="n">
        <f aca="false">LN(B372/B371)*100</f>
        <v>-1.95460056443831</v>
      </c>
      <c r="D372" s="5" t="n">
        <f aca="false">STDEV(C370:C372)</f>
        <v>0.615113842076527</v>
      </c>
      <c r="E372" s="5" t="n">
        <f aca="false">STDEV(C361:C372)</f>
        <v>3.26985142308278</v>
      </c>
    </row>
    <row r="373" customFormat="false" ht="15" hidden="false" customHeight="false" outlineLevel="0" collapsed="false">
      <c r="A373" s="5" t="s">
        <v>394</v>
      </c>
      <c r="B373" s="5" t="n">
        <v>1855.9552631579</v>
      </c>
      <c r="C373" s="5" t="n">
        <f aca="false">LN(B373/B372)*100</f>
        <v>-0.405307672524192</v>
      </c>
      <c r="D373" s="5" t="n">
        <f aca="false">STDEV(C371:C373)</f>
        <v>0.77486768961523</v>
      </c>
      <c r="E373" s="5" t="n">
        <f aca="false">STDEV(C362:C373)</f>
        <v>3.31350568373188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0.592530007620871</v>
      </c>
      <c r="D374" s="5" t="n">
        <f aca="false">STDEV(C372:C374)</f>
        <v>1.28347592186034</v>
      </c>
      <c r="E374" s="5" t="n">
        <f aca="false">STDEV(C363:C374)</f>
        <v>3.11874888454669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1.96630802577809</v>
      </c>
      <c r="E375" s="5" t="n">
        <f aca="false">STDEV(C364:C375)</f>
        <v>3.38225363118655</v>
      </c>
    </row>
    <row r="376" customFormat="false" ht="15" hidden="false" customHeight="false" outlineLevel="0" collapsed="false">
      <c r="A376" s="5" t="s">
        <v>397</v>
      </c>
      <c r="B376" s="5" t="n">
        <v>1718.22826086957</v>
      </c>
      <c r="C376" s="5" t="n">
        <f aca="false">LN(B376/B375)*100</f>
        <v>-5.10243702836919</v>
      </c>
      <c r="D376" s="5" t="n">
        <f aca="false">STDEV(C374:C376)</f>
        <v>2.89936097219476</v>
      </c>
      <c r="E376" s="5" t="n">
        <f aca="false">STDEV(C365:C376)</f>
        <v>3.81084101031173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2.49728010771984</v>
      </c>
      <c r="D377" s="5" t="n">
        <f aca="false">STDEV(C375:C377)</f>
        <v>3.95472534341777</v>
      </c>
      <c r="E377" s="5" t="n">
        <f aca="false">STDEV(C366:C377)</f>
        <v>3.54446239232859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5.3384267051457</v>
      </c>
      <c r="E378" s="5" t="n">
        <f aca="false">STDEV(C367:C378)</f>
        <v>3.78940262003937</v>
      </c>
    </row>
    <row r="379" customFormat="false" ht="15" hidden="false" customHeight="false" outlineLevel="0" collapsed="false">
      <c r="A379" s="5" t="s">
        <v>400</v>
      </c>
      <c r="B379" s="5" t="n">
        <v>1834.56590909091</v>
      </c>
      <c r="C379" s="5" t="n">
        <f aca="false">LN(B379/B378)*100</f>
        <v>-1.13786455751452</v>
      </c>
      <c r="D379" s="5" t="n">
        <f aca="false">STDEV(C377:C379)</f>
        <v>3.17655685068396</v>
      </c>
      <c r="E379" s="5" t="n">
        <f aca="false">STDEV(C368:C379)</f>
        <v>3.82249603788663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-1.50883142996068</v>
      </c>
      <c r="D380" s="5" t="n">
        <f aca="false">STDEV(C378:C380)</f>
        <v>3.76621146079429</v>
      </c>
      <c r="E380" s="5" t="n">
        <f aca="false">STDEV(C369:C380)</f>
        <v>3.39491489932213</v>
      </c>
    </row>
    <row r="381" customFormat="false" ht="15" hidden="false" customHeight="false" outlineLevel="0" collapsed="false">
      <c r="A381" s="5" t="s">
        <v>402</v>
      </c>
      <c r="B381" s="5" t="n">
        <v>1783.96904761905</v>
      </c>
      <c r="C381" s="5" t="n">
        <f aca="false">LN(B381/B380)*100</f>
        <v>-1.28788934004685</v>
      </c>
      <c r="D381" s="5" t="n">
        <f aca="false">STDEV(C379:C381)</f>
        <v>0.186609781327172</v>
      </c>
      <c r="E381" s="5" t="n">
        <f aca="false">STDEV(C370:C381)</f>
        <v>2.66065597455857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-0.377217940261276</v>
      </c>
      <c r="D382" s="5" t="n">
        <f aca="false">STDEV(C380:C382)</f>
        <v>0.599817596656484</v>
      </c>
      <c r="E382" s="5" t="n">
        <f aca="false">STDEV(C371:C382)</f>
        <v>2.61768392796774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-0.0223690969515049</v>
      </c>
      <c r="D383" s="5" t="n">
        <f aca="false">STDEV(C381:C383)</f>
        <v>0.65278653806455</v>
      </c>
      <c r="E383" s="5" t="n">
        <f aca="false">STDEV(C372:C383)</f>
        <v>2.61851967480674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</v>
      </c>
      <c r="D384" s="5" t="n">
        <f aca="false">STDEV(C382:C384)</f>
        <v>1.51833907676341</v>
      </c>
      <c r="E384" s="5" t="n">
        <f aca="false">STDEV(C373:C384)</f>
        <v>2.70888827316474</v>
      </c>
    </row>
    <row r="385" customFormat="false" ht="15" hidden="false" customHeight="false" outlineLevel="0" collapsed="false">
      <c r="A385" s="5" t="s">
        <v>406</v>
      </c>
      <c r="B385" s="5" t="n">
        <v>1786.65263157895</v>
      </c>
      <c r="C385" s="5" t="n">
        <f aca="false">LN(B385/B384)*100</f>
        <v>-1.86212832721031</v>
      </c>
      <c r="D385" s="5" t="n">
        <f aca="false">STDEV(C383:C385)</f>
        <v>2.14396218612364</v>
      </c>
      <c r="E385" s="5" t="n">
        <f aca="false">STDEV(C374:C385)</f>
        <v>2.75144482864366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1.67136160583168</v>
      </c>
      <c r="D386" s="5" t="n">
        <f aca="false">STDEV(C384:C386)</f>
        <v>2.28409612812791</v>
      </c>
      <c r="E386" s="5" t="n">
        <f aca="false">STDEV(C375:C386)</f>
        <v>2.80104793078079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2.19219800701408</v>
      </c>
      <c r="E387" s="5" t="n">
        <f aca="false">STDEV(C376:C387)</f>
        <v>2.70921440355661</v>
      </c>
    </row>
    <row r="388" customFormat="false" ht="15" hidden="false" customHeight="false" outlineLevel="0" collapsed="false">
      <c r="A388" s="5" t="s">
        <v>409</v>
      </c>
      <c r="B388" s="5" t="n">
        <v>1947.82826086957</v>
      </c>
      <c r="C388" s="5" t="n">
        <f aca="false">LN(B388/B387)*100</f>
        <v>4.81324738633231</v>
      </c>
      <c r="D388" s="5" t="n">
        <f aca="false">STDEV(C386:C388)</f>
        <v>1.69226009205591</v>
      </c>
      <c r="E388" s="5" t="n">
        <f aca="false">STDEV(C377:C388)</f>
        <v>2.43715269021387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-0.717635017647962</v>
      </c>
      <c r="D389" s="5" t="n">
        <f aca="false">STDEV(C387:C389)</f>
        <v>2.76610185435231</v>
      </c>
      <c r="E389" s="5" t="n">
        <f aca="false">STDEV(C378:C389)</f>
        <v>2.43971772242722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-4.44432263517925</v>
      </c>
      <c r="D390" s="5" t="n">
        <f aca="false">STDEV(C388:C390)</f>
        <v>4.6579942655702</v>
      </c>
      <c r="E390" s="5" t="n">
        <f aca="false">STDEV(C379:C390)</f>
        <v>2.44040459443245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-0.6926768510052</v>
      </c>
      <c r="D391" s="5" t="n">
        <f aca="false">STDEV(C389:C391)</f>
        <v>2.15884496890714</v>
      </c>
      <c r="E391" s="5" t="n">
        <f aca="false">STDEV(C380:C391)</f>
        <v>2.42529857633875</v>
      </c>
    </row>
    <row r="392" customFormat="false" ht="15" hidden="false" customHeight="false" outlineLevel="0" collapsed="false">
      <c r="A392" s="5" t="s">
        <v>413</v>
      </c>
      <c r="B392" s="5" t="n">
        <v>1737.38047619048</v>
      </c>
      <c r="C392" s="5" t="n">
        <f aca="false">LN(B392/B391)*100</f>
        <v>-5.57901891153891</v>
      </c>
      <c r="D392" s="5" t="n">
        <f aca="false">STDEV(C390:C392)</f>
        <v>2.55730067525755</v>
      </c>
      <c r="E392" s="5" t="n">
        <f aca="false">STDEV(C381:C392)</f>
        <v>2.89613317892464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1.52806243477539</v>
      </c>
      <c r="D393" s="5" t="n">
        <f aca="false">STDEV(C391:C393)</f>
        <v>3.63590032342011</v>
      </c>
      <c r="E393" s="5" t="n">
        <f aca="false">STDEV(C382:C393)</f>
        <v>2.92520946365903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-4.69575253361289</v>
      </c>
      <c r="D394" s="5" t="n">
        <f aca="false">STDEV(C392:C394)</f>
        <v>3.87355645194088</v>
      </c>
      <c r="E394" s="5" t="n">
        <f aca="false">STDEV(C383:C394)</f>
        <v>3.2146569030931</v>
      </c>
    </row>
    <row r="395" customFormat="false" ht="15" hidden="false" customHeight="false" outlineLevel="0" collapsed="false">
      <c r="A395" s="5" t="s">
        <v>416</v>
      </c>
      <c r="B395" s="5" t="n">
        <v>1666.62666666667</v>
      </c>
      <c r="C395" s="5" t="n">
        <f aca="false">LN(B395/B394)*100</f>
        <v>-0.989998094252094</v>
      </c>
      <c r="D395" s="5" t="n">
        <f aca="false">STDEV(C393:C395)</f>
        <v>3.13073786705899</v>
      </c>
      <c r="E395" s="5" t="n">
        <f aca="false">STDEV(C384:C395)</f>
        <v>3.21500736969375</v>
      </c>
    </row>
    <row r="396" customFormat="false" ht="15" hidden="false" customHeight="false" outlineLevel="0" collapsed="false">
      <c r="A396" s="5" t="s">
        <v>417</v>
      </c>
      <c r="B396" s="5" t="n">
        <v>1727.89863636364</v>
      </c>
      <c r="C396" s="5" t="n">
        <f aca="false">LN(B396/B395)*100</f>
        <v>3.61043856715563</v>
      </c>
      <c r="D396" s="5" t="n">
        <f aca="false">STDEV(C394:C396)</f>
        <v>4.16111852036109</v>
      </c>
      <c r="E396" s="5" t="n">
        <f aca="false">STDEV(C385:C396)</f>
        <v>3.33133684709544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3.94397191119324</v>
      </c>
      <c r="D397" s="5" t="n">
        <f aca="false">STDEV(C395:C397)</f>
        <v>2.75739375684853</v>
      </c>
      <c r="E397" s="5" t="n">
        <f aca="false">STDEV(C386:C397)</f>
        <v>3.5212560944766</v>
      </c>
    </row>
    <row r="398" customFormat="false" ht="15" hidden="false" customHeight="false" outlineLevel="0" collapsed="false">
      <c r="A398" s="5" t="s">
        <v>419</v>
      </c>
      <c r="B398" s="5" t="n">
        <v>1896.05954545455</v>
      </c>
      <c r="C398" s="5" t="n">
        <f aca="false">LN(B398/B397)*100</f>
        <v>5.34320809086586</v>
      </c>
      <c r="D398" s="5" t="n">
        <f aca="false">STDEV(C396:C398)</f>
        <v>0.919383543503355</v>
      </c>
      <c r="E398" s="5" t="n">
        <f aca="false">STDEV(C387:C398)</f>
        <v>3.82167590064319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-2.27511630710358</v>
      </c>
      <c r="D399" s="5" t="n">
        <f aca="false">STDEV(C397:C399)</f>
        <v>4.05532133511348</v>
      </c>
      <c r="E399" s="5" t="n">
        <f aca="false">STDEV(C388:C399)</f>
        <v>3.84611918717253</v>
      </c>
    </row>
    <row r="400" customFormat="false" ht="15" hidden="false" customHeight="false" outlineLevel="0" collapsed="false">
      <c r="A400" s="5" t="s">
        <v>421</v>
      </c>
      <c r="B400" s="5" t="n">
        <v>1913.64826086957</v>
      </c>
      <c r="C400" s="5" t="n">
        <f aca="false">LN(B400/B399)*100</f>
        <v>3.1984858293079</v>
      </c>
      <c r="D400" s="5" t="n">
        <f aca="false">STDEV(C398:C400)</f>
        <v>3.92850736199826</v>
      </c>
      <c r="E400" s="5" t="n">
        <f aca="false">STDEV(C389:C400)</f>
        <v>3.68686563266323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4.39699124297191</v>
      </c>
      <c r="D401" s="5" t="n">
        <f aca="false">STDEV(C399:C401)</f>
        <v>3.55700610846829</v>
      </c>
      <c r="E401" s="5" t="n">
        <f aca="false">STDEV(C390:C401)</f>
        <v>3.90419888241533</v>
      </c>
    </row>
    <row r="402" customFormat="false" ht="15" hidden="false" customHeight="false" outlineLevel="0" collapsed="false">
      <c r="A402" s="5" t="s">
        <v>423</v>
      </c>
      <c r="B402" s="5" t="n">
        <v>1989.82695652174</v>
      </c>
      <c r="C402" s="5" t="n">
        <f aca="false">LN(B402/B401)*100</f>
        <v>-0.493373838817169</v>
      </c>
      <c r="D402" s="5" t="n">
        <f aca="false">STDEV(C400:C402)</f>
        <v>2.54891851801545</v>
      </c>
      <c r="E402" s="5" t="n">
        <f aca="false">STDEV(C391:C402)</f>
        <v>3.62640397906045</v>
      </c>
    </row>
    <row r="403" customFormat="false" ht="15" hidden="false" customHeight="false" outlineLevel="0" collapsed="false">
      <c r="A403" s="5" t="s">
        <v>424</v>
      </c>
      <c r="B403" s="5" t="n">
        <v>1944.72863636364</v>
      </c>
      <c r="C403" s="5" t="n">
        <f aca="false">LN(B403/B402)*100</f>
        <v>-2.29252296760444</v>
      </c>
      <c r="D403" s="5" t="n">
        <f aca="false">STDEV(C401:C403)</f>
        <v>3.46174832019653</v>
      </c>
      <c r="E403" s="5" t="n">
        <f aca="false">STDEV(C392:C403)</f>
        <v>3.70707722849813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0.284537577152303</v>
      </c>
      <c r="D404" s="5" t="n">
        <f aca="false">STDEV(C402:C404)</f>
        <v>1.32182479991699</v>
      </c>
      <c r="E404" s="5" t="n">
        <f aca="false">STDEV(C393:C404)</f>
        <v>3.1864939386492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-1.60061556408238</v>
      </c>
      <c r="D405" s="5" t="n">
        <f aca="false">STDEV(C403:C405)</f>
        <v>1.33377779710475</v>
      </c>
      <c r="E405" s="5" t="n">
        <f aca="false">STDEV(C394:C405)</f>
        <v>3.26315267294562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-0.201704230783541</v>
      </c>
      <c r="D406" s="5" t="n">
        <f aca="false">STDEV(C404:C406)</f>
        <v>0.97870546983619</v>
      </c>
      <c r="E406" s="5" t="n">
        <f aca="false">STDEV(C395:C406)</f>
        <v>2.81429862970506</v>
      </c>
    </row>
    <row r="407" customFormat="false" ht="15" hidden="false" customHeight="false" outlineLevel="0" collapsed="false">
      <c r="A407" s="5" t="s">
        <v>428</v>
      </c>
      <c r="B407" s="5" t="n">
        <v>1913.98454545455</v>
      </c>
      <c r="C407" s="5" t="n">
        <f aca="false">LN(B407/B406)*100</f>
        <v>-0.0757408057538855</v>
      </c>
      <c r="D407" s="5" t="n">
        <f aca="false">STDEV(C405:C407)</f>
        <v>0.846370952111084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1985.77772727273</v>
      </c>
      <c r="C408" s="5" t="n">
        <f aca="false">LN(B408/B407)*100</f>
        <v>3.68234210342358</v>
      </c>
      <c r="D408" s="5" t="n">
        <f aca="false">STDEV(C406:C408)</f>
        <v>2.20699153687264</v>
      </c>
      <c r="E408" s="5" t="n">
        <f aca="false">STDEV(C397:C408)</f>
        <v>2.77108083373558</v>
      </c>
    </row>
    <row r="409" customFormat="false" ht="15" hidden="false" customHeight="false" outlineLevel="0" collapsed="false">
      <c r="A409" s="5" t="s">
        <v>430</v>
      </c>
      <c r="B409" s="5" t="n">
        <v>2034.70428571429</v>
      </c>
      <c r="C409" s="5" t="n">
        <f aca="false">LN(B409/B408)*100</f>
        <v>2.43398546328798</v>
      </c>
      <c r="D409" s="5" t="n">
        <f aca="false">STDEV(C407:C409)</f>
        <v>1.91399701317867</v>
      </c>
      <c r="E409" s="5" t="n">
        <f aca="false">STDEV(C398:C409)</f>
        <v>2.66539973431383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-0.0343203964236973</v>
      </c>
      <c r="D410" s="5" t="n">
        <f aca="false">STDEV(C408:C410)</f>
        <v>1.89140636634175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-0.471111325614499</v>
      </c>
      <c r="D411" s="5" t="n">
        <f aca="false">STDEV(C409:C411)</f>
        <v>1.56646669747566</v>
      </c>
      <c r="E411" s="5" t="n">
        <f aca="false">STDEV(C400:C411)</f>
        <v>2.15251234358517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6.58976545332431</v>
      </c>
      <c r="D412" s="5" t="n">
        <f aca="false">STDEV(C410:C412)</f>
        <v>3.95654058802241</v>
      </c>
      <c r="E412" s="5" t="n">
        <f aca="false">STDEV(C401:C412)</f>
        <v>2.66651954399001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7.61970765032099</v>
      </c>
      <c r="D413" s="5" t="n">
        <f aca="false">STDEV(C411:C413)</f>
        <v>4.4041290004924</v>
      </c>
      <c r="E413" s="5" t="n">
        <f aca="false">STDEV(C402:C413)</f>
        <v>3.15525337345309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0.727822697612655</v>
      </c>
      <c r="D414" s="5" t="n">
        <f aca="false">STDEV(C412:C414)</f>
        <v>3.71755367595776</v>
      </c>
      <c r="E414" s="5" t="n">
        <f aca="false">STDEV(C403:C414)</f>
        <v>3.1120171011021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-0.954685373784315</v>
      </c>
      <c r="D415" s="5" t="n">
        <f aca="false">STDEV(C413:C415)</f>
        <v>4.54329409392769</v>
      </c>
      <c r="E415" s="5" t="n">
        <f aca="false">STDEV(C404:C415)</f>
        <v>2.98971812533078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2.78275253959876</v>
      </c>
      <c r="D416" s="5" t="n">
        <f aca="false">STDEV(C414:C416)</f>
        <v>1.87180893888747</v>
      </c>
      <c r="E416" s="5" t="n">
        <f aca="false">STDEV(C405:C416)</f>
        <v>2.98436199175659</v>
      </c>
    </row>
    <row r="417" customFormat="false" ht="15" hidden="false" customHeight="false" outlineLevel="0" collapsed="false">
      <c r="A417" s="5" t="s">
        <v>438</v>
      </c>
      <c r="B417" s="5" t="n">
        <v>2468.32863636364</v>
      </c>
      <c r="C417" s="5" t="n">
        <f aca="false">LN(B417/B416)*100</f>
        <v>3.05914495182127</v>
      </c>
      <c r="D417" s="5" t="n">
        <f aca="false">STDEV(C415:C417)</f>
        <v>2.24186190493075</v>
      </c>
      <c r="E417" s="5" t="n">
        <f aca="false">STDEV(C406:C417)</f>
        <v>2.81292605141196</v>
      </c>
    </row>
    <row r="418" customFormat="false" ht="15" hidden="false" customHeight="false" outlineLevel="0" collapsed="false">
      <c r="A418" s="5" t="s">
        <v>439</v>
      </c>
      <c r="B418" s="5" t="n">
        <v>2569.04904761905</v>
      </c>
      <c r="C418" s="5" t="n">
        <f aca="false">LN(B418/B417)*100</f>
        <v>3.99945538923264</v>
      </c>
      <c r="D418" s="5" t="n">
        <f aca="false">STDEV(C416:C418)</f>
        <v>0.637827341912389</v>
      </c>
      <c r="E418" s="5" t="n">
        <f aca="false">STDEV(C407:C418)</f>
        <v>2.76186360432483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4.56814261321865</v>
      </c>
      <c r="D419" s="5" t="n">
        <f aca="false">STDEV(C417:C419)</f>
        <v>0.762087354959216</v>
      </c>
      <c r="E419" s="5" t="n">
        <f aca="false">STDEV(C408:C419)</f>
        <v>2.70098402283232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3.28394175954865</v>
      </c>
      <c r="E420" s="5" t="n">
        <f aca="false">STDEV(C409:C420)</f>
        <v>2.94136542213283</v>
      </c>
    </row>
    <row r="421" customFormat="false" ht="15" hidden="false" customHeight="false" outlineLevel="0" collapsed="false">
      <c r="A421" s="5" t="s">
        <v>442</v>
      </c>
      <c r="B421" s="5" t="n">
        <v>2640.60545454546</v>
      </c>
      <c r="C421" s="5" t="n">
        <f aca="false">LN(B421/B420)*100</f>
        <v>-0.438107500881509</v>
      </c>
      <c r="D421" s="5" t="n">
        <f aca="false">STDEV(C419:C421)</f>
        <v>3.19814028234751</v>
      </c>
      <c r="E421" s="5" t="n">
        <f aca="false">STDEV(C410:C421)</f>
        <v>3.05406167103519</v>
      </c>
    </row>
    <row r="422" customFormat="false" ht="15" hidden="false" customHeight="false" outlineLevel="0" collapsed="false">
      <c r="A422" s="5" t="s">
        <v>443</v>
      </c>
      <c r="B422" s="5" t="n">
        <v>2707.46739130435</v>
      </c>
      <c r="C422" s="5" t="n">
        <f aca="false">LN(B422/B421)*100</f>
        <v>2.50054262738372</v>
      </c>
      <c r="D422" s="5" t="n">
        <f aca="false">STDEV(C420:C422)</f>
        <v>2.02519103133269</v>
      </c>
      <c r="E422" s="5" t="n">
        <f aca="false">STDEV(C411:C422)</f>
        <v>2.97419354993856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6.67572697591457</v>
      </c>
      <c r="D423" s="5" t="n">
        <f aca="false">STDEV(C421:C423)</f>
        <v>3.57478367373055</v>
      </c>
      <c r="E423" s="5" t="n">
        <f aca="false">STDEV(C412:C423)</f>
        <v>3.06481037739526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3.12495669089658</v>
      </c>
      <c r="D424" s="5" t="n">
        <f aca="false">STDEV(C422:C424)</f>
        <v>2.25203711055481</v>
      </c>
      <c r="E424" s="5" t="n">
        <f aca="false">STDEV(C413:C424)</f>
        <v>2.84934847074103</v>
      </c>
    </row>
    <row r="425" customFormat="false" ht="15" hidden="false" customHeight="false" outlineLevel="0" collapsed="false">
      <c r="A425" s="5" t="s">
        <v>446</v>
      </c>
      <c r="B425" s="5" t="n">
        <v>3222.01181818182</v>
      </c>
      <c r="C425" s="5" t="n">
        <f aca="false">LN(B425/B424)*100</f>
        <v>7.5985460063601</v>
      </c>
      <c r="D425" s="5" t="n">
        <f aca="false">STDEV(C423:C425)</f>
        <v>2.36194009038292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3288.00954545455</v>
      </c>
      <c r="C426" s="5" t="n">
        <f aca="false">LN(B426/B425)*100</f>
        <v>2.02764275958811</v>
      </c>
      <c r="D426" s="5" t="n">
        <f aca="false">STDEV(C424:C426)</f>
        <v>2.95104676942967</v>
      </c>
      <c r="E426" s="5" t="n">
        <f aca="false">STDEV(C415:C426)</f>
        <v>2.7887798253579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1.92326091266392</v>
      </c>
      <c r="D427" s="5" t="n">
        <f aca="false">STDEV(C425:C427)</f>
        <v>3.24691441858246</v>
      </c>
      <c r="E427" s="5" t="n">
        <f aca="false">STDEV(C416:C427)</f>
        <v>2.55039333233885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-0.305055267457357</v>
      </c>
      <c r="D428" s="5" t="n">
        <f aca="false">STDEV(C426:C428)</f>
        <v>1.31768538568832</v>
      </c>
      <c r="E428" s="5" t="n">
        <f aca="false">STDEV(C417:C428)</f>
        <v>2.72792427021371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0.763378917129641</v>
      </c>
      <c r="D429" s="5" t="n">
        <f aca="false">STDEV(C427:C429)</f>
        <v>1.11447078987809</v>
      </c>
      <c r="E429" s="5" t="n">
        <f aca="false">STDEV(C418:C429)</f>
        <v>2.78638963954444</v>
      </c>
    </row>
    <row r="430" customFormat="false" ht="15" hidden="false" customHeight="false" outlineLevel="0" collapsed="false">
      <c r="A430" s="5" t="s">
        <v>451</v>
      </c>
      <c r="B430" s="5" t="n">
        <v>3666.52363636364</v>
      </c>
      <c r="C430" s="5" t="n">
        <f aca="false">LN(B430/B429)*100</f>
        <v>8.51457491730952</v>
      </c>
      <c r="D430" s="5" t="n">
        <f aca="false">STDEV(C428:C430)</f>
        <v>4.81332296229347</v>
      </c>
      <c r="E430" s="5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2026-01-28T03:44:32Z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