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Gold price" sheetId="1" state="visible" r:id="rId1"/>
    <sheet name="Value" sheetId="2" state="visible" r:id="rId2"/>
    <sheet name="Volume" sheetId="3" state="visible" r:id="rId3"/>
    <sheet name="Total Reserves" sheetId="4" state="visible" r:id="rId4"/>
    <sheet name="Answer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styles" Target="styles.xml" Id="rId6" /><Relationship Type="http://schemas.openxmlformats.org/officeDocument/2006/relationships/theme" Target="theme/theme1.xml" Id="rId7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37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Gold Price (US$ per troy ounce)</t>
        </is>
      </c>
      <c r="C1" t="inlineStr">
        <is>
          <t>Monthly Log Return (%)</t>
        </is>
      </c>
      <c r="D1" t="inlineStr">
        <is>
          <t>3-Month Volatility (%)</t>
        </is>
      </c>
      <c r="E1" t="inlineStr">
        <is>
          <t>12-Month Volatility (%)</t>
        </is>
      </c>
    </row>
    <row r="2">
      <c r="A2" t="inlineStr">
        <is>
          <t>2022-01-31</t>
        </is>
      </c>
      <c r="B2" t="n">
        <v>1822.53</v>
      </c>
    </row>
    <row r="3">
      <c r="A3" t="inlineStr">
        <is>
          <t>2022-03-02</t>
        </is>
      </c>
      <c r="B3" t="n">
        <v>1771.14</v>
      </c>
      <c r="C3">
        <f>IF(B2=0,0,LN(B3/B2)*100)</f>
        <v/>
      </c>
    </row>
    <row r="4">
      <c r="A4" t="inlineStr">
        <is>
          <t>2022-04-01</t>
        </is>
      </c>
      <c r="B4" t="n">
        <v>1851.9</v>
      </c>
      <c r="C4">
        <f>IF(B3=0,0,LN(B4/B3)*100)</f>
        <v/>
      </c>
    </row>
    <row r="5">
      <c r="A5" t="inlineStr">
        <is>
          <t>2022-05-01</t>
        </is>
      </c>
      <c r="B5" t="n">
        <v>1805.86</v>
      </c>
      <c r="C5">
        <f>IF(B4=0,0,LN(B5/B4)*100)</f>
        <v/>
      </c>
      <c r="D5">
        <f>STDEV(C2:C5)*SQRT(12)</f>
        <v/>
      </c>
    </row>
    <row r="6">
      <c r="A6" t="inlineStr">
        <is>
          <t>2022-05-31</t>
        </is>
      </c>
      <c r="B6" t="n">
        <v>1767.56</v>
      </c>
      <c r="C6">
        <f>IF(B5=0,0,LN(B6/B5)*100)</f>
        <v/>
      </c>
      <c r="D6">
        <f>STDEV(C3:C6)*SQRT(12)</f>
        <v/>
      </c>
    </row>
    <row r="7">
      <c r="A7" t="inlineStr">
        <is>
          <t>2022-06-30</t>
        </is>
      </c>
      <c r="B7" t="n">
        <v>1778</v>
      </c>
      <c r="C7">
        <f>IF(B6=0,0,LN(B7/B6)*100)</f>
        <v/>
      </c>
      <c r="D7">
        <f>STDEV(C4:C7)*SQRT(12)</f>
        <v/>
      </c>
    </row>
    <row r="8">
      <c r="A8" t="inlineStr">
        <is>
          <t>2022-07-30</t>
        </is>
      </c>
      <c r="B8" t="n">
        <v>1828.39</v>
      </c>
      <c r="C8">
        <f>IF(B7=0,0,LN(B8/B7)*100)</f>
        <v/>
      </c>
      <c r="D8">
        <f>STDEV(C5:C8)*SQRT(12)</f>
        <v/>
      </c>
    </row>
    <row r="9">
      <c r="A9" t="inlineStr">
        <is>
          <t>2022-08-29</t>
        </is>
      </c>
      <c r="B9" t="n">
        <v>1738.93</v>
      </c>
      <c r="C9">
        <f>IF(B8=0,0,LN(B9/B8)*100)</f>
        <v/>
      </c>
      <c r="D9">
        <f>STDEV(C6:C9)*SQRT(12)</f>
        <v/>
      </c>
    </row>
    <row r="10">
      <c r="A10" t="inlineStr">
        <is>
          <t>2022-09-28</t>
        </is>
      </c>
      <c r="B10" t="n">
        <v>1804.39</v>
      </c>
      <c r="C10">
        <f>IF(B9=0,0,LN(B10/B9)*100)</f>
        <v/>
      </c>
      <c r="D10">
        <f>STDEV(C7:C10)*SQRT(12)</f>
        <v/>
      </c>
    </row>
    <row r="11">
      <c r="A11" t="inlineStr">
        <is>
          <t>2022-10-28</t>
        </is>
      </c>
      <c r="B11" t="n">
        <v>1746.93</v>
      </c>
      <c r="C11">
        <f>IF(B10=0,0,LN(B11/B10)*100)</f>
        <v/>
      </c>
      <c r="D11">
        <f>STDEV(C8:C11)*SQRT(12)</f>
        <v/>
      </c>
    </row>
    <row r="12">
      <c r="A12" t="inlineStr">
        <is>
          <t>2022-11-27</t>
        </is>
      </c>
      <c r="B12" t="n">
        <v>1801.09</v>
      </c>
      <c r="C12">
        <f>IF(B11=0,0,LN(B12/B11)*100)</f>
        <v/>
      </c>
      <c r="D12">
        <f>STDEV(C9:C12)*SQRT(12)</f>
        <v/>
      </c>
    </row>
    <row r="13">
      <c r="A13" t="inlineStr">
        <is>
          <t>2022-12-27</t>
        </is>
      </c>
      <c r="B13" t="n">
        <v>1882.81</v>
      </c>
      <c r="C13">
        <f>IF(B12=0,0,LN(B13/B12)*100)</f>
        <v/>
      </c>
      <c r="D13">
        <f>STDEV(C10:C13)*SQRT(12)</f>
        <v/>
      </c>
      <c r="E13">
        <f>STDEV(C2:C13)*SQRT(12)</f>
        <v/>
      </c>
    </row>
    <row r="14">
      <c r="A14" t="inlineStr">
        <is>
          <t>2023-01-26</t>
        </is>
      </c>
      <c r="B14" t="n">
        <v>1913.27</v>
      </c>
      <c r="C14">
        <f>IF(B13=0,0,LN(B14/B13)*100)</f>
        <v/>
      </c>
      <c r="D14">
        <f>STDEV(C11:C14)*SQRT(12)</f>
        <v/>
      </c>
      <c r="E14">
        <f>STDEV(C3:C14)*SQRT(12)</f>
        <v/>
      </c>
    </row>
    <row r="15">
      <c r="A15" t="inlineStr">
        <is>
          <t>2023-02-25</t>
        </is>
      </c>
      <c r="B15" t="n">
        <v>1829.06</v>
      </c>
      <c r="C15">
        <f>IF(B14=0,0,LN(B15/B14)*100)</f>
        <v/>
      </c>
      <c r="D15">
        <f>STDEV(C12:C15)*SQRT(12)</f>
        <v/>
      </c>
      <c r="E15">
        <f>STDEV(C4:C15)*SQRT(12)</f>
        <v/>
      </c>
    </row>
    <row r="16">
      <c r="A16" t="inlineStr">
        <is>
          <t>2023-03-27</t>
        </is>
      </c>
      <c r="B16" t="n">
        <v>1799.18</v>
      </c>
      <c r="C16">
        <f>IF(B15=0,0,LN(B16/B15)*100)</f>
        <v/>
      </c>
      <c r="D16">
        <f>STDEV(C13:C16)*SQRT(12)</f>
        <v/>
      </c>
      <c r="E16">
        <f>STDEV(C5:C16)*SQRT(12)</f>
        <v/>
      </c>
    </row>
    <row r="17">
      <c r="A17" t="inlineStr">
        <is>
          <t>2023-04-26</t>
        </is>
      </c>
      <c r="B17" t="n">
        <v>1935.12</v>
      </c>
      <c r="C17">
        <f>IF(B16=0,0,LN(B17/B16)*100)</f>
        <v/>
      </c>
      <c r="D17">
        <f>STDEV(C14:C17)*SQRT(12)</f>
        <v/>
      </c>
      <c r="E17">
        <f>STDEV(C6:C17)*SQRT(12)</f>
        <v/>
      </c>
    </row>
    <row r="18">
      <c r="A18" t="inlineStr">
        <is>
          <t>2023-05-26</t>
        </is>
      </c>
      <c r="B18" t="n">
        <v>1867.23</v>
      </c>
      <c r="C18">
        <f>IF(B17=0,0,LN(B18/B17)*100)</f>
        <v/>
      </c>
      <c r="D18">
        <f>STDEV(C15:C18)*SQRT(12)</f>
        <v/>
      </c>
      <c r="E18">
        <f>STDEV(C7:C18)*SQRT(12)</f>
        <v/>
      </c>
    </row>
    <row r="19">
      <c r="A19" t="inlineStr">
        <is>
          <t>2023-06-25</t>
        </is>
      </c>
      <c r="B19" t="n">
        <v>1858.92</v>
      </c>
      <c r="C19">
        <f>IF(B18=0,0,LN(B19/B18)*100)</f>
        <v/>
      </c>
      <c r="D19">
        <f>STDEV(C16:C19)*SQRT(12)</f>
        <v/>
      </c>
      <c r="E19">
        <f>STDEV(C8:C19)*SQRT(12)</f>
        <v/>
      </c>
    </row>
    <row r="20">
      <c r="A20" t="inlineStr">
        <is>
          <t>2023-07-25</t>
        </is>
      </c>
      <c r="B20" t="n">
        <v>1909.71</v>
      </c>
      <c r="C20">
        <f>IF(B19=0,0,LN(B20/B19)*100)</f>
        <v/>
      </c>
      <c r="D20">
        <f>STDEV(C17:C20)*SQRT(12)</f>
        <v/>
      </c>
      <c r="E20">
        <f>STDEV(C9:C20)*SQRT(12)</f>
        <v/>
      </c>
    </row>
    <row r="21">
      <c r="A21" t="inlineStr">
        <is>
          <t>2023-08-24</t>
        </is>
      </c>
      <c r="B21" t="n">
        <v>1823.69</v>
      </c>
      <c r="C21">
        <f>IF(B20=0,0,LN(B21/B20)*100)</f>
        <v/>
      </c>
      <c r="D21">
        <f>STDEV(C18:C21)*SQRT(12)</f>
        <v/>
      </c>
      <c r="E21">
        <f>STDEV(C10:C21)*SQRT(12)</f>
        <v/>
      </c>
    </row>
    <row r="22">
      <c r="A22" t="inlineStr">
        <is>
          <t>2023-09-23</t>
        </is>
      </c>
      <c r="B22" t="n">
        <v>1853.07</v>
      </c>
      <c r="C22">
        <f>IF(B21=0,0,LN(B22/B21)*100)</f>
        <v/>
      </c>
      <c r="D22">
        <f>STDEV(C19:C22)*SQRT(12)</f>
        <v/>
      </c>
      <c r="E22">
        <f>STDEV(C11:C22)*SQRT(12)</f>
        <v/>
      </c>
    </row>
    <row r="23">
      <c r="A23" t="inlineStr">
        <is>
          <t>2023-10-23</t>
        </is>
      </c>
      <c r="B23" t="n">
        <v>1912.91</v>
      </c>
      <c r="C23">
        <f>IF(B22=0,0,LN(B23/B22)*100)</f>
        <v/>
      </c>
      <c r="D23">
        <f>STDEV(C20:C23)*SQRT(12)</f>
        <v/>
      </c>
      <c r="E23">
        <f>STDEV(C12:C23)*SQRT(12)</f>
        <v/>
      </c>
    </row>
    <row r="24">
      <c r="A24" t="inlineStr">
        <is>
          <t>2023-11-22</t>
        </is>
      </c>
      <c r="B24" t="n">
        <v>1907.15</v>
      </c>
      <c r="C24">
        <f>IF(B23=0,0,LN(B24/B23)*100)</f>
        <v/>
      </c>
      <c r="D24">
        <f>STDEV(C21:C24)*SQRT(12)</f>
        <v/>
      </c>
      <c r="E24">
        <f>STDEV(C13:C24)*SQRT(12)</f>
        <v/>
      </c>
    </row>
    <row r="25">
      <c r="A25" t="inlineStr">
        <is>
          <t>2023-12-22</t>
        </is>
      </c>
      <c r="B25" t="n">
        <v>1924.25</v>
      </c>
      <c r="C25">
        <f>IF(B24=0,0,LN(B25/B24)*100)</f>
        <v/>
      </c>
      <c r="D25">
        <f>STDEV(C22:C25)*SQRT(12)</f>
        <v/>
      </c>
      <c r="E25">
        <f>STDEV(C14:C25)*SQRT(12)</f>
        <v/>
      </c>
    </row>
    <row r="26">
      <c r="A26" t="inlineStr">
        <is>
          <t>2024-01-21</t>
        </is>
      </c>
      <c r="B26" t="n">
        <v>1852.51</v>
      </c>
      <c r="C26">
        <f>IF(B25=0,0,LN(B26/B25)*100)</f>
        <v/>
      </c>
      <c r="D26">
        <f>STDEV(C23:C26)*SQRT(12)</f>
        <v/>
      </c>
      <c r="E26">
        <f>STDEV(C15:C26)*SQRT(12)</f>
        <v/>
      </c>
    </row>
    <row r="27">
      <c r="A27" t="inlineStr">
        <is>
          <t>2024-02-20</t>
        </is>
      </c>
      <c r="B27" t="n">
        <v>1932.72</v>
      </c>
      <c r="C27">
        <f>IF(B26=0,0,LN(B27/B26)*100)</f>
        <v/>
      </c>
      <c r="D27">
        <f>STDEV(C24:C27)*SQRT(12)</f>
        <v/>
      </c>
      <c r="E27">
        <f>STDEV(C16:C27)*SQRT(12)</f>
        <v/>
      </c>
    </row>
    <row r="28">
      <c r="A28" t="inlineStr">
        <is>
          <t>2024-03-21</t>
        </is>
      </c>
      <c r="B28" t="n">
        <v>1944.51</v>
      </c>
      <c r="C28">
        <f>IF(B27=0,0,LN(B28/B27)*100)</f>
        <v/>
      </c>
      <c r="D28">
        <f>STDEV(C25:C28)*SQRT(12)</f>
        <v/>
      </c>
      <c r="E28">
        <f>STDEV(C17:C28)*SQRT(12)</f>
        <v/>
      </c>
    </row>
    <row r="29">
      <c r="A29" t="inlineStr">
        <is>
          <t>2024-04-20</t>
        </is>
      </c>
      <c r="B29" t="n">
        <v>1941.85</v>
      </c>
      <c r="C29">
        <f>IF(B28=0,0,LN(B29/B28)*100)</f>
        <v/>
      </c>
      <c r="D29">
        <f>STDEV(C26:C29)*SQRT(12)</f>
        <v/>
      </c>
      <c r="E29">
        <f>STDEV(C18:C29)*SQRT(12)</f>
        <v/>
      </c>
    </row>
    <row r="30">
      <c r="A30" t="inlineStr">
        <is>
          <t>2024-05-20</t>
        </is>
      </c>
      <c r="B30" t="n">
        <v>1820.58</v>
      </c>
      <c r="C30">
        <f>IF(B29=0,0,LN(B30/B29)*100)</f>
        <v/>
      </c>
      <c r="D30">
        <f>STDEV(C27:C30)*SQRT(12)</f>
        <v/>
      </c>
      <c r="E30">
        <f>STDEV(C19:C30)*SQRT(12)</f>
        <v/>
      </c>
    </row>
    <row r="31">
      <c r="A31" t="inlineStr">
        <is>
          <t>2024-06-19</t>
        </is>
      </c>
      <c r="B31" t="n">
        <v>1946.23</v>
      </c>
      <c r="C31">
        <f>IF(B30=0,0,LN(B31/B30)*100)</f>
        <v/>
      </c>
      <c r="D31">
        <f>STDEV(C28:C31)*SQRT(12)</f>
        <v/>
      </c>
      <c r="E31">
        <f>STDEV(C20:C31)*SQRT(12)</f>
        <v/>
      </c>
    </row>
    <row r="32">
      <c r="A32" t="inlineStr">
        <is>
          <t>2024-07-19</t>
        </is>
      </c>
      <c r="B32" t="n">
        <v>1960.48</v>
      </c>
      <c r="C32">
        <f>IF(B31=0,0,LN(B32/B31)*100)</f>
        <v/>
      </c>
      <c r="D32">
        <f>STDEV(C29:C32)*SQRT(12)</f>
        <v/>
      </c>
      <c r="E32">
        <f>STDEV(C21:C32)*SQRT(12)</f>
        <v/>
      </c>
    </row>
    <row r="33">
      <c r="A33" t="inlineStr">
        <is>
          <t>2024-08-18</t>
        </is>
      </c>
      <c r="B33" t="n">
        <v>1990.26</v>
      </c>
      <c r="C33">
        <f>IF(B32=0,0,LN(B33/B32)*100)</f>
        <v/>
      </c>
      <c r="D33">
        <f>STDEV(C30:C33)*SQRT(12)</f>
        <v/>
      </c>
      <c r="E33">
        <f>STDEV(C22:C33)*SQRT(12)</f>
        <v/>
      </c>
    </row>
    <row r="34">
      <c r="A34" t="inlineStr">
        <is>
          <t>2024-09-17</t>
        </is>
      </c>
      <c r="B34" t="n">
        <v>1978.98</v>
      </c>
      <c r="C34">
        <f>IF(B33=0,0,LN(B34/B33)*100)</f>
        <v/>
      </c>
      <c r="D34">
        <f>STDEV(C31:C34)*SQRT(12)</f>
        <v/>
      </c>
      <c r="E34">
        <f>STDEV(C23:C34)*SQRT(12)</f>
        <v/>
      </c>
    </row>
    <row r="35">
      <c r="A35" t="inlineStr">
        <is>
          <t>2024-10-17</t>
        </is>
      </c>
      <c r="B35" t="n">
        <v>2000.72</v>
      </c>
      <c r="C35">
        <f>IF(B34=0,0,LN(B35/B34)*100)</f>
        <v/>
      </c>
      <c r="D35">
        <f>STDEV(C32:C35)*SQRT(12)</f>
        <v/>
      </c>
      <c r="E35">
        <f>STDEV(C24:C35)*SQRT(12)</f>
        <v/>
      </c>
    </row>
    <row r="36">
      <c r="A36" t="inlineStr">
        <is>
          <t>2024-11-16</t>
        </is>
      </c>
      <c r="B36" t="n">
        <v>1982.56</v>
      </c>
      <c r="C36">
        <f>IF(B35=0,0,LN(B36/B35)*100)</f>
        <v/>
      </c>
      <c r="D36">
        <f>STDEV(C33:C36)*SQRT(12)</f>
        <v/>
      </c>
      <c r="E36">
        <f>STDEV(C25:C36)*SQRT(12)</f>
        <v/>
      </c>
    </row>
    <row r="37">
      <c r="A37" t="inlineStr">
        <is>
          <t>2024-12-16</t>
        </is>
      </c>
      <c r="B37" t="n">
        <v>1904.83</v>
      </c>
      <c r="C37">
        <f>IF(B36=0,0,LN(B37/B36)*100)</f>
        <v/>
      </c>
      <c r="D37">
        <f>STDEV(C34:C37)*SQRT(12)</f>
        <v/>
      </c>
      <c r="E37">
        <f>STDEV(C26:C37)*SQRT(12)</f>
        <v/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6"/>
  <sheetViews>
    <sheetView workbookViewId="0">
      <selection activeCell="A1" sqref="A1"/>
    </sheetView>
  </sheetViews>
  <sheetFormatPr baseColWidth="8" defaultRowHeight="15"/>
  <sheetData>
    <row r="1">
      <c r="A1" t="inlineStr">
        <is>
          <t>Country</t>
        </is>
      </c>
      <c r="B1" t="inlineStr">
        <is>
          <t>2025 Gold Reserves (Million oz)</t>
        </is>
      </c>
    </row>
    <row r="2">
      <c r="A2" t="inlineStr">
        <is>
          <t>United States</t>
        </is>
      </c>
      <c r="B2" t="n">
        <v>261.5</v>
      </c>
    </row>
    <row r="3">
      <c r="A3" t="inlineStr">
        <is>
          <t>Germany</t>
        </is>
      </c>
      <c r="B3" t="n">
        <v>123.7</v>
      </c>
    </row>
    <row r="4">
      <c r="A4" t="inlineStr">
        <is>
          <t>Italy</t>
        </is>
      </c>
      <c r="B4" t="n">
        <v>95.8</v>
      </c>
    </row>
    <row r="5">
      <c r="A5" t="inlineStr">
        <is>
          <t>France</t>
        </is>
      </c>
      <c r="B5" t="n">
        <v>98.2</v>
      </c>
    </row>
    <row r="6">
      <c r="A6" t="inlineStr">
        <is>
          <t>China</t>
        </is>
      </c>
      <c r="B6" t="n">
        <v>383.2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6"/>
  <sheetViews>
    <sheetView workbookViewId="0">
      <selection activeCell="A1" sqref="A1"/>
    </sheetView>
  </sheetViews>
  <sheetFormatPr baseColWidth="8" defaultRowHeight="15"/>
  <sheetData>
    <row r="1">
      <c r="A1" t="inlineStr">
        <is>
          <t>Country</t>
        </is>
      </c>
      <c r="B1" t="inlineStr">
        <is>
          <t>2025 Gold Reserves (Million oz)</t>
        </is>
      </c>
    </row>
    <row r="2">
      <c r="A2" t="inlineStr">
        <is>
          <t>United States</t>
        </is>
      </c>
      <c r="B2" t="n">
        <v>261.5</v>
      </c>
    </row>
    <row r="3">
      <c r="A3" t="inlineStr">
        <is>
          <t>Germany</t>
        </is>
      </c>
      <c r="B3" t="n">
        <v>123.7</v>
      </c>
    </row>
    <row r="4">
      <c r="A4" t="inlineStr">
        <is>
          <t>Japan</t>
        </is>
      </c>
      <c r="B4" t="n">
        <v>24.6</v>
      </c>
    </row>
    <row r="5">
      <c r="A5" t="inlineStr">
        <is>
          <t>India</t>
        </is>
      </c>
      <c r="B5" t="n">
        <v>23.6</v>
      </c>
    </row>
    <row r="6">
      <c r="A6" t="inlineStr">
        <is>
          <t>Russia</t>
        </is>
      </c>
      <c r="B6" t="n">
        <v>37.6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9"/>
  <sheetViews>
    <sheetView workbookViewId="0">
      <selection activeCell="A1" sqref="A1"/>
    </sheetView>
  </sheetViews>
  <sheetFormatPr baseColWidth="8" defaultRowHeight="15"/>
  <sheetData>
    <row r="1">
      <c r="A1" t="inlineStr">
        <is>
          <t>Country</t>
        </is>
      </c>
      <c r="B1" t="inlineStr">
        <is>
          <t>2025 Total Reserves (USD Billion)</t>
        </is>
      </c>
    </row>
    <row r="2">
      <c r="A2" t="inlineStr">
        <is>
          <t>United States</t>
        </is>
      </c>
      <c r="B2" t="n">
        <v>130.6</v>
      </c>
    </row>
    <row r="3">
      <c r="A3" t="inlineStr">
        <is>
          <t>Germany</t>
        </is>
      </c>
      <c r="B3" t="n">
        <v>272.5</v>
      </c>
    </row>
    <row r="4">
      <c r="A4" t="inlineStr">
        <is>
          <t>Italy</t>
        </is>
      </c>
      <c r="B4" t="n">
        <v>210.8</v>
      </c>
    </row>
    <row r="5">
      <c r="A5" t="inlineStr">
        <is>
          <t>France</t>
        </is>
      </c>
      <c r="B5" t="n">
        <v>145.3</v>
      </c>
    </row>
    <row r="6">
      <c r="A6" t="inlineStr">
        <is>
          <t>China</t>
        </is>
      </c>
      <c r="B6" t="n">
        <v>3200</v>
      </c>
    </row>
    <row r="7">
      <c r="A7" t="inlineStr">
        <is>
          <t>Japan</t>
        </is>
      </c>
      <c r="B7" t="n">
        <v>125.8</v>
      </c>
    </row>
    <row r="8">
      <c r="A8" t="inlineStr">
        <is>
          <t>India</t>
        </is>
      </c>
      <c r="B8" t="n">
        <v>618.3</v>
      </c>
    </row>
    <row r="9">
      <c r="A9" t="inlineStr">
        <is>
          <t>Russia</t>
        </is>
      </c>
      <c r="B9" t="n">
        <v>180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F19"/>
  <sheetViews>
    <sheetView workbookViewId="0">
      <selection activeCell="A1" sqref="A1"/>
    </sheetView>
  </sheetViews>
  <sheetFormatPr baseColWidth="8" defaultRowHeight="15"/>
  <sheetData>
    <row r="1">
      <c r="A1" t="inlineStr">
        <is>
          <t>STEP 1: Gold Price Analysis</t>
        </is>
      </c>
    </row>
    <row r="2">
      <c r="A2" t="inlineStr">
        <is>
          <t>Latest Gold Price (US$ per troy ounce):</t>
        </is>
      </c>
      <c r="B2">
        <f>B37</f>
        <v/>
      </c>
    </row>
    <row r="3">
      <c r="A3" t="inlineStr">
        <is>
          <t>Monthly Log Return (Latest, %):</t>
        </is>
      </c>
      <c r="B3">
        <f>C37</f>
        <v/>
      </c>
    </row>
    <row r="4">
      <c r="A4" t="inlineStr">
        <is>
          <t>3-Month Volatility (%, Latest):</t>
        </is>
      </c>
      <c r="B4">
        <f>D37</f>
        <v/>
      </c>
    </row>
    <row r="5">
      <c r="A5" t="inlineStr">
        <is>
          <t>3-Month Annualized Volatility (%, from rows 3-6):</t>
        </is>
      </c>
      <c r="B5">
        <f>AVERAGE(D3:D6)*SQRT(12)</f>
        <v/>
      </c>
    </row>
    <row r="6">
      <c r="A6" t="inlineStr">
        <is>
          <t>12-Month Volatility (%, Latest):</t>
        </is>
      </c>
      <c r="B6">
        <f>E37</f>
        <v/>
      </c>
    </row>
    <row r="8">
      <c r="A8" t="inlineStr">
        <is>
          <t>STEP 2: Gold Reserves by Country (2025)</t>
        </is>
      </c>
    </row>
    <row r="9">
      <c r="A9" t="inlineStr">
        <is>
          <t>Country</t>
        </is>
      </c>
      <c r="B9" t="inlineStr">
        <is>
          <t>Gold Reserves (Million oz)</t>
        </is>
      </c>
      <c r="C9" t="inlineStr">
        <is>
          <t>Gold Price Exposure (USD Billion)</t>
        </is>
      </c>
    </row>
    <row r="18">
      <c r="A18" t="inlineStr">
        <is>
          <t>STEP 3: Reserve Adequacy Ratio (RaR)</t>
        </is>
      </c>
    </row>
    <row r="19">
      <c r="A19" t="inlineStr">
        <is>
          <t>Country</t>
        </is>
      </c>
      <c r="B19" t="inlineStr">
        <is>
          <t>Gold Reserves (Million oz)</t>
        </is>
      </c>
      <c r="C19" t="inlineStr">
        <is>
          <t>Gold Price Volatility (%)</t>
        </is>
      </c>
      <c r="D19" t="inlineStr">
        <is>
          <t>Gold Value (USD Billion)</t>
        </is>
      </c>
      <c r="E19" t="inlineStr">
        <is>
          <t>Total Reserves (USD Billion)</t>
        </is>
      </c>
      <c r="F19" t="inlineStr">
        <is>
          <t>RaR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2026-01-28T03:27:53Z</dcterms:created>
  <dcterms:modified xsi:type="dcterms:W3CDTF">2026-01-28T03:27:53Z</dcterms:modified>
</cp:coreProperties>
</file>