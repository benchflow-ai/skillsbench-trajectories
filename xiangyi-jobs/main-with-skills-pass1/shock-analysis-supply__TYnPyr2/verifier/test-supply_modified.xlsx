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data'!E18:E25)</f>
        <v/>
      </c>
      <c r="C3" s="7" t="n"/>
      <c r="D3" s="7" t="n"/>
      <c r="E3" s="7" t="n"/>
      <c r="F3" s="7" t="n"/>
      <c r="G3" s="7" t="n"/>
      <c r="H3" s="7" t="n"/>
      <c r="I3" s="8" t="n"/>
    </row>
    <row r="4">
      <c r="B4">
        <f>AVERAGE(D19:D27/E19:E27)</f>
        <v/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 + 100*SUM(M7:M26)</f>
        <v/>
      </c>
    </row>
    <row r="6">
      <c r="C6" t="n">
        <v>2002</v>
      </c>
      <c r="D6" s="19">
        <f>PWT!B4</f>
        <v/>
      </c>
      <c r="E6" t="n">
        <v>5.864808278909058</v>
      </c>
      <c r="F6">
        <f>LN(D6)</f>
        <v/>
      </c>
      <c r="G6">
        <f>LN(E6)</f>
        <v/>
      </c>
      <c r="K6" s="4">
        <f>G6-$B$1*F6</f>
        <v/>
      </c>
      <c r="L6" t="n">
        <v>0.8772092391684887</v>
      </c>
      <c r="N6" s="5">
        <f>K6-L6</f>
        <v/>
      </c>
    </row>
    <row r="7">
      <c r="C7" t="n">
        <v>2003</v>
      </c>
      <c r="D7" s="19">
        <f>PWT!B5</f>
        <v/>
      </c>
      <c r="E7" t="n">
        <v>6.5134560745564</v>
      </c>
      <c r="F7">
        <f>LN(D7)</f>
        <v/>
      </c>
      <c r="G7">
        <f>LN(E7)</f>
        <v/>
      </c>
      <c r="K7" s="4">
        <f>G7-$B$1*F7</f>
        <v/>
      </c>
      <c r="L7" t="n">
        <v>0.9228865489158774</v>
      </c>
      <c r="M7">
        <f>(L8-2*L7+L6)^2</f>
        <v/>
      </c>
      <c r="N7" s="5">
        <f>K7-L7</f>
        <v/>
      </c>
    </row>
    <row r="8">
      <c r="C8" t="n">
        <v>2004</v>
      </c>
      <c r="D8" s="19">
        <f>PWT!B6</f>
        <v/>
      </c>
      <c r="E8" t="n">
        <v>6.890585181273216</v>
      </c>
      <c r="F8">
        <f>LN(D8)</f>
        <v/>
      </c>
      <c r="G8">
        <f>LN(E8)</f>
        <v/>
      </c>
      <c r="K8" s="4">
        <f>G8-$B$1*F8</f>
        <v/>
      </c>
      <c r="L8" t="n">
        <v>0.9680603878238587</v>
      </c>
      <c r="M8">
        <f>(L9-2*L8+L7)^2</f>
        <v/>
      </c>
      <c r="N8" s="5">
        <f>K8-L8</f>
        <v/>
      </c>
    </row>
    <row r="9">
      <c r="C9" t="n">
        <v>2005</v>
      </c>
      <c r="D9" s="19">
        <f>PWT!B7</f>
        <v/>
      </c>
      <c r="E9" t="n">
        <v>7.551392300157318</v>
      </c>
      <c r="F9">
        <f>LN(D9)</f>
        <v/>
      </c>
      <c r="G9">
        <f>LN(E9)</f>
        <v/>
      </c>
      <c r="K9" s="4">
        <f>G9-$B$1*F9</f>
        <v/>
      </c>
      <c r="L9" t="n">
        <v>1.012110971192153</v>
      </c>
      <c r="M9">
        <f>(L10-2*L9+L8)^2</f>
        <v/>
      </c>
      <c r="N9" s="5">
        <f>K9-L9</f>
        <v/>
      </c>
    </row>
    <row r="10">
      <c r="C10" t="n">
        <v>2006</v>
      </c>
      <c r="D10" s="19">
        <f>PWT!B8</f>
        <v/>
      </c>
      <c r="E10" t="n">
        <v>8.262733454832137</v>
      </c>
      <c r="F10">
        <f>LN(D10)</f>
        <v/>
      </c>
      <c r="G10">
        <f>LN(E10)</f>
        <v/>
      </c>
      <c r="K10" s="4">
        <f>G10-$B$1*F10</f>
        <v/>
      </c>
      <c r="L10" t="n">
        <v>1.054209085467463</v>
      </c>
      <c r="M10">
        <f>(L11-2*L10+L9)^2</f>
        <v/>
      </c>
      <c r="N10" s="5">
        <f>K10-L10</f>
        <v/>
      </c>
    </row>
    <row r="11">
      <c r="C11" t="n">
        <v>2007</v>
      </c>
      <c r="D11" s="19">
        <f>PWT!B9</f>
        <v/>
      </c>
      <c r="E11" t="n">
        <v>9.302185323450018</v>
      </c>
      <c r="F11">
        <f>LN(D11)</f>
        <v/>
      </c>
      <c r="G11">
        <f>LN(E11)</f>
        <v/>
      </c>
      <c r="K11" s="4">
        <f>G11-$B$1*F11</f>
        <v/>
      </c>
      <c r="L11" t="n">
        <v>1.093574850137667</v>
      </c>
      <c r="M11">
        <f>(L12-2*L11+L10)^2</f>
        <v/>
      </c>
      <c r="N11" s="5">
        <f>K11-L11</f>
        <v/>
      </c>
    </row>
    <row r="12">
      <c r="C12" t="n">
        <v>2008</v>
      </c>
      <c r="D12" s="19">
        <f>PWT!B10</f>
        <v/>
      </c>
      <c r="E12" t="n">
        <v>9.527298208277509</v>
      </c>
      <c r="F12">
        <f>LN(D12)</f>
        <v/>
      </c>
      <c r="G12">
        <f>LN(E12)</f>
        <v/>
      </c>
      <c r="K12" s="4">
        <f>G12-$B$1*F12</f>
        <v/>
      </c>
      <c r="L12" t="n">
        <v>1.129729798892346</v>
      </c>
      <c r="M12">
        <f>(L13-2*L12+L11)^2</f>
        <v/>
      </c>
      <c r="N12" s="5">
        <f>K12-L12</f>
        <v/>
      </c>
    </row>
    <row r="13">
      <c r="C13" t="n">
        <v>2009</v>
      </c>
      <c r="D13" s="19">
        <f>PWT!B11</f>
        <v/>
      </c>
      <c r="E13" t="n">
        <v>9.17955182367538</v>
      </c>
      <c r="F13">
        <f>LN(D13)</f>
        <v/>
      </c>
      <c r="G13">
        <f>LN(E13)</f>
        <v/>
      </c>
      <c r="K13" s="4">
        <f>G13-$B$1*F13</f>
        <v/>
      </c>
      <c r="L13" t="n">
        <v>1.163039915106202</v>
      </c>
      <c r="M13">
        <f>(L14-2*L13+L12)^2</f>
        <v/>
      </c>
      <c r="N13" s="5">
        <f>K13-L13</f>
        <v/>
      </c>
    </row>
    <row r="14">
      <c r="C14" t="n">
        <v>2010</v>
      </c>
      <c r="D14" s="19">
        <f>PWT!B12</f>
        <v/>
      </c>
      <c r="E14" t="n">
        <v>9.753273812655092</v>
      </c>
      <c r="F14">
        <f>LN(D14)</f>
        <v/>
      </c>
      <c r="G14">
        <f>LN(E14)</f>
        <v/>
      </c>
      <c r="K14" s="4">
        <f>G14-$B$1*F14</f>
        <v/>
      </c>
      <c r="L14" t="n">
        <v>1.194363497112216</v>
      </c>
      <c r="M14">
        <f>(L15-2*L14+L13)^2</f>
        <v/>
      </c>
      <c r="N14" s="5">
        <f>K14-L14</f>
        <v/>
      </c>
    </row>
    <row r="15">
      <c r="C15" t="n">
        <v>2011</v>
      </c>
      <c r="D15" s="19">
        <f>PWT!B13</f>
        <v/>
      </c>
      <c r="E15" t="n">
        <v>10.52670842599864</v>
      </c>
      <c r="F15">
        <f>LN(D15)</f>
        <v/>
      </c>
      <c r="G15">
        <f>LN(E15)</f>
        <v/>
      </c>
      <c r="K15" s="4">
        <f>G15-$B$1*F15</f>
        <v/>
      </c>
      <c r="L15" t="n">
        <v>1.224154464884517</v>
      </c>
      <c r="M15">
        <f>(L16-2*L15+L14)^2</f>
        <v/>
      </c>
      <c r="N15" s="5">
        <f>K15-L15</f>
        <v/>
      </c>
    </row>
    <row r="16">
      <c r="C16" t="n">
        <v>2012</v>
      </c>
      <c r="D16" s="19">
        <f>PWT!B14</f>
        <v/>
      </c>
      <c r="E16" t="n">
        <v>11.21936584042935</v>
      </c>
      <c r="F16">
        <f>LN(D16)</f>
        <v/>
      </c>
      <c r="G16">
        <f>LN(E16)</f>
        <v/>
      </c>
      <c r="K16" s="4">
        <f>G16-$B$1*F16</f>
        <v/>
      </c>
      <c r="L16" t="n">
        <v>1.2525615453223</v>
      </c>
      <c r="M16">
        <f>(L17-2*L16+L15)^2</f>
        <v/>
      </c>
      <c r="N16" s="5">
        <f>K16-L16</f>
        <v/>
      </c>
    </row>
    <row r="17">
      <c r="C17" t="n">
        <v>2013</v>
      </c>
      <c r="D17" s="19">
        <f>PWT!B15</f>
        <v/>
      </c>
      <c r="E17" t="n">
        <v>11.79491930804338</v>
      </c>
      <c r="F17">
        <f>LN(D17)</f>
        <v/>
      </c>
      <c r="G17">
        <f>LN(E17)</f>
        <v/>
      </c>
      <c r="K17" s="4">
        <f>G17-$B$1*F17</f>
        <v/>
      </c>
      <c r="L17" t="n">
        <v>1.279692180805814</v>
      </c>
      <c r="M17">
        <f>(L18-2*L17+L16)^2</f>
        <v/>
      </c>
      <c r="N17" s="5">
        <f>K17-L17</f>
        <v/>
      </c>
    </row>
    <row r="18">
      <c r="C18" t="n">
        <v>2014</v>
      </c>
      <c r="D18" s="19">
        <f>PWT!B16</f>
        <v/>
      </c>
      <c r="E18" t="n">
        <v>12.27733150774235</v>
      </c>
      <c r="F18">
        <f>LN(D18)</f>
        <v/>
      </c>
      <c r="G18">
        <f>LN(E18)</f>
        <v/>
      </c>
      <c r="K18" s="4">
        <f>G18-$B$1*F18</f>
        <v/>
      </c>
      <c r="L18" t="n">
        <v>1.305762159974856</v>
      </c>
      <c r="M18">
        <f>(L19-2*L18+L17)^2</f>
        <v/>
      </c>
      <c r="N18" s="5">
        <f>K18-L18</f>
        <v/>
      </c>
    </row>
    <row r="19">
      <c r="C19" t="n">
        <v>2015</v>
      </c>
      <c r="D19" s="19">
        <f>PWT!B17</f>
        <v/>
      </c>
      <c r="E19" t="n">
        <v>12.68862211325172</v>
      </c>
      <c r="F19">
        <f>LN(D19)</f>
        <v/>
      </c>
      <c r="G19">
        <f>LN(E19)</f>
        <v/>
      </c>
      <c r="K19" s="4">
        <f>G19-$B$1*F19</f>
        <v/>
      </c>
      <c r="L19" t="n">
        <v>1.33112397074588</v>
      </c>
      <c r="M19">
        <f>(L20-2*L19+L18)^2</f>
        <v/>
      </c>
      <c r="N19" s="5">
        <f>K19-L19</f>
        <v/>
      </c>
    </row>
    <row r="20">
      <c r="C20" t="n">
        <v>2016</v>
      </c>
      <c r="D20" s="19">
        <f>PWT!B18</f>
        <v/>
      </c>
      <c r="E20" t="n">
        <v>13.1263795761589</v>
      </c>
      <c r="F20">
        <f>LN(D20)</f>
        <v/>
      </c>
      <c r="G20">
        <f>LN(E20)</f>
        <v/>
      </c>
      <c r="K20" s="4">
        <f>G20-$B$1*F20</f>
        <v/>
      </c>
      <c r="L20" t="n">
        <v>1.356212502197434</v>
      </c>
      <c r="M20">
        <f>(L21-2*L20+L19)^2</f>
        <v/>
      </c>
      <c r="N20" s="5">
        <f>K20-L20</f>
        <v/>
      </c>
    </row>
    <row r="21">
      <c r="C21" t="n">
        <v>2017</v>
      </c>
      <c r="D21" s="19">
        <f>PWT!B19</f>
        <v/>
      </c>
      <c r="E21" t="n">
        <v>13.8037007622887</v>
      </c>
      <c r="F21">
        <f>LN(D21)</f>
        <v/>
      </c>
      <c r="G21">
        <f>LN(E21)</f>
        <v/>
      </c>
      <c r="K21" s="4">
        <f>G21-$B$1*F21</f>
        <v/>
      </c>
      <c r="L21" t="n">
        <v>1.381434419744226</v>
      </c>
      <c r="M21">
        <f>(L22-2*L21+L20)^2</f>
        <v/>
      </c>
      <c r="N21" s="5">
        <f>K21-L21</f>
        <v/>
      </c>
    </row>
    <row r="22">
      <c r="C22" t="n">
        <v>2018</v>
      </c>
      <c r="D22" s="19">
        <f>PWT!B20</f>
        <v/>
      </c>
      <c r="E22" t="n">
        <v>14.6402050284834</v>
      </c>
      <c r="F22">
        <f>LN(D22)</f>
        <v/>
      </c>
      <c r="G22">
        <f>LN(E22)</f>
        <v/>
      </c>
      <c r="K22" s="4">
        <f>G22-$B$1*F22</f>
        <v/>
      </c>
      <c r="L22" t="n">
        <v>1.407076618842469</v>
      </c>
      <c r="M22">
        <f>(L23-2*L22+L21)^2</f>
        <v/>
      </c>
      <c r="N22" s="5">
        <f>K22-L22</f>
        <v/>
      </c>
    </row>
    <row r="23">
      <c r="C23" t="n">
        <v>2019</v>
      </c>
      <c r="D23" s="19">
        <f>PWT!B21</f>
        <v/>
      </c>
      <c r="E23" t="n">
        <v>15.42784805901581</v>
      </c>
      <c r="F23">
        <f>LN(D23)</f>
        <v/>
      </c>
      <c r="G23">
        <f>LN(E23)</f>
        <v/>
      </c>
      <c r="K23" s="4">
        <f>G23-$B$1*F23</f>
        <v/>
      </c>
      <c r="L23" t="n">
        <v>1.433377656380877</v>
      </c>
      <c r="M23">
        <f>(L24-2*L23+L22)^2</f>
        <v/>
      </c>
      <c r="N23" s="5">
        <f>K23-L23</f>
        <v/>
      </c>
    </row>
    <row r="24">
      <c r="C24" t="n">
        <v>2020</v>
      </c>
      <c r="D24" s="19">
        <f>PWT!B22</f>
        <v/>
      </c>
      <c r="E24" t="n">
        <v>14.45743641610371</v>
      </c>
      <c r="F24">
        <f>LN(D24)</f>
        <v/>
      </c>
      <c r="G24">
        <f>LN(E24)</f>
        <v/>
      </c>
      <c r="K24" s="4">
        <f>G24-$B$1*F24</f>
        <v/>
      </c>
      <c r="L24" t="n">
        <v>1.460677612193789</v>
      </c>
      <c r="M24">
        <f>(L25-2*L24+L23)^2</f>
        <v/>
      </c>
      <c r="N24" s="5">
        <f>K24-L24</f>
        <v/>
      </c>
    </row>
    <row r="25">
      <c r="C25" t="n">
        <v>2021</v>
      </c>
      <c r="D25" s="19">
        <f>PWT!B23</f>
        <v/>
      </c>
      <c r="E25" t="n">
        <v>15.99570765077715</v>
      </c>
      <c r="F25">
        <f>LN(D25)</f>
        <v/>
      </c>
      <c r="G25">
        <f>LN(E25)</f>
        <v/>
      </c>
      <c r="K25" s="4">
        <f>G25-$B$1*F25</f>
        <v/>
      </c>
      <c r="L25" t="n">
        <v>1.489496909078171</v>
      </c>
      <c r="M25">
        <f>(L26-2*L25+L24)^2</f>
        <v/>
      </c>
      <c r="N25" s="5">
        <f>K25-L25</f>
        <v/>
      </c>
    </row>
    <row r="26">
      <c r="C26" t="n">
        <v>2022</v>
      </c>
      <c r="D26" s="19">
        <f>PWT!B24</f>
        <v/>
      </c>
      <c r="E26" t="n">
        <v>17.74883720930232</v>
      </c>
      <c r="F26">
        <f>LN(D26)</f>
        <v/>
      </c>
      <c r="G26">
        <f>LN(E26)</f>
        <v/>
      </c>
      <c r="K26" s="4">
        <f>G26-$B$1*F26</f>
        <v/>
      </c>
      <c r="L26" t="n">
        <v>1.519469622852425</v>
      </c>
      <c r="M26">
        <f>(L27-2*L26+L25)^2</f>
        <v/>
      </c>
      <c r="N26" s="5">
        <f>K26-L26</f>
        <v/>
      </c>
    </row>
    <row r="27">
      <c r="C27" t="n">
        <v>2023</v>
      </c>
      <c r="D27" s="19">
        <f>PWT!B25</f>
        <v/>
      </c>
      <c r="E27" t="n">
        <v>19.08</v>
      </c>
      <c r="F27">
        <f>LN(D27)</f>
        <v/>
      </c>
      <c r="G27">
        <f>LN(E27)</f>
        <v/>
      </c>
      <c r="K27" s="6">
        <f>G27-$B$1*F27</f>
        <v/>
      </c>
      <c r="L27" s="7" t="n">
        <v>1.549903321435294</v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B36" t="n">
        <v>2002</v>
      </c>
      <c r="C36" t="n">
        <v>2002</v>
      </c>
      <c r="D36">
        <f>PWT!B4</f>
        <v/>
      </c>
      <c r="E36" s="19">
        <f>WEO_Data!G4</f>
        <v/>
      </c>
      <c r="G36" t="n">
        <v>0.8772092391684887</v>
      </c>
      <c r="H36">
        <f>EXP(G36+$B$1*LN(D36))</f>
        <v/>
      </c>
      <c r="I36">
        <f>IFERROR(VLOOKUP(B36, Investment!$B:$C, 2, FALSE), 0)</f>
        <v/>
      </c>
      <c r="J36">
        <f>I36</f>
        <v/>
      </c>
      <c r="K36" s="19">
        <f>D36+J36</f>
        <v/>
      </c>
      <c r="L36">
        <f>EXP(G36+$B$1*LN(K36))</f>
        <v/>
      </c>
    </row>
    <row r="37">
      <c r="B37" t="n">
        <v>2003</v>
      </c>
      <c r="C37" t="n">
        <v>2003</v>
      </c>
      <c r="D37">
        <f>PWT!B5</f>
        <v/>
      </c>
      <c r="E37" s="19">
        <f>WEO_Data!H4</f>
        <v/>
      </c>
      <c r="G37" t="n">
        <v>0.9228865489158774</v>
      </c>
      <c r="H37">
        <f>EXP(G37+$B$1*LN(D37))</f>
        <v/>
      </c>
      <c r="I37">
        <f>IFERROR(VLOOKUP(B37, Investment!$B:$C, 2, FALSE), 0)</f>
        <v/>
      </c>
      <c r="J37">
        <f>(1-$B$3)*J36+I37</f>
        <v/>
      </c>
      <c r="K37" s="19">
        <f>D37+J37</f>
        <v/>
      </c>
      <c r="L37">
        <f>EXP(G37+$B$1*LN(K37))</f>
        <v/>
      </c>
    </row>
    <row r="38">
      <c r="B38" t="n">
        <v>2004</v>
      </c>
      <c r="C38" t="n">
        <v>2004</v>
      </c>
      <c r="D38">
        <f>PWT!B6</f>
        <v/>
      </c>
      <c r="E38" s="19">
        <f>WEO_Data!I4</f>
        <v/>
      </c>
      <c r="G38" t="n">
        <v>0.9680603878238587</v>
      </c>
      <c r="H38">
        <f>EXP(G38+$B$1*LN(D38))</f>
        <v/>
      </c>
      <c r="I38">
        <f>IFERROR(VLOOKUP(B38, Investment!$B:$C, 2, FALSE), 0)</f>
        <v/>
      </c>
      <c r="J38">
        <f>(1-$B$3)*J37+I38</f>
        <v/>
      </c>
      <c r="K38" s="19">
        <f>D38+J38</f>
        <v/>
      </c>
      <c r="L38">
        <f>EXP(G38+$B$1*LN(K38))</f>
        <v/>
      </c>
    </row>
    <row r="39">
      <c r="B39" t="n">
        <v>2005</v>
      </c>
      <c r="C39" t="n">
        <v>2005</v>
      </c>
      <c r="D39">
        <f>PWT!B7</f>
        <v/>
      </c>
      <c r="E39" s="19">
        <f>WEO_Data!J4</f>
        <v/>
      </c>
      <c r="G39" t="n">
        <v>1.012110971192153</v>
      </c>
      <c r="H39">
        <f>EXP(G39+$B$1*LN(D39))</f>
        <v/>
      </c>
      <c r="I39">
        <f>IFERROR(VLOOKUP(B39, Investment!$B:$C, 2, FALSE), 0)</f>
        <v/>
      </c>
      <c r="J39">
        <f>(1-$B$3)*J38+I39</f>
        <v/>
      </c>
      <c r="K39" s="19">
        <f>D39+J39</f>
        <v/>
      </c>
      <c r="L39">
        <f>EXP(G39+$B$1*LN(K39))</f>
        <v/>
      </c>
    </row>
    <row r="40">
      <c r="B40" t="n">
        <v>2006</v>
      </c>
      <c r="C40" t="n">
        <v>2006</v>
      </c>
      <c r="D40">
        <f>PWT!B8</f>
        <v/>
      </c>
      <c r="E40" s="19">
        <f>WEO_Data!K4</f>
        <v/>
      </c>
      <c r="G40" t="n">
        <v>1.054209085467463</v>
      </c>
      <c r="H40">
        <f>EXP(G40+$B$1*LN(D40))</f>
        <v/>
      </c>
      <c r="I40">
        <f>IFERROR(VLOOKUP(B40, Investment!$B:$C, 2, FALSE), 0)</f>
        <v/>
      </c>
      <c r="J40">
        <f>(1-$B$3)*J39+I40</f>
        <v/>
      </c>
      <c r="K40" s="19">
        <f>D40+J40</f>
        <v/>
      </c>
      <c r="L40">
        <f>EXP(G40+$B$1*LN(K40))</f>
        <v/>
      </c>
    </row>
    <row r="41">
      <c r="B41" t="n">
        <v>2007</v>
      </c>
      <c r="C41" t="n">
        <v>2007</v>
      </c>
      <c r="D41">
        <f>PWT!B9</f>
        <v/>
      </c>
      <c r="E41" s="19">
        <f>WEO_Data!L4</f>
        <v/>
      </c>
      <c r="G41" t="n">
        <v>1.093574850137667</v>
      </c>
      <c r="H41">
        <f>EXP(G41+$B$1*LN(D41))</f>
        <v/>
      </c>
      <c r="I41">
        <f>IFERROR(VLOOKUP(B41, Investment!$B:$C, 2, FALSE), 0)</f>
        <v/>
      </c>
      <c r="J41">
        <f>(1-$B$3)*J40+I41</f>
        <v/>
      </c>
      <c r="K41" s="19">
        <f>D41+J41</f>
        <v/>
      </c>
      <c r="L41">
        <f>EXP(G41+$B$1*LN(K41))</f>
        <v/>
      </c>
    </row>
    <row r="42">
      <c r="B42" t="n">
        <v>2008</v>
      </c>
      <c r="C42" t="n">
        <v>2008</v>
      </c>
      <c r="D42">
        <f>PWT!B10</f>
        <v/>
      </c>
      <c r="E42" s="19">
        <f>WEO_Data!M4</f>
        <v/>
      </c>
      <c r="G42" t="n">
        <v>1.129729798892346</v>
      </c>
      <c r="H42">
        <f>EXP(G42+$B$1*LN(D42))</f>
        <v/>
      </c>
      <c r="I42">
        <f>IFERROR(VLOOKUP(B42, Investment!$B:$C, 2, FALSE), 0)</f>
        <v/>
      </c>
      <c r="J42">
        <f>(1-$B$3)*J41+I42</f>
        <v/>
      </c>
      <c r="K42" s="19">
        <f>D42+J42</f>
        <v/>
      </c>
      <c r="L42">
        <f>EXP(G42+$B$1*LN(K42))</f>
        <v/>
      </c>
    </row>
    <row r="43">
      <c r="B43" t="n">
        <v>2009</v>
      </c>
      <c r="C43" t="n">
        <v>2009</v>
      </c>
      <c r="D43">
        <f>PWT!B11</f>
        <v/>
      </c>
      <c r="E43" s="19">
        <f>WEO_Data!N4</f>
        <v/>
      </c>
      <c r="G43" t="n">
        <v>1.163039915106202</v>
      </c>
      <c r="H43">
        <f>EXP(G43+$B$1*LN(D43))</f>
        <v/>
      </c>
      <c r="I43">
        <f>IFERROR(VLOOKUP(B43, Investment!$B:$C, 2, FALSE), 0)</f>
        <v/>
      </c>
      <c r="J43">
        <f>(1-$B$3)*J42+I43</f>
        <v/>
      </c>
      <c r="K43" s="19">
        <f>D43+J43</f>
        <v/>
      </c>
      <c r="L43">
        <f>EXP(G43+$B$1*LN(K43))</f>
        <v/>
      </c>
    </row>
    <row r="44">
      <c r="B44" t="n">
        <v>2010</v>
      </c>
      <c r="C44" t="n">
        <v>2010</v>
      </c>
      <c r="D44">
        <f>PWT!B12</f>
        <v/>
      </c>
      <c r="E44" s="19">
        <f>WEO_Data!O4</f>
        <v/>
      </c>
      <c r="G44" t="n">
        <v>1.194363497112216</v>
      </c>
      <c r="H44">
        <f>EXP(G44+$B$1*LN(D44))</f>
        <v/>
      </c>
      <c r="I44">
        <f>IFERROR(VLOOKUP(B44, Investment!$B:$C, 2, FALSE), 0)</f>
        <v/>
      </c>
      <c r="J44">
        <f>(1-$B$3)*J43+I44</f>
        <v/>
      </c>
      <c r="K44" s="19">
        <f>D44+J44</f>
        <v/>
      </c>
      <c r="L44">
        <f>EXP(G44+$B$1*LN(K44))</f>
        <v/>
      </c>
    </row>
    <row r="45">
      <c r="B45" t="n">
        <v>2011</v>
      </c>
      <c r="C45" t="n">
        <v>2011</v>
      </c>
      <c r="D45">
        <f>PWT!B13</f>
        <v/>
      </c>
      <c r="E45" s="19">
        <f>WEO_Data!P4</f>
        <v/>
      </c>
      <c r="G45" t="n">
        <v>1.224154464884517</v>
      </c>
      <c r="H45">
        <f>EXP(G45+$B$1*LN(D45))</f>
        <v/>
      </c>
      <c r="I45">
        <f>IFERROR(VLOOKUP(B45, Investment!$B:$C, 2, FALSE), 0)</f>
        <v/>
      </c>
      <c r="J45">
        <f>(1-$B$3)*J44+I45</f>
        <v/>
      </c>
      <c r="K45" s="19">
        <f>D45+J45</f>
        <v/>
      </c>
      <c r="L45">
        <f>EXP(G45+$B$1*LN(K45))</f>
        <v/>
      </c>
    </row>
    <row r="46">
      <c r="B46" t="n">
        <v>2012</v>
      </c>
      <c r="C46" t="n">
        <v>2012</v>
      </c>
      <c r="D46">
        <f>PWT!B14</f>
        <v/>
      </c>
      <c r="E46" s="19">
        <f>WEO_Data!Q4</f>
        <v/>
      </c>
      <c r="G46" t="n">
        <v>1.2525615453223</v>
      </c>
      <c r="H46">
        <f>EXP(G46+$B$1*LN(D46))</f>
        <v/>
      </c>
      <c r="I46">
        <f>IFERROR(VLOOKUP(B46, Investment!$B:$C, 2, FALSE), 0)</f>
        <v/>
      </c>
      <c r="J46">
        <f>(1-$B$3)*J45+I46</f>
        <v/>
      </c>
      <c r="K46" s="19">
        <f>D46+J46</f>
        <v/>
      </c>
      <c r="L46">
        <f>EXP(G46+$B$1*LN(K46))</f>
        <v/>
      </c>
    </row>
    <row r="47">
      <c r="B47" t="n">
        <v>2013</v>
      </c>
      <c r="C47" t="n">
        <v>2013</v>
      </c>
      <c r="D47">
        <f>PWT!B15</f>
        <v/>
      </c>
      <c r="E47" s="19">
        <f>WEO_Data!R4</f>
        <v/>
      </c>
      <c r="G47" t="n">
        <v>1.279692180805814</v>
      </c>
      <c r="H47">
        <f>EXP(G47+$B$1*LN(D47))</f>
        <v/>
      </c>
      <c r="I47">
        <f>IFERROR(VLOOKUP(B47, Investment!$B:$C, 2, FALSE), 0)</f>
        <v/>
      </c>
      <c r="J47">
        <f>(1-$B$3)*J46+I47</f>
        <v/>
      </c>
      <c r="K47" s="19">
        <f>D47+J47</f>
        <v/>
      </c>
      <c r="L47">
        <f>EXP(G47+$B$1*LN(K47))</f>
        <v/>
      </c>
    </row>
    <row r="48">
      <c r="B48" t="n">
        <v>2014</v>
      </c>
      <c r="C48" t="n">
        <v>2014</v>
      </c>
      <c r="D48">
        <f>PWT!B16</f>
        <v/>
      </c>
      <c r="E48" s="19">
        <f>WEO_Data!S4</f>
        <v/>
      </c>
      <c r="G48" t="n">
        <v>1.305762159974856</v>
      </c>
      <c r="H48">
        <f>EXP(G48+$B$1*LN(D48))</f>
        <v/>
      </c>
      <c r="I48">
        <f>IFERROR(VLOOKUP(B48, Investment!$B:$C, 2, FALSE), 0)</f>
        <v/>
      </c>
      <c r="J48">
        <f>(1-$B$3)*J47+I48</f>
        <v/>
      </c>
      <c r="K48" s="19">
        <f>D48+J48</f>
        <v/>
      </c>
      <c r="L48">
        <f>EXP(G48+$B$1*LN(K48))</f>
        <v/>
      </c>
    </row>
    <row r="49">
      <c r="B49" t="n">
        <v>2015</v>
      </c>
      <c r="C49" t="n">
        <v>2015</v>
      </c>
      <c r="D49">
        <f>PWT!B17</f>
        <v/>
      </c>
      <c r="E49" s="19">
        <f>WEO_Data!T4</f>
        <v/>
      </c>
      <c r="G49" t="n">
        <v>1.33112397074588</v>
      </c>
      <c r="H49">
        <f>EXP(G49+$B$1*LN(D49))</f>
        <v/>
      </c>
      <c r="I49">
        <f>IFERROR(VLOOKUP(B49, Investment!$B:$C, 2, FALSE), 0)</f>
        <v/>
      </c>
      <c r="J49">
        <f>(1-$B$3)*J48+I49</f>
        <v/>
      </c>
      <c r="K49" s="19">
        <f>D49+J49</f>
        <v/>
      </c>
      <c r="L49">
        <f>EXP(G49+$B$1*LN(K49))</f>
        <v/>
      </c>
    </row>
    <row r="50">
      <c r="B50" t="n">
        <v>2016</v>
      </c>
      <c r="C50" t="n">
        <v>2016</v>
      </c>
      <c r="D50">
        <f>PWT!B18</f>
        <v/>
      </c>
      <c r="E50" s="19">
        <f>WEO_Data!U4</f>
        <v/>
      </c>
      <c r="G50" t="n">
        <v>1.356212502197434</v>
      </c>
      <c r="H50">
        <f>EXP(G50+$B$1*LN(D50))</f>
        <v/>
      </c>
      <c r="I50">
        <f>IFERROR(VLOOKUP(B50, Investment!$B:$C, 2, FALSE), 0)</f>
        <v/>
      </c>
      <c r="J50">
        <f>(1-$B$3)*J49+I50</f>
        <v/>
      </c>
      <c r="K50" s="19">
        <f>D50+J50</f>
        <v/>
      </c>
      <c r="L50">
        <f>EXP(G50+$B$1*LN(K50))</f>
        <v/>
      </c>
    </row>
    <row r="51">
      <c r="B51" t="n">
        <v>2017</v>
      </c>
      <c r="C51" t="n">
        <v>2017</v>
      </c>
      <c r="D51">
        <f>PWT!B19</f>
        <v/>
      </c>
      <c r="E51" s="19">
        <f>WEO_Data!V4</f>
        <v/>
      </c>
      <c r="G51" t="n">
        <v>1.381434419744226</v>
      </c>
      <c r="H51">
        <f>EXP(G51+$B$1*LN(D51))</f>
        <v/>
      </c>
      <c r="I51">
        <f>IFERROR(VLOOKUP(B51, Investment!$B:$C, 2, FALSE), 0)</f>
        <v/>
      </c>
      <c r="J51">
        <f>(1-$B$3)*J50+I51</f>
        <v/>
      </c>
      <c r="K51" s="19">
        <f>D51+J51</f>
        <v/>
      </c>
      <c r="L51">
        <f>EXP(G51+$B$1*LN(K51))</f>
        <v/>
      </c>
    </row>
    <row r="52">
      <c r="B52" t="n">
        <v>2018</v>
      </c>
      <c r="C52" t="n">
        <v>2018</v>
      </c>
      <c r="D52">
        <f>PWT!B20</f>
        <v/>
      </c>
      <c r="E52" s="19">
        <f>WEO_Data!W4</f>
        <v/>
      </c>
      <c r="G52" t="n">
        <v>1.407076618842469</v>
      </c>
      <c r="H52">
        <f>EXP(G52+$B$1*LN(D52))</f>
        <v/>
      </c>
      <c r="I52">
        <f>IFERROR(VLOOKUP(B52, Investment!$B:$C, 2, FALSE), 0)</f>
        <v/>
      </c>
      <c r="J52">
        <f>(1-$B$3)*J51+I52</f>
        <v/>
      </c>
      <c r="K52" s="19">
        <f>D52+J52</f>
        <v/>
      </c>
      <c r="L52">
        <f>EXP(G52+$B$1*LN(K52))</f>
        <v/>
      </c>
    </row>
    <row r="53">
      <c r="B53" t="n">
        <v>2019</v>
      </c>
      <c r="C53" t="n">
        <v>2019</v>
      </c>
      <c r="D53">
        <f>PWT!B21</f>
        <v/>
      </c>
      <c r="E53" s="19">
        <f>WEO_Data!X4</f>
        <v/>
      </c>
      <c r="G53" t="n">
        <v>1.433377656380877</v>
      </c>
      <c r="H53">
        <f>EXP(G53+$B$1*LN(D53))</f>
        <v/>
      </c>
      <c r="I53">
        <f>IFERROR(VLOOKUP(B53, Investment!$B:$C, 2, FALSE), 0)</f>
        <v/>
      </c>
      <c r="J53">
        <f>(1-$B$3)*J52+I53</f>
        <v/>
      </c>
      <c r="K53" s="19">
        <f>D53+J53</f>
        <v/>
      </c>
      <c r="L53">
        <f>EXP(G53+$B$1*LN(K53))</f>
        <v/>
      </c>
    </row>
    <row r="54">
      <c r="B54" t="n">
        <v>2020</v>
      </c>
      <c r="C54" t="n">
        <v>2020</v>
      </c>
      <c r="D54">
        <f>PWT!B22</f>
        <v/>
      </c>
      <c r="E54" s="19">
        <f>WEO_Data!Y4</f>
        <v/>
      </c>
      <c r="G54" t="n">
        <v>1.460677612193789</v>
      </c>
      <c r="H54">
        <f>EXP(G54+$B$1*LN(D54))</f>
        <v/>
      </c>
      <c r="I54">
        <f>IFERROR(VLOOKUP(B54, Investment!$B:$C, 2, FALSE), 0)</f>
        <v/>
      </c>
      <c r="J54">
        <f>(1-$B$3)*J53+I54</f>
        <v/>
      </c>
      <c r="K54" s="19">
        <f>D54+J54</f>
        <v/>
      </c>
      <c r="L54">
        <f>EXP(G54+$B$1*LN(K54))</f>
        <v/>
      </c>
    </row>
    <row r="55">
      <c r="B55" t="n">
        <v>2021</v>
      </c>
      <c r="C55" t="n">
        <v>2021</v>
      </c>
      <c r="D55">
        <f>PWT!B23</f>
        <v/>
      </c>
      <c r="E55" s="19">
        <f>WEO_Data!Z4</f>
        <v/>
      </c>
      <c r="G55" t="n">
        <v>1.489496909078171</v>
      </c>
      <c r="H55">
        <f>EXP(G55+$B$1*LN(D55))</f>
        <v/>
      </c>
      <c r="I55">
        <f>IFERROR(VLOOKUP(B55, Investment!$B:$C, 2, FALSE), 0)</f>
        <v/>
      </c>
      <c r="J55">
        <f>(1-$B$3)*J54+I55</f>
        <v/>
      </c>
      <c r="K55" s="19">
        <f>D55+J55</f>
        <v/>
      </c>
      <c r="L55">
        <f>EXP(G55+$B$1*LN(K55))</f>
        <v/>
      </c>
    </row>
    <row r="56">
      <c r="B56" t="n">
        <v>2022</v>
      </c>
      <c r="C56" t="n">
        <v>2022</v>
      </c>
      <c r="D56">
        <f>PWT!B24</f>
        <v/>
      </c>
      <c r="E56" s="19">
        <f>WEO_Data!AA4</f>
        <v/>
      </c>
      <c r="G56" t="n">
        <v>1.519469622852425</v>
      </c>
      <c r="H56">
        <f>EXP(G56+$B$1*LN(D56))</f>
        <v/>
      </c>
      <c r="I56">
        <f>IFERROR(VLOOKUP(B56, Investment!$B:$C, 2, FALSE), 0)</f>
        <v/>
      </c>
      <c r="J56">
        <f>(1-$B$3)*J55+I56</f>
        <v/>
      </c>
      <c r="K56" s="19">
        <f>D56+J56</f>
        <v/>
      </c>
      <c r="L56">
        <f>EXP(G56+$B$1*LN(K56))</f>
        <v/>
      </c>
    </row>
    <row r="57">
      <c r="B57" t="n">
        <v>2023</v>
      </c>
      <c r="C57" t="n">
        <v>2023</v>
      </c>
      <c r="D57">
        <f>PWT!B25</f>
        <v/>
      </c>
      <c r="E57" s="19">
        <f>WEO_Data!AB4</f>
        <v/>
      </c>
      <c r="G57" t="n">
        <v>1.549903321435294</v>
      </c>
      <c r="H57">
        <f>EXP(G57+$B$1*LN(D57))</f>
        <v/>
      </c>
      <c r="I57">
        <f>IFERROR(VLOOKUP(B57, Investment!$B:$C, 2, FALSE), 0)</f>
        <v/>
      </c>
      <c r="J57">
        <f>(1-$B$3)*J56+I57</f>
        <v/>
      </c>
      <c r="K57" s="19">
        <f>D57+J57</f>
        <v/>
      </c>
      <c r="L57">
        <f>EXP(G57+$B$1*LN(K57))</f>
        <v/>
      </c>
    </row>
    <row r="58">
      <c r="B58" t="n">
        <v>2024</v>
      </c>
      <c r="C58" t="n">
        <v>2024</v>
      </c>
      <c r="D58">
        <f>$B$4*E58</f>
        <v/>
      </c>
      <c r="E58" s="21">
        <f>WEO_Data!AC4</f>
        <v/>
      </c>
      <c r="G58" s="20">
        <f>TREND($G$36:$G$57, $B$36:$B$57, B58)</f>
        <v/>
      </c>
      <c r="H58">
        <f>EXP(G58+$B$1*LN(D58))</f>
        <v/>
      </c>
      <c r="I58">
        <f>IFERROR(VLOOKUP(B58, Investment!$B:$C, 2, FALSE), 0)</f>
        <v/>
      </c>
      <c r="J58">
        <f>(1-$B$3)*J57+I58</f>
        <v/>
      </c>
      <c r="K58" s="19">
        <f>D58+J58</f>
        <v/>
      </c>
      <c r="L58">
        <f>EXP(G58+$B$1*LN(K58))</f>
        <v/>
      </c>
    </row>
    <row r="59">
      <c r="B59" t="n">
        <v>2025</v>
      </c>
      <c r="C59" t="n">
        <v>2025</v>
      </c>
      <c r="D59">
        <f>$B$4*E59</f>
        <v/>
      </c>
      <c r="E59" s="21">
        <f>WEO_Data!AD4</f>
        <v/>
      </c>
      <c r="G59" s="20">
        <f>TREND($G$36:$G$57, $B$36:$B$57, B59)</f>
        <v/>
      </c>
      <c r="H59">
        <f>EXP(G59+$B$1*LN(D59))</f>
        <v/>
      </c>
      <c r="I59">
        <f>IFERROR(VLOOKUP(B59, Investment!$B:$C, 2, FALSE), 0)</f>
        <v/>
      </c>
      <c r="J59">
        <f>(1-$B$3)*J58+I59</f>
        <v/>
      </c>
      <c r="K59" s="19">
        <f>D59+J59</f>
        <v/>
      </c>
      <c r="L59">
        <f>EXP(G59+$B$1*LN(K59))</f>
        <v/>
      </c>
    </row>
    <row r="60">
      <c r="B60" t="n">
        <v>2026</v>
      </c>
      <c r="C60" t="n">
        <v>2026</v>
      </c>
      <c r="D60">
        <f>$B$4*E60</f>
        <v/>
      </c>
      <c r="E60" s="21">
        <f>WEO_Data!AE4</f>
        <v/>
      </c>
      <c r="F60" s="20" t="n"/>
      <c r="G60" s="20">
        <f>TREND($G$36:$G$57, $B$36:$B$57, B60)</f>
        <v/>
      </c>
      <c r="H60">
        <f>EXP(G60+$B$1*LN(D60))</f>
        <v/>
      </c>
      <c r="I60" s="17">
        <f>IFERROR(VLOOKUP(B60, Investment!$B:$C, 2, FALSE), 0)</f>
        <v/>
      </c>
      <c r="J60">
        <f>(1-$B$3)*J59+I60</f>
        <v/>
      </c>
      <c r="K60" s="19">
        <f>D60+J60</f>
        <v/>
      </c>
      <c r="L60">
        <f>EXP(G60+$B$1*LN(K60))</f>
        <v/>
      </c>
    </row>
    <row r="61">
      <c r="B61" t="n">
        <v>2027</v>
      </c>
      <c r="C61" t="n">
        <v>2027</v>
      </c>
      <c r="D61">
        <f>$B$4*E61</f>
        <v/>
      </c>
      <c r="E61" s="21">
        <f>WEO_Data!AF4</f>
        <v/>
      </c>
      <c r="F61" s="20" t="n"/>
      <c r="G61" s="20">
        <f>TREND($G$36:$G$57, $B$36:$B$57, B61)</f>
        <v/>
      </c>
      <c r="H61">
        <f>EXP(G61+$B$1*LN(D61))</f>
        <v/>
      </c>
      <c r="I61" s="17">
        <f>IFERROR(VLOOKUP(B61, Investment!$B:$C, 2, FALSE), 0)</f>
        <v/>
      </c>
      <c r="J61">
        <f>(1-$B$3)*J60+I61</f>
        <v/>
      </c>
      <c r="K61" s="19">
        <f>D61+J61</f>
        <v/>
      </c>
      <c r="L61">
        <f>EXP(G61+$B$1*LN(K61))</f>
        <v/>
      </c>
    </row>
    <row r="62">
      <c r="B62" t="n">
        <v>2028</v>
      </c>
      <c r="C62" t="n">
        <v>2028</v>
      </c>
      <c r="D62">
        <f>$B$4*E62</f>
        <v/>
      </c>
      <c r="E62" s="21">
        <f>WEO_Data!AG4</f>
        <v/>
      </c>
      <c r="F62" s="20" t="n"/>
      <c r="G62" s="20">
        <f>TREND($G$36:$G$57, $B$36:$B$57, B62)</f>
        <v/>
      </c>
      <c r="H62">
        <f>EXP(G62+$B$1*LN(D62))</f>
        <v/>
      </c>
      <c r="I62" s="17">
        <f>IFERROR(VLOOKUP(B62, Investment!$B:$C, 2, FALSE), 0)</f>
        <v/>
      </c>
      <c r="J62">
        <f>(1-$B$3)*J61+I62</f>
        <v/>
      </c>
      <c r="K62" s="19">
        <f>D62+J62</f>
        <v/>
      </c>
      <c r="L62">
        <f>EXP(G62+$B$1*LN(K62))</f>
        <v/>
      </c>
    </row>
    <row r="63">
      <c r="B63" t="n">
        <v>2029</v>
      </c>
      <c r="C63" t="n">
        <v>2029</v>
      </c>
      <c r="D63">
        <f>$B$4*E63</f>
        <v/>
      </c>
      <c r="E63" s="21">
        <f>WEO_Data!AH4</f>
        <v/>
      </c>
      <c r="F63" s="20" t="n"/>
      <c r="G63" s="20">
        <f>TREND($G$36:$G$57, $B$36:$B$57, B63)</f>
        <v/>
      </c>
      <c r="H63">
        <f>EXP(G63+$B$1*LN(D63))</f>
        <v/>
      </c>
      <c r="I63" s="17">
        <f>IFERROR(VLOOKUP(B63, Investment!$B:$C, 2, FALSE), 0)</f>
        <v/>
      </c>
      <c r="J63">
        <f>(1-$B$3)*J62+I63</f>
        <v/>
      </c>
      <c r="K63" s="19">
        <f>D63+J63</f>
        <v/>
      </c>
      <c r="L63">
        <f>EXP(G63+$B$1*LN(K63))</f>
        <v/>
      </c>
    </row>
    <row r="64">
      <c r="B64" t="n">
        <v>2030</v>
      </c>
      <c r="C64" t="n">
        <v>2030</v>
      </c>
      <c r="D64">
        <f>$B$4*E64</f>
        <v/>
      </c>
      <c r="E64" s="21">
        <f>WEO_Data!AI4</f>
        <v/>
      </c>
      <c r="F64" s="20" t="n"/>
      <c r="G64" s="20">
        <f>TREND($G$36:$G$57, $B$36:$B$57, B64)</f>
        <v/>
      </c>
      <c r="H64">
        <f>EXP(G64+$B$1*LN(D64))</f>
        <v/>
      </c>
      <c r="I64" s="17">
        <f>IFERROR(VLOOKUP(B64, Investment!$B:$C, 2, FALSE), 0)</f>
        <v/>
      </c>
      <c r="J64">
        <f>(1-$B$3)*J63+I64</f>
        <v/>
      </c>
      <c r="K64" s="19">
        <f>D64+J64</f>
        <v/>
      </c>
      <c r="L64">
        <f>EXP(G64+$B$1*LN(K64))</f>
        <v/>
      </c>
    </row>
    <row r="65">
      <c r="B65" t="n">
        <v>2031</v>
      </c>
      <c r="C65" t="n">
        <v>2031</v>
      </c>
      <c r="D65">
        <f>$B$4*E65</f>
        <v/>
      </c>
      <c r="E65" s="21">
        <f>WEO_Data!AJ4</f>
        <v/>
      </c>
      <c r="F65" s="20" t="n"/>
      <c r="G65" s="20">
        <f>TREND($G$36:$G$57, $B$36:$B$57, B65)</f>
        <v/>
      </c>
      <c r="H65">
        <f>EXP(G65+$B$1*LN(D65))</f>
        <v/>
      </c>
      <c r="I65" s="17">
        <f>IFERROR(VLOOKUP(B65, Investment!$B:$C, 2, FALSE), 0)</f>
        <v/>
      </c>
      <c r="J65">
        <f>(1-$B$3)*J64+I65</f>
        <v/>
      </c>
      <c r="K65" s="19">
        <f>D65+J65</f>
        <v/>
      </c>
      <c r="L65">
        <f>EXP(G65+$B$1*LN(K65))</f>
        <v/>
      </c>
    </row>
    <row r="66">
      <c r="B66" t="n">
        <v>2032</v>
      </c>
      <c r="C66" t="n">
        <v>2032</v>
      </c>
      <c r="D66">
        <f>$B$4*E66</f>
        <v/>
      </c>
      <c r="E66" s="21">
        <f>WEO_Data!AK4</f>
        <v/>
      </c>
      <c r="F66" s="20" t="n"/>
      <c r="G66" s="20">
        <f>TREND($G$36:$G$57, $B$36:$B$57, B66)</f>
        <v/>
      </c>
      <c r="H66">
        <f>EXP(G66+$B$1*LN(D66))</f>
        <v/>
      </c>
      <c r="I66" s="17">
        <f>IFERROR(VLOOKUP(B66, Investment!$B:$C, 2, FALSE), 0)</f>
        <v/>
      </c>
      <c r="J66">
        <f>(1-$B$3)*J65+I66</f>
        <v/>
      </c>
      <c r="K66" s="19">
        <f>D66+J66</f>
        <v/>
      </c>
      <c r="L66">
        <f>EXP(G66+$B$1*LN(K66))</f>
        <v/>
      </c>
    </row>
    <row r="67">
      <c r="B67" t="n">
        <v>2033</v>
      </c>
      <c r="C67" t="n">
        <v>2033</v>
      </c>
      <c r="D67">
        <f>$B$4*E67</f>
        <v/>
      </c>
      <c r="E67" s="21">
        <f>WEO_Data!AL4</f>
        <v/>
      </c>
      <c r="F67" s="20" t="n"/>
      <c r="G67" s="20">
        <f>TREND($G$36:$G$57, $B$36:$B$57, B67)</f>
        <v/>
      </c>
      <c r="H67">
        <f>EXP(G67+$B$1*LN(D67))</f>
        <v/>
      </c>
      <c r="I67" s="17">
        <f>IFERROR(VLOOKUP(B67, Investment!$B:$C, 2, FALSE), 0)</f>
        <v/>
      </c>
      <c r="J67">
        <f>(1-$B$3)*J66+I67</f>
        <v/>
      </c>
      <c r="K67" s="19">
        <f>D67+J67</f>
        <v/>
      </c>
      <c r="L67">
        <f>EXP(G67+$B$1*LN(K67))</f>
        <v/>
      </c>
    </row>
    <row r="68">
      <c r="B68" t="n">
        <v>2034</v>
      </c>
      <c r="C68" t="n">
        <v>2034</v>
      </c>
      <c r="D68">
        <f>$B$4*E68</f>
        <v/>
      </c>
      <c r="E68" s="21">
        <f>WEO_Data!AM4</f>
        <v/>
      </c>
      <c r="F68" s="20" t="n"/>
      <c r="G68" s="20">
        <f>TREND($G$36:$G$57, $B$36:$B$57, B68)</f>
        <v/>
      </c>
      <c r="H68">
        <f>EXP(G68+$B$1*LN(D68))</f>
        <v/>
      </c>
      <c r="I68">
        <f>IFERROR(VLOOKUP(B68, Investment!$B:$C, 2, FALSE), 0)</f>
        <v/>
      </c>
      <c r="J68">
        <f>(1-$B$3)*J67+I68</f>
        <v/>
      </c>
      <c r="K68" s="19">
        <f>D68+J68</f>
        <v/>
      </c>
      <c r="L68">
        <f>EXP(G68+$B$1*LN(K68))</f>
        <v/>
      </c>
    </row>
    <row r="69">
      <c r="B69" t="n">
        <v>2035</v>
      </c>
      <c r="C69" t="n">
        <v>2035</v>
      </c>
      <c r="D69">
        <f>$B$4*E69</f>
        <v/>
      </c>
      <c r="E69" s="21">
        <f>WEO_Data!AN4</f>
        <v/>
      </c>
      <c r="F69" s="20" t="n"/>
      <c r="G69" s="20">
        <f>TREND($G$36:$G$57, $B$36:$B$57, B69)</f>
        <v/>
      </c>
      <c r="H69">
        <f>EXP(G69+$B$1*LN(D69))</f>
        <v/>
      </c>
      <c r="I69">
        <f>IFERROR(VLOOKUP(B69, Investment!$B:$C, 2, FALSE), 0)</f>
        <v/>
      </c>
      <c r="J69">
        <f>(1-$B$3)*J68+I69</f>
        <v/>
      </c>
      <c r="K69" s="19">
        <f>D69+J69</f>
        <v/>
      </c>
      <c r="L69">
        <f>EXP(G69+$B$1*LN(K69))</f>
        <v/>
      </c>
    </row>
    <row r="70">
      <c r="B70" t="n">
        <v>2036</v>
      </c>
      <c r="C70" t="n">
        <v>2036</v>
      </c>
      <c r="D70">
        <f>$B$4*E70</f>
        <v/>
      </c>
      <c r="E70" s="21">
        <f>WEO_Data!AO4</f>
        <v/>
      </c>
      <c r="F70" s="20" t="n"/>
      <c r="G70" s="20">
        <f>TREND($G$36:$G$57, $B$36:$B$57, B70)</f>
        <v/>
      </c>
      <c r="H70">
        <f>EXP(G70+$B$1*LN(D70))</f>
        <v/>
      </c>
      <c r="I70">
        <f>IFERROR(VLOOKUP(B70, Investment!$B:$C, 2, FALSE), 0)</f>
        <v/>
      </c>
      <c r="J70">
        <f>(1-$B$3)*J69+I70</f>
        <v/>
      </c>
      <c r="K70" s="19">
        <f>D70+J70</f>
        <v/>
      </c>
      <c r="L70">
        <f>EXP(G70+$B$1*LN(K70))</f>
        <v/>
      </c>
    </row>
    <row r="71">
      <c r="B71" t="n">
        <v>2037</v>
      </c>
      <c r="C71" t="n">
        <v>2037</v>
      </c>
      <c r="D71">
        <f>$B$4*E71</f>
        <v/>
      </c>
      <c r="E71" s="21">
        <f>WEO_Data!AP4</f>
        <v/>
      </c>
      <c r="F71" s="20" t="n"/>
      <c r="G71" s="20">
        <f>TREND($G$36:$G$57, $B$36:$B$57, B71)</f>
        <v/>
      </c>
      <c r="H71">
        <f>EXP(G71+$B$1*LN(D71))</f>
        <v/>
      </c>
      <c r="I71">
        <f>IFERROR(VLOOKUP(B71, Investment!$B:$C, 2, FALSE), 0)</f>
        <v/>
      </c>
      <c r="J71">
        <f>(1-$B$3)*J70+I71</f>
        <v/>
      </c>
      <c r="K71" s="19">
        <f>D71+J71</f>
        <v/>
      </c>
      <c r="L71">
        <f>EXP(G71+$B$1*LN(K71))</f>
        <v/>
      </c>
    </row>
    <row r="72">
      <c r="B72" t="n">
        <v>2038</v>
      </c>
      <c r="C72" t="n">
        <v>2038</v>
      </c>
      <c r="D72">
        <f>$B$4*E72</f>
        <v/>
      </c>
      <c r="E72" s="21">
        <f>WEO_Data!AQ4</f>
        <v/>
      </c>
      <c r="F72" s="20" t="n"/>
      <c r="G72" s="20">
        <f>TREND($G$36:$G$57, $B$36:$B$57, B72)</f>
        <v/>
      </c>
      <c r="H72">
        <f>EXP(G72+$B$1*LN(D72))</f>
        <v/>
      </c>
      <c r="I72">
        <f>IFERROR(VLOOKUP(B72, Investment!$B:$C, 2, FALSE), 0)</f>
        <v/>
      </c>
      <c r="J72">
        <f>(1-$B$3)*J71+I72</f>
        <v/>
      </c>
      <c r="K72" s="19">
        <f>D72+J72</f>
        <v/>
      </c>
      <c r="L72">
        <f>EXP(G72+$B$1*LN(K72))</f>
        <v/>
      </c>
    </row>
    <row r="73">
      <c r="B73" t="n">
        <v>2039</v>
      </c>
      <c r="C73" t="n">
        <v>2039</v>
      </c>
      <c r="D73">
        <f>$B$4*E73</f>
        <v/>
      </c>
      <c r="E73" s="21">
        <f>WEO_Data!AR4</f>
        <v/>
      </c>
      <c r="F73" s="20" t="n"/>
      <c r="G73" s="20">
        <f>TREND($G$36:$G$57, $B$36:$B$57, B73)</f>
        <v/>
      </c>
      <c r="H73">
        <f>EXP(G73+$B$1*LN(D73))</f>
        <v/>
      </c>
      <c r="I73">
        <f>IFERROR(VLOOKUP(B73, Investment!$B:$C, 2, FALSE), 0)</f>
        <v/>
      </c>
      <c r="J73">
        <f>(1-$B$3)*J72+I73</f>
        <v/>
      </c>
      <c r="K73" s="19">
        <f>D73+J73</f>
        <v/>
      </c>
      <c r="L73">
        <f>EXP(G73+$B$1*LN(K73))</f>
        <v/>
      </c>
    </row>
    <row r="74">
      <c r="B74" t="n">
        <v>2040</v>
      </c>
      <c r="C74" t="n">
        <v>2040</v>
      </c>
      <c r="D74">
        <f>$B$4*E74</f>
        <v/>
      </c>
      <c r="E74" s="21">
        <f>WEO_Data!AS4</f>
        <v/>
      </c>
      <c r="F74" s="20" t="n"/>
      <c r="G74" s="20">
        <f>TREND($G$36:$G$57, $B$36:$B$57, B74)</f>
        <v/>
      </c>
      <c r="H74">
        <f>EXP(G74+$B$1*LN(D74))</f>
        <v/>
      </c>
      <c r="I74">
        <f>IFERROR(VLOOKUP(B74, Investment!$B:$C, 2, FALSE), 0)</f>
        <v/>
      </c>
      <c r="J74">
        <f>(1-$B$3)*J73+I74</f>
        <v/>
      </c>
      <c r="K74" s="19">
        <f>D74+J74</f>
        <v/>
      </c>
      <c r="L74">
        <f>EXP(G74+$B$1*LN(K74))</f>
        <v/>
      </c>
    </row>
    <row r="75">
      <c r="B75" t="n">
        <v>2041</v>
      </c>
      <c r="C75" t="n">
        <v>2041</v>
      </c>
      <c r="D75">
        <f>$B$4*E75</f>
        <v/>
      </c>
      <c r="E75" s="21">
        <f>WEO_Data!AT4</f>
        <v/>
      </c>
      <c r="F75" s="20" t="n"/>
      <c r="G75" s="20">
        <f>TREND($G$36:$G$57, $B$36:$B$57, B75)</f>
        <v/>
      </c>
      <c r="H75">
        <f>EXP(G75+$B$1*LN(D75))</f>
        <v/>
      </c>
      <c r="I75">
        <f>IFERROR(VLOOKUP(B75, Investment!$B:$C, 2, FALSE), 0)</f>
        <v/>
      </c>
      <c r="J75">
        <f>(1-$B$3)*J74+I75</f>
        <v/>
      </c>
      <c r="K75" s="19">
        <f>D75+J75</f>
        <v/>
      </c>
      <c r="L75">
        <f>EXP(G75+$B$1*LN(K75))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2000</v>
      </c>
      <c r="C2" t="n">
        <v>0.5968630241026868</v>
      </c>
      <c r="D2" s="19">
        <f>PWT!B2</f>
        <v/>
      </c>
      <c r="E2">
        <f>C2/D2</f>
        <v/>
      </c>
    </row>
    <row r="3">
      <c r="A3" s="18" t="n">
        <v>35795</v>
      </c>
      <c r="B3" t="n">
        <v>2001</v>
      </c>
      <c r="C3" t="n">
        <v>0.629577086453755</v>
      </c>
      <c r="D3" s="19">
        <f>PWT!B3</f>
        <v/>
      </c>
      <c r="E3">
        <f>C3/D3</f>
        <v/>
      </c>
    </row>
    <row r="4">
      <c r="A4" s="18" t="n">
        <v>36160</v>
      </c>
      <c r="B4" t="n">
        <v>2002</v>
      </c>
      <c r="C4" t="n">
        <v>0.6640773252687941</v>
      </c>
      <c r="D4" s="19">
        <f>PWT!B4</f>
        <v/>
      </c>
      <c r="E4">
        <f>C4/D4</f>
        <v/>
      </c>
    </row>
    <row r="5">
      <c r="A5" s="18" t="n">
        <v>36525</v>
      </c>
      <c r="B5" t="n">
        <v>2003</v>
      </c>
      <c r="C5" t="n">
        <v>0.7041498398441139</v>
      </c>
      <c r="D5" s="19">
        <f>PWT!B5</f>
        <v/>
      </c>
      <c r="E5">
        <f>C5/D5</f>
        <v/>
      </c>
    </row>
    <row r="6">
      <c r="A6" s="18" t="n">
        <v>36891</v>
      </c>
      <c r="B6" t="n">
        <v>2004</v>
      </c>
      <c r="C6" t="n">
        <v>0.746461431141232</v>
      </c>
      <c r="D6" s="19">
        <f>PWT!B6</f>
        <v/>
      </c>
      <c r="E6">
        <f>C6/D6</f>
        <v/>
      </c>
    </row>
    <row r="7">
      <c r="A7" s="18" t="n">
        <v>37256</v>
      </c>
      <c r="B7" t="n">
        <v>2005</v>
      </c>
      <c r="C7" t="n">
        <v>0.7940915229609402</v>
      </c>
      <c r="D7" s="19">
        <f>PWT!B7</f>
        <v/>
      </c>
      <c r="E7">
        <f>C7/D7</f>
        <v/>
      </c>
    </row>
    <row r="8">
      <c r="A8" s="18" t="n">
        <v>37621</v>
      </c>
      <c r="B8" t="n">
        <v>2006</v>
      </c>
      <c r="C8" t="n">
        <v>0.8473426981797548</v>
      </c>
      <c r="D8" s="19">
        <f>PWT!B8</f>
        <v/>
      </c>
      <c r="E8">
        <f>C8/D8</f>
        <v/>
      </c>
    </row>
    <row r="9">
      <c r="A9" s="18" t="n">
        <v>37986</v>
      </c>
      <c r="B9" t="n">
        <v>2007</v>
      </c>
      <c r="C9" t="n">
        <v>0.9096251481595797</v>
      </c>
      <c r="D9" s="19">
        <f>PWT!B9</f>
        <v/>
      </c>
      <c r="E9">
        <f>C9/D9</f>
        <v/>
      </c>
    </row>
    <row r="10">
      <c r="A10" s="18" t="n">
        <v>38352</v>
      </c>
      <c r="B10" t="n">
        <v>2008</v>
      </c>
      <c r="C10" t="n">
        <v>0.9713259955947229</v>
      </c>
      <c r="D10" s="19">
        <f>PWT!B10</f>
        <v/>
      </c>
      <c r="E10">
        <f>C10/D10</f>
        <v/>
      </c>
    </row>
    <row r="11">
      <c r="A11" s="18" t="n">
        <v>38717</v>
      </c>
      <c r="B11" t="n">
        <v>2009</v>
      </c>
      <c r="C11" t="n">
        <v>1.026029653831335</v>
      </c>
      <c r="D11" s="19">
        <f>PWT!B11</f>
        <v/>
      </c>
      <c r="E11">
        <f>C11/D11</f>
        <v/>
      </c>
    </row>
    <row r="12">
      <c r="A12" s="18" t="n">
        <v>39082</v>
      </c>
      <c r="B12" t="n">
        <v>2010</v>
      </c>
      <c r="C12" t="n">
        <v>1.084452501532138</v>
      </c>
      <c r="D12" s="19">
        <f>PWT!B12</f>
        <v/>
      </c>
      <c r="E12">
        <f>C12/D12</f>
        <v/>
      </c>
    </row>
    <row r="13">
      <c r="A13" s="18" t="n">
        <v>39447</v>
      </c>
      <c r="B13" t="n">
        <v>2011</v>
      </c>
      <c r="C13" t="n">
        <v>1.148655346248015</v>
      </c>
      <c r="D13" s="19">
        <f>PWT!B13</f>
        <v/>
      </c>
      <c r="E13">
        <f>C13/D13</f>
        <v/>
      </c>
    </row>
    <row r="14">
      <c r="A14" s="18" t="n">
        <v>39813</v>
      </c>
      <c r="B14" t="n">
        <v>2012</v>
      </c>
      <c r="C14" t="n">
        <v>1.217440444640445</v>
      </c>
      <c r="D14" s="19">
        <f>PWT!B14</f>
        <v/>
      </c>
      <c r="E14">
        <f>C14/D14</f>
        <v/>
      </c>
    </row>
    <row r="15">
      <c r="A15" s="18" t="n">
        <v>40178</v>
      </c>
      <c r="B15" t="n">
        <v>2013</v>
      </c>
      <c r="C15" t="n">
        <v>1.28926126462391</v>
      </c>
      <c r="D15" s="19">
        <f>PWT!B15</f>
        <v/>
      </c>
      <c r="E15">
        <f>C15/D15</f>
        <v/>
      </c>
    </row>
    <row r="16">
      <c r="A16" s="18" t="n">
        <v>40543</v>
      </c>
      <c r="B16" t="n">
        <v>2014</v>
      </c>
      <c r="C16" t="n">
        <v>1.362918180854816</v>
      </c>
      <c r="D16" s="19">
        <f>PWT!B16</f>
        <v/>
      </c>
      <c r="E16">
        <f>C16/D16</f>
        <v/>
      </c>
    </row>
    <row r="17">
      <c r="A17" s="18" t="n">
        <v>40908</v>
      </c>
      <c r="B17" t="n">
        <v>2015</v>
      </c>
      <c r="C17" t="n">
        <v>1.437519270586157</v>
      </c>
      <c r="D17" s="19">
        <f>PWT!B17</f>
        <v/>
      </c>
      <c r="E17">
        <f>C17/D17</f>
        <v/>
      </c>
    </row>
    <row r="18">
      <c r="A18" s="18" t="n">
        <v>41274</v>
      </c>
      <c r="B18" t="n">
        <v>2016</v>
      </c>
      <c r="C18" t="n">
        <v>1.513315077288637</v>
      </c>
      <c r="D18" s="19">
        <f>PWT!B18</f>
        <v/>
      </c>
      <c r="E18">
        <f>C18/D18</f>
        <v/>
      </c>
    </row>
    <row r="19">
      <c r="A19" s="18" t="n">
        <v>41639</v>
      </c>
      <c r="B19" t="n">
        <v>2017</v>
      </c>
      <c r="C19" t="n">
        <v>1.592940956999953</v>
      </c>
      <c r="D19" s="19">
        <f>PWT!B19</f>
        <v/>
      </c>
      <c r="E19">
        <f>C19/D19</f>
        <v/>
      </c>
    </row>
    <row r="20">
      <c r="A20" s="18" t="n">
        <v>42004</v>
      </c>
      <c r="B20" t="n">
        <v>2018</v>
      </c>
      <c r="C20" t="n">
        <v>1.677996215720393</v>
      </c>
      <c r="D20" s="19">
        <f>PWT!B20</f>
        <v/>
      </c>
      <c r="E20">
        <f>C20/D20</f>
        <v/>
      </c>
    </row>
    <row r="21">
      <c r="A21" s="18" t="n">
        <v>42369</v>
      </c>
      <c r="B21" t="n">
        <v>2019</v>
      </c>
      <c r="C21" t="n">
        <v>1.767659695598301</v>
      </c>
      <c r="D21" s="19">
        <f>PWT!B21</f>
        <v/>
      </c>
      <c r="E21">
        <f>C21/D21</f>
        <v/>
      </c>
    </row>
    <row r="22">
      <c r="A22" s="18" t="n">
        <v>42735</v>
      </c>
      <c r="B22" t="n">
        <v>2020</v>
      </c>
      <c r="C22" t="n">
        <v>1.841922870499553</v>
      </c>
      <c r="D22" s="19">
        <f>PWT!B22</f>
        <v/>
      </c>
      <c r="E22">
        <f>C22/D22</f>
        <v/>
      </c>
    </row>
    <row r="23">
      <c r="A23" s="18" t="n">
        <v>43100</v>
      </c>
      <c r="B23" t="n">
        <v>2021</v>
      </c>
      <c r="C23" t="n">
        <v>1.929778438045818</v>
      </c>
      <c r="D23" s="19">
        <f>PWT!B23</f>
        <v/>
      </c>
      <c r="E23">
        <f>C23/D23</f>
        <v/>
      </c>
    </row>
    <row r="24">
      <c r="A24" s="18" t="n">
        <v>43465</v>
      </c>
      <c r="B24" t="n">
        <v>2022</v>
      </c>
      <c r="C24" t="n">
        <v>2.032963934748178</v>
      </c>
      <c r="D24" s="19">
        <f>PWT!B24</f>
        <v/>
      </c>
      <c r="E24">
        <f>C24/D24</f>
        <v/>
      </c>
    </row>
    <row r="25">
      <c r="A25" s="18" t="n">
        <v>43830</v>
      </c>
      <c r="B25" t="n">
        <v>2023</v>
      </c>
      <c r="C25" t="n">
        <v>2.145965738010769</v>
      </c>
      <c r="D25" s="19">
        <f>PWT!B25</f>
        <v/>
      </c>
      <c r="E25">
        <f>C25/D25</f>
        <v/>
      </c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2000</v>
      </c>
      <c r="B2" s="19" t="n">
        <v>13.26362275783749</v>
      </c>
    </row>
    <row r="3">
      <c r="A3" s="19" t="n">
        <v>2001</v>
      </c>
      <c r="B3" s="19" t="n">
        <v>13.99060192119456</v>
      </c>
    </row>
    <row r="4">
      <c r="A4" s="19" t="n">
        <v>2002</v>
      </c>
      <c r="B4" s="19" t="n">
        <v>14.75727389486209</v>
      </c>
    </row>
    <row r="5">
      <c r="A5" s="19" t="n">
        <v>2003</v>
      </c>
      <c r="B5" s="19" t="n">
        <v>15.64777421875809</v>
      </c>
    </row>
    <row r="6">
      <c r="A6" s="19" t="n">
        <v>2004</v>
      </c>
      <c r="B6" s="19" t="n">
        <v>16.58803180313849</v>
      </c>
    </row>
    <row r="7">
      <c r="A7" s="19" t="n">
        <v>2005</v>
      </c>
      <c r="B7" s="19" t="n">
        <v>17.64647828802089</v>
      </c>
    </row>
    <row r="8">
      <c r="A8" s="19" t="n">
        <v>2006</v>
      </c>
      <c r="B8" s="19" t="n">
        <v>18.82983773732789</v>
      </c>
    </row>
    <row r="9">
      <c r="A9" s="19" t="n">
        <v>2007</v>
      </c>
      <c r="B9" s="19" t="n">
        <v>20.213892181324</v>
      </c>
    </row>
    <row r="10">
      <c r="A10" s="19" t="n">
        <v>2008</v>
      </c>
      <c r="B10" s="19" t="n">
        <v>21.58502212432717</v>
      </c>
    </row>
    <row r="11">
      <c r="A11" s="19" t="n">
        <v>2009</v>
      </c>
      <c r="B11" s="19" t="n">
        <v>22.80065897402966</v>
      </c>
    </row>
    <row r="12">
      <c r="A12" s="19" t="n">
        <v>2010</v>
      </c>
      <c r="B12" s="19" t="n">
        <v>24.09894447849195</v>
      </c>
    </row>
    <row r="13">
      <c r="A13" s="19" t="n">
        <v>2011</v>
      </c>
      <c r="B13" s="19" t="n">
        <v>25.52567436106701</v>
      </c>
    </row>
    <row r="14">
      <c r="A14" s="19" t="n">
        <v>2012</v>
      </c>
      <c r="B14" s="19" t="n">
        <v>27.05423210312099</v>
      </c>
    </row>
    <row r="15">
      <c r="A15" s="19" t="n">
        <v>2013</v>
      </c>
      <c r="B15" s="19" t="n">
        <v>28.65025032497579</v>
      </c>
    </row>
    <row r="16">
      <c r="A16" s="19" t="n">
        <v>2014</v>
      </c>
      <c r="B16" s="19" t="n">
        <v>30.28707068566258</v>
      </c>
    </row>
    <row r="17">
      <c r="A17" s="19" t="n">
        <v>2015</v>
      </c>
      <c r="B17" s="19" t="n">
        <v>31.94487267969238</v>
      </c>
    </row>
    <row r="18">
      <c r="A18" s="19" t="n">
        <v>2016</v>
      </c>
      <c r="B18" s="19" t="n">
        <v>33.62922393974748</v>
      </c>
    </row>
    <row r="19">
      <c r="A19" s="19" t="n">
        <v>2017</v>
      </c>
      <c r="B19" s="19" t="n">
        <v>35.39868793333228</v>
      </c>
    </row>
    <row r="20">
      <c r="A20" s="19" t="n">
        <v>2018</v>
      </c>
      <c r="B20" s="19" t="n">
        <v>37.28880479378652</v>
      </c>
    </row>
    <row r="21">
      <c r="A21" s="19" t="n">
        <v>2019</v>
      </c>
      <c r="B21" s="19" t="n">
        <v>39.28132656885114</v>
      </c>
    </row>
    <row r="22">
      <c r="A22" s="19" t="n">
        <v>2020</v>
      </c>
      <c r="B22" s="19" t="n">
        <v>40.93161934443452</v>
      </c>
    </row>
    <row r="23">
      <c r="A23" s="19" t="n">
        <v>2021</v>
      </c>
      <c r="B23" s="19" t="n">
        <v>42.88396528990707</v>
      </c>
    </row>
    <row r="24">
      <c r="A24" s="19" t="n">
        <v>2022</v>
      </c>
      <c r="B24" s="19" t="n">
        <v>45.17697632773729</v>
      </c>
    </row>
    <row r="25">
      <c r="A25" s="19" t="n">
        <v>2023</v>
      </c>
      <c r="B25" s="19" t="n">
        <v>47.68812751135043</v>
      </c>
    </row>
    <row r="26">
      <c r="A26" s="19" t="n">
        <v>2014</v>
      </c>
      <c r="B26" s="19" t="n"/>
    </row>
    <row r="27">
      <c r="A27" s="19" t="n">
        <v>2015</v>
      </c>
      <c r="B27" s="19" t="n"/>
    </row>
    <row r="28">
      <c r="A28" s="19" t="n">
        <v>2016</v>
      </c>
      <c r="B28" s="19" t="n"/>
    </row>
    <row r="29">
      <c r="A29" s="19" t="n">
        <v>2017</v>
      </c>
      <c r="B29" s="19" t="n"/>
    </row>
    <row r="30">
      <c r="A30" s="19" t="n">
        <v>2018</v>
      </c>
      <c r="B30" s="19" t="n"/>
    </row>
    <row r="31">
      <c r="A31" s="19" t="n">
        <v>2019</v>
      </c>
      <c r="B31" s="19" t="n"/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V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  <c r="E3" t="n">
        <v>2000</v>
      </c>
      <c r="F3" t="n">
        <v>2001</v>
      </c>
      <c r="G3" t="n">
        <v>2002</v>
      </c>
      <c r="H3" t="n">
        <v>2003</v>
      </c>
      <c r="I3" t="n">
        <v>2004</v>
      </c>
      <c r="J3" t="n">
        <v>2005</v>
      </c>
      <c r="K3" t="n">
        <v>2006</v>
      </c>
      <c r="L3" t="n">
        <v>2007</v>
      </c>
      <c r="M3" t="n">
        <v>2008</v>
      </c>
      <c r="N3" t="n">
        <v>2009</v>
      </c>
      <c r="O3" t="n">
        <v>2010</v>
      </c>
      <c r="P3" t="n">
        <v>2011</v>
      </c>
      <c r="Q3" t="n">
        <v>2012</v>
      </c>
      <c r="R3" t="n">
        <v>2013</v>
      </c>
      <c r="S3" t="n">
        <v>2014</v>
      </c>
      <c r="T3" t="n">
        <v>2015</v>
      </c>
      <c r="U3" t="n">
        <v>2016</v>
      </c>
      <c r="V3" t="n">
        <v>2017</v>
      </c>
      <c r="W3" t="n">
        <v>2018</v>
      </c>
      <c r="X3" t="n">
        <v>2019</v>
      </c>
      <c r="Y3" t="n">
        <v>2020</v>
      </c>
      <c r="Z3" t="n">
        <v>2021</v>
      </c>
      <c r="AA3" t="n">
        <v>2022</v>
      </c>
      <c r="AB3" t="n">
        <v>2023</v>
      </c>
      <c r="AC3" t="n">
        <v>2024</v>
      </c>
      <c r="AD3" t="n">
        <v>2025</v>
      </c>
      <c r="AE3" t="n">
        <v>2026</v>
      </c>
      <c r="AF3" t="n">
        <v>2027</v>
      </c>
      <c r="AG3" t="n">
        <v>2028</v>
      </c>
      <c r="AH3" t="n">
        <v>2029</v>
      </c>
      <c r="AI3" t="n">
        <v>2030</v>
      </c>
      <c r="AJ3" t="n">
        <v>2031</v>
      </c>
      <c r="AK3" t="n">
        <v>2032</v>
      </c>
      <c r="AL3" t="n">
        <v>2033</v>
      </c>
      <c r="AM3" t="n">
        <v>2034</v>
      </c>
      <c r="AN3" t="n">
        <v>2035</v>
      </c>
      <c r="AO3" t="n">
        <v>2036</v>
      </c>
      <c r="AP3" t="n">
        <v>2037</v>
      </c>
      <c r="AQ3" t="n">
        <v>2038</v>
      </c>
      <c r="AR3" t="n">
        <v>2039</v>
      </c>
      <c r="AS3" t="n">
        <v>2040</v>
      </c>
      <c r="AT3" t="n">
        <v>2041</v>
      </c>
      <c r="AU3" t="n">
        <v>2042</v>
      </c>
      <c r="AV3" t="n">
        <v>2043</v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  <c r="E4" t="n">
        <v>5.305449103134994</v>
      </c>
      <c r="F4" t="n">
        <v>5.560641204995788</v>
      </c>
      <c r="G4" t="n">
        <v>5.864808278909058</v>
      </c>
      <c r="H4" t="n">
        <v>6.5134560745564</v>
      </c>
      <c r="I4" t="n">
        <v>6.890585181273216</v>
      </c>
      <c r="J4" t="n">
        <v>7.551392300157318</v>
      </c>
      <c r="K4" t="n">
        <v>8.262733454832137</v>
      </c>
      <c r="L4" t="n">
        <v>9.302185323450018</v>
      </c>
      <c r="M4" t="n">
        <v>9.527298208277509</v>
      </c>
      <c r="N4" t="n">
        <v>9.17955182367538</v>
      </c>
      <c r="O4" t="n">
        <v>9.753273812655092</v>
      </c>
      <c r="P4" t="n">
        <v>10.52670842599864</v>
      </c>
      <c r="Q4" t="n">
        <v>11.21936584042935</v>
      </c>
      <c r="R4" t="n">
        <v>11.79491930804338</v>
      </c>
      <c r="S4" t="n">
        <v>12.27733150774235</v>
      </c>
      <c r="T4" t="n">
        <v>12.68862211325172</v>
      </c>
      <c r="U4" t="n">
        <v>13.1263795761589</v>
      </c>
      <c r="V4" t="n">
        <v>13.8037007622887</v>
      </c>
      <c r="W4" t="n">
        <v>14.6402050284834</v>
      </c>
      <c r="X4" t="n">
        <v>15.42784805901581</v>
      </c>
      <c r="Y4" t="n">
        <v>14.45743641610371</v>
      </c>
      <c r="Z4" t="n">
        <v>15.99570765077715</v>
      </c>
      <c r="AA4" t="n">
        <v>17.74883720930232</v>
      </c>
      <c r="AB4" t="n">
        <v>19.08</v>
      </c>
      <c r="AC4" t="n">
        <v>20.511</v>
      </c>
      <c r="AD4" t="n">
        <v>21.74166</v>
      </c>
      <c r="AE4" t="n">
        <v>22.828743</v>
      </c>
      <c r="AF4" t="n">
        <v>23.97018015</v>
      </c>
      <c r="AG4" t="n">
        <v>25.1686891575</v>
      </c>
      <c r="AH4" t="n">
        <v>26.427123615375</v>
      </c>
      <c r="AI4" t="n">
        <v>27.74847979614375</v>
      </c>
      <c r="AJ4" t="n">
        <v>29.13590378595094</v>
      </c>
      <c r="AK4" t="n">
        <v>30.59269897524849</v>
      </c>
      <c r="AL4" t="n">
        <v>32.12233392401092</v>
      </c>
      <c r="AM4" t="n">
        <v>33.72845062021146</v>
      </c>
      <c r="AN4" t="n">
        <v>35.41487315122204</v>
      </c>
      <c r="AO4" t="n">
        <v>37.18561680878314</v>
      </c>
      <c r="AP4" t="n">
        <v>39.04489764922231</v>
      </c>
      <c r="AQ4" t="n">
        <v>40.99714253168342</v>
      </c>
      <c r="AR4" t="n">
        <v>43.04699965826759</v>
      </c>
      <c r="AS4" t="n">
        <v>45.19934964118097</v>
      </c>
      <c r="AT4" t="n">
        <v>47.45931712324003</v>
      </c>
      <c r="AU4" t="n">
        <v>49.83228297940203</v>
      </c>
      <c r="AV4" t="n">
        <v>52.32389712837213</v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  <c r="E5" t="n">
        <v>1.84</v>
      </c>
      <c r="F5" t="n">
        <v>4.81</v>
      </c>
      <c r="G5" t="n">
        <v>5.47</v>
      </c>
      <c r="H5" t="n">
        <v>11.06</v>
      </c>
      <c r="I5" t="n">
        <v>5.79</v>
      </c>
      <c r="J5" t="n">
        <v>9.59</v>
      </c>
      <c r="K5" t="n">
        <v>9.42</v>
      </c>
      <c r="L5" t="n">
        <v>12.58</v>
      </c>
      <c r="M5" t="n">
        <v>2.42</v>
      </c>
      <c r="N5" t="n">
        <v>-3.65</v>
      </c>
      <c r="O5" t="n">
        <v>6.25</v>
      </c>
      <c r="P5" t="n">
        <v>7.93</v>
      </c>
      <c r="Q5" t="n">
        <v>6.58</v>
      </c>
      <c r="R5" t="n">
        <v>5.13</v>
      </c>
      <c r="S5" t="n">
        <v>4.09</v>
      </c>
      <c r="T5" t="n">
        <v>3.35</v>
      </c>
      <c r="U5" t="n">
        <v>3.45</v>
      </c>
      <c r="V5" t="n">
        <v>5.16</v>
      </c>
      <c r="W5" t="n">
        <v>6.06</v>
      </c>
      <c r="X5" t="n">
        <v>5.38</v>
      </c>
      <c r="Y5" t="n">
        <v>-6.29</v>
      </c>
      <c r="Z5" t="n">
        <v>10.64</v>
      </c>
      <c r="AA5" t="n">
        <v>10.96</v>
      </c>
      <c r="AB5" t="n">
        <v>7.5</v>
      </c>
      <c r="AC5" t="n">
        <v>7.5</v>
      </c>
      <c r="AD5" t="n">
        <v>6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2026-01-27T23:24:48Z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