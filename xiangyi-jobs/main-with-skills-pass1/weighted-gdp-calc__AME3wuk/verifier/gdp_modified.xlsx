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409]mmmm\ d\,\ yyyy;@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  <xf numFmtId="166" fontId="1" fillId="2" borderId="3" pivotButton="0" quotePrefix="0" xfId="0"/>
    <xf numFmtId="166" fontId="1" fillId="2" borderId="4" pivotButton="0" quotePrefix="0" xfId="0"/>
    <xf numFmtId="166" fontId="1" fillId="2" borderId="5" pivotButton="0" quotePrefix="0" xfId="0"/>
    <xf numFmtId="166" fontId="1" fillId="2" borderId="6" pivotButton="0" quotePrefix="0" xfId="0"/>
    <xf numFmtId="166" fontId="1" fillId="2" borderId="0" pivotButton="0" quotePrefix="0" xfId="0"/>
    <xf numFmtId="166" fontId="1" fillId="2" borderId="7" pivotButton="0" quotePrefix="0" xfId="0"/>
    <xf numFmtId="166" fontId="1" fillId="2" borderId="8" pivotButton="0" quotePrefix="0" xfId="0"/>
    <xf numFmtId="166" fontId="1" fillId="2" borderId="9" pivotButton="0" quotePrefix="0" xfId="0"/>
    <xf numFmtId="166" fontId="1" fillId="2" borderId="10" pivotButton="0" quotePrefix="0" xfId="0"/>
    <xf numFmtId="166" fontId="1" fillId="2" borderId="1" pivotButton="0" quotePrefix="0" xfId="0"/>
    <xf numFmtId="166" fontId="1" fillId="2" borderId="2" pivotButton="0" quotePrefix="0" xfId="0"/>
    <xf numFmtId="166" fontId="1" fillId="2" borderId="11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INDEX('Data'!$A:$Z, MATCH(D12, 'Data'!$B:$B, 0), MATCH(H9, 'Data'!$4:$4, 0))</f>
        <v/>
      </c>
      <c r="I12" s="19">
        <f>INDEX('Data'!$A:$Z, MATCH(D12, 'Data'!$B:$B, 0), MATCH(I9, 'Data'!$4:$4, 0))</f>
        <v/>
      </c>
      <c r="J12" s="19">
        <f>INDEX('Data'!$A:$Z, MATCH(D12, 'Data'!$B:$B, 0), MATCH(J9, 'Data'!$4:$4, 0))</f>
        <v/>
      </c>
      <c r="K12" s="19">
        <f>INDEX('Data'!$A:$Z, MATCH(D12, 'Data'!$B:$B, 0), MATCH(K9, 'Data'!$4:$4, 0))</f>
        <v/>
      </c>
      <c r="L12" s="20">
        <f>INDEX('Data'!$A:$Z, MATCH(D12, 'Data'!$B:$B, 0), MATCH(L9, 'Data'!$4:$4,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INDEX('Data'!$A:$Z, MATCH(D13, 'Data'!$B:$B, 0), MATCH(H9, 'Data'!$4:$4, 0))</f>
        <v/>
      </c>
      <c r="I13" s="4">
        <f>INDEX('Data'!$A:$Z, MATCH(D13, 'Data'!$B:$B, 0), MATCH(I9, 'Data'!$4:$4, 0))</f>
        <v/>
      </c>
      <c r="J13" s="4">
        <f>INDEX('Data'!$A:$Z, MATCH(D13, 'Data'!$B:$B, 0), MATCH(J9, 'Data'!$4:$4, 0))</f>
        <v/>
      </c>
      <c r="K13" s="4">
        <f>INDEX('Data'!$A:$Z, MATCH(D13, 'Data'!$B:$B, 0), MATCH(K9, 'Data'!$4:$4, 0))</f>
        <v/>
      </c>
      <c r="L13" s="5">
        <f>INDEX('Data'!$A:$Z, MATCH(D13, 'Data'!$B:$B, 0), MATCH(L9, 'Data'!$4:$4,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INDEX('Data'!$A:$Z, MATCH(D14, 'Data'!$B:$B, 0), MATCH(H9, 'Data'!$4:$4, 0))</f>
        <v/>
      </c>
      <c r="I14" s="4">
        <f>INDEX('Data'!$A:$Z, MATCH(D14, 'Data'!$B:$B, 0), MATCH(I9, 'Data'!$4:$4, 0))</f>
        <v/>
      </c>
      <c r="J14" s="4">
        <f>INDEX('Data'!$A:$Z, MATCH(D14, 'Data'!$B:$B, 0), MATCH(J9, 'Data'!$4:$4, 0))</f>
        <v/>
      </c>
      <c r="K14" s="4">
        <f>INDEX('Data'!$A:$Z, MATCH(D14, 'Data'!$B:$B, 0), MATCH(K9, 'Data'!$4:$4, 0))</f>
        <v/>
      </c>
      <c r="L14" s="5">
        <f>INDEX('Data'!$A:$Z, MATCH(D14, 'Data'!$B:$B, 0), MATCH(L9, 'Data'!$4:$4,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INDEX('Data'!$A:$Z, MATCH(D15, 'Data'!$B:$B, 0), MATCH(H9, 'Data'!$4:$4, 0))</f>
        <v/>
      </c>
      <c r="I15" s="4">
        <f>INDEX('Data'!$A:$Z, MATCH(D15, 'Data'!$B:$B, 0), MATCH(I9, 'Data'!$4:$4, 0))</f>
        <v/>
      </c>
      <c r="J15" s="4">
        <f>INDEX('Data'!$A:$Z, MATCH(D15, 'Data'!$B:$B, 0), MATCH(J9, 'Data'!$4:$4, 0))</f>
        <v/>
      </c>
      <c r="K15" s="4">
        <f>INDEX('Data'!$A:$Z, MATCH(D15, 'Data'!$B:$B, 0), MATCH(K9, 'Data'!$4:$4, 0))</f>
        <v/>
      </c>
      <c r="L15" s="5">
        <f>INDEX('Data'!$A:$Z, MATCH(D15, 'Data'!$B:$B, 0), MATCH(L9, 'Data'!$4:$4,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INDEX('Data'!$A:$Z, MATCH(D16, 'Data'!$B:$B, 0), MATCH(H9, 'Data'!$4:$4, 0))</f>
        <v/>
      </c>
      <c r="I16" s="4">
        <f>INDEX('Data'!$A:$Z, MATCH(D16, 'Data'!$B:$B, 0), MATCH(I9, 'Data'!$4:$4, 0))</f>
        <v/>
      </c>
      <c r="J16" s="4">
        <f>INDEX('Data'!$A:$Z, MATCH(D16, 'Data'!$B:$B, 0), MATCH(J9, 'Data'!$4:$4, 0))</f>
        <v/>
      </c>
      <c r="K16" s="4">
        <f>INDEX('Data'!$A:$Z, MATCH(D16, 'Data'!$B:$B, 0), MATCH(K9, 'Data'!$4:$4, 0))</f>
        <v/>
      </c>
      <c r="L16" s="5">
        <f>INDEX('Data'!$A:$Z, MATCH(D16, 'Data'!$B:$B, 0), MATCH(L9, 'Data'!$4:$4,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INDEX('Data'!$A:$Z, MATCH(D17, 'Data'!$B:$B, 0), MATCH(H9, 'Data'!$4:$4, 0))</f>
        <v/>
      </c>
      <c r="I17" s="6">
        <f>INDEX('Data'!$A:$Z, MATCH(D17, 'Data'!$B:$B, 0), MATCH(I9, 'Data'!$4:$4, 0))</f>
        <v/>
      </c>
      <c r="J17" s="6">
        <f>INDEX('Data'!$A:$Z, MATCH(D17, 'Data'!$B:$B, 0), MATCH(J9, 'Data'!$4:$4, 0))</f>
        <v/>
      </c>
      <c r="K17" s="6">
        <f>INDEX('Data'!$A:$Z, MATCH(D17, 'Data'!$B:$B, 0), MATCH(K9, 'Data'!$4:$4, 0))</f>
        <v/>
      </c>
      <c r="L17" s="7">
        <f>INDEX('Data'!$A:$Z, MATCH(D17, 'Data'!$B:$B, 0), MATCH(L9, 'Data'!$4:$4,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INDEX('Data'!$A:$Z, MATCH(D19, 'Data'!$B:$B, 0), MATCH(H9, 'Data'!$4:$4, 0))</f>
        <v/>
      </c>
      <c r="I19" s="19">
        <f>INDEX('Data'!$A:$Z, MATCH(D19, 'Data'!$B:$B, 0), MATCH(I9, 'Data'!$4:$4, 0))</f>
        <v/>
      </c>
      <c r="J19" s="19">
        <f>INDEX('Data'!$A:$Z, MATCH(D19, 'Data'!$B:$B, 0), MATCH(J9, 'Data'!$4:$4, 0))</f>
        <v/>
      </c>
      <c r="K19" s="19">
        <f>INDEX('Data'!$A:$Z, MATCH(D19, 'Data'!$B:$B, 0), MATCH(K9, 'Data'!$4:$4, 0))</f>
        <v/>
      </c>
      <c r="L19" s="20">
        <f>INDEX('Data'!$A:$Z, MATCH(D19, 'Data'!$B:$B, 0), MATCH(L9, 'Data'!$4:$4,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INDEX('Data'!$A:$Z, MATCH(D20, 'Data'!$B:$B, 0), MATCH(H9, 'Data'!$4:$4, 0))</f>
        <v/>
      </c>
      <c r="I20" s="4">
        <f>INDEX('Data'!$A:$Z, MATCH(D20, 'Data'!$B:$B, 0), MATCH(I9, 'Data'!$4:$4, 0))</f>
        <v/>
      </c>
      <c r="J20" s="4">
        <f>INDEX('Data'!$A:$Z, MATCH(D20, 'Data'!$B:$B, 0), MATCH(J9, 'Data'!$4:$4, 0))</f>
        <v/>
      </c>
      <c r="K20" s="4">
        <f>INDEX('Data'!$A:$Z, MATCH(D20, 'Data'!$B:$B, 0), MATCH(K9, 'Data'!$4:$4, 0))</f>
        <v/>
      </c>
      <c r="L20" s="5">
        <f>INDEX('Data'!$A:$Z, MATCH(D20, 'Data'!$B:$B, 0), MATCH(L9, 'Data'!$4:$4,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INDEX('Data'!$A:$Z, MATCH(D21, 'Data'!$B:$B, 0), MATCH(H9, 'Data'!$4:$4, 0))</f>
        <v/>
      </c>
      <c r="I21" s="4">
        <f>INDEX('Data'!$A:$Z, MATCH(D21, 'Data'!$B:$B, 0), MATCH(I9, 'Data'!$4:$4, 0))</f>
        <v/>
      </c>
      <c r="J21" s="4">
        <f>INDEX('Data'!$A:$Z, MATCH(D21, 'Data'!$B:$B, 0), MATCH(J9, 'Data'!$4:$4, 0))</f>
        <v/>
      </c>
      <c r="K21" s="4">
        <f>INDEX('Data'!$A:$Z, MATCH(D21, 'Data'!$B:$B, 0), MATCH(K9, 'Data'!$4:$4, 0))</f>
        <v/>
      </c>
      <c r="L21" s="5">
        <f>INDEX('Data'!$A:$Z, MATCH(D21, 'Data'!$B:$B, 0), MATCH(L9, 'Data'!$4:$4,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INDEX('Data'!$A:$Z, MATCH(D22, 'Data'!$B:$B, 0), MATCH(H9, 'Data'!$4:$4, 0))</f>
        <v/>
      </c>
      <c r="I22" s="4">
        <f>INDEX('Data'!$A:$Z, MATCH(D22, 'Data'!$B:$B, 0), MATCH(I9, 'Data'!$4:$4, 0))</f>
        <v/>
      </c>
      <c r="J22" s="4">
        <f>INDEX('Data'!$A:$Z, MATCH(D22, 'Data'!$B:$B, 0), MATCH(J9, 'Data'!$4:$4, 0))</f>
        <v/>
      </c>
      <c r="K22" s="4">
        <f>INDEX('Data'!$A:$Z, MATCH(D22, 'Data'!$B:$B, 0), MATCH(K9, 'Data'!$4:$4, 0))</f>
        <v/>
      </c>
      <c r="L22" s="5">
        <f>INDEX('Data'!$A:$Z, MATCH(D22, 'Data'!$B:$B, 0), MATCH(L9, 'Data'!$4:$4,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INDEX('Data'!$A:$Z, MATCH(D23, 'Data'!$B:$B, 0), MATCH(H9, 'Data'!$4:$4, 0))</f>
        <v/>
      </c>
      <c r="I23" s="4">
        <f>INDEX('Data'!$A:$Z, MATCH(D23, 'Data'!$B:$B, 0), MATCH(I9, 'Data'!$4:$4, 0))</f>
        <v/>
      </c>
      <c r="J23" s="4">
        <f>INDEX('Data'!$A:$Z, MATCH(D23, 'Data'!$B:$B, 0), MATCH(J9, 'Data'!$4:$4, 0))</f>
        <v/>
      </c>
      <c r="K23" s="4">
        <f>INDEX('Data'!$A:$Z, MATCH(D23, 'Data'!$B:$B, 0), MATCH(K9, 'Data'!$4:$4, 0))</f>
        <v/>
      </c>
      <c r="L23" s="5">
        <f>INDEX('Data'!$A:$Z, MATCH(D23, 'Data'!$B:$B, 0), MATCH(L9, 'Data'!$4:$4,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INDEX('Data'!$A:$Z, MATCH(D24, 'Data'!$B:$B, 0), MATCH(H9, 'Data'!$4:$4, 0))</f>
        <v/>
      </c>
      <c r="I24" s="6">
        <f>INDEX('Data'!$A:$Z, MATCH(D24, 'Data'!$B:$B, 0), MATCH(I9, 'Data'!$4:$4, 0))</f>
        <v/>
      </c>
      <c r="J24" s="6">
        <f>INDEX('Data'!$A:$Z, MATCH(D24, 'Data'!$B:$B, 0), MATCH(J9, 'Data'!$4:$4, 0))</f>
        <v/>
      </c>
      <c r="K24" s="6">
        <f>INDEX('Data'!$A:$Z, MATCH(D24, 'Data'!$B:$B, 0), MATCH(K9, 'Data'!$4:$4, 0))</f>
        <v/>
      </c>
      <c r="L24" s="7">
        <f>INDEX('Data'!$A:$Z, MATCH(D24, 'Data'!$B:$B, 0), MATCH(L9, 'Data'!$4:$4,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INDEX('Data'!$A:$Z, MATCH(D26, 'Data'!$B:$B, 0), MATCH(H9, 'Data'!$4:$4, 0))</f>
        <v/>
      </c>
      <c r="I26" s="19">
        <f>INDEX('Data'!$A:$Z, MATCH(D26, 'Data'!$B:$B, 0), MATCH(I9, 'Data'!$4:$4, 0))</f>
        <v/>
      </c>
      <c r="J26" s="19">
        <f>INDEX('Data'!$A:$Z, MATCH(D26, 'Data'!$B:$B, 0), MATCH(J9, 'Data'!$4:$4, 0))</f>
        <v/>
      </c>
      <c r="K26" s="19">
        <f>INDEX('Data'!$A:$Z, MATCH(D26, 'Data'!$B:$B, 0), MATCH(K9, 'Data'!$4:$4, 0))</f>
        <v/>
      </c>
      <c r="L26" s="20">
        <f>INDEX('Data'!$A:$Z, MATCH(D26, 'Data'!$B:$B, 0), MATCH(L9, 'Data'!$4:$4,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INDEX('Data'!$A:$Z, MATCH(D27, 'Data'!$B:$B, 0), MATCH(H9, 'Data'!$4:$4, 0))</f>
        <v/>
      </c>
      <c r="I27" s="4">
        <f>INDEX('Data'!$A:$Z, MATCH(D27, 'Data'!$B:$B, 0), MATCH(I9, 'Data'!$4:$4, 0))</f>
        <v/>
      </c>
      <c r="J27" s="4">
        <f>INDEX('Data'!$A:$Z, MATCH(D27, 'Data'!$B:$B, 0), MATCH(J9, 'Data'!$4:$4, 0))</f>
        <v/>
      </c>
      <c r="K27" s="4">
        <f>INDEX('Data'!$A:$Z, MATCH(D27, 'Data'!$B:$B, 0), MATCH(K9, 'Data'!$4:$4, 0))</f>
        <v/>
      </c>
      <c r="L27" s="5">
        <f>INDEX('Data'!$A:$Z, MATCH(D27, 'Data'!$B:$B, 0), MATCH(L9, 'Data'!$4:$4,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INDEX('Data'!$A:$Z, MATCH(D28, 'Data'!$B:$B, 0), MATCH(H9, 'Data'!$4:$4, 0))</f>
        <v/>
      </c>
      <c r="I28" s="4">
        <f>INDEX('Data'!$A:$Z, MATCH(D28, 'Data'!$B:$B, 0), MATCH(I9, 'Data'!$4:$4, 0))</f>
        <v/>
      </c>
      <c r="J28" s="4">
        <f>INDEX('Data'!$A:$Z, MATCH(D28, 'Data'!$B:$B, 0), MATCH(J9, 'Data'!$4:$4, 0))</f>
        <v/>
      </c>
      <c r="K28" s="4">
        <f>INDEX('Data'!$A:$Z, MATCH(D28, 'Data'!$B:$B, 0), MATCH(K9, 'Data'!$4:$4, 0))</f>
        <v/>
      </c>
      <c r="L28" s="5">
        <f>INDEX('Data'!$A:$Z, MATCH(D28, 'Data'!$B:$B, 0), MATCH(L9, 'Data'!$4:$4,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INDEX('Data'!$A:$Z, MATCH(D29, 'Data'!$B:$B, 0), MATCH(H9, 'Data'!$4:$4, 0))</f>
        <v/>
      </c>
      <c r="I29" s="4">
        <f>INDEX('Data'!$A:$Z, MATCH(D29, 'Data'!$B:$B, 0), MATCH(I9, 'Data'!$4:$4, 0))</f>
        <v/>
      </c>
      <c r="J29" s="4">
        <f>INDEX('Data'!$A:$Z, MATCH(D29, 'Data'!$B:$B, 0), MATCH(J9, 'Data'!$4:$4, 0))</f>
        <v/>
      </c>
      <c r="K29" s="4">
        <f>INDEX('Data'!$A:$Z, MATCH(D29, 'Data'!$B:$B, 0), MATCH(K9, 'Data'!$4:$4, 0))</f>
        <v/>
      </c>
      <c r="L29" s="5">
        <f>INDEX('Data'!$A:$Z, MATCH(D29, 'Data'!$B:$B, 0), MATCH(L9, 'Data'!$4:$4,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INDEX('Data'!$A:$Z, MATCH(D30, 'Data'!$B:$B, 0), MATCH(H9, 'Data'!$4:$4, 0))</f>
        <v/>
      </c>
      <c r="I30" s="4">
        <f>INDEX('Data'!$A:$Z, MATCH(D30, 'Data'!$B:$B, 0), MATCH(I9, 'Data'!$4:$4, 0))</f>
        <v/>
      </c>
      <c r="J30" s="4">
        <f>INDEX('Data'!$A:$Z, MATCH(D30, 'Data'!$B:$B, 0), MATCH(J9, 'Data'!$4:$4, 0))</f>
        <v/>
      </c>
      <c r="K30" s="4">
        <f>INDEX('Data'!$A:$Z, MATCH(D30, 'Data'!$B:$B, 0), MATCH(K9, 'Data'!$4:$4, 0))</f>
        <v/>
      </c>
      <c r="L30" s="5">
        <f>INDEX('Data'!$A:$Z, MATCH(D30, 'Data'!$B:$B, 0), MATCH(L9, 'Data'!$4:$4,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INDEX('Data'!$A:$Z, MATCH(D31, 'Data'!$B:$B, 0), MATCH(H9, 'Data'!$4:$4, 0))</f>
        <v/>
      </c>
      <c r="I31" s="6">
        <f>INDEX('Data'!$A:$Z, MATCH(D31, 'Data'!$B:$B, 0), MATCH(I9, 'Data'!$4:$4, 0))</f>
        <v/>
      </c>
      <c r="J31" s="6">
        <f>INDEX('Data'!$A:$Z, MATCH(D31, 'Data'!$B:$B, 0), MATCH(J9, 'Data'!$4:$4, 0))</f>
        <v/>
      </c>
      <c r="K31" s="6">
        <f>INDEX('Data'!$A:$Z, MATCH(D31, 'Data'!$B:$B, 0), MATCH(K9, 'Data'!$4:$4, 0))</f>
        <v/>
      </c>
      <c r="L31" s="7">
        <f>INDEX('Data'!$A:$Z, MATCH(D31, 'Data'!$B:$B, 0), MATCH(L9, 'Data'!$4:$4,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33">
        <f>(H12-H19)/H26</f>
        <v/>
      </c>
      <c r="I35" s="34">
        <f>(I12-I19)/I26</f>
        <v/>
      </c>
      <c r="J35" s="34">
        <f>(J12-J19)/J26</f>
        <v/>
      </c>
      <c r="K35" s="34">
        <f>(K12-K19)/K26</f>
        <v/>
      </c>
      <c r="L35" s="35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36">
        <f>(H13-H20)/H27</f>
        <v/>
      </c>
      <c r="I36" s="37">
        <f>(I13-I20)/I27</f>
        <v/>
      </c>
      <c r="J36" s="37">
        <f>(J13-J20)/J27</f>
        <v/>
      </c>
      <c r="K36" s="37">
        <f>(K13-K20)/K27</f>
        <v/>
      </c>
      <c r="L36" s="38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36">
        <f>(H14-H21)/H28</f>
        <v/>
      </c>
      <c r="I37" s="37">
        <f>(I14-I21)/I28</f>
        <v/>
      </c>
      <c r="J37" s="37">
        <f>(J14-J21)/J28</f>
        <v/>
      </c>
      <c r="K37" s="37">
        <f>(K14-K21)/K28</f>
        <v/>
      </c>
      <c r="L37" s="38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36">
        <f>(H15-H22)/H29</f>
        <v/>
      </c>
      <c r="I38" s="37">
        <f>(I15-I22)/I29</f>
        <v/>
      </c>
      <c r="J38" s="37">
        <f>(J15-J22)/J29</f>
        <v/>
      </c>
      <c r="K38" s="37">
        <f>(K15-K22)/K29</f>
        <v/>
      </c>
      <c r="L38" s="38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36">
        <f>(H16-H23)/H30</f>
        <v/>
      </c>
      <c r="I39" s="37">
        <f>(I16-I23)/I30</f>
        <v/>
      </c>
      <c r="J39" s="37">
        <f>(J16-J23)/J30</f>
        <v/>
      </c>
      <c r="K39" s="37">
        <f>(K16-K23)/K30</f>
        <v/>
      </c>
      <c r="L39" s="38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39">
        <f>(H17-H24)/H31</f>
        <v/>
      </c>
      <c r="I40" s="40">
        <f>(I17-I24)/I31</f>
        <v/>
      </c>
      <c r="J40" s="40">
        <f>(J17-J24)/J31</f>
        <v/>
      </c>
      <c r="K40" s="40">
        <f>(K17-K24)/K31</f>
        <v/>
      </c>
      <c r="L40" s="41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33">
        <f>MIN(H35:H40)</f>
        <v/>
      </c>
      <c r="I42" s="34">
        <f>MIN(I35:I40)</f>
        <v/>
      </c>
      <c r="J42" s="34">
        <f>MIN(J35:J40)</f>
        <v/>
      </c>
      <c r="K42" s="34">
        <f>MIN(K35:K40)</f>
        <v/>
      </c>
      <c r="L42" s="35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36">
        <f>MAX(H35:H40)</f>
        <v/>
      </c>
      <c r="I43" s="37">
        <f>MAX(I35:I40)</f>
        <v/>
      </c>
      <c r="J43" s="37">
        <f>MAX(J35:J40)</f>
        <v/>
      </c>
      <c r="K43" s="37">
        <f>MAX(K35:K40)</f>
        <v/>
      </c>
      <c r="L43" s="38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36">
        <f>MEDIAN(H35:H40)</f>
        <v/>
      </c>
      <c r="I44" s="37">
        <f>MEDIAN(I35:I40)</f>
        <v/>
      </c>
      <c r="J44" s="37">
        <f>MEDIAN(J35:J40)</f>
        <v/>
      </c>
      <c r="K44" s="37">
        <f>MEDIAN(K35:K40)</f>
        <v/>
      </c>
      <c r="L44" s="38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36">
        <f>AVERAGE(H35:H40)</f>
        <v/>
      </c>
      <c r="I45" s="37">
        <f>AVERAGE(I35:I40)</f>
        <v/>
      </c>
      <c r="J45" s="37">
        <f>AVERAGE(J35:J40)</f>
        <v/>
      </c>
      <c r="K45" s="37">
        <f>AVERAGE(K35:K40)</f>
        <v/>
      </c>
      <c r="L45" s="38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36">
        <f>PERCENTILE.INC(H35:H40, 0.25)</f>
        <v/>
      </c>
      <c r="I46" s="37">
        <f>PERCENTILE.INC(I35:I40, 0.25)</f>
        <v/>
      </c>
      <c r="J46" s="37">
        <f>PERCENTILE.INC(J35:J40, 0.25)</f>
        <v/>
      </c>
      <c r="K46" s="37">
        <f>PERCENTILE.INC(K35:K40, 0.25)</f>
        <v/>
      </c>
      <c r="L46" s="38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39">
        <f>PERCENTILE.INC(H35:H40, 0.75)</f>
        <v/>
      </c>
      <c r="I47" s="40">
        <f>PERCENTILE.INC(I35:I40, 0.75)</f>
        <v/>
      </c>
      <c r="J47" s="40">
        <f>PERCENTILE.INC(J35:J40, 0.75)</f>
        <v/>
      </c>
      <c r="K47" s="40">
        <f>PERCENTILE.INC(K35:K40, 0.75)</f>
        <v/>
      </c>
      <c r="L47" s="41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42">
        <f>SUMPRODUCT(H35:H40, H26:H31)/SUM(H26:H31)</f>
        <v/>
      </c>
      <c r="I50" s="43">
        <f>SUMPRODUCT(I35:I40, I26:I31)/SUM(I26:I31)</f>
        <v/>
      </c>
      <c r="J50" s="43">
        <f>SUMPRODUCT(J35:J40, J26:J31)/SUM(J26:J31)</f>
        <v/>
      </c>
      <c r="K50" s="43">
        <f>SUMPRODUCT(K35:K40, K26:K31)/SUM(K26:K31)</f>
        <v/>
      </c>
      <c r="L50" s="44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2026-01-27T19:12:38Z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