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SUMXMY2($K$6:$K$27,$L$6:$L$27)+100*SUMSQ($M$8:$M$27)</f>
        <v/>
      </c>
    </row>
    <row r="6">
      <c r="C6" t="n">
        <v>2002</v>
      </c>
      <c r="D6" s="19">
        <f>INDEX(PWT!$C:$C, MATCH(C6, PWT!$A:$A, 0))</f>
        <v/>
      </c>
      <c r="E6">
        <f>INDEX(WEO_Data!$C:$C, MATCH(C6, WEO_Data!$B:$B, 0))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M6" t="inlineStr"/>
      <c r="N6" s="5">
        <f>K6-L6</f>
        <v/>
      </c>
    </row>
    <row r="7">
      <c r="C7" t="n">
        <v>2003</v>
      </c>
      <c r="D7" s="19">
        <f>INDEX(PWT!$C:$C, MATCH(C7, PWT!$A:$A, 0))</f>
        <v/>
      </c>
      <c r="E7">
        <f>INDEX(WEO_Data!$C:$C, MATCH(C7, WEO_Data!$B:$B, 0))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 t="inlineStr"/>
      <c r="N7" s="5">
        <f>K7-L7</f>
        <v/>
      </c>
    </row>
    <row r="8">
      <c r="C8" t="n">
        <v>2004</v>
      </c>
      <c r="D8" s="19">
        <f>INDEX(PWT!$C:$C, MATCH(C8, PWT!$A:$A, 0))</f>
        <v/>
      </c>
      <c r="E8">
        <f>INDEX(WEO_Data!$C:$C, MATCH(C8, WEO_Data!$B:$B, 0))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L8-2*L7+L6</f>
        <v/>
      </c>
      <c r="N8" s="5">
        <f>K8-L8</f>
        <v/>
      </c>
    </row>
    <row r="9">
      <c r="C9" t="n">
        <v>2005</v>
      </c>
      <c r="D9" s="19">
        <f>INDEX(PWT!$C:$C, MATCH(C9, PWT!$A:$A, 0))</f>
        <v/>
      </c>
      <c r="E9">
        <f>INDEX(WEO_Data!$C:$C, MATCH(C9, WEO_Data!$B:$B, 0))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L9-2*L8+L7</f>
        <v/>
      </c>
      <c r="N9" s="5">
        <f>K9-L9</f>
        <v/>
      </c>
    </row>
    <row r="10">
      <c r="C10" t="n">
        <v>2006</v>
      </c>
      <c r="D10" s="19">
        <f>INDEX(PWT!$C:$C, MATCH(C10, PWT!$A:$A, 0))</f>
        <v/>
      </c>
      <c r="E10">
        <f>INDEX(WEO_Data!$C:$C, MATCH(C10, WEO_Data!$B:$B, 0))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L10-2*L9+L8</f>
        <v/>
      </c>
      <c r="N10" s="5">
        <f>K10-L10</f>
        <v/>
      </c>
    </row>
    <row r="11">
      <c r="C11" t="n">
        <v>2007</v>
      </c>
      <c r="D11" s="19">
        <f>INDEX(PWT!$C:$C, MATCH(C11, PWT!$A:$A, 0))</f>
        <v/>
      </c>
      <c r="E11">
        <f>INDEX(WEO_Data!$C:$C, MATCH(C11, WEO_Data!$B:$B, 0))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L11-2*L10+L9</f>
        <v/>
      </c>
      <c r="N11" s="5">
        <f>K11-L11</f>
        <v/>
      </c>
    </row>
    <row r="12">
      <c r="C12" t="n">
        <v>2008</v>
      </c>
      <c r="D12" s="19">
        <f>INDEX(PWT!$C:$C, MATCH(C12, PWT!$A:$A, 0))</f>
        <v/>
      </c>
      <c r="E12">
        <f>INDEX(WEO_Data!$C:$C, MATCH(C12, WEO_Data!$B:$B, 0))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L12-2*L11+L10</f>
        <v/>
      </c>
      <c r="N12" s="5">
        <f>K12-L12</f>
        <v/>
      </c>
    </row>
    <row r="13">
      <c r="C13" t="n">
        <v>2009</v>
      </c>
      <c r="D13" s="19">
        <f>INDEX(PWT!$C:$C, MATCH(C13, PWT!$A:$A, 0))</f>
        <v/>
      </c>
      <c r="E13">
        <f>INDEX(WEO_Data!$C:$C, MATCH(C13, WEO_Data!$B:$B, 0))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L13-2*L12+L11</f>
        <v/>
      </c>
      <c r="N13" s="5">
        <f>K13-L13</f>
        <v/>
      </c>
    </row>
    <row r="14">
      <c r="C14" t="n">
        <v>2010</v>
      </c>
      <c r="D14" s="19">
        <f>INDEX(PWT!$C:$C, MATCH(C14, PWT!$A:$A, 0))</f>
        <v/>
      </c>
      <c r="E14">
        <f>INDEX(WEO_Data!$C:$C, MATCH(C14, WEO_Data!$B:$B, 0))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L14-2*L13+L12</f>
        <v/>
      </c>
      <c r="N14" s="5">
        <f>K14-L14</f>
        <v/>
      </c>
    </row>
    <row r="15">
      <c r="C15" t="n">
        <v>2011</v>
      </c>
      <c r="D15" s="19">
        <f>INDEX(PWT!$C:$C, MATCH(C15, PWT!$A:$A, 0))</f>
        <v/>
      </c>
      <c r="E15">
        <f>INDEX(WEO_Data!$C:$C, MATCH(C15, WEO_Data!$B:$B, 0))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L15-2*L14+L13</f>
        <v/>
      </c>
      <c r="N15" s="5">
        <f>K15-L15</f>
        <v/>
      </c>
    </row>
    <row r="16">
      <c r="C16" t="n">
        <v>2012</v>
      </c>
      <c r="D16" s="19">
        <f>INDEX(PWT!$C:$C, MATCH(C16, PWT!$A:$A, 0))</f>
        <v/>
      </c>
      <c r="E16">
        <f>INDEX(WEO_Data!$C:$C, MATCH(C16, WEO_Data!$B:$B, 0))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L16-2*L15+L14</f>
        <v/>
      </c>
      <c r="N16" s="5">
        <f>K16-L16</f>
        <v/>
      </c>
    </row>
    <row r="17">
      <c r="C17" t="n">
        <v>2013</v>
      </c>
      <c r="D17" s="19">
        <f>INDEX(PWT!$C:$C, MATCH(C17, PWT!$A:$A, 0))</f>
        <v/>
      </c>
      <c r="E17">
        <f>INDEX(WEO_Data!$C:$C, MATCH(C17, WEO_Data!$B:$B, 0))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L17-2*L16+L15</f>
        <v/>
      </c>
      <c r="N17" s="5">
        <f>K17-L17</f>
        <v/>
      </c>
    </row>
    <row r="18">
      <c r="C18" t="n">
        <v>2014</v>
      </c>
      <c r="D18" s="19">
        <f>INDEX(PWT!$C:$C, MATCH(C18, PWT!$A:$A, 0))</f>
        <v/>
      </c>
      <c r="E18">
        <f>INDEX(WEO_Data!$C:$C, MATCH(C18, WEO_Data!$B:$B, 0))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L18-2*L17+L16</f>
        <v/>
      </c>
      <c r="N18" s="5">
        <f>K18-L18</f>
        <v/>
      </c>
    </row>
    <row r="19">
      <c r="C19" t="n">
        <v>2015</v>
      </c>
      <c r="D19" s="19">
        <f>INDEX(PWT!$C:$C, MATCH(C19, PWT!$A:$A, 0))</f>
        <v/>
      </c>
      <c r="E19">
        <f>INDEX(WEO_Data!$C:$C, MATCH(C19, WEO_Data!$B:$B, 0))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L19-2*L18+L17</f>
        <v/>
      </c>
      <c r="N19" s="5">
        <f>K19-L19</f>
        <v/>
      </c>
    </row>
    <row r="20">
      <c r="C20" t="n">
        <v>2016</v>
      </c>
      <c r="D20" s="19">
        <f>INDEX(PWT!$C:$C, MATCH(C20, PWT!$A:$A, 0))</f>
        <v/>
      </c>
      <c r="E20">
        <f>INDEX(WEO_Data!$C:$C, MATCH(C20, WEO_Data!$B:$B, 0))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L20-2*L19+L18</f>
        <v/>
      </c>
      <c r="N20" s="5">
        <f>K20-L20</f>
        <v/>
      </c>
    </row>
    <row r="21">
      <c r="C21" t="n">
        <v>2017</v>
      </c>
      <c r="D21" s="19">
        <f>INDEX(PWT!$C:$C, MATCH(C21, PWT!$A:$A, 0))</f>
        <v/>
      </c>
      <c r="E21">
        <f>INDEX(WEO_Data!$C:$C, MATCH(C21, WEO_Data!$B:$B, 0))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L21-2*L20+L19</f>
        <v/>
      </c>
      <c r="N21" s="5">
        <f>K21-L21</f>
        <v/>
      </c>
    </row>
    <row r="22">
      <c r="C22" t="n">
        <v>2018</v>
      </c>
      <c r="D22" s="19">
        <f>INDEX(PWT!$C:$C, MATCH(C22, PWT!$A:$A, 0))</f>
        <v/>
      </c>
      <c r="E22">
        <f>INDEX(WEO_Data!$C:$C, MATCH(C22, WEO_Data!$B:$B, 0))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L22-2*L21+L20</f>
        <v/>
      </c>
      <c r="N22" s="5">
        <f>K22-L22</f>
        <v/>
      </c>
    </row>
    <row r="23">
      <c r="C23" t="n">
        <v>2019</v>
      </c>
      <c r="D23" s="19">
        <f>INDEX(PWT!$C:$C, MATCH(C23, PWT!$A:$A, 0))</f>
        <v/>
      </c>
      <c r="E23">
        <f>INDEX(WEO_Data!$C:$C, MATCH(C23, WEO_Data!$B:$B, 0))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L23-2*L22+L21</f>
        <v/>
      </c>
      <c r="N23" s="5">
        <f>K23-L23</f>
        <v/>
      </c>
    </row>
    <row r="24">
      <c r="C24" t="n">
        <v>2020</v>
      </c>
      <c r="D24" s="19">
        <f>INDEX(PWT!$C:$C, MATCH(C24, PWT!$A:$A, 0))</f>
        <v/>
      </c>
      <c r="E24">
        <f>INDEX(WEO_Data!$C:$C, MATCH(C24, WEO_Data!$B:$B, 0))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L24-2*L23+L22</f>
        <v/>
      </c>
      <c r="N24" s="5">
        <f>K24-L24</f>
        <v/>
      </c>
    </row>
    <row r="25">
      <c r="C25" t="n">
        <v>2021</v>
      </c>
      <c r="D25" s="19">
        <f>INDEX(PWT!$C:$C, MATCH(C25, PWT!$A:$A, 0))</f>
        <v/>
      </c>
      <c r="E25">
        <f>INDEX(WEO_Data!$C:$C, MATCH(C25, WEO_Data!$B:$B, 0))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L25-2*L24+L23</f>
        <v/>
      </c>
      <c r="N25" s="5">
        <f>K25-L25</f>
        <v/>
      </c>
    </row>
    <row r="26">
      <c r="C26" t="n">
        <v>2022</v>
      </c>
      <c r="D26" s="19">
        <f>INDEX(PWT!$C:$C, MATCH(C26, PWT!$A:$A, 0))</f>
        <v/>
      </c>
      <c r="E26">
        <f>INDEX(WEO_Data!$C:$C, MATCH(C26, WEO_Data!$B:$B, 0))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L26-2*L25+L24</f>
        <v/>
      </c>
      <c r="N26" s="5">
        <f>K26-L26</f>
        <v/>
      </c>
    </row>
    <row r="27">
      <c r="C27" t="n">
        <v>2023</v>
      </c>
      <c r="D27" s="19">
        <f>INDEX(PWT!$C:$C, MATCH(C27, PWT!$A:$A, 0))</f>
        <v/>
      </c>
      <c r="E27">
        <f>INDEX(WEO_Data!$C:$C, MATCH(C27, WEO_Data!$B:$B, 0))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L27-2*L26+L25</f>
        <v/>
      </c>
      <c r="N27" s="8">
        <f>K27-L27</f>
        <v/>
      </c>
    </row>
    <row r="34">
      <c r="C34" t="inlineStr">
        <is>
          <t>K/Y anchor (avg 2015-2023)</t>
        </is>
      </c>
      <c r="D34">
        <f>AVERAGE($D$49:$D$57)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IF(C36&lt;=2023, E36/F36, $D$34)</f>
        <v/>
      </c>
      <c r="E36" s="19">
        <f>IF(C36&lt;=2023, INDEX(PWT!$C:$C, MATCH(C36, PWT!$A:$A, 0)), F36*$D$34)</f>
        <v/>
      </c>
      <c r="F36">
        <f>INDEX(WEO_Data!$C:$C, MATCH(C36, WEO_Data!$B:$B, 0))</f>
        <v/>
      </c>
      <c r="G36">
        <f>L6</f>
        <v/>
      </c>
      <c r="H36">
        <f>EXP(G36)*(E36^$B$2)</f>
        <v/>
      </c>
      <c r="I36">
        <f>IFERROR(INDEX(Investment!$C:$C, MATCH(C36, Investment!$B:$B, 0)), 0)</f>
        <v/>
      </c>
      <c r="J36">
        <f>IF(C36&lt;2026,0,IF(C36=2026, I36, (1-$B$3)*J35+I36))</f>
        <v/>
      </c>
      <c r="K36" s="19">
        <f>E36+J36</f>
        <v/>
      </c>
      <c r="L36">
        <f>EXP(G36)*(K36^$B$2)</f>
        <v/>
      </c>
    </row>
    <row r="37">
      <c r="C37" t="n">
        <v>2003</v>
      </c>
      <c r="D37">
        <f>IF(C37&lt;=2023, E37/F37, $D$34)</f>
        <v/>
      </c>
      <c r="E37" s="19">
        <f>IF(C37&lt;=2023, INDEX(PWT!$C:$C, MATCH(C37, PWT!$A:$A, 0)), F37*$D$34)</f>
        <v/>
      </c>
      <c r="F37">
        <f>INDEX(WEO_Data!$C:$C, MATCH(C37, WEO_Data!$B:$B, 0))</f>
        <v/>
      </c>
      <c r="G37">
        <f>L7</f>
        <v/>
      </c>
      <c r="H37">
        <f>EXP(G37)*(E37^$B$2)</f>
        <v/>
      </c>
      <c r="I37">
        <f>IFERROR(INDEX(Investment!$C:$C, MATCH(C37, Investment!$B:$B, 0)), 0)</f>
        <v/>
      </c>
      <c r="J37">
        <f>IF(C37&lt;2026,0,IF(C37=2026, I37, (1-$B$3)*J36+I37))</f>
        <v/>
      </c>
      <c r="K37" s="19">
        <f>E37+J37</f>
        <v/>
      </c>
      <c r="L37">
        <f>EXP(G37)*(K37^$B$2)</f>
        <v/>
      </c>
    </row>
    <row r="38">
      <c r="C38" t="n">
        <v>2004</v>
      </c>
      <c r="D38">
        <f>IF(C38&lt;=2023, E38/F38, $D$34)</f>
        <v/>
      </c>
      <c r="E38" s="19">
        <f>IF(C38&lt;=2023, INDEX(PWT!$C:$C, MATCH(C38, PWT!$A:$A, 0)), F38*$D$34)</f>
        <v/>
      </c>
      <c r="F38">
        <f>INDEX(WEO_Data!$C:$C, MATCH(C38, WEO_Data!$B:$B, 0))</f>
        <v/>
      </c>
      <c r="G38">
        <f>L8</f>
        <v/>
      </c>
      <c r="H38">
        <f>EXP(G38)*(E38^$B$2)</f>
        <v/>
      </c>
      <c r="I38">
        <f>IFERROR(INDEX(Investment!$C:$C, MATCH(C38, Investment!$B:$B, 0)), 0)</f>
        <v/>
      </c>
      <c r="J38">
        <f>IF(C38&lt;2026,0,IF(C38=2026, I38, (1-$B$3)*J37+I38))</f>
        <v/>
      </c>
      <c r="K38" s="19">
        <f>E38+J38</f>
        <v/>
      </c>
      <c r="L38">
        <f>EXP(G38)*(K38^$B$2)</f>
        <v/>
      </c>
    </row>
    <row r="39">
      <c r="C39" t="n">
        <v>2005</v>
      </c>
      <c r="D39">
        <f>IF(C39&lt;=2023, E39/F39, $D$34)</f>
        <v/>
      </c>
      <c r="E39" s="19">
        <f>IF(C39&lt;=2023, INDEX(PWT!$C:$C, MATCH(C39, PWT!$A:$A, 0)), F39*$D$34)</f>
        <v/>
      </c>
      <c r="F39">
        <f>INDEX(WEO_Data!$C:$C, MATCH(C39, WEO_Data!$B:$B, 0))</f>
        <v/>
      </c>
      <c r="G39">
        <f>L9</f>
        <v/>
      </c>
      <c r="H39">
        <f>EXP(G39)*(E39^$B$2)</f>
        <v/>
      </c>
      <c r="I39">
        <f>IFERROR(INDEX(Investment!$C:$C, MATCH(C39, Investment!$B:$B, 0)), 0)</f>
        <v/>
      </c>
      <c r="J39">
        <f>IF(C39&lt;2026,0,IF(C39=2026, I39, (1-$B$3)*J38+I39))</f>
        <v/>
      </c>
      <c r="K39" s="19">
        <f>E39+J39</f>
        <v/>
      </c>
      <c r="L39">
        <f>EXP(G39)*(K39^$B$2)</f>
        <v/>
      </c>
    </row>
    <row r="40">
      <c r="C40" t="n">
        <v>2006</v>
      </c>
      <c r="D40">
        <f>IF(C40&lt;=2023, E40/F40, $D$34)</f>
        <v/>
      </c>
      <c r="E40" s="19">
        <f>IF(C40&lt;=2023, INDEX(PWT!$C:$C, MATCH(C40, PWT!$A:$A, 0)), F40*$D$34)</f>
        <v/>
      </c>
      <c r="F40">
        <f>INDEX(WEO_Data!$C:$C, MATCH(C40, WEO_Data!$B:$B, 0))</f>
        <v/>
      </c>
      <c r="G40">
        <f>L10</f>
        <v/>
      </c>
      <c r="H40">
        <f>EXP(G40)*(E40^$B$2)</f>
        <v/>
      </c>
      <c r="I40">
        <f>IFERROR(INDEX(Investment!$C:$C, MATCH(C40, Investment!$B:$B, 0)), 0)</f>
        <v/>
      </c>
      <c r="J40">
        <f>IF(C40&lt;2026,0,IF(C40=2026, I40, (1-$B$3)*J39+I40))</f>
        <v/>
      </c>
      <c r="K40" s="19">
        <f>E40+J40</f>
        <v/>
      </c>
      <c r="L40">
        <f>EXP(G40)*(K40^$B$2)</f>
        <v/>
      </c>
    </row>
    <row r="41">
      <c r="C41" t="n">
        <v>2007</v>
      </c>
      <c r="D41">
        <f>IF(C41&lt;=2023, E41/F41, $D$34)</f>
        <v/>
      </c>
      <c r="E41" s="19">
        <f>IF(C41&lt;=2023, INDEX(PWT!$C:$C, MATCH(C41, PWT!$A:$A, 0)), F41*$D$34)</f>
        <v/>
      </c>
      <c r="F41">
        <f>INDEX(WEO_Data!$C:$C, MATCH(C41, WEO_Data!$B:$B, 0))</f>
        <v/>
      </c>
      <c r="G41">
        <f>L11</f>
        <v/>
      </c>
      <c r="H41">
        <f>EXP(G41)*(E41^$B$2)</f>
        <v/>
      </c>
      <c r="I41">
        <f>IFERROR(INDEX(Investment!$C:$C, MATCH(C41, Investment!$B:$B, 0)), 0)</f>
        <v/>
      </c>
      <c r="J41">
        <f>IF(C41&lt;2026,0,IF(C41=2026, I41, (1-$B$3)*J40+I41))</f>
        <v/>
      </c>
      <c r="K41" s="19">
        <f>E41+J41</f>
        <v/>
      </c>
      <c r="L41">
        <f>EXP(G41)*(K41^$B$2)</f>
        <v/>
      </c>
    </row>
    <row r="42">
      <c r="C42" t="n">
        <v>2008</v>
      </c>
      <c r="D42">
        <f>IF(C42&lt;=2023, E42/F42, $D$34)</f>
        <v/>
      </c>
      <c r="E42" s="19">
        <f>IF(C42&lt;=2023, INDEX(PWT!$C:$C, MATCH(C42, PWT!$A:$A, 0)), F42*$D$34)</f>
        <v/>
      </c>
      <c r="F42">
        <f>INDEX(WEO_Data!$C:$C, MATCH(C42, WEO_Data!$B:$B, 0))</f>
        <v/>
      </c>
      <c r="G42">
        <f>L12</f>
        <v/>
      </c>
      <c r="H42">
        <f>EXP(G42)*(E42^$B$2)</f>
        <v/>
      </c>
      <c r="I42">
        <f>IFERROR(INDEX(Investment!$C:$C, MATCH(C42, Investment!$B:$B, 0)), 0)</f>
        <v/>
      </c>
      <c r="J42">
        <f>IF(C42&lt;2026,0,IF(C42=2026, I42, (1-$B$3)*J41+I42))</f>
        <v/>
      </c>
      <c r="K42" s="19">
        <f>E42+J42</f>
        <v/>
      </c>
      <c r="L42">
        <f>EXP(G42)*(K42^$B$2)</f>
        <v/>
      </c>
    </row>
    <row r="43">
      <c r="C43" t="n">
        <v>2009</v>
      </c>
      <c r="D43">
        <f>IF(C43&lt;=2023, E43/F43, $D$34)</f>
        <v/>
      </c>
      <c r="E43" s="19">
        <f>IF(C43&lt;=2023, INDEX(PWT!$C:$C, MATCH(C43, PWT!$A:$A, 0)), F43*$D$34)</f>
        <v/>
      </c>
      <c r="F43">
        <f>INDEX(WEO_Data!$C:$C, MATCH(C43, WEO_Data!$B:$B, 0))</f>
        <v/>
      </c>
      <c r="G43">
        <f>L13</f>
        <v/>
      </c>
      <c r="H43">
        <f>EXP(G43)*(E43^$B$2)</f>
        <v/>
      </c>
      <c r="I43">
        <f>IFERROR(INDEX(Investment!$C:$C, MATCH(C43, Investment!$B:$B, 0)), 0)</f>
        <v/>
      </c>
      <c r="J43">
        <f>IF(C43&lt;2026,0,IF(C43=2026, I43, (1-$B$3)*J42+I43))</f>
        <v/>
      </c>
      <c r="K43" s="19">
        <f>E43+J43</f>
        <v/>
      </c>
      <c r="L43">
        <f>EXP(G43)*(K43^$B$2)</f>
        <v/>
      </c>
    </row>
    <row r="44">
      <c r="C44" t="n">
        <v>2010</v>
      </c>
      <c r="D44">
        <f>IF(C44&lt;=2023, E44/F44, $D$34)</f>
        <v/>
      </c>
      <c r="E44" s="19">
        <f>IF(C44&lt;=2023, INDEX(PWT!$C:$C, MATCH(C44, PWT!$A:$A, 0)), F44*$D$34)</f>
        <v/>
      </c>
      <c r="F44">
        <f>INDEX(WEO_Data!$C:$C, MATCH(C44, WEO_Data!$B:$B, 0))</f>
        <v/>
      </c>
      <c r="G44">
        <f>L14</f>
        <v/>
      </c>
      <c r="H44">
        <f>EXP(G44)*(E44^$B$2)</f>
        <v/>
      </c>
      <c r="I44">
        <f>IFERROR(INDEX(Investment!$C:$C, MATCH(C44, Investment!$B:$B, 0)), 0)</f>
        <v/>
      </c>
      <c r="J44">
        <f>IF(C44&lt;2026,0,IF(C44=2026, I44, (1-$B$3)*J43+I44))</f>
        <v/>
      </c>
      <c r="K44" s="19">
        <f>E44+J44</f>
        <v/>
      </c>
      <c r="L44">
        <f>EXP(G44)*(K44^$B$2)</f>
        <v/>
      </c>
    </row>
    <row r="45">
      <c r="C45" t="n">
        <v>2011</v>
      </c>
      <c r="D45">
        <f>IF(C45&lt;=2023, E45/F45, $D$34)</f>
        <v/>
      </c>
      <c r="E45" s="19">
        <f>IF(C45&lt;=2023, INDEX(PWT!$C:$C, MATCH(C45, PWT!$A:$A, 0)), F45*$D$34)</f>
        <v/>
      </c>
      <c r="F45">
        <f>INDEX(WEO_Data!$C:$C, MATCH(C45, WEO_Data!$B:$B, 0))</f>
        <v/>
      </c>
      <c r="G45">
        <f>L15</f>
        <v/>
      </c>
      <c r="H45">
        <f>EXP(G45)*(E45^$B$2)</f>
        <v/>
      </c>
      <c r="I45">
        <f>IFERROR(INDEX(Investment!$C:$C, MATCH(C45, Investment!$B:$B, 0)), 0)</f>
        <v/>
      </c>
      <c r="J45">
        <f>IF(C45&lt;2026,0,IF(C45=2026, I45, (1-$B$3)*J44+I45))</f>
        <v/>
      </c>
      <c r="K45" s="19">
        <f>E45+J45</f>
        <v/>
      </c>
      <c r="L45">
        <f>EXP(G45)*(K45^$B$2)</f>
        <v/>
      </c>
    </row>
    <row r="46">
      <c r="C46" t="n">
        <v>2012</v>
      </c>
      <c r="D46">
        <f>IF(C46&lt;=2023, E46/F46, $D$34)</f>
        <v/>
      </c>
      <c r="E46" s="19">
        <f>IF(C46&lt;=2023, INDEX(PWT!$C:$C, MATCH(C46, PWT!$A:$A, 0)), F46*$D$34)</f>
        <v/>
      </c>
      <c r="F46">
        <f>INDEX(WEO_Data!$C:$C, MATCH(C46, WEO_Data!$B:$B, 0))</f>
        <v/>
      </c>
      <c r="G46">
        <f>L16</f>
        <v/>
      </c>
      <c r="H46">
        <f>EXP(G46)*(E46^$B$2)</f>
        <v/>
      </c>
      <c r="I46">
        <f>IFERROR(INDEX(Investment!$C:$C, MATCH(C46, Investment!$B:$B, 0)), 0)</f>
        <v/>
      </c>
      <c r="J46">
        <f>IF(C46&lt;2026,0,IF(C46=2026, I46, (1-$B$3)*J45+I46))</f>
        <v/>
      </c>
      <c r="K46" s="19">
        <f>E46+J46</f>
        <v/>
      </c>
      <c r="L46">
        <f>EXP(G46)*(K46^$B$2)</f>
        <v/>
      </c>
    </row>
    <row r="47">
      <c r="C47" t="n">
        <v>2013</v>
      </c>
      <c r="D47">
        <f>IF(C47&lt;=2023, E47/F47, $D$34)</f>
        <v/>
      </c>
      <c r="E47" s="19">
        <f>IF(C47&lt;=2023, INDEX(PWT!$C:$C, MATCH(C47, PWT!$A:$A, 0)), F47*$D$34)</f>
        <v/>
      </c>
      <c r="F47">
        <f>INDEX(WEO_Data!$C:$C, MATCH(C47, WEO_Data!$B:$B, 0))</f>
        <v/>
      </c>
      <c r="G47">
        <f>L17</f>
        <v/>
      </c>
      <c r="H47">
        <f>EXP(G47)*(E47^$B$2)</f>
        <v/>
      </c>
      <c r="I47">
        <f>IFERROR(INDEX(Investment!$C:$C, MATCH(C47, Investment!$B:$B, 0)), 0)</f>
        <v/>
      </c>
      <c r="J47">
        <f>IF(C47&lt;2026,0,IF(C47=2026, I47, (1-$B$3)*J46+I47))</f>
        <v/>
      </c>
      <c r="K47" s="19">
        <f>E47+J47</f>
        <v/>
      </c>
      <c r="L47">
        <f>EXP(G47)*(K47^$B$2)</f>
        <v/>
      </c>
    </row>
    <row r="48">
      <c r="C48" t="n">
        <v>2014</v>
      </c>
      <c r="D48">
        <f>IF(C48&lt;=2023, E48/F48, $D$34)</f>
        <v/>
      </c>
      <c r="E48" s="19">
        <f>IF(C48&lt;=2023, INDEX(PWT!$C:$C, MATCH(C48, PWT!$A:$A, 0)), F48*$D$34)</f>
        <v/>
      </c>
      <c r="F48">
        <f>INDEX(WEO_Data!$C:$C, MATCH(C48, WEO_Data!$B:$B, 0))</f>
        <v/>
      </c>
      <c r="G48">
        <f>L18</f>
        <v/>
      </c>
      <c r="H48">
        <f>EXP(G48)*(E48^$B$2)</f>
        <v/>
      </c>
      <c r="I48">
        <f>IFERROR(INDEX(Investment!$C:$C, MATCH(C48, Investment!$B:$B, 0)), 0)</f>
        <v/>
      </c>
      <c r="J48">
        <f>IF(C48&lt;2026,0,IF(C48=2026, I48, (1-$B$3)*J47+I48))</f>
        <v/>
      </c>
      <c r="K48" s="19">
        <f>E48+J48</f>
        <v/>
      </c>
      <c r="L48">
        <f>EXP(G48)*(K48^$B$2)</f>
        <v/>
      </c>
    </row>
    <row r="49">
      <c r="C49" t="n">
        <v>2015</v>
      </c>
      <c r="D49">
        <f>IF(C49&lt;=2023, E49/F49, $D$34)</f>
        <v/>
      </c>
      <c r="E49" s="19">
        <f>IF(C49&lt;=2023, INDEX(PWT!$C:$C, MATCH(C49, PWT!$A:$A, 0)), F49*$D$34)</f>
        <v/>
      </c>
      <c r="F49">
        <f>INDEX(WEO_Data!$C:$C, MATCH(C49, WEO_Data!$B:$B, 0))</f>
        <v/>
      </c>
      <c r="G49">
        <f>L19</f>
        <v/>
      </c>
      <c r="H49">
        <f>EXP(G49)*(E49^$B$2)</f>
        <v/>
      </c>
      <c r="I49">
        <f>IFERROR(INDEX(Investment!$C:$C, MATCH(C49, Investment!$B:$B, 0)), 0)</f>
        <v/>
      </c>
      <c r="J49">
        <f>IF(C49&lt;2026,0,IF(C49=2026, I49, (1-$B$3)*J48+I49))</f>
        <v/>
      </c>
      <c r="K49" s="19">
        <f>E49+J49</f>
        <v/>
      </c>
      <c r="L49">
        <f>EXP(G49)*(K49^$B$2)</f>
        <v/>
      </c>
    </row>
    <row r="50">
      <c r="C50" t="n">
        <v>2016</v>
      </c>
      <c r="D50">
        <f>IF(C50&lt;=2023, E50/F50, $D$34)</f>
        <v/>
      </c>
      <c r="E50" s="19">
        <f>IF(C50&lt;=2023, INDEX(PWT!$C:$C, MATCH(C50, PWT!$A:$A, 0)), F50*$D$34)</f>
        <v/>
      </c>
      <c r="F50">
        <f>INDEX(WEO_Data!$C:$C, MATCH(C50, WEO_Data!$B:$B, 0))</f>
        <v/>
      </c>
      <c r="G50">
        <f>L20</f>
        <v/>
      </c>
      <c r="H50">
        <f>EXP(G50)*(E50^$B$2)</f>
        <v/>
      </c>
      <c r="I50">
        <f>IFERROR(INDEX(Investment!$C:$C, MATCH(C50, Investment!$B:$B, 0)), 0)</f>
        <v/>
      </c>
      <c r="J50">
        <f>IF(C50&lt;2026,0,IF(C50=2026, I50, (1-$B$3)*J49+I50))</f>
        <v/>
      </c>
      <c r="K50" s="19">
        <f>E50+J50</f>
        <v/>
      </c>
      <c r="L50">
        <f>EXP(G50)*(K50^$B$2)</f>
        <v/>
      </c>
    </row>
    <row r="51">
      <c r="C51" t="n">
        <v>2017</v>
      </c>
      <c r="D51">
        <f>IF(C51&lt;=2023, E51/F51, $D$34)</f>
        <v/>
      </c>
      <c r="E51" s="19">
        <f>IF(C51&lt;=2023, INDEX(PWT!$C:$C, MATCH(C51, PWT!$A:$A, 0)), F51*$D$34)</f>
        <v/>
      </c>
      <c r="F51">
        <f>INDEX(WEO_Data!$C:$C, MATCH(C51, WEO_Data!$B:$B, 0))</f>
        <v/>
      </c>
      <c r="G51">
        <f>L21</f>
        <v/>
      </c>
      <c r="H51">
        <f>EXP(G51)*(E51^$B$2)</f>
        <v/>
      </c>
      <c r="I51">
        <f>IFERROR(INDEX(Investment!$C:$C, MATCH(C51, Investment!$B:$B, 0)), 0)</f>
        <v/>
      </c>
      <c r="J51">
        <f>IF(C51&lt;2026,0,IF(C51=2026, I51, (1-$B$3)*J50+I51))</f>
        <v/>
      </c>
      <c r="K51" s="19">
        <f>E51+J51</f>
        <v/>
      </c>
      <c r="L51">
        <f>EXP(G51)*(K51^$B$2)</f>
        <v/>
      </c>
    </row>
    <row r="52">
      <c r="C52" t="n">
        <v>2018</v>
      </c>
      <c r="D52">
        <f>IF(C52&lt;=2023, E52/F52, $D$34)</f>
        <v/>
      </c>
      <c r="E52" s="19">
        <f>IF(C52&lt;=2023, INDEX(PWT!$C:$C, MATCH(C52, PWT!$A:$A, 0)), F52*$D$34)</f>
        <v/>
      </c>
      <c r="F52">
        <f>INDEX(WEO_Data!$C:$C, MATCH(C52, WEO_Data!$B:$B, 0))</f>
        <v/>
      </c>
      <c r="G52">
        <f>L22</f>
        <v/>
      </c>
      <c r="H52">
        <f>EXP(G52)*(E52^$B$2)</f>
        <v/>
      </c>
      <c r="I52">
        <f>IFERROR(INDEX(Investment!$C:$C, MATCH(C52, Investment!$B:$B, 0)), 0)</f>
        <v/>
      </c>
      <c r="J52">
        <f>IF(C52&lt;2026,0,IF(C52=2026, I52, (1-$B$3)*J51+I52))</f>
        <v/>
      </c>
      <c r="K52" s="19">
        <f>E52+J52</f>
        <v/>
      </c>
      <c r="L52">
        <f>EXP(G52)*(K52^$B$2)</f>
        <v/>
      </c>
    </row>
    <row r="53">
      <c r="C53" t="n">
        <v>2019</v>
      </c>
      <c r="D53">
        <f>IF(C53&lt;=2023, E53/F53, $D$34)</f>
        <v/>
      </c>
      <c r="E53" s="19">
        <f>IF(C53&lt;=2023, INDEX(PWT!$C:$C, MATCH(C53, PWT!$A:$A, 0)), F53*$D$34)</f>
        <v/>
      </c>
      <c r="F53">
        <f>INDEX(WEO_Data!$C:$C, MATCH(C53, WEO_Data!$B:$B, 0))</f>
        <v/>
      </c>
      <c r="G53">
        <f>L23</f>
        <v/>
      </c>
      <c r="H53">
        <f>EXP(G53)*(E53^$B$2)</f>
        <v/>
      </c>
      <c r="I53">
        <f>IFERROR(INDEX(Investment!$C:$C, MATCH(C53, Investment!$B:$B, 0)), 0)</f>
        <v/>
      </c>
      <c r="J53">
        <f>IF(C53&lt;2026,0,IF(C53=2026, I53, (1-$B$3)*J52+I53))</f>
        <v/>
      </c>
      <c r="K53" s="19">
        <f>E53+J53</f>
        <v/>
      </c>
      <c r="L53">
        <f>EXP(G53)*(K53^$B$2)</f>
        <v/>
      </c>
    </row>
    <row r="54">
      <c r="C54" t="n">
        <v>2020</v>
      </c>
      <c r="D54">
        <f>IF(C54&lt;=2023, E54/F54, $D$34)</f>
        <v/>
      </c>
      <c r="E54" s="19">
        <f>IF(C54&lt;=2023, INDEX(PWT!$C:$C, MATCH(C54, PWT!$A:$A, 0)), F54*$D$34)</f>
        <v/>
      </c>
      <c r="F54">
        <f>INDEX(WEO_Data!$C:$C, MATCH(C54, WEO_Data!$B:$B, 0))</f>
        <v/>
      </c>
      <c r="G54">
        <f>L24</f>
        <v/>
      </c>
      <c r="H54">
        <f>EXP(G54)*(E54^$B$2)</f>
        <v/>
      </c>
      <c r="I54">
        <f>IFERROR(INDEX(Investment!$C:$C, MATCH(C54, Investment!$B:$B, 0)), 0)</f>
        <v/>
      </c>
      <c r="J54">
        <f>IF(C54&lt;2026,0,IF(C54=2026, I54, (1-$B$3)*J53+I54))</f>
        <v/>
      </c>
      <c r="K54" s="19">
        <f>E54+J54</f>
        <v/>
      </c>
      <c r="L54">
        <f>EXP(G54)*(K54^$B$2)</f>
        <v/>
      </c>
    </row>
    <row r="55">
      <c r="C55" t="n">
        <v>2021</v>
      </c>
      <c r="D55">
        <f>IF(C55&lt;=2023, E55/F55, $D$34)</f>
        <v/>
      </c>
      <c r="E55" s="19">
        <f>IF(C55&lt;=2023, INDEX(PWT!$C:$C, MATCH(C55, PWT!$A:$A, 0)), F55*$D$34)</f>
        <v/>
      </c>
      <c r="F55">
        <f>INDEX(WEO_Data!$C:$C, MATCH(C55, WEO_Data!$B:$B, 0))</f>
        <v/>
      </c>
      <c r="G55">
        <f>L25</f>
        <v/>
      </c>
      <c r="H55">
        <f>EXP(G55)*(E55^$B$2)</f>
        <v/>
      </c>
      <c r="I55">
        <f>IFERROR(INDEX(Investment!$C:$C, MATCH(C55, Investment!$B:$B, 0)), 0)</f>
        <v/>
      </c>
      <c r="J55">
        <f>IF(C55&lt;2026,0,IF(C55=2026, I55, (1-$B$3)*J54+I55))</f>
        <v/>
      </c>
      <c r="K55" s="19">
        <f>E55+J55</f>
        <v/>
      </c>
      <c r="L55">
        <f>EXP(G55)*(K55^$B$2)</f>
        <v/>
      </c>
    </row>
    <row r="56">
      <c r="C56" t="n">
        <v>2022</v>
      </c>
      <c r="D56">
        <f>IF(C56&lt;=2023, E56/F56, $D$34)</f>
        <v/>
      </c>
      <c r="E56" s="19">
        <f>IF(C56&lt;=2023, INDEX(PWT!$C:$C, MATCH(C56, PWT!$A:$A, 0)), F56*$D$34)</f>
        <v/>
      </c>
      <c r="F56">
        <f>INDEX(WEO_Data!$C:$C, MATCH(C56, WEO_Data!$B:$B, 0))</f>
        <v/>
      </c>
      <c r="G56">
        <f>L26</f>
        <v/>
      </c>
      <c r="H56">
        <f>EXP(G56)*(E56^$B$2)</f>
        <v/>
      </c>
      <c r="I56">
        <f>IFERROR(INDEX(Investment!$C:$C, MATCH(C56, Investment!$B:$B, 0)), 0)</f>
        <v/>
      </c>
      <c r="J56">
        <f>IF(C56&lt;2026,0,IF(C56=2026, I56, (1-$B$3)*J55+I56))</f>
        <v/>
      </c>
      <c r="K56" s="19">
        <f>E56+J56</f>
        <v/>
      </c>
      <c r="L56">
        <f>EXP(G56)*(K56^$B$2)</f>
        <v/>
      </c>
    </row>
    <row r="57">
      <c r="C57" t="n">
        <v>2023</v>
      </c>
      <c r="D57">
        <f>IF(C57&lt;=2023, E57/F57, $D$34)</f>
        <v/>
      </c>
      <c r="E57" s="19">
        <f>IF(C57&lt;=2023, INDEX(PWT!$C:$C, MATCH(C57, PWT!$A:$A, 0)), F57*$D$34)</f>
        <v/>
      </c>
      <c r="F57">
        <f>INDEX(WEO_Data!$C:$C, MATCH(C57, WEO_Data!$B:$B, 0))</f>
        <v/>
      </c>
      <c r="G57">
        <f>L27</f>
        <v/>
      </c>
      <c r="H57">
        <f>EXP(G57)*(E57^$B$2)</f>
        <v/>
      </c>
      <c r="I57">
        <f>IFERROR(INDEX(Investment!$C:$C, MATCH(C57, Investment!$B:$B, 0)), 0)</f>
        <v/>
      </c>
      <c r="J57">
        <f>IF(C57&lt;2026,0,IF(C57=2026, I57, (1-$B$3)*J56+I57))</f>
        <v/>
      </c>
      <c r="K57" s="19">
        <f>E57+J57</f>
        <v/>
      </c>
      <c r="L57">
        <f>EXP(G57)*(K57^$B$2)</f>
        <v/>
      </c>
    </row>
    <row r="58">
      <c r="C58" t="n">
        <v>2024</v>
      </c>
      <c r="D58">
        <f>IF(C58&lt;=2023, E58/F58, $D$34)</f>
        <v/>
      </c>
      <c r="E58" s="21">
        <f>IF(C58&lt;=2023, INDEX(PWT!$C:$C, MATCH(C58, PWT!$A:$A, 0)), F58*$D$34)</f>
        <v/>
      </c>
      <c r="F58">
        <f>INDEX(WEO_Data!$C:$C, MATCH(C58, WEO_Data!$B:$B, 0))</f>
        <v/>
      </c>
      <c r="G58" s="20">
        <f>TREND($G$36:$G$57,$C$36:$C$57,C58)</f>
        <v/>
      </c>
      <c r="H58">
        <f>EXP(G58)*(E58^$B$2)</f>
        <v/>
      </c>
      <c r="I58">
        <f>IFERROR(INDEX(Investment!$C:$C, MATCH(C58, Investment!$B:$B, 0)), 0)</f>
        <v/>
      </c>
      <c r="J58">
        <f>IF(C58&lt;2026,0,IF(C58=2026, I58, (1-$B$3)*J57+I58))</f>
        <v/>
      </c>
      <c r="K58" s="19">
        <f>E58+J58</f>
        <v/>
      </c>
      <c r="L58">
        <f>EXP(G58)*(K58^$B$2)</f>
        <v/>
      </c>
    </row>
    <row r="59">
      <c r="C59" t="n">
        <v>2025</v>
      </c>
      <c r="D59">
        <f>IF(C59&lt;=2023, E59/F59, $D$34)</f>
        <v/>
      </c>
      <c r="E59" s="21">
        <f>IF(C59&lt;=2023, INDEX(PWT!$C:$C, MATCH(C59, PWT!$A:$A, 0)), F59*$D$34)</f>
        <v/>
      </c>
      <c r="F59">
        <f>INDEX(WEO_Data!$C:$C, MATCH(C59, WEO_Data!$B:$B, 0))</f>
        <v/>
      </c>
      <c r="G59" s="20">
        <f>TREND($G$36:$G$57,$C$36:$C$57,C59)</f>
        <v/>
      </c>
      <c r="H59">
        <f>EXP(G59)*(E59^$B$2)</f>
        <v/>
      </c>
      <c r="I59">
        <f>IFERROR(INDEX(Investment!$C:$C, MATCH(C59, Investment!$B:$B, 0)), 0)</f>
        <v/>
      </c>
      <c r="J59">
        <f>IF(C59&lt;2026,0,IF(C59=2026, I59, (1-$B$3)*J58+I59))</f>
        <v/>
      </c>
      <c r="K59" s="19">
        <f>E59+J59</f>
        <v/>
      </c>
      <c r="L59">
        <f>EXP(G59)*(K59^$B$2)</f>
        <v/>
      </c>
    </row>
    <row r="60">
      <c r="C60" t="n">
        <v>2026</v>
      </c>
      <c r="D60">
        <f>IF(C60&lt;=2023, E60/F60, $D$34)</f>
        <v/>
      </c>
      <c r="E60" s="21">
        <f>IF(C60&lt;=2023, INDEX(PWT!$C:$C, MATCH(C60, PWT!$A:$A, 0)), F60*$D$34)</f>
        <v/>
      </c>
      <c r="F60" s="20">
        <f>INDEX(WEO_Data!$C:$C, MATCH(C60, WEO_Data!$B:$B, 0))</f>
        <v/>
      </c>
      <c r="G60" s="20">
        <f>TREND($G$36:$G$57,$C$36:$C$57,C60)</f>
        <v/>
      </c>
      <c r="H60">
        <f>EXP(G60)*(E60^$B$2)</f>
        <v/>
      </c>
      <c r="I60" s="17">
        <f>IFERROR(INDEX(Investment!$C:$C, MATCH(C60, Investment!$B:$B, 0)), 0)</f>
        <v/>
      </c>
      <c r="J60">
        <f>IF(C60&lt;2026,0,IF(C60=2026, I60, (1-$B$3)*J59+I60))</f>
        <v/>
      </c>
      <c r="K60" s="19">
        <f>E60+J60</f>
        <v/>
      </c>
      <c r="L60">
        <f>EXP(G60)*(K60^$B$2)</f>
        <v/>
      </c>
    </row>
    <row r="61">
      <c r="C61" t="n">
        <v>2027</v>
      </c>
      <c r="D61">
        <f>IF(C61&lt;=2023, E61/F61, $D$34)</f>
        <v/>
      </c>
      <c r="E61" s="21">
        <f>IF(C61&lt;=2023, INDEX(PWT!$C:$C, MATCH(C61, PWT!$A:$A, 0)), F61*$D$34)</f>
        <v/>
      </c>
      <c r="F61" s="20">
        <f>INDEX(WEO_Data!$C:$C, MATCH(C61, WEO_Data!$B:$B, 0))</f>
        <v/>
      </c>
      <c r="G61" s="20">
        <f>TREND($G$36:$G$57,$C$36:$C$57,C61)</f>
        <v/>
      </c>
      <c r="H61">
        <f>EXP(G61)*(E61^$B$2)</f>
        <v/>
      </c>
      <c r="I61" s="17">
        <f>IFERROR(INDEX(Investment!$C:$C, MATCH(C61, Investment!$B:$B, 0)), 0)</f>
        <v/>
      </c>
      <c r="J61">
        <f>IF(C61&lt;2026,0,IF(C61=2026, I61, (1-$B$3)*J60+I61))</f>
        <v/>
      </c>
      <c r="K61" s="19">
        <f>E61+J61</f>
        <v/>
      </c>
      <c r="L61">
        <f>EXP(G61)*(K61^$B$2)</f>
        <v/>
      </c>
    </row>
    <row r="62">
      <c r="C62" t="n">
        <v>2028</v>
      </c>
      <c r="D62">
        <f>IF(C62&lt;=2023, E62/F62, $D$34)</f>
        <v/>
      </c>
      <c r="E62" s="21">
        <f>IF(C62&lt;=2023, INDEX(PWT!$C:$C, MATCH(C62, PWT!$A:$A, 0)), F62*$D$34)</f>
        <v/>
      </c>
      <c r="F62" s="20">
        <f>INDEX(WEO_Data!$C:$C, MATCH(C62, WEO_Data!$B:$B, 0))</f>
        <v/>
      </c>
      <c r="G62" s="20">
        <f>TREND($G$36:$G$57,$C$36:$C$57,C62)</f>
        <v/>
      </c>
      <c r="H62">
        <f>EXP(G62)*(E62^$B$2)</f>
        <v/>
      </c>
      <c r="I62" s="17">
        <f>IFERROR(INDEX(Investment!$C:$C, MATCH(C62, Investment!$B:$B, 0)), 0)</f>
        <v/>
      </c>
      <c r="J62">
        <f>IF(C62&lt;2026,0,IF(C62=2026, I62, (1-$B$3)*J61+I62))</f>
        <v/>
      </c>
      <c r="K62" s="19">
        <f>E62+J62</f>
        <v/>
      </c>
      <c r="L62">
        <f>EXP(G62)*(K62^$B$2)</f>
        <v/>
      </c>
    </row>
    <row r="63">
      <c r="C63" t="n">
        <v>2029</v>
      </c>
      <c r="D63">
        <f>IF(C63&lt;=2023, E63/F63, $D$34)</f>
        <v/>
      </c>
      <c r="E63" s="21">
        <f>IF(C63&lt;=2023, INDEX(PWT!$C:$C, MATCH(C63, PWT!$A:$A, 0)), F63*$D$34)</f>
        <v/>
      </c>
      <c r="F63" s="20">
        <f>INDEX(WEO_Data!$C:$C, MATCH(C63, WEO_Data!$B:$B, 0))</f>
        <v/>
      </c>
      <c r="G63" s="20">
        <f>TREND($G$36:$G$57,$C$36:$C$57,C63)</f>
        <v/>
      </c>
      <c r="H63">
        <f>EXP(G63)*(E63^$B$2)</f>
        <v/>
      </c>
      <c r="I63" s="17">
        <f>IFERROR(INDEX(Investment!$C:$C, MATCH(C63, Investment!$B:$B, 0)), 0)</f>
        <v/>
      </c>
      <c r="J63">
        <f>IF(C63&lt;2026,0,IF(C63=2026, I63, (1-$B$3)*J62+I63))</f>
        <v/>
      </c>
      <c r="K63" s="19">
        <f>E63+J63</f>
        <v/>
      </c>
      <c r="L63">
        <f>EXP(G63)*(K63^$B$2)</f>
        <v/>
      </c>
    </row>
    <row r="64">
      <c r="C64" t="n">
        <v>2030</v>
      </c>
      <c r="D64">
        <f>IF(C64&lt;=2023, E64/F64, $D$34)</f>
        <v/>
      </c>
      <c r="E64" s="21">
        <f>IF(C64&lt;=2023, INDEX(PWT!$C:$C, MATCH(C64, PWT!$A:$A, 0)), F64*$D$34)</f>
        <v/>
      </c>
      <c r="F64" s="20">
        <f>INDEX(WEO_Data!$C:$C, MATCH(C64, WEO_Data!$B:$B, 0))</f>
        <v/>
      </c>
      <c r="G64" s="20">
        <f>TREND($G$36:$G$57,$C$36:$C$57,C64)</f>
        <v/>
      </c>
      <c r="H64">
        <f>EXP(G64)*(E64^$B$2)</f>
        <v/>
      </c>
      <c r="I64" s="17">
        <f>IFERROR(INDEX(Investment!$C:$C, MATCH(C64, Investment!$B:$B, 0)), 0)</f>
        <v/>
      </c>
      <c r="J64">
        <f>IF(C64&lt;2026,0,IF(C64=2026, I64, (1-$B$3)*J63+I64))</f>
        <v/>
      </c>
      <c r="K64" s="19">
        <f>E64+J64</f>
        <v/>
      </c>
      <c r="L64">
        <f>EXP(G64)*(K64^$B$2)</f>
        <v/>
      </c>
    </row>
    <row r="65">
      <c r="C65" t="n">
        <v>2031</v>
      </c>
      <c r="D65">
        <f>IF(C65&lt;=2023, E65/F65, $D$34)</f>
        <v/>
      </c>
      <c r="E65" s="21">
        <f>IF(C65&lt;=2023, INDEX(PWT!$C:$C, MATCH(C65, PWT!$A:$A, 0)), F65*$D$34)</f>
        <v/>
      </c>
      <c r="F65" s="20">
        <f>INDEX(WEO_Data!$C:$C, MATCH(C65, WEO_Data!$B:$B, 0))</f>
        <v/>
      </c>
      <c r="G65" s="20">
        <f>TREND($G$36:$G$57,$C$36:$C$57,C65)</f>
        <v/>
      </c>
      <c r="H65">
        <f>EXP(G65)*(E65^$B$2)</f>
        <v/>
      </c>
      <c r="I65" s="17">
        <f>IFERROR(INDEX(Investment!$C:$C, MATCH(C65, Investment!$B:$B, 0)), 0)</f>
        <v/>
      </c>
      <c r="J65">
        <f>IF(C65&lt;2026,0,IF(C65=2026, I65, (1-$B$3)*J64+I65))</f>
        <v/>
      </c>
      <c r="K65" s="19">
        <f>E65+J65</f>
        <v/>
      </c>
      <c r="L65">
        <f>EXP(G65)*(K65^$B$2)</f>
        <v/>
      </c>
    </row>
    <row r="66">
      <c r="C66" t="n">
        <v>2032</v>
      </c>
      <c r="D66">
        <f>IF(C66&lt;=2023, E66/F66, $D$34)</f>
        <v/>
      </c>
      <c r="E66" s="21">
        <f>IF(C66&lt;=2023, INDEX(PWT!$C:$C, MATCH(C66, PWT!$A:$A, 0)), F66*$D$34)</f>
        <v/>
      </c>
      <c r="F66" s="20">
        <f>INDEX(WEO_Data!$C:$C, MATCH(C66, WEO_Data!$B:$B, 0))</f>
        <v/>
      </c>
      <c r="G66" s="20">
        <f>TREND($G$36:$G$57,$C$36:$C$57,C66)</f>
        <v/>
      </c>
      <c r="H66">
        <f>EXP(G66)*(E66^$B$2)</f>
        <v/>
      </c>
      <c r="I66" s="17">
        <f>IFERROR(INDEX(Investment!$C:$C, MATCH(C66, Investment!$B:$B, 0)), 0)</f>
        <v/>
      </c>
      <c r="J66">
        <f>IF(C66&lt;2026,0,IF(C66=2026, I66, (1-$B$3)*J65+I66))</f>
        <v/>
      </c>
      <c r="K66" s="19">
        <f>E66+J66</f>
        <v/>
      </c>
      <c r="L66">
        <f>EXP(G66)*(K66^$B$2)</f>
        <v/>
      </c>
    </row>
    <row r="67">
      <c r="C67" t="n">
        <v>2033</v>
      </c>
      <c r="D67">
        <f>IF(C67&lt;=2023, E67/F67, $D$34)</f>
        <v/>
      </c>
      <c r="E67" s="21">
        <f>IF(C67&lt;=2023, INDEX(PWT!$C:$C, MATCH(C67, PWT!$A:$A, 0)), F67*$D$34)</f>
        <v/>
      </c>
      <c r="F67" s="20">
        <f>INDEX(WEO_Data!$C:$C, MATCH(C67, WEO_Data!$B:$B, 0))</f>
        <v/>
      </c>
      <c r="G67" s="20">
        <f>TREND($G$36:$G$57,$C$36:$C$57,C67)</f>
        <v/>
      </c>
      <c r="H67">
        <f>EXP(G67)*(E67^$B$2)</f>
        <v/>
      </c>
      <c r="I67" s="17">
        <f>IFERROR(INDEX(Investment!$C:$C, MATCH(C67, Investment!$B:$B, 0)), 0)</f>
        <v/>
      </c>
      <c r="J67">
        <f>IF(C67&lt;2026,0,IF(C67=2026, I67, (1-$B$3)*J66+I67))</f>
        <v/>
      </c>
      <c r="K67" s="19">
        <f>E67+J67</f>
        <v/>
      </c>
      <c r="L67">
        <f>EXP(G67)*(K67^$B$2)</f>
        <v/>
      </c>
    </row>
    <row r="68">
      <c r="C68" t="n">
        <v>2034</v>
      </c>
      <c r="D68">
        <f>IF(C68&lt;=2023, E68/F68, $D$34)</f>
        <v/>
      </c>
      <c r="E68" s="21">
        <f>IF(C68&lt;=2023, INDEX(PWT!$C:$C, MATCH(C68, PWT!$A:$A, 0)), F68*$D$34)</f>
        <v/>
      </c>
      <c r="F68" s="20">
        <f>INDEX(WEO_Data!$C:$C, MATCH(C68, WEO_Data!$B:$B, 0))</f>
        <v/>
      </c>
      <c r="G68" s="20">
        <f>TREND($G$36:$G$57,$C$36:$C$57,C68)</f>
        <v/>
      </c>
      <c r="H68">
        <f>EXP(G68)*(E68^$B$2)</f>
        <v/>
      </c>
      <c r="I68">
        <f>IFERROR(INDEX(Investment!$C:$C, MATCH(C68, Investment!$B:$B, 0)), 0)</f>
        <v/>
      </c>
      <c r="J68">
        <f>IF(C68&lt;2026,0,IF(C68=2026, I68, (1-$B$3)*J67+I68))</f>
        <v/>
      </c>
      <c r="K68" s="19">
        <f>E68+J68</f>
        <v/>
      </c>
      <c r="L68">
        <f>EXP(G68)*(K68^$B$2)</f>
        <v/>
      </c>
    </row>
    <row r="69">
      <c r="C69" t="n">
        <v>2035</v>
      </c>
      <c r="D69">
        <f>IF(C69&lt;=2023, E69/F69, $D$34)</f>
        <v/>
      </c>
      <c r="E69" s="21">
        <f>IF(C69&lt;=2023, INDEX(PWT!$C:$C, MATCH(C69, PWT!$A:$A, 0)), F69*$D$34)</f>
        <v/>
      </c>
      <c r="F69" s="20">
        <f>INDEX(WEO_Data!$C:$C, MATCH(C69, WEO_Data!$B:$B, 0))</f>
        <v/>
      </c>
      <c r="G69" s="20">
        <f>TREND($G$36:$G$57,$C$36:$C$57,C69)</f>
        <v/>
      </c>
      <c r="H69">
        <f>EXP(G69)*(E69^$B$2)</f>
        <v/>
      </c>
      <c r="I69">
        <f>IFERROR(INDEX(Investment!$C:$C, MATCH(C69, Investment!$B:$B, 0)), 0)</f>
        <v/>
      </c>
      <c r="J69">
        <f>IF(C69&lt;2026,0,IF(C69=2026, I69, (1-$B$3)*J68+I69))</f>
        <v/>
      </c>
      <c r="K69" s="19">
        <f>E69+J69</f>
        <v/>
      </c>
      <c r="L69">
        <f>EXP(G69)*(K69^$B$2)</f>
        <v/>
      </c>
    </row>
    <row r="70">
      <c r="C70" t="n">
        <v>2036</v>
      </c>
      <c r="D70">
        <f>IF(C70&lt;=2023, E70/F70, $D$34)</f>
        <v/>
      </c>
      <c r="E70" s="21">
        <f>IF(C70&lt;=2023, INDEX(PWT!$C:$C, MATCH(C70, PWT!$A:$A, 0)), F70*$D$34)</f>
        <v/>
      </c>
      <c r="F70" s="20">
        <f>INDEX(WEO_Data!$C:$C, MATCH(C70, WEO_Data!$B:$B, 0))</f>
        <v/>
      </c>
      <c r="G70" s="20">
        <f>TREND($G$36:$G$57,$C$36:$C$57,C70)</f>
        <v/>
      </c>
      <c r="H70">
        <f>EXP(G70)*(E70^$B$2)</f>
        <v/>
      </c>
      <c r="I70">
        <f>IFERROR(INDEX(Investment!$C:$C, MATCH(C70, Investment!$B:$B, 0)), 0)</f>
        <v/>
      </c>
      <c r="J70">
        <f>IF(C70&lt;2026,0,IF(C70=2026, I70, (1-$B$3)*J69+I70))</f>
        <v/>
      </c>
      <c r="K70" s="19">
        <f>E70+J70</f>
        <v/>
      </c>
      <c r="L70">
        <f>EXP(G70)*(K70^$B$2)</f>
        <v/>
      </c>
    </row>
    <row r="71">
      <c r="C71" t="n">
        <v>2037</v>
      </c>
      <c r="D71">
        <f>IF(C71&lt;=2023, E71/F71, $D$34)</f>
        <v/>
      </c>
      <c r="E71" s="21">
        <f>IF(C71&lt;=2023, INDEX(PWT!$C:$C, MATCH(C71, PWT!$A:$A, 0)), F71*$D$34)</f>
        <v/>
      </c>
      <c r="F71" s="20">
        <f>INDEX(WEO_Data!$C:$C, MATCH(C71, WEO_Data!$B:$B, 0))</f>
        <v/>
      </c>
      <c r="G71" s="20">
        <f>TREND($G$36:$G$57,$C$36:$C$57,C71)</f>
        <v/>
      </c>
      <c r="H71">
        <f>EXP(G71)*(E71^$B$2)</f>
        <v/>
      </c>
      <c r="I71">
        <f>IFERROR(INDEX(Investment!$C:$C, MATCH(C71, Investment!$B:$B, 0)), 0)</f>
        <v/>
      </c>
      <c r="J71">
        <f>IF(C71&lt;2026,0,IF(C71=2026, I71, (1-$B$3)*J70+I71))</f>
        <v/>
      </c>
      <c r="K71" s="19">
        <f>E71+J71</f>
        <v/>
      </c>
      <c r="L71">
        <f>EXP(G71)*(K71^$B$2)</f>
        <v/>
      </c>
    </row>
    <row r="72">
      <c r="C72" t="n">
        <v>2038</v>
      </c>
      <c r="D72">
        <f>IF(C72&lt;=2023, E72/F72, $D$34)</f>
        <v/>
      </c>
      <c r="E72" s="21">
        <f>IF(C72&lt;=2023, INDEX(PWT!$C:$C, MATCH(C72, PWT!$A:$A, 0)), F72*$D$34)</f>
        <v/>
      </c>
      <c r="F72" s="20">
        <f>INDEX(WEO_Data!$C:$C, MATCH(C72, WEO_Data!$B:$B, 0))</f>
        <v/>
      </c>
      <c r="G72" s="20">
        <f>TREND($G$36:$G$57,$C$36:$C$57,C72)</f>
        <v/>
      </c>
      <c r="H72">
        <f>EXP(G72)*(E72^$B$2)</f>
        <v/>
      </c>
      <c r="I72">
        <f>IFERROR(INDEX(Investment!$C:$C, MATCH(C72, Investment!$B:$B, 0)), 0)</f>
        <v/>
      </c>
      <c r="J72">
        <f>IF(C72&lt;2026,0,IF(C72=2026, I72, (1-$B$3)*J71+I72))</f>
        <v/>
      </c>
      <c r="K72" s="19">
        <f>E72+J72</f>
        <v/>
      </c>
      <c r="L72">
        <f>EXP(G72)*(K72^$B$2)</f>
        <v/>
      </c>
    </row>
    <row r="73">
      <c r="C73" t="n">
        <v>2039</v>
      </c>
      <c r="D73">
        <f>IF(C73&lt;=2023, E73/F73, $D$34)</f>
        <v/>
      </c>
      <c r="E73" s="21">
        <f>IF(C73&lt;=2023, INDEX(PWT!$C:$C, MATCH(C73, PWT!$A:$A, 0)), F73*$D$34)</f>
        <v/>
      </c>
      <c r="F73" s="20">
        <f>INDEX(WEO_Data!$C:$C, MATCH(C73, WEO_Data!$B:$B, 0))</f>
        <v/>
      </c>
      <c r="G73" s="20">
        <f>TREND($G$36:$G$57,$C$36:$C$57,C73)</f>
        <v/>
      </c>
      <c r="H73">
        <f>EXP(G73)*(E73^$B$2)</f>
        <v/>
      </c>
      <c r="I73">
        <f>IFERROR(INDEX(Investment!$C:$C, MATCH(C73, Investment!$B:$B, 0)), 0)</f>
        <v/>
      </c>
      <c r="J73">
        <f>IF(C73&lt;2026,0,IF(C73=2026, I73, (1-$B$3)*J72+I73))</f>
        <v/>
      </c>
      <c r="K73" s="19">
        <f>E73+J73</f>
        <v/>
      </c>
      <c r="L73">
        <f>EXP(G73)*(K73^$B$2)</f>
        <v/>
      </c>
    </row>
    <row r="74">
      <c r="C74" t="n">
        <v>2040</v>
      </c>
      <c r="D74">
        <f>IF(C74&lt;=2023, E74/F74, $D$34)</f>
        <v/>
      </c>
      <c r="E74" s="21">
        <f>IF(C74&lt;=2023, INDEX(PWT!$C:$C, MATCH(C74, PWT!$A:$A, 0)), F74*$D$34)</f>
        <v/>
      </c>
      <c r="F74" s="20">
        <f>INDEX(WEO_Data!$C:$C, MATCH(C74, WEO_Data!$B:$B, 0))</f>
        <v/>
      </c>
      <c r="G74" s="20">
        <f>TREND($G$36:$G$57,$C$36:$C$57,C74)</f>
        <v/>
      </c>
      <c r="H74">
        <f>EXP(G74)*(E74^$B$2)</f>
        <v/>
      </c>
      <c r="I74">
        <f>IFERROR(INDEX(Investment!$C:$C, MATCH(C74, Investment!$B:$B, 0)), 0)</f>
        <v/>
      </c>
      <c r="J74">
        <f>IF(C74&lt;2026,0,IF(C74=2026, I74, (1-$B$3)*J73+I74))</f>
        <v/>
      </c>
      <c r="K74" s="19">
        <f>E74+J74</f>
        <v/>
      </c>
      <c r="L74">
        <f>EXP(G74)*(K74^$B$2)</f>
        <v/>
      </c>
    </row>
    <row r="75">
      <c r="C75" t="n">
        <v>2041</v>
      </c>
      <c r="D75">
        <f>IF(C75&lt;=2023, E75/F75, $D$34)</f>
        <v/>
      </c>
      <c r="E75" s="21">
        <f>IF(C75&lt;=2023, INDEX(PWT!$C:$C, MATCH(C75, PWT!$A:$A, 0)), F75*$D$34)</f>
        <v/>
      </c>
      <c r="F75" s="20">
        <f>INDEX(WEO_Data!$C:$C, MATCH(C75, WEO_Data!$B:$B, 0))</f>
        <v/>
      </c>
      <c r="G75" s="20">
        <f>TREND($G$36:$G$57,$C$36:$C$57,C75)</f>
        <v/>
      </c>
      <c r="H75">
        <f>EXP(G75)*(E75^$B$2)</f>
        <v/>
      </c>
      <c r="I75">
        <f>IFERROR(INDEX(Investment!$C:$C, MATCH(C75, Investment!$B:$B, 0)), 0)</f>
        <v/>
      </c>
      <c r="J75">
        <f>IF(C75&lt;2026,0,IF(C75=2026, I75, (1-$B$3)*J74+I75))</f>
        <v/>
      </c>
      <c r="K75" s="19">
        <f>E75+J75</f>
        <v/>
      </c>
      <c r="L75">
        <f>EXP(G75)*(K75^$B$2)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IFERROR(INDEX(PWT!$C:$C, MATCH(B2, PWT!$A:$A, 0)), "")</f>
        <v/>
      </c>
      <c r="E2">
        <f>IF(D2&gt;0, C2/D2, "")</f>
        <v/>
      </c>
    </row>
    <row r="3">
      <c r="A3" s="18" t="n">
        <v>35795</v>
      </c>
      <c r="B3" t="n">
        <v>1997</v>
      </c>
      <c r="C3" t="n">
        <v>383641663.608596</v>
      </c>
      <c r="D3" s="19">
        <f>IFERROR(INDEX(PWT!$C:$C, MATCH(B3, PWT!$A:$A, 0)), "")</f>
        <v/>
      </c>
      <c r="E3">
        <f>IF(D3&gt;0, C3/D3, "")</f>
        <v/>
      </c>
    </row>
    <row r="4">
      <c r="A4" s="18" t="n">
        <v>36160</v>
      </c>
      <c r="B4" t="n">
        <v>1998</v>
      </c>
      <c r="C4" t="n">
        <v>516397121.222809</v>
      </c>
      <c r="D4" s="19">
        <f>IFERROR(INDEX(PWT!$C:$C, MATCH(B4, PWT!$A:$A, 0)), "")</f>
        <v/>
      </c>
      <c r="E4">
        <f>IF(D4&gt;0, C4/D4, "")</f>
        <v/>
      </c>
    </row>
    <row r="5">
      <c r="A5" s="18" t="n">
        <v>36525</v>
      </c>
      <c r="B5" t="n">
        <v>1999</v>
      </c>
      <c r="C5" t="n">
        <v>661603834.429231</v>
      </c>
      <c r="D5" s="19">
        <f>IFERROR(INDEX(PWT!$C:$C, MATCH(B5, PWT!$A:$A, 0)), "")</f>
        <v/>
      </c>
      <c r="E5">
        <f>IF(D5&gt;0, C5/D5, "")</f>
        <v/>
      </c>
    </row>
    <row r="6">
      <c r="A6" s="18" t="n">
        <v>36891</v>
      </c>
      <c r="B6" t="n">
        <v>2000</v>
      </c>
      <c r="C6" t="n">
        <v>631701000.88782</v>
      </c>
      <c r="D6" s="19">
        <f>IFERROR(INDEX(PWT!$C:$C, MATCH(B6, PWT!$A:$A, 0)), "")</f>
        <v/>
      </c>
      <c r="E6">
        <f>IF(D6&gt;0, C6/D6, "")</f>
        <v/>
      </c>
    </row>
    <row r="7">
      <c r="A7" s="18" t="n">
        <v>37256</v>
      </c>
      <c r="B7" t="n">
        <v>2001</v>
      </c>
      <c r="C7" t="n">
        <v>706983726.789065</v>
      </c>
      <c r="D7" s="19">
        <f>IFERROR(INDEX(PWT!$C:$C, MATCH(B7, PWT!$A:$A, 0)), "")</f>
        <v/>
      </c>
      <c r="E7">
        <f>IF(D7&gt;0, C7/D7, "")</f>
        <v/>
      </c>
    </row>
    <row r="8">
      <c r="A8" s="18" t="n">
        <v>37621</v>
      </c>
      <c r="B8" t="n">
        <v>2002</v>
      </c>
      <c r="C8" t="n">
        <v>790112565.198609</v>
      </c>
      <c r="D8" s="19">
        <f>IFERROR(INDEX(PWT!$C:$C, MATCH(B8, PWT!$A:$A, 0)), "")</f>
        <v/>
      </c>
      <c r="E8">
        <f>IF(D8&gt;0, C8/D8, "")</f>
        <v/>
      </c>
    </row>
    <row r="9">
      <c r="A9" s="18" t="n">
        <v>37986</v>
      </c>
      <c r="B9" t="n">
        <v>2003</v>
      </c>
      <c r="C9" t="n">
        <v>932916219.671159</v>
      </c>
      <c r="D9" s="19">
        <f>IFERROR(INDEX(PWT!$C:$C, MATCH(B9, PWT!$A:$A, 0)), "")</f>
        <v/>
      </c>
      <c r="E9">
        <f>IF(D9&gt;0, C9/D9, "")</f>
        <v/>
      </c>
    </row>
    <row r="10">
      <c r="A10" s="18" t="n">
        <v>38352</v>
      </c>
      <c r="B10" t="n">
        <v>2004</v>
      </c>
      <c r="C10" t="n">
        <v>976818537.799271</v>
      </c>
      <c r="D10" s="19">
        <f>IFERROR(INDEX(PWT!$C:$C, MATCH(B10, PWT!$A:$A, 0)), "")</f>
        <v/>
      </c>
      <c r="E10">
        <f>IF(D10&gt;0, C10/D10, "")</f>
        <v/>
      </c>
    </row>
    <row r="11">
      <c r="A11" s="18" t="n">
        <v>38717</v>
      </c>
      <c r="B11" t="n">
        <v>2005</v>
      </c>
      <c r="C11" t="n">
        <v>1113450058.59263</v>
      </c>
      <c r="D11" s="19">
        <f>IFERROR(INDEX(PWT!$C:$C, MATCH(B11, PWT!$A:$A, 0)), "")</f>
        <v/>
      </c>
      <c r="E11">
        <f>IF(D11&gt;0, C11/D11, "")</f>
        <v/>
      </c>
    </row>
    <row r="12">
      <c r="A12" s="18" t="n">
        <v>39082</v>
      </c>
      <c r="B12" t="n">
        <v>2006</v>
      </c>
      <c r="C12" t="n">
        <v>1306373084.13224</v>
      </c>
      <c r="D12" s="19">
        <f>IFERROR(INDEX(PWT!$C:$C, MATCH(B12, PWT!$A:$A, 0)), "")</f>
        <v/>
      </c>
      <c r="E12">
        <f>IF(D12&gt;0, C12/D12, "")</f>
        <v/>
      </c>
    </row>
    <row r="13">
      <c r="A13" s="18" t="n">
        <v>39447</v>
      </c>
      <c r="B13" t="n">
        <v>2007</v>
      </c>
      <c r="C13" t="n">
        <v>1617029966.25711</v>
      </c>
      <c r="D13" s="19">
        <f>IFERROR(INDEX(PWT!$C:$C, MATCH(B13, PWT!$A:$A, 0)), "")</f>
        <v/>
      </c>
      <c r="E13">
        <f>IF(D13&gt;0, C13/D13, "")</f>
        <v/>
      </c>
    </row>
    <row r="14">
      <c r="A14" s="18" t="n">
        <v>39813</v>
      </c>
      <c r="B14" t="n">
        <v>2008</v>
      </c>
      <c r="C14" t="n">
        <v>1758049267.6717</v>
      </c>
      <c r="D14" s="19">
        <f>IFERROR(INDEX(PWT!$C:$C, MATCH(B14, PWT!$A:$A, 0)), "")</f>
        <v/>
      </c>
      <c r="E14">
        <f>IF(D14&gt;0, C14/D14, "")</f>
        <v/>
      </c>
    </row>
    <row r="15">
      <c r="A15" s="18" t="n">
        <v>40178</v>
      </c>
      <c r="B15" t="n">
        <v>2009</v>
      </c>
      <c r="C15" t="n">
        <v>1751366684.88131</v>
      </c>
      <c r="D15" s="19">
        <f>IFERROR(INDEX(PWT!$C:$C, MATCH(B15, PWT!$A:$A, 0)), "")</f>
        <v/>
      </c>
      <c r="E15">
        <f>IF(D15&gt;0, C15/D15, "")</f>
        <v/>
      </c>
    </row>
    <row r="16">
      <c r="A16" s="18" t="n">
        <v>40543</v>
      </c>
      <c r="B16" t="n">
        <v>2010</v>
      </c>
      <c r="C16" t="n">
        <v>2046413234.66733</v>
      </c>
      <c r="D16" s="19">
        <f>IFERROR(INDEX(PWT!$C:$C, MATCH(B16, PWT!$A:$A, 0)), "")</f>
        <v/>
      </c>
      <c r="E16">
        <f>IF(D16&gt;0, C16/D16, "")</f>
        <v/>
      </c>
    </row>
    <row r="17">
      <c r="A17" s="18" t="n">
        <v>40908</v>
      </c>
      <c r="B17" t="n">
        <v>2011</v>
      </c>
      <c r="C17" t="n">
        <v>2350512405.90543</v>
      </c>
      <c r="D17" s="19">
        <f>IFERROR(INDEX(PWT!$C:$C, MATCH(B17, PWT!$A:$A, 0)), "")</f>
        <v/>
      </c>
      <c r="E17">
        <f>IF(D17&gt;0, C17/D17, "")</f>
        <v/>
      </c>
    </row>
    <row r="18">
      <c r="A18" s="18" t="n">
        <v>41274</v>
      </c>
      <c r="B18" t="n">
        <v>2012</v>
      </c>
      <c r="C18" t="n">
        <v>2643602887.96874</v>
      </c>
      <c r="D18" s="19">
        <f>IFERROR(INDEX(PWT!$C:$C, MATCH(B18, PWT!$A:$A, 0)), "")</f>
        <v/>
      </c>
      <c r="E18">
        <f>IF(D18&gt;0, C18/D18, "")</f>
        <v/>
      </c>
    </row>
    <row r="19">
      <c r="A19" s="18" t="n">
        <v>41639</v>
      </c>
      <c r="B19" t="n">
        <v>2013</v>
      </c>
      <c r="C19" t="n">
        <v>1555932152.31816</v>
      </c>
      <c r="D19" s="19">
        <f>IFERROR(INDEX(PWT!$C:$C, MATCH(B19, PWT!$A:$A, 0)), "")</f>
        <v/>
      </c>
      <c r="E19">
        <f>IF(D19&gt;0, C19/D19, "")</f>
        <v/>
      </c>
    </row>
    <row r="20">
      <c r="A20" s="18" t="n">
        <v>42004</v>
      </c>
      <c r="B20" t="n">
        <v>2014</v>
      </c>
      <c r="C20" t="n">
        <v>2984890468.6878</v>
      </c>
      <c r="D20" s="19">
        <f>IFERROR(INDEX(PWT!$C:$C, MATCH(B20, PWT!$A:$A, 0)), "")</f>
        <v/>
      </c>
      <c r="E20">
        <f>IF(D20&gt;0, C20/D20, "")</f>
        <v/>
      </c>
    </row>
    <row r="21">
      <c r="A21" s="18" t="n">
        <v>42369</v>
      </c>
      <c r="B21" t="n">
        <v>2015</v>
      </c>
      <c r="C21" t="n">
        <v>3657280672.54249</v>
      </c>
      <c r="D21" s="19">
        <f>IFERROR(INDEX(PWT!$C:$C, MATCH(B21, PWT!$A:$A, 0)), "")</f>
        <v/>
      </c>
      <c r="E21">
        <f>IF(D21&gt;0, C21/D21, "")</f>
        <v/>
      </c>
    </row>
    <row r="22">
      <c r="A22" s="18" t="n">
        <v>42735</v>
      </c>
      <c r="B22" t="n">
        <v>2016</v>
      </c>
      <c r="C22" t="n">
        <v>4004828719.85304</v>
      </c>
      <c r="D22" s="19">
        <f>IFERROR(INDEX(PWT!$C:$C, MATCH(B22, PWT!$A:$A, 0)), "")</f>
        <v/>
      </c>
      <c r="E22">
        <f>IF(D22&gt;0, C22/D22, "")</f>
        <v/>
      </c>
    </row>
    <row r="23">
      <c r="A23" s="18" t="n">
        <v>43100</v>
      </c>
      <c r="B23" t="n">
        <v>2017</v>
      </c>
      <c r="C23" t="n">
        <v>4492921334.90825</v>
      </c>
      <c r="D23" s="19">
        <f>IFERROR(INDEX(PWT!$C:$C, MATCH(B23, PWT!$A:$A, 0)), "")</f>
        <v/>
      </c>
      <c r="E23">
        <f>IF(D23&gt;0, C23/D23, "")</f>
        <v/>
      </c>
    </row>
    <row r="24">
      <c r="A24" s="18" t="n">
        <v>43465</v>
      </c>
      <c r="B24" t="n">
        <v>2018</v>
      </c>
      <c r="C24" t="n">
        <v>4843616440.28627</v>
      </c>
      <c r="D24" s="19">
        <f>IFERROR(INDEX(PWT!$C:$C, MATCH(B24, PWT!$A:$A, 0)), "")</f>
        <v/>
      </c>
      <c r="E24">
        <f>IF(D24&gt;0, C24/D24, "")</f>
        <v/>
      </c>
    </row>
    <row r="25">
      <c r="A25" s="18" t="n">
        <v>43830</v>
      </c>
      <c r="B25" t="n">
        <v>2019</v>
      </c>
      <c r="C25" t="n">
        <v>5452957379.35004</v>
      </c>
      <c r="D25" s="19">
        <f>IFERROR(INDEX(PWT!$C:$C, MATCH(B25, PWT!$A:$A, 0)), "")</f>
        <v/>
      </c>
      <c r="E25">
        <f>IF(D25&gt;0, C25/D25, "")</f>
        <v/>
      </c>
    </row>
    <row r="26">
      <c r="A26" s="18" t="n">
        <v>44196</v>
      </c>
      <c r="B26" t="n">
        <v>2020</v>
      </c>
      <c r="C26" t="n">
        <v>6152769261.61805</v>
      </c>
      <c r="D26" s="19">
        <f>IFERROR(INDEX(PWT!$C:$C, MATCH(B26, PWT!$A:$A, 0)), "")</f>
        <v/>
      </c>
      <c r="E26">
        <f>IF(D26&gt;0, C26/D26, "")</f>
        <v/>
      </c>
    </row>
    <row r="27">
      <c r="A27" s="18" t="n">
        <v>44561</v>
      </c>
      <c r="B27" t="n">
        <v>2021</v>
      </c>
      <c r="C27" t="n">
        <v>7072625348.89823</v>
      </c>
      <c r="D27" s="19">
        <f>IFERROR(INDEX(PWT!$C:$C, MATCH(B27, PWT!$A:$A, 0)), "")</f>
        <v/>
      </c>
      <c r="E27">
        <f>IF(D27&gt;0, C27/D27, "")</f>
        <v/>
      </c>
    </row>
    <row r="28">
      <c r="A28" s="18" t="n">
        <v>44926</v>
      </c>
      <c r="B28" t="n">
        <v>2022</v>
      </c>
      <c r="C28" t="n">
        <v>7661448474.88107</v>
      </c>
      <c r="D28" s="19">
        <f>IFERROR(INDEX(PWT!$C:$C, MATCH(B28, PWT!$A:$A, 0)), "")</f>
        <v/>
      </c>
      <c r="E28">
        <f>IF(D28&gt;0, C28/D28, "")</f>
        <v/>
      </c>
    </row>
    <row r="29">
      <c r="A29" s="18" t="n">
        <v>45291</v>
      </c>
      <c r="B29" t="n">
        <v>2023</v>
      </c>
      <c r="C29" t="n">
        <v>9410657843.71035</v>
      </c>
      <c r="D29" s="19">
        <f>IFERROR(INDEX(PWT!$C:$C, MATCH(B29, PWT!$A:$A, 0)), "")</f>
        <v/>
      </c>
      <c r="E29">
        <f>IF(D29&gt;0, C29/D29, 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rkna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  <c r="C6" t="n">
        <v>0.693819880485535</v>
      </c>
    </row>
    <row r="7">
      <c r="A7" s="19" t="n">
        <v>1995</v>
      </c>
      <c r="B7" s="19" t="n">
        <v>305633.28125</v>
      </c>
      <c r="C7" t="n">
        <v>0.663533091545105</v>
      </c>
    </row>
    <row r="8">
      <c r="A8" s="19" t="n">
        <v>1996</v>
      </c>
      <c r="B8" s="19" t="n">
        <v>301706.46875</v>
      </c>
      <c r="C8" t="n">
        <v>0.646936058998108</v>
      </c>
    </row>
    <row r="9">
      <c r="A9" s="19" t="n">
        <v>1997</v>
      </c>
      <c r="B9" s="19" t="n">
        <v>298764.625</v>
      </c>
      <c r="C9" t="n">
        <v>0.636244714260101</v>
      </c>
    </row>
    <row r="10">
      <c r="A10" s="19" t="n">
        <v>1998</v>
      </c>
      <c r="B10" s="19" t="n">
        <v>298990.5</v>
      </c>
      <c r="C10" t="n">
        <v>0.639280378818512</v>
      </c>
    </row>
    <row r="11">
      <c r="A11" s="19" t="n">
        <v>1999</v>
      </c>
      <c r="B11" s="19" t="n">
        <v>299754.78125</v>
      </c>
      <c r="C11" t="n">
        <v>0.643343687057495</v>
      </c>
    </row>
    <row r="12">
      <c r="A12" s="19" t="n">
        <v>2000</v>
      </c>
      <c r="B12" s="19" t="n">
        <v>300383.3125</v>
      </c>
      <c r="C12" t="n">
        <v>0.645317256450653</v>
      </c>
    </row>
    <row r="13">
      <c r="A13" s="19" t="n">
        <v>2001</v>
      </c>
      <c r="B13" s="19" t="n">
        <v>302284.0625</v>
      </c>
      <c r="C13" t="n">
        <v>0.650818169116974</v>
      </c>
    </row>
    <row r="14">
      <c r="A14" s="19" t="n">
        <v>2002</v>
      </c>
      <c r="B14" s="19" t="n">
        <v>303592.625</v>
      </c>
      <c r="C14" t="n">
        <v>0.651715517044067</v>
      </c>
    </row>
    <row r="15">
      <c r="A15" s="19" t="n">
        <v>2003</v>
      </c>
      <c r="B15" s="19" t="n">
        <v>307310.28125</v>
      </c>
      <c r="C15" t="n">
        <v>0.658994793891907</v>
      </c>
    </row>
    <row r="16">
      <c r="A16" s="19" t="n">
        <v>2004</v>
      </c>
      <c r="B16" s="19" t="n">
        <v>311984.28125</v>
      </c>
      <c r="C16" t="n">
        <v>0.676426887512207</v>
      </c>
    </row>
    <row r="17">
      <c r="A17" s="19" t="n">
        <v>2005</v>
      </c>
      <c r="B17" s="19" t="n">
        <v>317837.8125</v>
      </c>
      <c r="C17" t="n">
        <v>0.697964012622833</v>
      </c>
    </row>
    <row r="18">
      <c r="A18" s="19" t="n">
        <v>2006</v>
      </c>
      <c r="B18" s="19" t="n">
        <v>322943.65625</v>
      </c>
      <c r="C18" t="n">
        <v>0.720032036304474</v>
      </c>
    </row>
    <row r="19">
      <c r="A19" s="19" t="n">
        <v>2007</v>
      </c>
      <c r="B19" s="19" t="n">
        <v>329445.875</v>
      </c>
      <c r="C19" t="n">
        <v>0.74526309967041</v>
      </c>
    </row>
    <row r="20">
      <c r="A20" s="19" t="n">
        <v>2008</v>
      </c>
      <c r="B20" s="19" t="n">
        <v>332604.46875</v>
      </c>
      <c r="C20" t="n">
        <v>0.759231209754944</v>
      </c>
    </row>
    <row r="21">
      <c r="A21" s="19" t="n">
        <v>2009</v>
      </c>
      <c r="B21" s="19" t="n">
        <v>330608.28125</v>
      </c>
      <c r="C21" t="n">
        <v>0.752109229564667</v>
      </c>
    </row>
    <row r="22">
      <c r="A22" s="19" t="n">
        <v>2010</v>
      </c>
      <c r="B22" s="19" t="n">
        <v>332551.53125</v>
      </c>
      <c r="C22" t="n">
        <v>0.7580080628395079</v>
      </c>
    </row>
    <row r="23">
      <c r="A23" s="19" t="n">
        <v>2011</v>
      </c>
      <c r="B23" s="19" t="n">
        <v>336560.28125</v>
      </c>
      <c r="C23" t="n">
        <v>0.7690709233284</v>
      </c>
    </row>
    <row r="24">
      <c r="A24" s="19" t="n">
        <v>2012</v>
      </c>
      <c r="B24" s="19" t="n">
        <v>341471.1875</v>
      </c>
      <c r="C24" t="n">
        <v>0.782711386680603</v>
      </c>
    </row>
    <row r="25">
      <c r="A25" s="19" t="n">
        <v>2013</v>
      </c>
      <c r="B25" s="19" t="n">
        <v>344239.03125</v>
      </c>
      <c r="C25" t="n">
        <v>0.79158365726471</v>
      </c>
    </row>
    <row r="26">
      <c r="A26" s="19" t="n">
        <v>2014</v>
      </c>
      <c r="B26" s="19" t="n">
        <v>350962.15625</v>
      </c>
      <c r="C26" t="n">
        <v>0.812366306781769</v>
      </c>
    </row>
    <row r="27">
      <c r="A27" s="19" t="n">
        <v>2015</v>
      </c>
      <c r="B27" s="19" t="n">
        <v>360259.8125</v>
      </c>
      <c r="C27" t="n">
        <v>0.841849863529205</v>
      </c>
    </row>
    <row r="28">
      <c r="A28" s="19" t="n">
        <v>2016</v>
      </c>
      <c r="B28" s="19" t="n">
        <v>370547.65625</v>
      </c>
      <c r="C28" t="n">
        <v>0.875286102294922</v>
      </c>
    </row>
    <row r="29">
      <c r="A29" s="19" t="n">
        <v>2017</v>
      </c>
      <c r="B29" s="19" t="n">
        <v>380655.78125</v>
      </c>
      <c r="C29" t="n">
        <v>0.909835457801819</v>
      </c>
    </row>
    <row r="30">
      <c r="A30" s="19" t="n">
        <v>2018</v>
      </c>
      <c r="B30" s="19" t="n">
        <v>390625.1875</v>
      </c>
      <c r="C30" t="n">
        <v>0.938847839832306</v>
      </c>
    </row>
    <row r="31">
      <c r="A31" s="19" t="n">
        <v>2019</v>
      </c>
      <c r="B31" s="19" t="n">
        <v>399934.28125</v>
      </c>
      <c r="C31" t="n">
        <v>0.970234096050263</v>
      </c>
    </row>
    <row r="32">
      <c r="A32" s="19" t="n">
        <v>2020</v>
      </c>
      <c r="B32" s="19" t="n">
        <v>405156.15625</v>
      </c>
      <c r="C32" t="n">
        <v>0.9879248142242431</v>
      </c>
    </row>
    <row r="33">
      <c r="A33" s="19" t="n">
        <v>2021</v>
      </c>
      <c r="B33" s="19" t="n">
        <v>409189.75</v>
      </c>
      <c r="C33" t="n">
        <v>1</v>
      </c>
    </row>
    <row r="34">
      <c r="A34" s="19" t="n">
        <v>2022</v>
      </c>
      <c r="B34" s="19" t="n">
        <v>415085.84375</v>
      </c>
      <c r="C34" t="n">
        <v>1.01787507534027</v>
      </c>
    </row>
    <row r="35">
      <c r="A35" s="19" t="n">
        <v>2023</v>
      </c>
      <c r="B35" s="19" t="n">
        <v>426190.5</v>
      </c>
      <c r="C35" t="n">
        <v>1.05426597595215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52"/>
    <row r="53"/>
    <row r="54"/>
    <row r="55"/>
    <row r="56"/>
    <row r="57"/>
    <row r="58"/>
    <row r="59"/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2026-01-27T23:19:43Z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