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 price" sheetId="1" state="visible" r:id="rId3"/>
    <sheet name="Answer" sheetId="2" state="visible" r:id="rId4"/>
    <sheet name="Value" sheetId="3" state="visible" r:id="rId5"/>
    <sheet name="Volume" sheetId="4" state="visible" r:id="rId6"/>
    <sheet name="Total Reser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<sst xmlns="http://schemas.openxmlformats.org/spreadsheetml/2006/main" count="497" uniqueCount="460">
  <si>
    <t xml:space="preserve">Date</t>
  </si>
  <si>
    <t xml:space="preserve">Gold Price</t>
  </si>
  <si>
    <t xml:space="preserve">Monthly Log Return (%)</t>
  </si>
  <si>
    <t xml:space="preserve">3-Month Volatility</t>
  </si>
  <si>
    <t xml:space="preserve">12-Month Volatility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</si>
  <si>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</si>
  <si>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</si>
  <si>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</si>
  <si>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</si>
  <si>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</si>
  <si>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</si>
  <si>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</si>
  <si>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</si>
  <si>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</si>
  <si>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</si>
  <si>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</si>
  <si>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</si>
  <si>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</si>
  <si>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</si>
  <si>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</si>
  <si>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</si>
  <si>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</si>
  <si>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</si>
  <si>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</si>
  <si>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</si>
  <si>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</si>
  <si>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</si>
  <si>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</si>
  <si>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</si>
  <si>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</si>
  <si>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</si>
  <si>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</si>
  <si>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</si>
  <si>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</si>
  <si>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</si>
  <si>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</si>
  <si>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</si>
  <si>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</si>
  <si>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</si>
  <si>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</si>
  <si>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</si>
  <si>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</si>
  <si>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</si>
  <si>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</si>
  <si>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</si>
  <si>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</si>
  <si>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</si>
  <si>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</si>
  <si>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</si>
  <si>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</si>
  <si>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</si>
  <si>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</si>
  <si>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</si>
  <si>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</si>
  <si>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</si>
  <si>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</si>
  <si>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</si>
  <si>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</si>
  <si>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</si>
  <si>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</si>
  <si>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</si>
  <si>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</si>
  <si>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</si>
  <si>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</si>
  <si>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</si>
  <si>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</si>
  <si>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</si>
  <si>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</si>
  <si>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</si>
  <si>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</si>
  <si>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</si>
  <si>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</si>
  <si>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</si>
  <si>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</si>
  <si>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</si>
  <si>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</si>
  <si>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</si>
  <si>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</si>
  <si>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</si>
  <si>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</si>
  <si>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</si>
  <si>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</si>
  <si>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</si>
  <si>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</si>
  <si>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</si>
  <si>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</si>
  <si>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</si>
  <si>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</si>
  <si>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</si>
  <si>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</si>
  <si>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</si>
  <si>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</si>
  <si>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</si>
  <si>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</si>
  <si>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</si>
  <si>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</si>
  <si>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</si>
  <si>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</si>
  <si>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</si>
  <si>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</si>
  <si>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</si>
  <si>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</si>
  <si>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</si>
  <si>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</si>
  <si>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</si>
  <si>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</si>
  <si>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</si>
  <si>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</si>
  <si>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</si>
  <si>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</si>
  <si>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</si>
  <si>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</si>
  <si>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</si>
  <si>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</si>
  <si>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</si>
  <si>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</si>
  <si>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</si>
  <si>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</si>
  <si>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</si>
  <si>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</si>
  <si>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</si>
  <si>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</si>
  <si>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</si>
  <si>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</si>
  <si>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</si>
  <si>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</si>
  <si>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</si>
  <si>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</si>
  <si>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</si>
  <si>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</si>
  <si>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</si>
  <si>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</si>
  <si>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</si>
  <si>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</si>
  <si>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</si>
  <si>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</si>
  <si>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</si>
  <si>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</si>
  <si>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</si>
  <si>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</si>
  <si>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</si>
  <si>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</si>
  <si>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</si>
  <si>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</si>
  <si>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</si>
  <si>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</si>
  <si>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</si>
  <si>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</si>
  <si>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</si>
  <si>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</si>
  <si>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</si>
  <si>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</si>
  <si>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</si>
  <si>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</si>
  <si>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</si>
  <si>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</si>
  <si>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</si>
  <si>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</si>
  <si>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</si>
  <si>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</si>
  <si>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</si>
  <si>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</si>
  <si>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</si>
  <si>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</si>
  <si>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</si>
  <si>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</si>
  <si>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</si>
  <si>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</si>
  <si>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</si>
  <si>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</si>
  <si>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</si>
  <si>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</si>
  <si>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</si>
  <si>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</si>
  <si>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</si>
  <si>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</si>
  <si>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</si>
  <si>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</si>
  <si>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</si>
  <si>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</si>
  <si>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</si>
  <si>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</si>
  <si>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</si>
  <si>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</si>
  <si>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</si>
  <si>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</si>
  <si>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</si>
  <si>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</si>
  <si>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</si>
  <si>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</si>
  <si>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</si>
  <si>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</si>
  <si>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</si>
  <si>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</si>
  <si>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</si>
  <si>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</si>
  <si>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</si>
  <si>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</si>
  <si>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</si>
  <si>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</si>
  <si>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</si>
  <si>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</si>
  <si>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</si>
  <si>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</si>
  <si>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</si>
  <si>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</si>
  <si>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</si>
  <si>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</si>
  <si>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</si>
  <si>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</si>
  <si>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</si>
  <si>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</si>
  <si>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</si>
  <si>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</si>
  <si>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</si>
  <si>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</si>
  <si>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</si>
  <si>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</si>
  <si>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</si>
  <si>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</si>
  <si>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</si>
  <si>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</si>
  <si>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</si>
  <si>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</si>
  <si>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</si>
  <si>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</si>
  <si>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</si>
  <si>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</si>
  <si>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</si>
  <si>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</si>
  <si>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</si>
  <si>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</si>
  <si>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</si>
  <si>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</si>
  <si>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</si>
  <si>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</si>
  <si>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</si>
  <si>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</si>
  <si>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</si>
  <si>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</si>
  <si>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</si>
  <si>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</si>
  <si>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</si>
  <si>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</si>
  <si>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</si>
  <si>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</si>
  <si>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</si>
  <si>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</si>
  <si>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</si>
  <si>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</si>
  <si>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</si>
  <si>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</si>
  <si>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</si>
  <si>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</si>
  <si>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</si>
  <si>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</si>
  <si>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</si>
  <si>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</si>
  <si>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</si>
  <si>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</si>
  <si>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</si>
  <si>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</si>
  <si>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</si>
  <si>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</si>
  <si>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</si>
  <si>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</si>
  <si>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</si>
  <si>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</si>
  <si>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</si>
  <si>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</si>
  <si>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</si>
  <si>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</si>
  <si>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</si>
  <si>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</si>
  <si>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</si>
  <si>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</si>
  <si>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</si>
  <si>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</si>
  <si>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</si>
  <si>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</si>
  <si>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</si>
  <si>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</si>
  <si>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</si>
  <si>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</si>
  <si>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</si>
  <si>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</si>
  <si>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</si>
  <si>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</si>
  <si>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</si>
  <si>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</si>
  <si>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</si>
  <si>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</si>
  <si>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</si>
  <si>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</si>
  <si>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</si>
  <si>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</si>
  <si>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</si>
  <si>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</si>
  <si>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</si>
  <si>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</si>
  <si>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</si>
  <si>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</si>
  <si>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</si>
  <si>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</si>
  <si>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</si>
  <si>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</si>
  <si>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</si>
  <si>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</si>
  <si>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</si>
  <si>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</si>
  <si>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</si>
  <si>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</si>
  <si>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</si>
  <si>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</si>
  <si>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</si>
  <si>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</si>
  <si>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</si>
  <si>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</si>
  <si>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</si>
  <si>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</si>
  <si>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</si>
  <si>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</si>
  <si>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</si>
  <si>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</si>
  <si>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</si>
  <si>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</si>
  <si>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</si>
  <si>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</si>
  <si>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</si>
  <si>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</si>
  <si>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</si>
  <si>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</si>
  <si>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</si>
  <si>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</si>
  <si>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</si>
  <si>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</si>
  <si>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</si>
  <si>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</si>
  <si>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</si>
  <si>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</si>
  <si>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</si>
  <si>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</si>
  <si>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</si>
  <si>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</si>
  <si>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</si>
  <si>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</si>
  <si>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</si>
  <si>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</si>
  <si>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</si>
  <si>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</si>
  <si>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</si>
  <si>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</si>
  <si>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</si>
  <si>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</si>
  <si>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</si>
  <si>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</si>
  <si>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</si>
  <si>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</si>
  <si>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</si>
  <si>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</si>
  <si>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</si>
  <si>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</si>
  <si>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</si>
  <si>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</si>
  <si>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</si>
  <si>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</si>
  <si>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</si>
  <si>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</si>
  <si>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</si>
  <si>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</si>
  <si>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</si>
  <si>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</si>
  <si>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</si>
  <si>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</si>
  <si>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</si>
  <si>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</si>
  <si>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</si>
  <si>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</si>
  <si>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</si>
  <si>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</si>
  <si>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</si>
  <si>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</si>
  <si>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</si>
  <si>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</si>
  <si>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</si>
  <si>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</si>
  <si>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</si>
  <si>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</si>
  <si>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</si>
  <si>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</si>
  <si>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</si>
  <si>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</si>
  <si>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</si>
  <si>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</si>
  <si>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</si>
  <si>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</si>
  <si>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</si>
  <si>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</si>
  <si>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</si>
  <si>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</si>
  <si>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</si>
  <si>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</si>
  <si>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</si>
  <si>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</si>
  <si>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</si>
  <si>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</si>
  <si>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</si>
  <si>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</si>
  <si>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</si>
  <si>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</si>
  <si>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</si>
  <si>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</si>
  <si>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</si>
  <si>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</si>
  <si>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</si>
  <si>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</si>
  <si>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</si>
  <si>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</si>
  <si>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</si>
  <si>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</si>
  <si>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</si>
  <si>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</si>
  <si>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</si>
  <si>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</si>
  <si>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</si>
  <si>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</si>
  <si>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</si>
  <si>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</si>
  <si>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</si>
  <si>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</si>
  <si>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</si>
  <si>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</si>
  <si>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</si>
  <si>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</si>
  <si>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STEP 1: Latest Gold Price and Volatility</t>
  </si>
  <si>
    <t xml:space="preserve">Latest Gold Price (US$ per troy ounce):</t>
  </si>
  <si>
    <t xml:space="preserve">Latest 3-Month Volatility:</t>
  </si>
  <si>
    <t xml:space="preserve">Latest 12-Month Volatility:</t>
  </si>
  <si>
    <t xml:space="preserve">3-Month Annualized Volatility:</t>
  </si>
  <si>
    <t xml:space="preserve">STEP 2: Countries with 2025 Gold Reserves</t>
  </si>
  <si>
    <t xml:space="preserve">Country</t>
  </si>
  <si>
    <t xml:space="preserve">Gold Reserves (Value)</t>
  </si>
  <si>
    <t xml:space="preserve">Additional Info</t>
  </si>
  <si>
    <t xml:space="preserve">United States</t>
  </si>
  <si>
    <t xml:space="preserve">Gold Price Exposure (3M Annualized Vol Substitute):</t>
  </si>
  <si>
    <t xml:space="preserve">Italy</t>
  </si>
  <si>
    <t xml:space="preserve">France</t>
  </si>
  <si>
    <t xml:space="preserve">Russia</t>
  </si>
  <si>
    <t xml:space="preserve">China</t>
  </si>
  <si>
    <t xml:space="preserve">India</t>
  </si>
  <si>
    <t xml:space="preserve">Japan</t>
  </si>
  <si>
    <t xml:space="preserve">Netherlands</t>
  </si>
  <si>
    <t xml:space="preserve">Total Reserves 2025</t>
  </si>
  <si>
    <t xml:space="preserve">RaR (Gold)</t>
  </si>
  <si>
    <t xml:space="preserve">2025 Gold Reserves Value</t>
  </si>
  <si>
    <t xml:space="preserve">Germany</t>
  </si>
  <si>
    <t xml:space="preserve">Turkey</t>
  </si>
  <si>
    <t xml:space="preserve">Switzerland</t>
  </si>
  <si>
    <t xml:space="preserve">2025 Gold Reserves (Million Troy Ounces)</t>
  </si>
  <si>
    <t xml:space="preserve">2025 Total Reserves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</si>
</sst>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#,##0"/>
    <numFmt numFmtId="167" formatCode="#,##0.00"/>
    <numFmt numFmtId="168" formatCode="#,##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25"/>
    <col collapsed="false" customWidth="true" hidden="false" outlineLevel="0" max="5" min="4" style="1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1" t="s">
        <v>5</v>
      </c>
      <c r="B2" s="1" t="n">
        <v>409.819061279297</v>
      </c>
    </row>
    <row r="3" customFormat="false" ht="15" hidden="false" customHeight="true" outlineLevel="0" collapsed="false">
      <c r="A3" s="1" t="s">
        <v>6</v>
      </c>
      <c r="B3" s="1" t="n">
        <v>417.181060791016</v>
      </c>
      <c r="C3" s="1" t="n">
        <f aca="false">LOG(B3/B2)*100</f>
        <v>0.773242987541056</v>
      </c>
    </row>
    <row r="4" customFormat="false" ht="15" hidden="false" customHeight="true" outlineLevel="0" collapsed="false">
      <c r="A4" s="1" t="s">
        <v>7</v>
      </c>
      <c r="B4" s="1" t="n">
        <v>392.703338623047</v>
      </c>
      <c r="C4" s="1" t="n">
        <f aca="false">LOG(B4/B3)*100</f>
        <v>-2.62599905748349</v>
      </c>
    </row>
    <row r="5" customFormat="false" ht="15" hidden="false" customHeight="true" outlineLevel="0" collapsed="false">
      <c r="A5" s="1" t="s">
        <v>8</v>
      </c>
      <c r="B5" s="1" t="n">
        <v>374.292114257813</v>
      </c>
      <c r="C5" s="1" t="n">
        <f aca="false">LOG(B5/B4)*100</f>
        <v>-2.08539161884119</v>
      </c>
      <c r="D5" s="1" t="n">
        <f aca="false">STDEV(C2:C5)</f>
        <v>1.82660407570005</v>
      </c>
    </row>
    <row r="6" customFormat="false" ht="15" hidden="false" customHeight="true" outlineLevel="0" collapsed="false">
      <c r="A6" s="1" t="s">
        <v>9</v>
      </c>
      <c r="B6" s="1" t="n">
        <v>369.197631835938</v>
      </c>
      <c r="C6" s="1" t="n">
        <f aca="false">LOG(B6/B5)*100</f>
        <v>-0.59517706691937</v>
      </c>
      <c r="D6" s="1" t="n">
        <f aca="false">STDEV(C3:C6)</f>
        <v>1.53396125303499</v>
      </c>
    </row>
    <row r="7" customFormat="false" ht="15" hidden="false" customHeight="true" outlineLevel="0" collapsed="false">
      <c r="A7" s="1" t="s">
        <v>10</v>
      </c>
      <c r="B7" s="1" t="n">
        <v>352.527618408203</v>
      </c>
      <c r="C7" s="1" t="n">
        <f aca="false">LOG(B7/B6)*100</f>
        <v>-2.00657596365073</v>
      </c>
      <c r="D7" s="1" t="n">
        <f aca="false">STDEV(C4:C7)</f>
        <v>0.866947590361568</v>
      </c>
    </row>
    <row r="8" customFormat="false" ht="15" hidden="false" customHeight="true" outlineLevel="0" collapsed="false">
      <c r="A8" s="1" t="s">
        <v>11</v>
      </c>
      <c r="B8" s="1" t="n">
        <v>362.498565673828</v>
      </c>
      <c r="C8" s="1" t="n">
        <f aca="false">LOG(B8/B7)*100</f>
        <v>1.21131454957317</v>
      </c>
      <c r="D8" s="1" t="n">
        <f aca="false">STDEV(C5:C8)</f>
        <v>1.54664963281854</v>
      </c>
    </row>
    <row r="9" customFormat="false" ht="15" hidden="false" customHeight="true" outlineLevel="0" collapsed="false">
      <c r="A9" s="1" t="s">
        <v>12</v>
      </c>
      <c r="B9" s="1" t="n">
        <v>394.631805419922</v>
      </c>
      <c r="C9" s="1" t="n">
        <f aca="false">LOG(B9/B8)*100</f>
        <v>3.68857918632971</v>
      </c>
      <c r="D9" s="1" t="n">
        <f aca="false">STDEV(C6:C9)</f>
        <v>2.45853069368293</v>
      </c>
    </row>
    <row r="10" customFormat="false" ht="15" hidden="false" customHeight="true" outlineLevel="0" collapsed="false">
      <c r="A10" s="1" t="s">
        <v>13</v>
      </c>
      <c r="B10" s="1" t="n">
        <v>389.755004882813</v>
      </c>
      <c r="C10" s="1" t="n">
        <f aca="false">LOG(B10/B9)*100</f>
        <v>-0.540038365171411</v>
      </c>
      <c r="D10" s="1" t="n">
        <f aca="false">STDEV(C7:C10)</f>
        <v>2.4499256378948</v>
      </c>
    </row>
    <row r="11" customFormat="false" ht="15" hidden="false" customHeight="true" outlineLevel="0" collapsed="false">
      <c r="A11" s="1" t="s">
        <v>14</v>
      </c>
      <c r="B11" s="1" t="n">
        <v>380.995208740234</v>
      </c>
      <c r="C11" s="1" t="n">
        <f aca="false">LOG(B11/B10)*100</f>
        <v>-0.987218653779902</v>
      </c>
      <c r="D11" s="1" t="n">
        <f aca="false">STDEV(C8:C11)</f>
        <v>2.12096454881012</v>
      </c>
    </row>
    <row r="12" customFormat="false" ht="15" hidden="false" customHeight="true" outlineLevel="0" collapsed="false">
      <c r="A12" s="1" t="s">
        <v>15</v>
      </c>
      <c r="B12" s="1" t="n">
        <v>381.794097900391</v>
      </c>
      <c r="C12" s="1" t="n">
        <f aca="false">LOG(B12/B11)*100</f>
        <v>0.0909696236548789</v>
      </c>
      <c r="D12" s="1" t="n">
        <f aca="false">STDEV(C9:C12)</f>
        <v>2.13009619614481</v>
      </c>
    </row>
    <row r="13" customFormat="false" ht="15" hidden="false" customHeight="true" outlineLevel="0" collapsed="false">
      <c r="A13" s="1" t="s">
        <v>16</v>
      </c>
      <c r="B13" s="1" t="n">
        <v>376.682342529297</v>
      </c>
      <c r="C13" s="1" t="n">
        <f aca="false">LOG(B13/B12)*100</f>
        <v>-0.585394784774953</v>
      </c>
      <c r="D13" s="1" t="n">
        <f aca="false">STDEV(C10:C13)</f>
        <v>0.445497820194101</v>
      </c>
    </row>
    <row r="14" customFormat="false" ht="15" hidden="false" customHeight="true" outlineLevel="0" collapsed="false">
      <c r="A14" s="1" t="s">
        <v>17</v>
      </c>
      <c r="B14" s="1" t="n">
        <v>383.702270507813</v>
      </c>
      <c r="C14" s="1" t="n">
        <f aca="false">LOG(B14/B13)*100</f>
        <v>0.801910652014518</v>
      </c>
      <c r="D14" s="1" t="n">
        <f aca="false">STDEV(C11:C14)</f>
        <v>0.785942024467753</v>
      </c>
      <c r="E14" s="1" t="n">
        <f aca="false">STDEV(C2:C14)</f>
        <v>1.72876345002618</v>
      </c>
    </row>
    <row r="15" customFormat="false" ht="15" hidden="false" customHeight="true" outlineLevel="0" collapsed="false">
      <c r="A15" s="1" t="s">
        <v>18</v>
      </c>
      <c r="B15" s="1" t="n">
        <v>364.391662597656</v>
      </c>
      <c r="C15" s="1" t="n">
        <f aca="false">LOG(B15/B14)*100</f>
        <v>-2.2425937473946</v>
      </c>
      <c r="D15" s="1" t="n">
        <f aca="false">STDEV(C12:C15)</f>
        <v>1.30218904734087</v>
      </c>
      <c r="E15" s="1" t="n">
        <f aca="false">STDEV(C3:C15)</f>
        <v>1.74601873868836</v>
      </c>
    </row>
    <row r="16" customFormat="false" ht="15" hidden="false" customHeight="true" outlineLevel="0" collapsed="false">
      <c r="A16" s="1" t="s">
        <v>19</v>
      </c>
      <c r="B16" s="1" t="n">
        <v>362.760803222656</v>
      </c>
      <c r="C16" s="1" t="n">
        <f aca="false">LOG(B16/B15)*100</f>
        <v>-0.194807677397854</v>
      </c>
      <c r="D16" s="1" t="n">
        <f aca="false">STDEV(C13:C16)</f>
        <v>1.26752269275489</v>
      </c>
      <c r="E16" s="1" t="n">
        <f aca="false">STDEV(C4:C16)</f>
        <v>1.71247957364001</v>
      </c>
    </row>
    <row r="17" customFormat="false" ht="15" hidden="false" customHeight="true" outlineLevel="0" collapsed="false">
      <c r="A17" s="1" t="s">
        <v>20</v>
      </c>
      <c r="B17" s="1" t="n">
        <v>358.323333740234</v>
      </c>
      <c r="C17" s="1" t="n">
        <f aca="false">LOG(B17/B16)*100</f>
        <v>-0.53452648285686</v>
      </c>
      <c r="D17" s="1" t="n">
        <f aca="false">STDEV(C14:C17)</f>
        <v>1.26737422509139</v>
      </c>
      <c r="E17" s="1" t="n">
        <f aca="false">STDEV(C5:C17)</f>
        <v>1.5863388495178</v>
      </c>
    </row>
    <row r="18" customFormat="false" ht="15" hidden="false" customHeight="true" outlineLevel="0" collapsed="false">
      <c r="A18" s="1" t="s">
        <v>21</v>
      </c>
      <c r="B18" s="1" t="n">
        <v>356.964294433594</v>
      </c>
      <c r="C18" s="1" t="n">
        <f aca="false">LOG(B18/B17)*100</f>
        <v>-0.165031228989549</v>
      </c>
      <c r="D18" s="1" t="n">
        <f aca="false">STDEV(C15:C18)</f>
        <v>0.986576987738938</v>
      </c>
      <c r="E18" s="1" t="n">
        <f aca="false">STDEV(C6:C18)</f>
        <v>1.49353869729809</v>
      </c>
    </row>
    <row r="19" customFormat="false" ht="15" hidden="false" customHeight="true" outlineLevel="0" collapsed="false">
      <c r="A19" s="1" t="s">
        <v>22</v>
      </c>
      <c r="B19" s="1" t="n">
        <v>366.910003662109</v>
      </c>
      <c r="C19" s="1" t="n">
        <f aca="false">LOG(B19/B18)*100</f>
        <v>1.19347750716104</v>
      </c>
      <c r="D19" s="1" t="n">
        <f aca="false">STDEV(C16:C19)</f>
        <v>0.76440073345474</v>
      </c>
      <c r="E19" s="1" t="n">
        <f aca="false">STDEV(C7:C19)</f>
        <v>1.53184055801497</v>
      </c>
    </row>
    <row r="20" customFormat="false" ht="15" hidden="false" customHeight="true" outlineLevel="0" collapsed="false">
      <c r="A20" s="1" t="s">
        <v>23</v>
      </c>
      <c r="B20" s="1" t="n">
        <v>367.792266845703</v>
      </c>
      <c r="C20" s="1" t="n">
        <f aca="false">LOG(B20/B19)*100</f>
        <v>0.104304078476124</v>
      </c>
      <c r="D20" s="1" t="n">
        <f aca="false">STDEV(C17:C20)</f>
        <v>0.743584520528748</v>
      </c>
      <c r="E20" s="1" t="n">
        <f aca="false">STDEV(C8:C20)</f>
        <v>1.41090588350316</v>
      </c>
    </row>
    <row r="21" customFormat="false" ht="15" hidden="false" customHeight="true" outlineLevel="0" collapsed="false">
      <c r="A21" s="1" t="s">
        <v>24</v>
      </c>
      <c r="B21" s="1" t="n">
        <v>356.669525146484</v>
      </c>
      <c r="C21" s="1" t="n">
        <f aca="false">LOG(B21/B20)*100</f>
        <v>-1.33365900024238</v>
      </c>
      <c r="D21" s="1" t="n">
        <f aca="false">STDEV(C18:C21)</f>
        <v>1.03779549456008</v>
      </c>
      <c r="E21" s="1" t="n">
        <f aca="false">STDEV(C9:C21)</f>
        <v>1.42658681087373</v>
      </c>
    </row>
    <row r="22" customFormat="false" ht="15" hidden="false" customHeight="true" outlineLevel="0" collapsed="false">
      <c r="A22" s="1" t="s">
        <v>25</v>
      </c>
      <c r="B22" s="1" t="n">
        <v>348.742858886719</v>
      </c>
      <c r="C22" s="1" t="n">
        <f aca="false">LOG(B22/B21)*100</f>
        <v>-0.976068013210643</v>
      </c>
      <c r="D22" s="1" t="n">
        <f aca="false">STDEV(C19:C22)</f>
        <v>1.1417259754435</v>
      </c>
      <c r="E22" s="1" t="n">
        <f aca="false">STDEV(C10:C22)</f>
        <v>0.89395607072799</v>
      </c>
    </row>
    <row r="23" customFormat="false" ht="15" hidden="false" customHeight="true" outlineLevel="0" collapsed="false">
      <c r="A23" s="1" t="s">
        <v>26</v>
      </c>
      <c r="B23" s="1" t="n">
        <v>358.814361572266</v>
      </c>
      <c r="C23" s="1" t="n">
        <f aca="false">LOG(B23/B22)*100</f>
        <v>1.23644939478357</v>
      </c>
      <c r="D23" s="1" t="n">
        <f aca="false">STDEV(C20:C23)</f>
        <v>1.15993018634589</v>
      </c>
      <c r="E23" s="1" t="n">
        <f aca="false">STDEV(C11:C23)</f>
        <v>1.00214699928952</v>
      </c>
    </row>
    <row r="24" customFormat="false" ht="15" hidden="false" customHeight="true" outlineLevel="0" collapsed="false">
      <c r="A24" s="1" t="s">
        <v>27</v>
      </c>
      <c r="B24" s="1" t="n">
        <v>359.589996337891</v>
      </c>
      <c r="C24" s="1" t="n">
        <f aca="false">LOG(B24/B23)*100</f>
        <v>0.0937783925894901</v>
      </c>
      <c r="D24" s="1" t="n">
        <f aca="false">STDEV(C21:C24)</f>
        <v>1.15889342401059</v>
      </c>
      <c r="E24" s="1" t="n">
        <f aca="false">STDEV(C12:C24)</f>
        <v>0.982907893188157</v>
      </c>
    </row>
    <row r="25" customFormat="false" ht="15" hidden="false" customHeight="true" outlineLevel="0" collapsed="false">
      <c r="A25" s="1" t="s">
        <v>28</v>
      </c>
      <c r="B25" s="1" t="n">
        <v>361.532012939453</v>
      </c>
      <c r="C25" s="1" t="n">
        <f aca="false">LOG(B25/B24)*100</f>
        <v>0.233915792867453</v>
      </c>
      <c r="D25" s="1" t="n">
        <f aca="false">STDEV(C22:C25)</f>
        <v>0.905275029886634</v>
      </c>
      <c r="E25" s="1" t="n">
        <f aca="false">STDEV(C13:C25)</f>
        <v>0.987141911409862</v>
      </c>
    </row>
    <row r="26" customFormat="false" ht="15" hidden="false" customHeight="true" outlineLevel="0" collapsed="false">
      <c r="A26" s="1" t="s">
        <v>29</v>
      </c>
      <c r="B26" s="1" t="n">
        <v>354.700958251953</v>
      </c>
      <c r="C26" s="1" t="n">
        <f aca="false">LOG(B26/B25)*100</f>
        <v>-0.828439749084589</v>
      </c>
      <c r="D26" s="1" t="n">
        <f aca="false">STDEV(C23:C26)</f>
        <v>0.845244634607658</v>
      </c>
      <c r="E26" s="1" t="n">
        <f aca="false">STDEV(C14:C26)</f>
        <v>0.997660554150406</v>
      </c>
    </row>
    <row r="27" customFormat="false" ht="15" hidden="false" customHeight="true" outlineLevel="0" collapsed="false">
      <c r="A27" s="1" t="s">
        <v>30</v>
      </c>
      <c r="B27" s="1" t="n">
        <v>353.779998779297</v>
      </c>
      <c r="C27" s="1" t="n">
        <f aca="false">LOG(B27/B26)*100</f>
        <v>-0.112908565387603</v>
      </c>
      <c r="D27" s="1" t="n">
        <f aca="false">STDEV(C24:C27)</f>
        <v>0.472027153017117</v>
      </c>
      <c r="E27" s="1" t="n">
        <f aca="false">STDEV(C15:C27)</f>
        <v>0.952265433936417</v>
      </c>
    </row>
    <row r="28" customFormat="false" ht="15" hidden="false" customHeight="true" outlineLevel="0" collapsed="false">
      <c r="A28" s="1" t="s">
        <v>31</v>
      </c>
      <c r="B28" s="1" t="n">
        <v>344.183319091797</v>
      </c>
      <c r="C28" s="1" t="n">
        <f aca="false">LOG(B28/B27)*100</f>
        <v>-1.19434577604326</v>
      </c>
      <c r="D28" s="1" t="n">
        <f aca="false">STDEV(C25:C28)</f>
        <v>0.652188372469995</v>
      </c>
      <c r="E28" s="1" t="n">
        <f aca="false">STDEV(C16:C28)</f>
        <v>0.804315211957308</v>
      </c>
    </row>
    <row r="29" customFormat="false" ht="15" hidden="false" customHeight="true" outlineLevel="0" collapsed="false">
      <c r="A29" s="1" t="s">
        <v>32</v>
      </c>
      <c r="B29" s="1" t="n">
        <v>338.691589355469</v>
      </c>
      <c r="C29" s="1" t="n">
        <f aca="false">LOG(B29/B28)*100</f>
        <v>-0.698540628820346</v>
      </c>
      <c r="D29" s="1" t="n">
        <f aca="false">STDEV(C26:C29)</f>
        <v>0.449169601893023</v>
      </c>
      <c r="E29" s="1" t="n">
        <f aca="false">STDEV(C17:C29)</f>
        <v>0.816575050445623</v>
      </c>
    </row>
    <row r="30" customFormat="false" ht="15" hidden="false" customHeight="true" outlineLevel="0" collapsed="false">
      <c r="A30" s="1" t="s">
        <v>33</v>
      </c>
      <c r="B30" s="1" t="n">
        <v>337.098937988281</v>
      </c>
      <c r="C30" s="1" t="n">
        <f aca="false">LOG(B30/B29)*100</f>
        <v>-0.204702774882494</v>
      </c>
      <c r="D30" s="1" t="n">
        <f aca="false">STDEV(C27:C30)</f>
        <v>0.499165083827414</v>
      </c>
      <c r="E30" s="1" t="n">
        <f aca="false">STDEV(C18:C30)</f>
        <v>0.811410645505757</v>
      </c>
    </row>
    <row r="31" customFormat="false" ht="15" hidden="false" customHeight="true" outlineLevel="0" collapsed="false">
      <c r="A31" s="1" t="s">
        <v>34</v>
      </c>
      <c r="B31" s="1" t="n">
        <v>341.021911621094</v>
      </c>
      <c r="C31" s="1" t="n">
        <f aca="false">LOG(B31/B30)*100</f>
        <v>0.502490023403374</v>
      </c>
      <c r="D31" s="1" t="n">
        <f aca="false">STDEV(C28:C31)</f>
        <v>0.724047641822991</v>
      </c>
      <c r="E31" s="1" t="n">
        <f aca="false">STDEV(C19:C31)</f>
        <v>0.83486311823082</v>
      </c>
    </row>
    <row r="32" customFormat="false" ht="15" hidden="false" customHeight="true" outlineLevel="0" collapsed="false">
      <c r="A32" s="1" t="s">
        <v>35</v>
      </c>
      <c r="B32" s="1" t="n">
        <v>352.254486083984</v>
      </c>
      <c r="C32" s="1" t="n">
        <f aca="false">LOG(B32/B31)*100</f>
        <v>1.40742481724042</v>
      </c>
      <c r="D32" s="1" t="n">
        <f aca="false">STDEV(C29:C32)</f>
        <v>0.914668652294967</v>
      </c>
      <c r="E32" s="1" t="n">
        <f aca="false">STDEV(C20:C32)</f>
        <v>0.865168752511991</v>
      </c>
    </row>
    <row r="33" customFormat="false" ht="15" hidden="false" customHeight="true" outlineLevel="0" collapsed="false">
      <c r="A33" s="1" t="s">
        <v>36</v>
      </c>
      <c r="B33" s="1" t="n">
        <v>342.892852783203</v>
      </c>
      <c r="C33" s="1" t="n">
        <f aca="false">LOG(B33/B32)*100</f>
        <v>-1.16980998805337</v>
      </c>
      <c r="D33" s="1" t="n">
        <f aca="false">STDEV(C30:C33)</f>
        <v>1.09118217663148</v>
      </c>
      <c r="E33" s="1" t="n">
        <f aca="false">STDEV(C21:C33)</f>
        <v>0.906821146141734</v>
      </c>
    </row>
    <row r="34" customFormat="false" ht="15" hidden="false" customHeight="true" outlineLevel="0" collapsed="false">
      <c r="A34" s="1" t="s">
        <v>37</v>
      </c>
      <c r="B34" s="1" t="n">
        <v>345.006500244141</v>
      </c>
      <c r="C34" s="1" t="n">
        <f aca="false">LOG(B34/B33)*100</f>
        <v>0.266884483524264</v>
      </c>
      <c r="D34" s="1" t="n">
        <f aca="false">STDEV(C31:C34)</f>
        <v>1.067632379729</v>
      </c>
      <c r="E34" s="1" t="n">
        <f aca="false">STDEV(C22:C34)</f>
        <v>0.852108585117181</v>
      </c>
    </row>
    <row r="35" customFormat="false" ht="15" hidden="false" customHeight="true" outlineLevel="0" collapsed="false">
      <c r="A35" s="1" t="s">
        <v>38</v>
      </c>
      <c r="B35" s="1" t="n">
        <v>344.892395019531</v>
      </c>
      <c r="C35" s="1" t="n">
        <f aca="false">LOG(B35/B34)*100</f>
        <v>-0.014365951357955</v>
      </c>
      <c r="D35" s="1" t="n">
        <f aca="false">STDEV(C32:C35)</f>
        <v>1.05840698764073</v>
      </c>
      <c r="E35" s="1" t="n">
        <f aca="false">STDEV(C23:C35)</f>
        <v>0.811533997713662</v>
      </c>
    </row>
    <row r="36" customFormat="false" ht="15" hidden="false" customHeight="true" outlineLevel="0" collapsed="false">
      <c r="A36" s="1" t="s">
        <v>39</v>
      </c>
      <c r="B36" s="1" t="n">
        <v>335.050537109375</v>
      </c>
      <c r="C36" s="1" t="n">
        <f aca="false">LOG(B36/B35)*100</f>
        <v>-1.25732996729136</v>
      </c>
      <c r="D36" s="1" t="n">
        <f aca="false">STDEV(C33:C36)</f>
        <v>0.782841656906876</v>
      </c>
      <c r="E36" s="1" t="n">
        <f aca="false">STDEV(C24:C36)</f>
        <v>0.779516531984648</v>
      </c>
    </row>
    <row r="37" customFormat="false" ht="15" hidden="false" customHeight="true" outlineLevel="0" collapsed="false">
      <c r="A37" s="1" t="s">
        <v>40</v>
      </c>
      <c r="B37" s="1" t="n">
        <v>334.80712890625</v>
      </c>
      <c r="C37" s="1" t="n">
        <f aca="false">LOG(B37/B36)*100</f>
        <v>-0.0315621808879581</v>
      </c>
      <c r="D37" s="1" t="n">
        <f aca="false">STDEV(C34:C37)</f>
        <v>0.679409291964658</v>
      </c>
      <c r="E37" s="1" t="n">
        <f aca="false">STDEV(C25:C37)</f>
        <v>0.775959613063716</v>
      </c>
    </row>
    <row r="38" customFormat="false" ht="15" hidden="false" customHeight="true" outlineLevel="0" collapsed="false">
      <c r="A38" s="1" t="s">
        <v>41</v>
      </c>
      <c r="B38" s="1" t="n">
        <v>329.030548095703</v>
      </c>
      <c r="C38" s="1" t="n">
        <f aca="false">LOG(B38/B37)*100</f>
        <v>-0.755847575897618</v>
      </c>
      <c r="D38" s="1" t="n">
        <f aca="false">STDEV(C35:C38)</f>
        <v>0.603712876238358</v>
      </c>
      <c r="E38" s="1" t="n">
        <f aca="false">STDEV(C26:C38)</f>
        <v>0.774292959731513</v>
      </c>
    </row>
    <row r="39" customFormat="false" ht="15" hidden="false" customHeight="true" outlineLevel="0" collapsed="false">
      <c r="A39" s="1" t="s">
        <v>42</v>
      </c>
      <c r="B39" s="1" t="n">
        <v>329.299987792969</v>
      </c>
      <c r="C39" s="1" t="n">
        <f aca="false">LOG(B39/B38)*100</f>
        <v>0.0355493703794422</v>
      </c>
      <c r="D39" s="1" t="n">
        <f aca="false">STDEV(C36:C39)</f>
        <v>0.617854530961296</v>
      </c>
      <c r="E39" s="1" t="n">
        <f aca="false">STDEV(C27:C39)</f>
        <v>0.763526559353741</v>
      </c>
    </row>
    <row r="40" customFormat="false" ht="15" hidden="false" customHeight="true" outlineLevel="0" collapsed="false">
      <c r="A40" s="1" t="s">
        <v>43</v>
      </c>
      <c r="B40" s="1" t="n">
        <v>330.096954345703</v>
      </c>
      <c r="C40" s="1" t="n">
        <f aca="false">LOG(B40/B39)*100</f>
        <v>0.104980269858752</v>
      </c>
      <c r="D40" s="1" t="n">
        <f aca="false">STDEV(C37:C40)</f>
        <v>0.39998869681972</v>
      </c>
      <c r="E40" s="1" t="n">
        <f aca="false">STDEV(C28:C40)</f>
        <v>0.769115824918715</v>
      </c>
    </row>
    <row r="41" customFormat="false" ht="15" hidden="false" customHeight="true" outlineLevel="0" collapsed="false">
      <c r="A41" s="1" t="s">
        <v>44</v>
      </c>
      <c r="B41" s="1" t="n">
        <v>342.05712890625</v>
      </c>
      <c r="C41" s="1" t="n">
        <f aca="false">LOG(B41/B40)*100</f>
        <v>1.54571287937034</v>
      </c>
      <c r="D41" s="1" t="n">
        <f aca="false">STDEV(C38:C41)</f>
        <v>0.958542259616989</v>
      </c>
      <c r="E41" s="1" t="n">
        <f aca="false">STDEV(C29:C41)</f>
        <v>0.85402060890873</v>
      </c>
    </row>
    <row r="42" customFormat="false" ht="15" hidden="false" customHeight="true" outlineLevel="0" collapsed="false">
      <c r="A42" s="1" t="s">
        <v>45</v>
      </c>
      <c r="B42" s="1" t="n">
        <v>366.667999267578</v>
      </c>
      <c r="C42" s="1" t="n">
        <f aca="false">LOG(B42/B41)*100</f>
        <v>3.01743627157862</v>
      </c>
      <c r="D42" s="1" t="n">
        <f aca="false">STDEV(C39:C42)</f>
        <v>1.41129798774245</v>
      </c>
      <c r="E42" s="1" t="n">
        <f aca="false">STDEV(C30:C42)</f>
        <v>1.17121152503349</v>
      </c>
    </row>
    <row r="43" customFormat="false" ht="15" hidden="false" customHeight="true" outlineLevel="0" collapsed="false">
      <c r="A43" s="1" t="s">
        <v>46</v>
      </c>
      <c r="B43" s="1" t="n">
        <v>371.809997558594</v>
      </c>
      <c r="C43" s="1" t="n">
        <f aca="false">LOG(B43/B42)*100</f>
        <v>0.604805446913544</v>
      </c>
      <c r="D43" s="1" t="n">
        <f aca="false">STDEV(C40:C43)</f>
        <v>1.28062483634069</v>
      </c>
      <c r="E43" s="1" t="n">
        <f aca="false">STDEV(C31:C43)</f>
        <v>1.16565592091497</v>
      </c>
    </row>
    <row r="44" customFormat="false" ht="15" hidden="false" customHeight="true" outlineLevel="0" collapsed="false">
      <c r="A44" s="1" t="s">
        <v>47</v>
      </c>
      <c r="B44" s="1" t="n">
        <v>392.399993896484</v>
      </c>
      <c r="C44" s="1" t="n">
        <f aca="false">LOG(B44/B43)*100</f>
        <v>2.34079286627728</v>
      </c>
      <c r="D44" s="1" t="n">
        <f aca="false">STDEV(C41:C44)</f>
        <v>1.03986036079596</v>
      </c>
      <c r="E44" s="1" t="n">
        <f aca="false">STDEV(C32:C44)</f>
        <v>1.29319181936403</v>
      </c>
    </row>
    <row r="45" customFormat="false" ht="15" hidden="false" customHeight="true" outlineLevel="0" collapsed="false">
      <c r="A45" s="1" t="s">
        <v>48</v>
      </c>
      <c r="B45" s="1" t="n">
        <v>378.700012207031</v>
      </c>
      <c r="C45" s="1" t="n">
        <f aca="false">LOG(B45/B44)*100</f>
        <v>-1.54336728328627</v>
      </c>
      <c r="D45" s="1" t="n">
        <f aca="false">STDEV(C42:C45)</f>
        <v>2.03704363655092</v>
      </c>
      <c r="E45" s="1" t="n">
        <f aca="false">STDEV(C33:C45)</f>
        <v>1.37132180454711</v>
      </c>
    </row>
    <row r="46" customFormat="false" ht="15" hidden="false" customHeight="true" outlineLevel="0" collapsed="false">
      <c r="A46" s="1" t="s">
        <v>49</v>
      </c>
      <c r="B46" s="1" t="n">
        <v>354.399993896484</v>
      </c>
      <c r="C46" s="1" t="n">
        <f aca="false">LOG(B46/B45)*100</f>
        <v>-2.88016133843464</v>
      </c>
      <c r="D46" s="1" t="n">
        <f aca="false">STDEV(C43:C46)</f>
        <v>2.30769316842202</v>
      </c>
      <c r="E46" s="1" t="n">
        <f aca="false">STDEV(C34:C46)</f>
        <v>1.58365043686594</v>
      </c>
    </row>
    <row r="47" customFormat="false" ht="15" hidden="false" customHeight="true" outlineLevel="0" collapsed="false">
      <c r="A47" s="1" t="s">
        <v>50</v>
      </c>
      <c r="B47" s="1" t="n">
        <v>362.380004882813</v>
      </c>
      <c r="C47" s="1" t="n">
        <f aca="false">LOG(B47/B46)*100</f>
        <v>0.967052077301596</v>
      </c>
      <c r="D47" s="1" t="n">
        <f aca="false">STDEV(C44:C47)</f>
        <v>2.36506697242325</v>
      </c>
      <c r="E47" s="1" t="n">
        <f aca="false">STDEV(C35:C47)</f>
        <v>1.60122920712038</v>
      </c>
    </row>
    <row r="48" customFormat="false" ht="15" hidden="false" customHeight="true" outlineLevel="0" collapsed="false">
      <c r="A48" s="1" t="s">
        <v>51</v>
      </c>
      <c r="B48" s="1" t="n">
        <v>374.167510986328</v>
      </c>
      <c r="C48" s="1" t="n">
        <f aca="false">LOG(B48/B47)*100</f>
        <v>1.3901848446129</v>
      </c>
      <c r="D48" s="1" t="n">
        <f aca="false">STDEV(C45:C48)</f>
        <v>2.03942191006541</v>
      </c>
      <c r="E48" s="1" t="n">
        <f aca="false">STDEV(C36:C48)</f>
        <v>1.63520685010171</v>
      </c>
    </row>
    <row r="49" customFormat="false" ht="15" hidden="false" customHeight="true" outlineLevel="0" collapsed="false">
      <c r="A49" s="1" t="s">
        <v>52</v>
      </c>
      <c r="B49" s="1" t="n">
        <v>383.302001953125</v>
      </c>
      <c r="C49" s="1" t="n">
        <f aca="false">LOG(B49/B48)*100</f>
        <v>1.04750125880122</v>
      </c>
      <c r="D49" s="1" t="n">
        <f aca="false">STDEV(C46:C49)</f>
        <v>2.0159031581522</v>
      </c>
      <c r="E49" s="1" t="n">
        <f aca="false">STDEV(C37:C49)</f>
        <v>1.57955528254269</v>
      </c>
    </row>
    <row r="50" customFormat="false" ht="15" hidden="false" customHeight="true" outlineLevel="0" collapsed="false">
      <c r="A50" s="1" t="s">
        <v>53</v>
      </c>
      <c r="B50" s="1" t="n">
        <v>387.077514648438</v>
      </c>
      <c r="C50" s="1" t="n">
        <f aca="false">LOG(B50/B49)*100</f>
        <v>0.42568563215022</v>
      </c>
      <c r="D50" s="1" t="n">
        <f aca="false">STDEV(C47:C50)</f>
        <v>0.399263538894379</v>
      </c>
      <c r="E50" s="1" t="n">
        <f aca="false">STDEV(C38:C50)</f>
        <v>1.57302871389375</v>
      </c>
    </row>
    <row r="51" customFormat="false" ht="15" hidden="false" customHeight="true" outlineLevel="0" collapsed="false">
      <c r="A51" s="1" t="s">
        <v>54</v>
      </c>
      <c r="B51" s="1" t="n">
        <v>382.304992675781</v>
      </c>
      <c r="C51" s="1" t="n">
        <f aca="false">LOG(B51/B50)*100</f>
        <v>-0.538797418055912</v>
      </c>
      <c r="D51" s="1" t="n">
        <f aca="false">STDEV(C48:C51)</f>
        <v>0.846654645275438</v>
      </c>
      <c r="E51" s="1" t="n">
        <f aca="false">STDEV(C39:C51)</f>
        <v>1.55986171065656</v>
      </c>
    </row>
    <row r="52" customFormat="false" ht="15" hidden="false" customHeight="true" outlineLevel="0" collapsed="false">
      <c r="A52" s="1" t="s">
        <v>55</v>
      </c>
      <c r="B52" s="1" t="n">
        <v>383.877502441406</v>
      </c>
      <c r="C52" s="1" t="n">
        <f aca="false">LOG(B52/B51)*100</f>
        <v>0.17826908790436</v>
      </c>
      <c r="D52" s="1" t="n">
        <f aca="false">STDEV(C49:C52)</f>
        <v>0.656010010539708</v>
      </c>
      <c r="E52" s="1" t="n">
        <f aca="false">STDEV(C40:C52)</f>
        <v>1.55680952407454</v>
      </c>
    </row>
    <row r="53" customFormat="false" ht="15" hidden="false" customHeight="true" outlineLevel="0" collapsed="false">
      <c r="A53" s="1" t="s">
        <v>56</v>
      </c>
      <c r="B53" s="1" t="n">
        <v>377.321044921875</v>
      </c>
      <c r="C53" s="1" t="n">
        <f aca="false">LOG(B53/B52)*100</f>
        <v>-0.748163209491285</v>
      </c>
      <c r="D53" s="1" t="n">
        <f aca="false">STDEV(C50:C53)</f>
        <v>0.561668556904025</v>
      </c>
      <c r="E53" s="1" t="n">
        <f aca="false">STDEV(C41:C53)</f>
        <v>1.59297325930917</v>
      </c>
    </row>
    <row r="54" customFormat="false" ht="15" hidden="false" customHeight="true" outlineLevel="0" collapsed="false">
      <c r="A54" s="1" t="s">
        <v>57</v>
      </c>
      <c r="B54" s="1" t="n">
        <v>381.589996337891</v>
      </c>
      <c r="C54" s="1" t="n">
        <f aca="false">LOG(B54/B53)*100</f>
        <v>0.488595236459603</v>
      </c>
      <c r="D54" s="1" t="n">
        <f aca="false">STDEV(C51:C54)</f>
        <v>0.58435895424756</v>
      </c>
      <c r="E54" s="1" t="n">
        <f aca="false">STDEV(C42:C54)</f>
        <v>1.55881113845195</v>
      </c>
    </row>
    <row r="55" customFormat="false" ht="15" hidden="false" customHeight="true" outlineLevel="0" collapsed="false">
      <c r="A55" s="1" t="s">
        <v>58</v>
      </c>
      <c r="B55" s="1" t="n">
        <v>385.743194580078</v>
      </c>
      <c r="C55" s="1" t="n">
        <f aca="false">LOG(B55/B54)*100</f>
        <v>0.470129199123736</v>
      </c>
      <c r="D55" s="1" t="n">
        <f aca="false">STDEV(C52:C55)</f>
        <v>0.581227887443946</v>
      </c>
      <c r="E55" s="1" t="n">
        <f aca="false">STDEV(C43:C55)</f>
        <v>1.34279241864265</v>
      </c>
    </row>
    <row r="56" customFormat="false" ht="15" hidden="false" customHeight="true" outlineLevel="0" collapsed="false">
      <c r="A56" s="1" t="s">
        <v>59</v>
      </c>
      <c r="B56" s="1" t="n">
        <v>385.399993896484</v>
      </c>
      <c r="C56" s="1" t="n">
        <f aca="false">LOG(B56/B55)*100</f>
        <v>-0.0386569382025496</v>
      </c>
      <c r="D56" s="1" t="n">
        <f aca="false">STDEV(C53:C56)</f>
        <v>0.581263435634979</v>
      </c>
      <c r="E56" s="1" t="n">
        <f aca="false">STDEV(C44:C56)</f>
        <v>1.33725434898668</v>
      </c>
    </row>
    <row r="57" customFormat="false" ht="15" hidden="false" customHeight="true" outlineLevel="0" collapsed="false">
      <c r="A57" s="1" t="s">
        <v>60</v>
      </c>
      <c r="B57" s="1" t="n">
        <v>380.761352539063</v>
      </c>
      <c r="C57" s="1" t="n">
        <f aca="false">LOG(B57/B56)*100</f>
        <v>-0.525884259156079</v>
      </c>
      <c r="D57" s="1" t="n">
        <f aca="false">STDEV(C54:C57)</f>
        <v>0.482683566302239</v>
      </c>
      <c r="E57" s="1" t="n">
        <f aca="false">STDEV(C45:C57)</f>
        <v>1.1658931371976</v>
      </c>
    </row>
    <row r="58" customFormat="false" ht="15" hidden="false" customHeight="true" outlineLevel="0" collapsed="false">
      <c r="A58" s="1" t="s">
        <v>61</v>
      </c>
      <c r="B58" s="1" t="n">
        <v>391.928100585938</v>
      </c>
      <c r="C58" s="1" t="n">
        <f aca="false">LOG(B58/B57)*100</f>
        <v>1.25535419286662</v>
      </c>
      <c r="D58" s="1" t="n">
        <f aca="false">STDEV(C55:C58)</f>
        <v>0.761147714857148</v>
      </c>
      <c r="E58" s="1" t="n">
        <f aca="false">STDEV(C46:C58)</f>
        <v>1.13527196661338</v>
      </c>
    </row>
    <row r="59" customFormat="false" ht="15" hidden="false" customHeight="true" outlineLevel="0" collapsed="false">
      <c r="A59" s="1" t="s">
        <v>62</v>
      </c>
      <c r="B59" s="1" t="n">
        <v>389.594451904297</v>
      </c>
      <c r="C59" s="1" t="n">
        <f aca="false">LOG(B59/B58)*100</f>
        <v>-0.259363918326504</v>
      </c>
      <c r="D59" s="1" t="n">
        <f aca="false">STDEV(C56:C59)</f>
        <v>0.790505181940979</v>
      </c>
      <c r="E59" s="1" t="n">
        <f aca="false">STDEV(C47:C59)</f>
        <v>0.713470568405726</v>
      </c>
    </row>
    <row r="60" customFormat="false" ht="15" hidden="false" customHeight="true" outlineLevel="0" collapsed="false">
      <c r="A60" s="1" t="s">
        <v>63</v>
      </c>
      <c r="B60" s="1" t="n">
        <v>384.441253662109</v>
      </c>
      <c r="C60" s="1" t="n">
        <f aca="false">LOG(B60/B59)*100</f>
        <v>-0.578277878076106</v>
      </c>
      <c r="D60" s="1" t="n">
        <f aca="false">STDEV(C57:C60)</f>
        <v>0.866259788209874</v>
      </c>
      <c r="E60" s="1" t="n">
        <f aca="false">STDEV(C48:C60)</f>
        <v>0.724659688478063</v>
      </c>
    </row>
    <row r="61" customFormat="false" ht="15" hidden="false" customHeight="true" outlineLevel="0" collapsed="false">
      <c r="A61" s="1" t="s">
        <v>64</v>
      </c>
      <c r="B61" s="1" t="n">
        <v>379.399993896484</v>
      </c>
      <c r="C61" s="1" t="n">
        <f aca="false">LOG(B61/B60)*100</f>
        <v>-0.573266524863905</v>
      </c>
      <c r="D61" s="1" t="n">
        <f aca="false">STDEV(C58:C61)</f>
        <v>0.875628218816573</v>
      </c>
      <c r="E61" s="1" t="n">
        <f aca="false">STDEV(C49:C61)</f>
        <v>0.656780999392601</v>
      </c>
    </row>
    <row r="62" customFormat="false" ht="15" hidden="false" customHeight="true" outlineLevel="0" collapsed="false">
      <c r="A62" s="1" t="s">
        <v>65</v>
      </c>
      <c r="B62" s="1" t="n">
        <v>378.549987792969</v>
      </c>
      <c r="C62" s="1" t="n">
        <f aca="false">LOG(B62/B61)*100</f>
        <v>-0.0974083050372643</v>
      </c>
      <c r="D62" s="1" t="n">
        <f aca="false">STDEV(C59:C62)</f>
        <v>0.23877679362782</v>
      </c>
      <c r="E62" s="1" t="n">
        <f aca="false">STDEV(C50:C62)</f>
        <v>0.584092388518047</v>
      </c>
    </row>
    <row r="63" customFormat="false" ht="15" hidden="false" customHeight="true" outlineLevel="0" collapsed="false">
      <c r="A63" s="1" t="s">
        <v>66</v>
      </c>
      <c r="B63" s="1" t="n">
        <v>376.505249023438</v>
      </c>
      <c r="C63" s="1" t="n">
        <f aca="false">LOG(B63/B62)*100</f>
        <v>-0.235220124845746</v>
      </c>
      <c r="D63" s="1" t="n">
        <f aca="false">STDEV(C60:C63)</f>
        <v>0.2430119670592</v>
      </c>
      <c r="E63" s="1" t="n">
        <f aca="false">STDEV(C51:C63)</f>
        <v>0.568580104511554</v>
      </c>
    </row>
    <row r="64" customFormat="false" ht="15" hidden="false" customHeight="true" outlineLevel="0" collapsed="false">
      <c r="A64" s="1" t="s">
        <v>67</v>
      </c>
      <c r="B64" s="1" t="n">
        <v>381.661895751953</v>
      </c>
      <c r="C64" s="1" t="n">
        <f aca="false">LOG(B64/B63)*100</f>
        <v>0.59077678814937</v>
      </c>
      <c r="D64" s="1" t="n">
        <f aca="false">STDEV(C61:C64)</f>
        <v>0.489095676474571</v>
      </c>
      <c r="E64" s="1" t="n">
        <f aca="false">STDEV(C52:C64)</f>
        <v>0.580873616939995</v>
      </c>
    </row>
    <row r="65" customFormat="false" ht="15" hidden="false" customHeight="true" outlineLevel="0" collapsed="false">
      <c r="A65" s="1" t="s">
        <v>68</v>
      </c>
      <c r="B65" s="1" t="n">
        <v>391.04443359375</v>
      </c>
      <c r="C65" s="1" t="n">
        <f aca="false">LOG(B65/B64)*100</f>
        <v>1.05473050609396</v>
      </c>
      <c r="D65" s="1" t="n">
        <f aca="false">STDEV(C62:C65)</f>
        <v>0.604256515839363</v>
      </c>
      <c r="E65" s="1" t="n">
        <f aca="false">STDEV(C53:C65)</f>
        <v>0.650667248557698</v>
      </c>
    </row>
    <row r="66" customFormat="false" ht="15" hidden="false" customHeight="true" outlineLevel="0" collapsed="false">
      <c r="A66" s="1" t="s">
        <v>69</v>
      </c>
      <c r="B66" s="1" t="n">
        <v>385.219055175781</v>
      </c>
      <c r="C66" s="1" t="n">
        <f aca="false">LOG(B66/B65)*100</f>
        <v>-0.651834649386134</v>
      </c>
      <c r="D66" s="1" t="n">
        <f aca="false">STDEV(C63:C66)</f>
        <v>0.774139956100999</v>
      </c>
      <c r="E66" s="1" t="n">
        <f aca="false">STDEV(C54:C66)</f>
        <v>0.641153613083276</v>
      </c>
    </row>
    <row r="67" customFormat="false" ht="15" hidden="false" customHeight="true" outlineLevel="0" collapsed="false">
      <c r="A67" s="1" t="s">
        <v>70</v>
      </c>
      <c r="B67" s="1" t="n">
        <v>387.490478515625</v>
      </c>
      <c r="C67" s="1" t="n">
        <f aca="false">LOG(B67/B66)*100</f>
        <v>0.255327369707186</v>
      </c>
      <c r="D67" s="1" t="n">
        <f aca="false">STDEV(C64:C67)</f>
        <v>0.721469304190596</v>
      </c>
      <c r="E67" s="1" t="n">
        <f aca="false">STDEV(C55:C67)</f>
        <v>0.631631712790004</v>
      </c>
    </row>
    <row r="68" customFormat="false" ht="15" hidden="false" customHeight="true" outlineLevel="0" collapsed="false">
      <c r="A68" s="1" t="s">
        <v>71</v>
      </c>
      <c r="B68" s="1" t="n">
        <v>386.240478515625</v>
      </c>
      <c r="C68" s="1" t="n">
        <f aca="false">LOG(B68/B67)*100</f>
        <v>-0.140324894523422</v>
      </c>
      <c r="D68" s="1" t="n">
        <f aca="false">STDEV(C65:C68)</f>
        <v>0.719993824470309</v>
      </c>
      <c r="E68" s="1" t="n">
        <f aca="false">STDEV(C56:C68)</f>
        <v>0.620489960719934</v>
      </c>
    </row>
    <row r="69" customFormat="false" ht="15" hidden="false" customHeight="true" outlineLevel="0" collapsed="false">
      <c r="A69" s="1" t="s">
        <v>72</v>
      </c>
      <c r="B69" s="1" t="n">
        <v>383.697631835938</v>
      </c>
      <c r="C69" s="1" t="n">
        <f aca="false">LOG(B69/B68)*100</f>
        <v>-0.286866770649953</v>
      </c>
      <c r="D69" s="1" t="n">
        <f aca="false">STDEV(C66:C69)</f>
        <v>0.375252851665988</v>
      </c>
      <c r="E69" s="1" t="n">
        <f aca="false">STDEV(C57:C69)</f>
        <v>0.625718864002592</v>
      </c>
    </row>
    <row r="70" customFormat="false" ht="15" hidden="false" customHeight="true" outlineLevel="0" collapsed="false">
      <c r="A70" s="1" t="s">
        <v>73</v>
      </c>
      <c r="B70" s="1" t="n">
        <v>383.217498779297</v>
      </c>
      <c r="C70" s="1" t="n">
        <f aca="false">LOG(B70/B69)*100</f>
        <v>-0.0543786805077513</v>
      </c>
      <c r="D70" s="1" t="n">
        <f aca="false">STDEV(C67:C70)</f>
        <v>0.229009647320158</v>
      </c>
      <c r="E70" s="1" t="n">
        <f aca="false">STDEV(C58:C70)</f>
        <v>0.607010220919561</v>
      </c>
    </row>
    <row r="71" customFormat="false" ht="15" hidden="false" customHeight="true" outlineLevel="0" collapsed="false">
      <c r="A71" s="1" t="s">
        <v>74</v>
      </c>
      <c r="B71" s="1" t="n">
        <v>383.069030761719</v>
      </c>
      <c r="C71" s="1" t="n">
        <f aca="false">LOG(B71/B70)*100</f>
        <v>-0.016828911665376</v>
      </c>
      <c r="D71" s="1" t="n">
        <f aca="false">STDEV(C68:C71)</f>
        <v>0.119893589426709</v>
      </c>
      <c r="E71" s="1" t="n">
        <f aca="false">STDEV(C59:C71)</f>
        <v>0.480976801049252</v>
      </c>
    </row>
    <row r="72" customFormat="false" ht="15" hidden="false" customHeight="true" outlineLevel="0" collapsed="false">
      <c r="A72" s="1" t="s">
        <v>75</v>
      </c>
      <c r="B72" s="1" t="n">
        <v>385.676300048828</v>
      </c>
      <c r="C72" s="1" t="n">
        <f aca="false">LOG(B72/B71)*100</f>
        <v>0.294590929020056</v>
      </c>
      <c r="D72" s="1" t="n">
        <f aca="false">STDEV(C69:C72)</f>
        <v>0.23896239322941</v>
      </c>
      <c r="E72" s="1" t="n">
        <f aca="false">STDEV(C60:C72)</f>
        <v>0.487903260333774</v>
      </c>
    </row>
    <row r="73" customFormat="false" ht="15" hidden="false" customHeight="true" outlineLevel="0" collapsed="false">
      <c r="A73" s="1" t="s">
        <v>76</v>
      </c>
      <c r="B73" s="1" t="n">
        <v>387.557678222656</v>
      </c>
      <c r="C73" s="1" t="n">
        <f aca="false">LOG(B73/B72)*100</f>
        <v>0.211339334437104</v>
      </c>
      <c r="D73" s="1" t="n">
        <f aca="false">STDEV(C70:C73)</f>
        <v>0.170726323561757</v>
      </c>
      <c r="E73" s="1" t="n">
        <f aca="false">STDEV(C61:C73)</f>
        <v>0.462981296292122</v>
      </c>
    </row>
    <row r="74" customFormat="false" ht="15" hidden="false" customHeight="true" outlineLevel="0" collapsed="false">
      <c r="A74" s="1" t="s">
        <v>77</v>
      </c>
      <c r="B74" s="1" t="n">
        <v>400.070587158203</v>
      </c>
      <c r="C74" s="1" t="n">
        <f aca="false">LOG(B74/B73)*100</f>
        <v>1.38002781259007</v>
      </c>
      <c r="D74" s="1" t="n">
        <f aca="false">STDEV(C71:C74)</f>
        <v>0.622574532953147</v>
      </c>
      <c r="E74" s="1" t="n">
        <f aca="false">STDEV(C62:C74)</f>
        <v>0.558957717391709</v>
      </c>
    </row>
    <row r="75" customFormat="false" ht="15" hidden="false" customHeight="true" outlineLevel="0" collapsed="false">
      <c r="A75" s="1" t="s">
        <v>78</v>
      </c>
      <c r="B75" s="1" t="n">
        <v>404.484222412109</v>
      </c>
      <c r="C75" s="1" t="n">
        <f aca="false">LOG(B75/B74)*100</f>
        <v>0.476496229159457</v>
      </c>
      <c r="D75" s="1" t="n">
        <f aca="false">STDEV(C72:C75)</f>
        <v>0.537796728519593</v>
      </c>
      <c r="E75" s="1" t="n">
        <f aca="false">STDEV(C63:C75)</f>
        <v>0.558122464103122</v>
      </c>
    </row>
    <row r="76" customFormat="false" ht="15" hidden="false" customHeight="true" outlineLevel="0" collapsed="false">
      <c r="A76" s="1" t="s">
        <v>79</v>
      </c>
      <c r="B76" s="1" t="n">
        <v>396.326324462891</v>
      </c>
      <c r="C76" s="1" t="n">
        <f aca="false">LOG(B76/B75)*100</f>
        <v>-0.884866624642048</v>
      </c>
      <c r="D76" s="1" t="n">
        <f aca="false">STDEV(C73:C76)</f>
        <v>0.932614309181415</v>
      </c>
      <c r="E76" s="1" t="n">
        <f aca="false">STDEV(C64:C76)</f>
        <v>0.627218129231557</v>
      </c>
    </row>
    <row r="77" customFormat="false" ht="15" hidden="false" customHeight="true" outlineLevel="0" collapsed="false">
      <c r="A77" s="1" t="s">
        <v>80</v>
      </c>
      <c r="B77" s="1" t="n">
        <v>393.144989013672</v>
      </c>
      <c r="C77" s="1" t="n">
        <f aca="false">LOG(B77/B76)*100</f>
        <v>-0.350017508106963</v>
      </c>
      <c r="D77" s="1" t="n">
        <f aca="false">STDEV(C74:C77)</f>
        <v>0.990019793606268</v>
      </c>
      <c r="E77" s="1" t="n">
        <f aca="false">STDEV(C65:C77)</f>
        <v>0.629069715712301</v>
      </c>
    </row>
    <row r="78" customFormat="false" ht="15" hidden="false" customHeight="true" outlineLevel="0" collapsed="false">
      <c r="A78" s="1" t="s">
        <v>81</v>
      </c>
      <c r="B78" s="1" t="n">
        <v>391.94287109375</v>
      </c>
      <c r="C78" s="1" t="n">
        <f aca="false">LOG(B78/B77)*100</f>
        <v>-0.132997493339256</v>
      </c>
      <c r="D78" s="1" t="n">
        <f aca="false">STDEV(C75:C78)</f>
        <v>0.563203991332934</v>
      </c>
      <c r="E78" s="1" t="n">
        <f aca="false">STDEV(C66:C78)</f>
        <v>0.561300820146818</v>
      </c>
    </row>
    <row r="79" customFormat="false" ht="15" hidden="false" customHeight="true" outlineLevel="0" collapsed="false">
      <c r="A79" s="1" t="s">
        <v>82</v>
      </c>
      <c r="B79" s="1" t="n">
        <v>385.272491455078</v>
      </c>
      <c r="C79" s="1" t="n">
        <f aca="false">LOG(B79/B78)*100</f>
        <v>-0.745476823696236</v>
      </c>
      <c r="D79" s="1" t="n">
        <f aca="false">STDEV(C76:C79)</f>
        <v>0.347541001404</v>
      </c>
      <c r="E79" s="1" t="n">
        <f aca="false">STDEV(C67:C79)</f>
        <v>0.570986859493163</v>
      </c>
    </row>
    <row r="80" customFormat="false" ht="15" hidden="false" customHeight="true" outlineLevel="0" collapsed="false">
      <c r="A80" s="1" t="s">
        <v>83</v>
      </c>
      <c r="B80" s="1" t="n">
        <v>383.586364746094</v>
      </c>
      <c r="C80" s="1" t="n">
        <f aca="false">LOG(B80/B79)*100</f>
        <v>-0.190484038396371</v>
      </c>
      <c r="D80" s="1" t="n">
        <f aca="false">STDEV(C77:C80)</f>
        <v>0.276192763265992</v>
      </c>
      <c r="E80" s="1" t="n">
        <f aca="false">STDEV(C68:C80)</f>
        <v>0.567782888128247</v>
      </c>
    </row>
    <row r="81" customFormat="false" ht="15" hidden="false" customHeight="true" outlineLevel="0" collapsed="false">
      <c r="A81" s="1" t="s">
        <v>84</v>
      </c>
      <c r="B81" s="1" t="n">
        <v>387.471435546875</v>
      </c>
      <c r="C81" s="1" t="n">
        <f aca="false">LOG(B81/B80)*100</f>
        <v>0.437653075754193</v>
      </c>
      <c r="D81" s="1" t="n">
        <f aca="false">STDEV(C78:C81)</f>
        <v>0.483601703355983</v>
      </c>
      <c r="E81" s="1" t="n">
        <f aca="false">STDEV(C69:C81)</f>
        <v>0.581219048412819</v>
      </c>
    </row>
    <row r="82" customFormat="false" ht="15" hidden="false" customHeight="true" outlineLevel="0" collapsed="false">
      <c r="A82" s="1" t="s">
        <v>85</v>
      </c>
      <c r="B82" s="1" t="n">
        <v>382.964996337891</v>
      </c>
      <c r="C82" s="1" t="n">
        <f aca="false">LOG(B82/B81)*100</f>
        <v>-0.508061125029713</v>
      </c>
      <c r="D82" s="1" t="n">
        <f aca="false">STDEV(C79:C82)</f>
        <v>0.512670000615573</v>
      </c>
      <c r="E82" s="1" t="n">
        <f aca="false">STDEV(C70:C82)</f>
        <v>0.59375637179543</v>
      </c>
    </row>
    <row r="83" customFormat="false" ht="15" hidden="false" customHeight="true" outlineLevel="0" collapsed="false">
      <c r="A83" s="1" t="s">
        <v>86</v>
      </c>
      <c r="B83" s="1" t="n">
        <v>381.072723388672</v>
      </c>
      <c r="C83" s="1" t="n">
        <f aca="false">LOG(B83/B82)*100</f>
        <v>-0.215121677681848</v>
      </c>
      <c r="D83" s="1" t="n">
        <f aca="false">STDEV(C80:C83)</f>
        <v>0.398154304415782</v>
      </c>
      <c r="E83" s="1" t="n">
        <f aca="false">STDEV(C71:C83)</f>
        <v>0.596506469823064</v>
      </c>
    </row>
    <row r="84" customFormat="false" ht="15" hidden="false" customHeight="true" outlineLevel="0" collapsed="false">
      <c r="A84" s="1" t="s">
        <v>87</v>
      </c>
      <c r="B84" s="1" t="n">
        <v>378.516662597656</v>
      </c>
      <c r="C84" s="1" t="n">
        <f aca="false">LOG(B84/B83)*100</f>
        <v>-0.292286150254919</v>
      </c>
      <c r="D84" s="1" t="n">
        <f aca="false">STDEV(C81:C84)</f>
        <v>0.407392952947317</v>
      </c>
      <c r="E84" s="1" t="n">
        <f aca="false">STDEV(C72:C84)</f>
        <v>0.601305622764311</v>
      </c>
    </row>
    <row r="85" customFormat="false" ht="15" hidden="false" customHeight="true" outlineLevel="0" collapsed="false">
      <c r="A85" s="1" t="s">
        <v>88</v>
      </c>
      <c r="B85" s="1" t="n">
        <v>368.977661132813</v>
      </c>
      <c r="C85" s="1" t="n">
        <f aca="false">LOG(B85/B84)*100</f>
        <v>-1.10849285999298</v>
      </c>
      <c r="D85" s="1" t="n">
        <f aca="false">STDEV(C82:C85)</f>
        <v>0.404469863539038</v>
      </c>
      <c r="E85" s="1" t="n">
        <f aca="false">STDEV(C73:C85)</f>
        <v>0.659373754248268</v>
      </c>
    </row>
    <row r="86" customFormat="false" ht="15" hidden="false" customHeight="true" outlineLevel="0" collapsed="false">
      <c r="A86" s="1" t="s">
        <v>89</v>
      </c>
      <c r="B86" s="1" t="n">
        <v>355.200012207031</v>
      </c>
      <c r="C86" s="1" t="n">
        <f aca="false">LOG(B86/B85)*100</f>
        <v>-1.65271016057726</v>
      </c>
      <c r="D86" s="1" t="n">
        <f aca="false">STDEV(C83:C86)</f>
        <v>0.688225158318071</v>
      </c>
      <c r="E86" s="1" t="n">
        <f aca="false">STDEV(C74:C86)</f>
        <v>0.768413992794088</v>
      </c>
    </row>
    <row r="87" customFormat="false" ht="15" hidden="false" customHeight="true" outlineLevel="0" collapsed="false">
      <c r="A87" s="1" t="s">
        <v>90</v>
      </c>
      <c r="B87" s="1" t="n">
        <v>346.713195800781</v>
      </c>
      <c r="C87" s="1" t="n">
        <f aca="false">LOG(B87/B86)*100</f>
        <v>-1.05026009424567</v>
      </c>
      <c r="D87" s="1" t="n">
        <f aca="false">STDEV(C84:C87)</f>
        <v>0.559313641017319</v>
      </c>
      <c r="E87" s="1" t="n">
        <f aca="false">STDEV(C75:C87)</f>
        <v>0.60649843327926</v>
      </c>
    </row>
    <row r="88" customFormat="false" ht="15" hidden="false" customHeight="true" outlineLevel="0" collapsed="false">
      <c r="A88" s="1" t="s">
        <v>91</v>
      </c>
      <c r="B88" s="1" t="n">
        <v>351.805267333984</v>
      </c>
      <c r="C88" s="1" t="n">
        <f aca="false">LOG(B88/B87)*100</f>
        <v>0.633196646801816</v>
      </c>
      <c r="D88" s="1" t="n">
        <f aca="false">STDEV(C85:C88)</f>
        <v>0.989755377048798</v>
      </c>
      <c r="E88" s="1" t="n">
        <f aca="false">STDEV(C76:C88)</f>
        <v>0.628221933474339</v>
      </c>
    </row>
    <row r="89" customFormat="false" ht="15" hidden="false" customHeight="true" outlineLevel="0" collapsed="false">
      <c r="A89" s="1" t="s">
        <v>92</v>
      </c>
      <c r="B89" s="1" t="n">
        <v>344.583343505859</v>
      </c>
      <c r="C89" s="1" t="n">
        <f aca="false">LOG(B89/B88)*100</f>
        <v>-0.900805689551734</v>
      </c>
      <c r="D89" s="1" t="n">
        <f aca="false">STDEV(C86:C89)</f>
        <v>0.973105113112654</v>
      </c>
      <c r="E89" s="1" t="n">
        <f aca="false">STDEV(C77:C89)</f>
        <v>0.629122142897033</v>
      </c>
    </row>
    <row r="90" customFormat="false" ht="15" hidden="false" customHeight="true" outlineLevel="0" collapsed="false">
      <c r="A90" s="1" t="s">
        <v>93</v>
      </c>
      <c r="B90" s="1" t="n">
        <v>343.702789306641</v>
      </c>
      <c r="C90" s="1" t="n">
        <f aca="false">LOG(B90/B89)*100</f>
        <v>-0.111122401031846</v>
      </c>
      <c r="D90" s="1" t="n">
        <f aca="false">STDEV(C87:C90)</f>
        <v>0.778305666921709</v>
      </c>
      <c r="E90" s="1" t="n">
        <f aca="false">STDEV(C78:C90)</f>
        <v>0.636284049937349</v>
      </c>
    </row>
    <row r="91" customFormat="false" ht="15" hidden="false" customHeight="true" outlineLevel="0" collapsed="false">
      <c r="A91" s="1" t="s">
        <v>94</v>
      </c>
      <c r="B91" s="1" t="n">
        <v>340.476318359375</v>
      </c>
      <c r="C91" s="1" t="n">
        <f aca="false">LOG(B91/B90)*100</f>
        <v>-0.409614646297586</v>
      </c>
      <c r="D91" s="1" t="n">
        <f aca="false">STDEV(C88:C91)</f>
        <v>0.642170496801425</v>
      </c>
      <c r="E91" s="1" t="n">
        <f aca="false">STDEV(C79:C91)</f>
        <v>0.629424189874595</v>
      </c>
    </row>
    <row r="92" customFormat="false" ht="15" hidden="false" customHeight="true" outlineLevel="0" collapsed="false">
      <c r="A92" s="1" t="s">
        <v>95</v>
      </c>
      <c r="B92" s="1" t="n">
        <v>324.088623046875</v>
      </c>
      <c r="C92" s="1" t="n">
        <f aca="false">LOG(B92/B91)*100</f>
        <v>-2.14231245580325</v>
      </c>
      <c r="D92" s="1" t="n">
        <f aca="false">STDEV(C89:C92)</f>
        <v>0.895511015470158</v>
      </c>
      <c r="E92" s="1" t="n">
        <f aca="false">STDEV(C80:C92)</f>
        <v>0.781237274173402</v>
      </c>
    </row>
    <row r="93" customFormat="false" ht="15" hidden="false" customHeight="true" outlineLevel="0" collapsed="false">
      <c r="A93" s="1" t="s">
        <v>96</v>
      </c>
      <c r="B93" s="1" t="n">
        <v>324.049987792969</v>
      </c>
      <c r="C93" s="1" t="n">
        <f aca="false">LOG(B93/B92)*100</f>
        <v>-0.00517762013173465</v>
      </c>
      <c r="D93" s="1" t="n">
        <f aca="false">STDEV(C90:C93)</f>
        <v>0.998299022868663</v>
      </c>
      <c r="E93" s="1" t="n">
        <f aca="false">STDEV(C81:C93)</f>
        <v>0.790526911004859</v>
      </c>
    </row>
    <row r="94" customFormat="false" ht="15" hidden="false" customHeight="true" outlineLevel="0" collapsed="false">
      <c r="A94" s="1" t="s">
        <v>97</v>
      </c>
      <c r="B94" s="1" t="n">
        <v>324.476196289063</v>
      </c>
      <c r="C94" s="1" t="n">
        <f aca="false">LOG(B94/B93)*100</f>
        <v>0.0570832848960523</v>
      </c>
      <c r="D94" s="1" t="n">
        <f aca="false">STDEV(C91:C94)</f>
        <v>1.03248007714927</v>
      </c>
      <c r="E94" s="1" t="n">
        <f aca="false">STDEV(C82:C94)</f>
        <v>0.756686372764572</v>
      </c>
    </row>
    <row r="95" customFormat="false" ht="15" hidden="false" customHeight="true" outlineLevel="0" collapsed="false">
      <c r="A95" s="1" t="s">
        <v>98</v>
      </c>
      <c r="B95" s="1" t="n">
        <v>323.883331298828</v>
      </c>
      <c r="C95" s="1" t="n">
        <f aca="false">LOG(B95/B94)*100</f>
        <v>-0.0794244719417655</v>
      </c>
      <c r="D95" s="1" t="n">
        <f aca="false">STDEV(C92:C95)</f>
        <v>1.06802844636673</v>
      </c>
      <c r="E95" s="1" t="n">
        <f aca="false">STDEV(C83:C95)</f>
        <v>0.769907179142845</v>
      </c>
    </row>
    <row r="96" customFormat="false" ht="15" hidden="false" customHeight="true" outlineLevel="0" collapsed="false">
      <c r="A96" s="1" t="s">
        <v>99</v>
      </c>
      <c r="B96" s="1" t="n">
        <v>305.346160888672</v>
      </c>
      <c r="C96" s="1" t="n">
        <f aca="false">LOG(B96/B95)*100</f>
        <v>-2.55961335685923</v>
      </c>
      <c r="D96" s="1" t="n">
        <f aca="false">STDEV(C93:C96)</f>
        <v>1.2764404783057</v>
      </c>
      <c r="E96" s="1" t="n">
        <f aca="false">STDEV(C84:C96)</f>
        <v>0.938564657266998</v>
      </c>
    </row>
    <row r="97" customFormat="false" ht="15" hidden="false" customHeight="true" outlineLevel="0" collapsed="false">
      <c r="A97" s="1" t="s">
        <v>100</v>
      </c>
      <c r="B97" s="1" t="n">
        <v>287.619995117188</v>
      </c>
      <c r="C97" s="1" t="n">
        <f aca="false">LOG(B97/B96)*100</f>
        <v>-2.59733894169737</v>
      </c>
      <c r="D97" s="1" t="n">
        <f aca="false">STDEV(C94:C97)</f>
        <v>1.48336179114952</v>
      </c>
      <c r="E97" s="1" t="n">
        <f aca="false">STDEV(C85:C97)</f>
        <v>1.0571520144776</v>
      </c>
    </row>
    <row r="98" customFormat="false" ht="15" hidden="false" customHeight="true" outlineLevel="0" collapsed="false">
      <c r="A98" s="1" t="s">
        <v>101</v>
      </c>
      <c r="B98" s="1" t="n">
        <v>289.5</v>
      </c>
      <c r="C98" s="1" t="n">
        <f aca="false">LOG(B98/B97)*100</f>
        <v>0.282949349027224</v>
      </c>
      <c r="D98" s="1" t="n">
        <f aca="false">STDEV(C95:C98)</f>
        <v>1.55456830991569</v>
      </c>
      <c r="E98" s="1" t="n">
        <f aca="false">STDEV(C86:C98)</f>
        <v>1.10552849692289</v>
      </c>
    </row>
    <row r="99" customFormat="false" ht="15" hidden="false" customHeight="true" outlineLevel="0" collapsed="false">
      <c r="A99" s="1" t="s">
        <v>102</v>
      </c>
      <c r="B99" s="1" t="n">
        <v>297.455261230469</v>
      </c>
      <c r="C99" s="1" t="n">
        <f aca="false">LOG(B99/B98)*100</f>
        <v>1.17730868352943</v>
      </c>
      <c r="D99" s="1" t="n">
        <f aca="false">STDEV(C96:C99)</f>
        <v>1.94486666732618</v>
      </c>
      <c r="E99" s="1" t="n">
        <f aca="false">STDEV(C87:C99)</f>
        <v>1.2004068592271</v>
      </c>
    </row>
    <row r="100" customFormat="false" ht="15" hidden="false" customHeight="true" outlineLevel="0" collapsed="false">
      <c r="A100" s="1" t="s">
        <v>103</v>
      </c>
      <c r="B100" s="1" t="n">
        <v>295.954559326172</v>
      </c>
      <c r="C100" s="1" t="n">
        <f aca="false">LOG(B100/B99)*100</f>
        <v>-0.219662001832927</v>
      </c>
      <c r="D100" s="1" t="n">
        <f aca="false">STDEV(C97:C100)</f>
        <v>1.61248764459518</v>
      </c>
      <c r="E100" s="1" t="n">
        <f aca="false">STDEV(C88:C100)</f>
        <v>1.1961204992892</v>
      </c>
    </row>
    <row r="101" customFormat="false" ht="15" hidden="false" customHeight="true" outlineLevel="0" collapsed="false">
      <c r="A101" s="1" t="s">
        <v>104</v>
      </c>
      <c r="B101" s="1" t="n">
        <v>308.285003662109</v>
      </c>
      <c r="C101" s="1" t="n">
        <f aca="false">LOG(B101/B100)*100</f>
        <v>1.77273643670141</v>
      </c>
      <c r="D101" s="1" t="n">
        <f aca="false">STDEV(C98:C101)</f>
        <v>0.89198632270478</v>
      </c>
      <c r="E101" s="1" t="n">
        <f aca="false">STDEV(C89:C101)</f>
        <v>1.32336123943359</v>
      </c>
    </row>
    <row r="102" customFormat="false" ht="15" hidden="false" customHeight="true" outlineLevel="0" collapsed="false">
      <c r="A102" s="1" t="s">
        <v>105</v>
      </c>
      <c r="B102" s="1" t="n">
        <v>298.978942871094</v>
      </c>
      <c r="C102" s="1" t="n">
        <f aca="false">LOG(B102/B101)*100</f>
        <v>-1.33117972672276</v>
      </c>
      <c r="D102" s="1" t="n">
        <f aca="false">STDEV(C99:C102)</f>
        <v>1.39755721855323</v>
      </c>
      <c r="E102" s="1" t="n">
        <f aca="false">STDEV(C90:C102)</f>
        <v>1.34108284817848</v>
      </c>
    </row>
    <row r="103" customFormat="false" ht="15" hidden="false" customHeight="true" outlineLevel="0" collapsed="false">
      <c r="A103" s="1" t="s">
        <v>106</v>
      </c>
      <c r="B103" s="1" t="n">
        <v>292.538635253906</v>
      </c>
      <c r="C103" s="1" t="n">
        <f aca="false">LOG(B103/B102)*100</f>
        <v>-0.945737098240933</v>
      </c>
      <c r="D103" s="1" t="n">
        <f aca="false">STDEV(C100:C103)</f>
        <v>1.38158327550438</v>
      </c>
      <c r="E103" s="1" t="n">
        <f aca="false">STDEV(C91:C103)</f>
        <v>1.34222696035172</v>
      </c>
    </row>
    <row r="104" customFormat="false" ht="15" hidden="false" customHeight="true" outlineLevel="0" collapsed="false">
      <c r="A104" s="1" t="s">
        <v>107</v>
      </c>
      <c r="B104" s="1" t="n">
        <v>292.752258300781</v>
      </c>
      <c r="C104" s="1" t="n">
        <f aca="false">LOG(B104/B103)*100</f>
        <v>0.0317022921786429</v>
      </c>
      <c r="D104" s="1" t="n">
        <f aca="false">STDEV(C101:C104)</f>
        <v>1.38494870486785</v>
      </c>
      <c r="E104" s="1" t="n">
        <f aca="false">STDEV(C92:C104)</f>
        <v>1.35130742424578</v>
      </c>
    </row>
    <row r="105" customFormat="false" ht="15" hidden="false" customHeight="true" outlineLevel="0" collapsed="false">
      <c r="A105" s="1" t="s">
        <v>108</v>
      </c>
      <c r="B105" s="1" t="n">
        <v>284.109985351563</v>
      </c>
      <c r="C105" s="1" t="n">
        <f aca="false">LOG(B105/B104)*100</f>
        <v>-1.30137561808935</v>
      </c>
      <c r="D105" s="1" t="n">
        <f aca="false">STDEV(C102:C105)</f>
        <v>0.636779981349877</v>
      </c>
      <c r="E105" s="1" t="n">
        <f aca="false">STDEV(C93:C105)</f>
        <v>1.28486657988605</v>
      </c>
    </row>
    <row r="106" customFormat="false" ht="15" hidden="false" customHeight="true" outlineLevel="0" collapsed="false">
      <c r="A106" s="1" t="s">
        <v>109</v>
      </c>
      <c r="B106" s="1" t="n">
        <v>288.981811523438</v>
      </c>
      <c r="C106" s="1" t="n">
        <f aca="false">LOG(B106/B105)*100</f>
        <v>0.738401144143622</v>
      </c>
      <c r="D106" s="1" t="n">
        <f aca="false">STDEV(C103:C106)</f>
        <v>0.928950902908068</v>
      </c>
      <c r="E106" s="1" t="n">
        <f aca="false">STDEV(C94:C106)</f>
        <v>1.32184697116121</v>
      </c>
    </row>
    <row r="107" customFormat="false" ht="15" hidden="false" customHeight="true" outlineLevel="0" collapsed="false">
      <c r="A107" s="1" t="s">
        <v>110</v>
      </c>
      <c r="B107" s="1" t="n">
        <v>295.714996337891</v>
      </c>
      <c r="C107" s="1" t="n">
        <f aca="false">LOG(B107/B106)*100</f>
        <v>1.00028399034899</v>
      </c>
      <c r="D107" s="1" t="n">
        <f aca="false">STDEV(C104:C107)</f>
        <v>1.03043596381347</v>
      </c>
      <c r="E107" s="1" t="n">
        <f aca="false">STDEV(C95:C107)</f>
        <v>1.37289285886435</v>
      </c>
    </row>
    <row r="108" customFormat="false" ht="15" hidden="false" customHeight="true" outlineLevel="0" collapsed="false">
      <c r="A108" s="1" t="s">
        <v>111</v>
      </c>
      <c r="B108" s="1" t="n">
        <v>293.716674804688</v>
      </c>
      <c r="C108" s="1" t="n">
        <f aca="false">LOG(B108/B107)*100</f>
        <v>-0.294474621047613</v>
      </c>
      <c r="D108" s="1" t="n">
        <f aca="false">STDEV(C105:C108)</f>
        <v>1.0521403044884</v>
      </c>
      <c r="E108" s="1" t="n">
        <f aca="false">STDEV(C96:C108)</f>
        <v>1.37117664647946</v>
      </c>
    </row>
    <row r="109" customFormat="false" ht="15" hidden="false" customHeight="true" outlineLevel="0" collapsed="false">
      <c r="A109" s="1" t="s">
        <v>112</v>
      </c>
      <c r="B109" s="1" t="n">
        <v>291.678955078125</v>
      </c>
      <c r="C109" s="1" t="n">
        <f aca="false">LOG(B109/B108)*100</f>
        <v>-0.302350739266015</v>
      </c>
      <c r="D109" s="1" t="n">
        <f aca="false">STDEV(C106:C109)</f>
        <v>0.682635736691471</v>
      </c>
      <c r="E109" s="1" t="n">
        <f aca="false">STDEV(C97:C109)</f>
        <v>1.19665757693851</v>
      </c>
    </row>
    <row r="110" customFormat="false" ht="15" hidden="false" customHeight="true" outlineLevel="0" collapsed="false">
      <c r="A110" s="1" t="s">
        <v>113</v>
      </c>
      <c r="B110" s="1" t="n">
        <v>286.9368286</v>
      </c>
      <c r="C110" s="1" t="n">
        <f aca="false">LOG(B110/B109)*100</f>
        <v>-0.71188015695783</v>
      </c>
      <c r="D110" s="1" t="n">
        <f aca="false">STDEV(C107:C110)</f>
        <v>0.744242731825967</v>
      </c>
      <c r="E110" s="1" t="n">
        <f aca="false">STDEV(C98:C110)</f>
        <v>0.968155120565082</v>
      </c>
    </row>
    <row r="111" customFormat="false" ht="15" hidden="false" customHeight="true" outlineLevel="0" collapsed="false">
      <c r="A111" s="1" t="s">
        <v>114</v>
      </c>
      <c r="B111" s="1" t="n">
        <v>287.655</v>
      </c>
      <c r="C111" s="1" t="n">
        <f aca="false">LOG(B111/B110)*100</f>
        <v>0.108563339390569</v>
      </c>
      <c r="D111" s="1" t="n">
        <f aca="false">STDEV(C108:C111)</f>
        <v>0.334965329909234</v>
      </c>
      <c r="E111" s="1" t="n">
        <f aca="false">STDEV(C99:C111)</f>
        <v>0.964991694216068</v>
      </c>
    </row>
    <row r="112" customFormat="false" ht="15" hidden="false" customHeight="true" outlineLevel="0" collapsed="false">
      <c r="A112" s="1" t="s">
        <v>115</v>
      </c>
      <c r="B112" s="1" t="n">
        <v>286.2136364</v>
      </c>
      <c r="C112" s="1" t="n">
        <f aca="false">LOG(B112/B111)*100</f>
        <v>-0.21816058049094</v>
      </c>
      <c r="D112" s="1" t="n">
        <f aca="false">STDEV(C109:C112)</f>
        <v>0.337550956343079</v>
      </c>
      <c r="E112" s="1" t="n">
        <f aca="false">STDEV(C100:C112)</f>
        <v>0.895667346833579</v>
      </c>
    </row>
    <row r="113" customFormat="false" ht="15" hidden="false" customHeight="true" outlineLevel="0" collapsed="false">
      <c r="A113" s="1" t="s">
        <v>116</v>
      </c>
      <c r="B113" s="1" t="n">
        <v>282.6175</v>
      </c>
      <c r="C113" s="1" t="n">
        <f aca="false">LOG(B113/B112)*100</f>
        <v>-0.549127114191123</v>
      </c>
      <c r="D113" s="1" t="n">
        <f aca="false">STDEV(C110:C113)</f>
        <v>0.364259431678577</v>
      </c>
      <c r="E113" s="1" t="n">
        <f aca="false">STDEV(C101:C113)</f>
        <v>0.903086067678898</v>
      </c>
    </row>
    <row r="114" customFormat="false" ht="15" hidden="false" customHeight="true" outlineLevel="0" collapsed="false">
      <c r="A114" s="1" t="s">
        <v>117</v>
      </c>
      <c r="B114" s="1" t="n">
        <v>276.91</v>
      </c>
      <c r="C114" s="1" t="n">
        <f aca="false">LOG(B114/B113)*100</f>
        <v>-0.886041073231083</v>
      </c>
      <c r="D114" s="1" t="n">
        <f aca="false">STDEV(C111:C114)</f>
        <v>0.427946395102043</v>
      </c>
      <c r="E114" s="1" t="n">
        <f aca="false">STDEV(C102:C114)</f>
        <v>0.711004139346199</v>
      </c>
    </row>
    <row r="115" customFormat="false" ht="15" hidden="false" customHeight="true" outlineLevel="0" collapsed="false">
      <c r="A115" s="1" t="s">
        <v>118</v>
      </c>
      <c r="B115" s="1" t="n">
        <v>261.3136364</v>
      </c>
      <c r="C115" s="1" t="n">
        <f aca="false">LOG(B115/B114)*100</f>
        <v>-2.51765660684696</v>
      </c>
      <c r="D115" s="1" t="n">
        <f aca="false">STDEV(C112:C115)</f>
        <v>1.02037876149937</v>
      </c>
      <c r="E115" s="1" t="n">
        <f aca="false">STDEV(C103:C115)</f>
        <v>0.897855195283372</v>
      </c>
    </row>
    <row r="116" customFormat="false" ht="15" hidden="false" customHeight="true" outlineLevel="0" collapsed="false">
      <c r="A116" s="1" t="s">
        <v>119</v>
      </c>
      <c r="B116" s="1" t="n">
        <v>256.6931818</v>
      </c>
      <c r="C116" s="1" t="n">
        <f aca="false">LOG(B116/B115)*100</f>
        <v>-0.774774031997473</v>
      </c>
      <c r="D116" s="1" t="n">
        <f aca="false">STDEV(C113:C116)</f>
        <v>0.901467562019604</v>
      </c>
      <c r="E116" s="1" t="n">
        <f aca="false">STDEV(C104:C116)</f>
        <v>0.891213849708017</v>
      </c>
    </row>
    <row r="117" customFormat="false" ht="15" hidden="false" customHeight="true" outlineLevel="0" collapsed="false">
      <c r="A117" s="1" t="s">
        <v>120</v>
      </c>
      <c r="B117" s="1" t="n">
        <v>256.9052632</v>
      </c>
      <c r="C117" s="1" t="n">
        <f aca="false">LOG(B117/B116)*100</f>
        <v>0.0358668480662485</v>
      </c>
      <c r="D117" s="1" t="n">
        <f aca="false">STDEV(C114:C117)</f>
        <v>1.07003598694501</v>
      </c>
      <c r="E117" s="1" t="n">
        <f aca="false">STDEV(C105:C117)</f>
        <v>0.89139697295414</v>
      </c>
    </row>
    <row r="118" customFormat="false" ht="15" hidden="false" customHeight="true" outlineLevel="0" collapsed="false">
      <c r="A118" s="1" t="s">
        <v>121</v>
      </c>
      <c r="B118" s="1" t="n">
        <v>264.3108696</v>
      </c>
      <c r="C118" s="1" t="n">
        <f aca="false">LOG(B118/B117)*100</f>
        <v>1.23420218384598</v>
      </c>
      <c r="D118" s="1" t="n">
        <f aca="false">STDEV(C115:C118)</f>
        <v>1.57489940787339</v>
      </c>
      <c r="E118" s="1" t="n">
        <f aca="false">STDEV(C106:C118)</f>
        <v>0.961034859873681</v>
      </c>
    </row>
    <row r="119" customFormat="false" ht="15" hidden="false" customHeight="true" outlineLevel="0" collapsed="false">
      <c r="A119" s="1" t="s">
        <v>122</v>
      </c>
      <c r="B119" s="1" t="n">
        <v>310.7815789</v>
      </c>
      <c r="C119" s="1" t="n">
        <f aca="false">LOG(B119/B118)*100</f>
        <v>7.03402451980852</v>
      </c>
      <c r="D119" s="1" t="n">
        <f aca="false">STDEV(C116:C119)</f>
        <v>3.53221621175734</v>
      </c>
      <c r="E119" s="1" t="n">
        <f aca="false">STDEV(C107:C119)</f>
        <v>2.23616099153244</v>
      </c>
    </row>
    <row r="120" customFormat="false" ht="15" hidden="false" customHeight="true" outlineLevel="0" collapsed="false">
      <c r="A120" s="1" t="s">
        <v>123</v>
      </c>
      <c r="B120" s="1" t="n">
        <v>293.1840909</v>
      </c>
      <c r="C120" s="1" t="n">
        <f aca="false">LOG(B120/B119)*100</f>
        <v>-2.53148683440022</v>
      </c>
      <c r="D120" s="1" t="n">
        <f aca="false">STDEV(C117:C120)</f>
        <v>4.04473818358272</v>
      </c>
      <c r="E120" s="1" t="n">
        <f aca="false">STDEV(C108:C120)</f>
        <v>2.34821763028438</v>
      </c>
    </row>
    <row r="121" customFormat="false" ht="15" hidden="false" customHeight="true" outlineLevel="0" collapsed="false">
      <c r="A121" s="1" t="s">
        <v>124</v>
      </c>
      <c r="B121" s="1" t="n">
        <v>282.9526316</v>
      </c>
      <c r="C121" s="1" t="n">
        <f aca="false">LOG(B121/B120)*100</f>
        <v>-1.54266629659365</v>
      </c>
      <c r="D121" s="1" t="n">
        <f aca="false">STDEV(C118:C121)</f>
        <v>4.29695386632758</v>
      </c>
      <c r="E121" s="1" t="n">
        <f aca="false">STDEV(C109:C121)</f>
        <v>2.38521641302152</v>
      </c>
    </row>
    <row r="122" customFormat="false" ht="15" hidden="false" customHeight="true" outlineLevel="0" collapsed="false">
      <c r="A122" s="1" t="s">
        <v>125</v>
      </c>
      <c r="B122" s="1" t="n">
        <v>284.065625</v>
      </c>
      <c r="C122" s="1" t="n">
        <f aca="false">LOG(B122/B121)*100</f>
        <v>0.170494514835367</v>
      </c>
      <c r="D122" s="1" t="n">
        <f aca="false">STDEV(C119:C122)</f>
        <v>4.31451104018213</v>
      </c>
      <c r="E122" s="1" t="n">
        <f aca="false">STDEV(C110:C122)</f>
        <v>2.38588728280206</v>
      </c>
    </row>
    <row r="123" customFormat="false" ht="15" hidden="false" customHeight="true" outlineLevel="0" collapsed="false">
      <c r="A123" s="1" t="s">
        <v>126</v>
      </c>
      <c r="B123" s="1" t="n">
        <v>299.715</v>
      </c>
      <c r="C123" s="1" t="n">
        <f aca="false">LOG(B123/B122)*100</f>
        <v>2.32897962694089</v>
      </c>
      <c r="D123" s="1" t="n">
        <f aca="false">STDEV(C120:C123)</f>
        <v>2.13084927496929</v>
      </c>
      <c r="E123" s="1" t="n">
        <f aca="false">STDEV(C111:C123)</f>
        <v>2.46733558067107</v>
      </c>
    </row>
    <row r="124" customFormat="false" ht="15" hidden="false" customHeight="true" outlineLevel="0" collapsed="false">
      <c r="A124" s="1" t="s">
        <v>127</v>
      </c>
      <c r="B124" s="1" t="n">
        <v>286.924</v>
      </c>
      <c r="C124" s="1" t="n">
        <f aca="false">LOG(B124/B123)*100</f>
        <v>-1.89416021686162</v>
      </c>
      <c r="D124" s="1" t="n">
        <f aca="false">STDEV(C121:C124)</f>
        <v>1.93228874178686</v>
      </c>
      <c r="E124" s="1" t="n">
        <f aca="false">STDEV(C112:C124)</f>
        <v>2.53152586358473</v>
      </c>
    </row>
    <row r="125" customFormat="false" ht="15" hidden="false" customHeight="true" outlineLevel="0" collapsed="false">
      <c r="A125" s="1" t="s">
        <v>128</v>
      </c>
      <c r="B125" s="1" t="n">
        <v>279.6526316</v>
      </c>
      <c r="C125" s="1" t="n">
        <f aca="false">LOG(B125/B124)*100</f>
        <v>-1.11479661923296</v>
      </c>
      <c r="D125" s="1" t="n">
        <f aca="false">STDEV(C122:C125)</f>
        <v>1.84561965725486</v>
      </c>
      <c r="E125" s="1" t="n">
        <f aca="false">STDEV(C113:C125)</f>
        <v>2.54986224374652</v>
      </c>
    </row>
    <row r="126" customFormat="false" ht="15" hidden="false" customHeight="true" outlineLevel="0" collapsed="false">
      <c r="A126" s="1" t="s">
        <v>129</v>
      </c>
      <c r="B126" s="1" t="n">
        <v>276.7409091</v>
      </c>
      <c r="C126" s="1" t="n">
        <f aca="false">LOG(B126/B125)*100</f>
        <v>-0.454554722897625</v>
      </c>
      <c r="D126" s="1" t="n">
        <f aca="false">STDEV(C123:C126)</f>
        <v>1.83844044885855</v>
      </c>
      <c r="E126" s="1" t="n">
        <f aca="false">STDEV(C114:C126)</f>
        <v>2.54853903340073</v>
      </c>
    </row>
    <row r="127" customFormat="false" ht="15" hidden="false" customHeight="true" outlineLevel="0" collapsed="false">
      <c r="A127" s="1" t="s">
        <v>130</v>
      </c>
      <c r="B127" s="1" t="n">
        <v>285.7318182</v>
      </c>
      <c r="C127" s="1" t="n">
        <f aca="false">LOG(B127/B126)*100</f>
        <v>1.38852414760471</v>
      </c>
      <c r="D127" s="1" t="n">
        <f aca="false">STDEV(C124:C127)</f>
        <v>1.40105205049994</v>
      </c>
      <c r="E127" s="1" t="n">
        <f aca="false">STDEV(C115:C127)</f>
        <v>2.56588045557298</v>
      </c>
    </row>
    <row r="128" customFormat="false" ht="15" hidden="false" customHeight="true" outlineLevel="0" collapsed="false">
      <c r="A128" s="1" t="s">
        <v>131</v>
      </c>
      <c r="B128" s="1" t="n">
        <v>281.5857143</v>
      </c>
      <c r="C128" s="1" t="n">
        <f aca="false">LOG(B128/B127)*100</f>
        <v>-0.634798679982097</v>
      </c>
      <c r="D128" s="1" t="n">
        <f aca="false">STDEV(C125:C128)</f>
        <v>1.09758048742958</v>
      </c>
      <c r="E128" s="1" t="n">
        <f aca="false">STDEV(C116:C128)</f>
        <v>2.45631923866542</v>
      </c>
    </row>
    <row r="129" customFormat="false" ht="15" hidden="false" customHeight="true" outlineLevel="0" collapsed="false">
      <c r="A129" s="1" t="s">
        <v>132</v>
      </c>
      <c r="B129" s="1" t="n">
        <v>274.425</v>
      </c>
      <c r="C129" s="1" t="n">
        <f aca="false">LOG(B129/B128)*100</f>
        <v>-1.11869450702598</v>
      </c>
      <c r="D129" s="1" t="n">
        <f aca="false">STDEV(C126:C129)</f>
        <v>1.09865998220606</v>
      </c>
      <c r="E129" s="1" t="n">
        <f aca="false">STDEV(C117:C129)</f>
        <v>2.47008506005344</v>
      </c>
    </row>
    <row r="130" customFormat="false" ht="15" hidden="false" customHeight="true" outlineLevel="0" collapsed="false">
      <c r="A130" s="1" t="s">
        <v>133</v>
      </c>
      <c r="B130" s="1" t="n">
        <v>273.53</v>
      </c>
      <c r="C130" s="1" t="n">
        <f aca="false">LOG(B130/B129)*100</f>
        <v>-0.141870740100414</v>
      </c>
      <c r="D130" s="1" t="n">
        <f aca="false">STDEV(C127:C130)</f>
        <v>1.0860251284713</v>
      </c>
      <c r="E130" s="1" t="n">
        <f aca="false">STDEV(C118:C130)</f>
        <v>2.47169943426224</v>
      </c>
    </row>
    <row r="131" customFormat="false" ht="15" hidden="false" customHeight="true" outlineLevel="0" collapsed="false">
      <c r="A131" s="1" t="s">
        <v>134</v>
      </c>
      <c r="B131" s="1" t="n">
        <v>269.9285714</v>
      </c>
      <c r="C131" s="1" t="n">
        <f aca="false">LOG(B131/B130)*100</f>
        <v>-0.57561092844962</v>
      </c>
      <c r="D131" s="1" t="n">
        <f aca="false">STDEV(C128:C131)</f>
        <v>0.399780284574863</v>
      </c>
      <c r="E131" s="1" t="n">
        <f aca="false">STDEV(C119:C131)</f>
        <v>2.46011384444451</v>
      </c>
    </row>
    <row r="132" customFormat="false" ht="15" hidden="false" customHeight="true" outlineLevel="0" collapsed="false">
      <c r="A132" s="1" t="s">
        <v>135</v>
      </c>
      <c r="B132" s="1" t="n">
        <v>266.2973684</v>
      </c>
      <c r="C132" s="1" t="n">
        <f aca="false">LOG(B132/B131)*100</f>
        <v>-0.588198151130384</v>
      </c>
      <c r="D132" s="1" t="n">
        <f aca="false">STDEV(C129:C132)</f>
        <v>0.399796612413653</v>
      </c>
      <c r="E132" s="1" t="n">
        <f aca="false">STDEV(C120:C132)</f>
        <v>1.29410129260093</v>
      </c>
    </row>
    <row r="133" customFormat="false" ht="15" hidden="false" customHeight="true" outlineLevel="0" collapsed="false">
      <c r="A133" s="1" t="s">
        <v>136</v>
      </c>
      <c r="B133" s="1" t="n">
        <v>271.45</v>
      </c>
      <c r="C133" s="1" t="n">
        <f aca="false">LOG(B133/B132)*100</f>
        <v>0.832297131019514</v>
      </c>
      <c r="D133" s="1" t="n">
        <f aca="false">STDEV(C130:C133)</f>
        <v>0.666865312403945</v>
      </c>
      <c r="E133" s="1" t="n">
        <f aca="false">STDEV(C121:C133)</f>
        <v>1.18961276430536</v>
      </c>
    </row>
    <row r="134" customFormat="false" ht="15" hidden="false" customHeight="true" outlineLevel="0" collapsed="false">
      <c r="A134" s="1" t="s">
        <v>137</v>
      </c>
      <c r="B134" s="1" t="n">
        <v>265.4863636</v>
      </c>
      <c r="C134" s="1" t="n">
        <f aca="false">LOG(B134/B133)*100</f>
        <v>-0.964762703509297</v>
      </c>
      <c r="D134" s="1" t="n">
        <f aca="false">STDEV(C131:C134)</f>
        <v>0.791771979156048</v>
      </c>
      <c r="E134" s="1" t="n">
        <f aca="false">STDEV(C122:C134)</f>
        <v>1.14763535626286</v>
      </c>
    </row>
    <row r="135" customFormat="false" ht="15" hidden="false" customHeight="true" outlineLevel="0" collapsed="false">
      <c r="A135" s="1" t="s">
        <v>138</v>
      </c>
      <c r="B135" s="1" t="n">
        <v>262.0894737</v>
      </c>
      <c r="C135" s="1" t="n">
        <f aca="false">LOG(B135/B134)*100</f>
        <v>-0.55926402297934</v>
      </c>
      <c r="D135" s="1" t="n">
        <f aca="false">STDEV(C132:C135)</f>
        <v>0.790081249334374</v>
      </c>
      <c r="E135" s="1" t="n">
        <f aca="false">STDEV(C123:C135)</f>
        <v>1.14516650757513</v>
      </c>
    </row>
    <row r="136" customFormat="false" ht="15" hidden="false" customHeight="true" outlineLevel="0" collapsed="false">
      <c r="A136" s="1" t="s">
        <v>139</v>
      </c>
      <c r="B136" s="1" t="n">
        <v>263.0272727</v>
      </c>
      <c r="C136" s="1" t="n">
        <f aca="false">LOG(B136/B135)*100</f>
        <v>0.155120310529097</v>
      </c>
      <c r="D136" s="1" t="n">
        <f aca="false">STDEV(C133:C136)</f>
        <v>0.7933760700014</v>
      </c>
      <c r="E136" s="1" t="n">
        <f aca="false">STDEV(C124:C136)</f>
        <v>0.856532407753256</v>
      </c>
    </row>
    <row r="137" customFormat="false" ht="15" hidden="false" customHeight="true" outlineLevel="0" collapsed="false">
      <c r="A137" s="1" t="s">
        <v>140</v>
      </c>
      <c r="B137" s="1" t="n">
        <v>260.3305556</v>
      </c>
      <c r="C137" s="1" t="n">
        <f aca="false">LOG(B137/B136)*100</f>
        <v>-0.44756365823836</v>
      </c>
      <c r="D137" s="1" t="n">
        <f aca="false">STDEV(C134:C137)</f>
        <v>0.462971553403237</v>
      </c>
      <c r="E137" s="1" t="n">
        <f aca="false">STDEV(C125:C137)</f>
        <v>0.736959952671173</v>
      </c>
    </row>
    <row r="138" customFormat="false" ht="15" hidden="false" customHeight="true" outlineLevel="0" collapsed="false">
      <c r="A138" s="1" t="s">
        <v>141</v>
      </c>
      <c r="B138" s="1" t="n">
        <v>272.0931818</v>
      </c>
      <c r="C138" s="1" t="n">
        <f aca="false">LOG(B138/B137)*100</f>
        <v>1.91925139731239</v>
      </c>
      <c r="D138" s="1" t="n">
        <f aca="false">STDEV(C135:C138)</f>
        <v>1.14539151242474</v>
      </c>
      <c r="E138" s="1" t="n">
        <f aca="false">STDEV(C126:C138)</f>
        <v>0.922934992470393</v>
      </c>
    </row>
    <row r="139" customFormat="false" ht="15" hidden="false" customHeight="true" outlineLevel="0" collapsed="false">
      <c r="A139" s="1" t="s">
        <v>142</v>
      </c>
      <c r="B139" s="1" t="n">
        <v>270.202381</v>
      </c>
      <c r="C139" s="1" t="n">
        <f aca="false">LOG(B139/B138)*100</f>
        <v>-0.302848755457627</v>
      </c>
      <c r="D139" s="1" t="n">
        <f aca="false">STDEV(C136:C139)</f>
        <v>1.08955675705668</v>
      </c>
      <c r="E139" s="1" t="n">
        <f aca="false">STDEV(C127:C139)</f>
        <v>0.918912935531523</v>
      </c>
    </row>
    <row r="140" customFormat="false" ht="15" hidden="false" customHeight="true" outlineLevel="0" collapsed="false">
      <c r="A140" s="1" t="s">
        <v>143</v>
      </c>
      <c r="B140" s="1" t="n">
        <v>267.5261905</v>
      </c>
      <c r="C140" s="1" t="n">
        <f aca="false">LOG(B140/B139)*100</f>
        <v>-0.432286630974731</v>
      </c>
      <c r="D140" s="1" t="n">
        <f aca="false">STDEV(C137:C140)</f>
        <v>1.15856245871302</v>
      </c>
      <c r="E140" s="1" t="n">
        <f aca="false">STDEV(C128:C140)</f>
        <v>0.808587773993182</v>
      </c>
    </row>
    <row r="141" customFormat="false" ht="15" hidden="false" customHeight="true" outlineLevel="0" collapsed="false">
      <c r="A141" s="1" t="s">
        <v>144</v>
      </c>
      <c r="B141" s="1" t="n">
        <v>272.0921053</v>
      </c>
      <c r="C141" s="1" t="n">
        <f aca="false">LOG(B141/B140)*100</f>
        <v>0.734963563334284</v>
      </c>
      <c r="D141" s="1" t="n">
        <f aca="false">STDEV(C138:C141)</f>
        <v>1.09263746083726</v>
      </c>
      <c r="E141" s="1" t="n">
        <f aca="false">STDEV(C129:C141)</f>
        <v>0.838708264175936</v>
      </c>
    </row>
    <row r="142" customFormat="false" ht="15" hidden="false" customHeight="true" outlineLevel="0" collapsed="false">
      <c r="A142" s="1" t="s">
        <v>145</v>
      </c>
      <c r="B142" s="1" t="n">
        <v>284.4723529</v>
      </c>
      <c r="C142" s="1" t="n">
        <f aca="false">LOG(B142/B141)*100</f>
        <v>1.93241238818816</v>
      </c>
      <c r="D142" s="1" t="n">
        <f aca="false">STDEV(C139:C142)</f>
        <v>1.09842156101515</v>
      </c>
      <c r="E142" s="1" t="n">
        <f aca="false">STDEV(C130:C142)</f>
        <v>0.953370344990962</v>
      </c>
    </row>
    <row r="143" customFormat="false" ht="15" hidden="false" customHeight="true" outlineLevel="0" collapsed="false">
      <c r="A143" s="1" t="s">
        <v>146</v>
      </c>
      <c r="B143" s="1" t="n">
        <v>282.2671429</v>
      </c>
      <c r="C143" s="1" t="n">
        <f aca="false">LOG(B143/B142)*100</f>
        <v>-0.33797375157502</v>
      </c>
      <c r="D143" s="1" t="n">
        <f aca="false">STDEV(C140:C143)</f>
        <v>1.1069063789101</v>
      </c>
      <c r="E143" s="1" t="n">
        <f aca="false">STDEV(C131:C143)</f>
        <v>0.959393693925424</v>
      </c>
    </row>
    <row r="144" customFormat="false" ht="15" hidden="false" customHeight="true" outlineLevel="0" collapsed="false">
      <c r="A144" s="1" t="s">
        <v>147</v>
      </c>
      <c r="B144" s="1" t="n">
        <v>277.184375</v>
      </c>
      <c r="C144" s="1" t="n">
        <f aca="false">LOG(B144/B143)*100</f>
        <v>-0.789158209115707</v>
      </c>
      <c r="D144" s="1" t="n">
        <f aca="false">STDEV(C141:C144)</f>
        <v>1.2135757256138</v>
      </c>
      <c r="E144" s="1" t="n">
        <f aca="false">STDEV(C132:C144)</f>
        <v>0.973739891768816</v>
      </c>
    </row>
    <row r="145" customFormat="false" ht="15" hidden="false" customHeight="true" outlineLevel="0" collapsed="false">
      <c r="A145" s="1" t="s">
        <v>148</v>
      </c>
      <c r="B145" s="1" t="n">
        <v>275.8357143</v>
      </c>
      <c r="C145" s="1" t="n">
        <f aca="false">LOG(B145/B144)*100</f>
        <v>-0.211824876694091</v>
      </c>
      <c r="D145" s="1" t="n">
        <f aca="false">STDEV(C142:C145)</f>
        <v>1.21491247688645</v>
      </c>
      <c r="E145" s="1" t="n">
        <f aca="false">STDEV(C133:C145)</f>
        <v>0.957397700039014</v>
      </c>
    </row>
    <row r="146" customFormat="false" ht="15" hidden="false" customHeight="true" outlineLevel="0" collapsed="false">
      <c r="A146" s="1" t="s">
        <v>149</v>
      </c>
      <c r="B146" s="1" t="n">
        <v>281</v>
      </c>
      <c r="C146" s="1" t="n">
        <f aca="false">LOG(B146/B145)*100</f>
        <v>0.805582340518381</v>
      </c>
      <c r="D146" s="1" t="n">
        <f aca="false">STDEV(C143:C146)</f>
        <v>0.673227928969346</v>
      </c>
      <c r="E146" s="1" t="n">
        <f aca="false">STDEV(C134:C146)</f>
        <v>0.955763014837493</v>
      </c>
    </row>
    <row r="147" customFormat="false" ht="15" hidden="false" customHeight="true" outlineLevel="0" collapsed="false">
      <c r="A147" s="1" t="s">
        <v>150</v>
      </c>
      <c r="B147" s="1" t="n">
        <v>295.2875</v>
      </c>
      <c r="C147" s="1" t="n">
        <f aca="false">LOG(B147/B146)*100</f>
        <v>2.15387430575448</v>
      </c>
      <c r="D147" s="1" t="n">
        <f aca="false">STDEV(C144:C147)</f>
        <v>1.29059071978524</v>
      </c>
      <c r="E147" s="1" t="n">
        <f aca="false">STDEV(C135:C147)</f>
        <v>1.0488716542018</v>
      </c>
    </row>
    <row r="148" customFormat="false" ht="15" hidden="false" customHeight="true" outlineLevel="0" collapsed="false">
      <c r="A148" s="1" t="s">
        <v>151</v>
      </c>
      <c r="B148" s="1" t="n">
        <v>294.0475</v>
      </c>
      <c r="C148" s="1" t="n">
        <f aca="false">LOG(B148/B147)*100</f>
        <v>-0.182757159260161</v>
      </c>
      <c r="D148" s="1" t="n">
        <f aca="false">STDEV(C145:C148)</f>
        <v>1.11381655406497</v>
      </c>
      <c r="E148" s="1" t="n">
        <f aca="false">STDEV(C136:C148)</f>
        <v>1.02646945527508</v>
      </c>
    </row>
    <row r="149" customFormat="false" ht="15" hidden="false" customHeight="true" outlineLevel="0" collapsed="false">
      <c r="A149" s="1" t="s">
        <v>152</v>
      </c>
      <c r="B149" s="1" t="n">
        <v>302.6833333</v>
      </c>
      <c r="C149" s="1" t="n">
        <f aca="false">LOG(B149/B148)*100</f>
        <v>1.25710166195249</v>
      </c>
      <c r="D149" s="1" t="n">
        <f aca="false">STDEV(C146:C149)</f>
        <v>0.97193180020355</v>
      </c>
      <c r="E149" s="1" t="n">
        <f aca="false">STDEV(C137:C149)</f>
        <v>1.05116484160373</v>
      </c>
    </row>
    <row r="150" customFormat="false" ht="15" hidden="false" customHeight="true" outlineLevel="0" collapsed="false">
      <c r="A150" s="1" t="s">
        <v>153</v>
      </c>
      <c r="B150" s="1" t="n">
        <v>314.4931818</v>
      </c>
      <c r="C150" s="1" t="n">
        <f aca="false">LOG(B150/B149)*100</f>
        <v>1.66227264062561</v>
      </c>
      <c r="D150" s="1" t="n">
        <f aca="false">STDEV(C147:C150)</f>
        <v>1.00611513110971</v>
      </c>
      <c r="E150" s="1" t="n">
        <f aca="false">STDEV(C138:C150)</f>
        <v>1.0606676152046</v>
      </c>
    </row>
    <row r="151" customFormat="false" ht="15" hidden="false" customHeight="true" outlineLevel="0" collapsed="false">
      <c r="A151" s="1" t="s">
        <v>154</v>
      </c>
      <c r="B151" s="1" t="n">
        <v>321.1777778</v>
      </c>
      <c r="C151" s="1" t="n">
        <f aca="false">LOG(B151/B150)*100</f>
        <v>0.913425453741989</v>
      </c>
      <c r="D151" s="1" t="n">
        <f aca="false">STDEV(C148:C151)</f>
        <v>0.791727734972227</v>
      </c>
      <c r="E151" s="1" t="n">
        <f aca="false">STDEV(C139:C151)</f>
        <v>0.993453903642341</v>
      </c>
    </row>
    <row r="152" customFormat="false" ht="15" hidden="false" customHeight="true" outlineLevel="0" collapsed="false">
      <c r="A152" s="1" t="s">
        <v>155</v>
      </c>
      <c r="B152" s="1" t="n">
        <v>313.2913043</v>
      </c>
      <c r="C152" s="1" t="n">
        <f aca="false">LOG(B152/B151)*100</f>
        <v>-1.0797148143239</v>
      </c>
      <c r="D152" s="1" t="n">
        <f aca="false">STDEV(C149:C152)</f>
        <v>1.2177459896066</v>
      </c>
      <c r="E152" s="1" t="n">
        <f aca="false">STDEV(C140:C152)</f>
        <v>1.06973170722098</v>
      </c>
    </row>
    <row r="153" customFormat="false" ht="15" hidden="false" customHeight="true" outlineLevel="0" collapsed="false">
      <c r="A153" s="1" t="s">
        <v>156</v>
      </c>
      <c r="B153" s="1" t="n">
        <v>310.2809524</v>
      </c>
      <c r="C153" s="1" t="n">
        <f aca="false">LOG(B153/B152)*100</f>
        <v>-0.41932249592136</v>
      </c>
      <c r="D153" s="1" t="n">
        <f aca="false">STDEV(C150:C153)</f>
        <v>1.24489788284765</v>
      </c>
      <c r="E153" s="1" t="n">
        <f aca="false">STDEV(C141:C153)</f>
        <v>1.06880156497279</v>
      </c>
    </row>
    <row r="154" customFormat="false" ht="15" hidden="false" customHeight="true" outlineLevel="0" collapsed="false">
      <c r="A154" s="1" t="s">
        <v>157</v>
      </c>
      <c r="B154" s="1" t="n">
        <v>319.1357143</v>
      </c>
      <c r="C154" s="1" t="n">
        <f aca="false">LOG(B154/B153)*100</f>
        <v>1.22202927359626</v>
      </c>
      <c r="D154" s="1" t="n">
        <f aca="false">STDEV(C151:C154)</f>
        <v>1.09057481154532</v>
      </c>
      <c r="E154" s="1" t="n">
        <f aca="false">STDEV(C142:C154)</f>
        <v>1.08629688101308</v>
      </c>
    </row>
    <row r="155" customFormat="false" ht="15" hidden="false" customHeight="true" outlineLevel="0" collapsed="false">
      <c r="A155" s="1" t="s">
        <v>158</v>
      </c>
      <c r="B155" s="1" t="n">
        <v>316.5565217</v>
      </c>
      <c r="C155" s="1" t="n">
        <f aca="false">LOG(B155/B154)*100</f>
        <v>-0.352414327867549</v>
      </c>
      <c r="D155" s="1" t="n">
        <f aca="false">STDEV(C152:C155)</f>
        <v>0.976409018057212</v>
      </c>
      <c r="E155" s="1" t="n">
        <f aca="false">STDEV(C143:C155)</f>
        <v>1.02402186804198</v>
      </c>
    </row>
    <row r="156" customFormat="false" ht="15" hidden="false" customHeight="true" outlineLevel="0" collapsed="false">
      <c r="A156" s="1" t="s">
        <v>159</v>
      </c>
      <c r="B156" s="1" t="n">
        <v>320.4357143</v>
      </c>
      <c r="C156" s="1" t="n">
        <f aca="false">LOG(B156/B155)*100</f>
        <v>0.528964929959995</v>
      </c>
      <c r="D156" s="1" t="n">
        <f aca="false">STDEV(C153:C156)</f>
        <v>0.781760918859605</v>
      </c>
      <c r="E156" s="1" t="n">
        <f aca="false">STDEV(C144:C156)</f>
        <v>1.00300393792139</v>
      </c>
    </row>
    <row r="157" customFormat="false" ht="15" hidden="false" customHeight="true" outlineLevel="0" collapsed="false">
      <c r="A157" s="1" t="s">
        <v>160</v>
      </c>
      <c r="B157" s="1" t="n">
        <v>332.0361111</v>
      </c>
      <c r="C157" s="1" t="n">
        <f aca="false">LOG(B157/B156)*100</f>
        <v>1.54444040520048</v>
      </c>
      <c r="D157" s="1" t="n">
        <f aca="false">STDEV(C154:C157)</f>
        <v>0.840101059977248</v>
      </c>
      <c r="E157" s="1" t="n">
        <f aca="false">STDEV(C145:C157)</f>
        <v>0.976317613111171</v>
      </c>
    </row>
    <row r="158" customFormat="false" ht="15" hidden="false" customHeight="true" outlineLevel="0" collapsed="false">
      <c r="A158" s="1" t="s">
        <v>161</v>
      </c>
      <c r="B158" s="1" t="n">
        <v>356.859090909091</v>
      </c>
      <c r="C158" s="1" t="n">
        <f aca="false">LOG(B158/B157)*100</f>
        <v>3.13114461533384</v>
      </c>
      <c r="D158" s="1" t="n">
        <f aca="false">STDEV(C155:C158)</f>
        <v>1.49527673000384</v>
      </c>
      <c r="E158" s="1" t="n">
        <f aca="false">STDEV(C146:C158)</f>
        <v>1.16565118791324</v>
      </c>
    </row>
    <row r="159" customFormat="false" ht="15" hidden="false" customHeight="true" outlineLevel="0" collapsed="false">
      <c r="A159" s="1" t="s">
        <v>162</v>
      </c>
      <c r="B159" s="1" t="n">
        <v>358.97</v>
      </c>
      <c r="C159" s="1" t="n">
        <f aca="false">LOG(B159/B158)*100</f>
        <v>0.256139025086706</v>
      </c>
      <c r="D159" s="1" t="n">
        <f aca="false">STDEV(C156:C159)</f>
        <v>1.30128050302281</v>
      </c>
      <c r="E159" s="1" t="n">
        <f aca="false">STDEV(C147:C159)</f>
        <v>1.17770143542822</v>
      </c>
    </row>
    <row r="160" customFormat="false" ht="15" hidden="false" customHeight="true" outlineLevel="0" collapsed="false">
      <c r="A160" s="1" t="s">
        <v>163</v>
      </c>
      <c r="B160" s="1" t="n">
        <v>340.55</v>
      </c>
      <c r="C160" s="1" t="n">
        <f aca="false">LOG(B160/B159)*100</f>
        <v>-2.28772704252412</v>
      </c>
      <c r="D160" s="1" t="n">
        <f aca="false">STDEV(C157:C160)</f>
        <v>2.29063200525693</v>
      </c>
      <c r="E160" s="1" t="n">
        <f aca="false">STDEV(C148:C160)</f>
        <v>1.38407707715457</v>
      </c>
    </row>
    <row r="161" customFormat="false" ht="15" hidden="false" customHeight="true" outlineLevel="0" collapsed="false">
      <c r="A161" s="1" t="s">
        <v>164</v>
      </c>
      <c r="B161" s="1" t="n">
        <v>328.18</v>
      </c>
      <c r="C161" s="1" t="n">
        <f aca="false">LOG(B161/B160)*100</f>
        <v>-1.60687739414714</v>
      </c>
      <c r="D161" s="1" t="n">
        <f aca="false">STDEV(C158:C161)</f>
        <v>2.42357038173343</v>
      </c>
      <c r="E161" s="1" t="n">
        <f aca="false">STDEV(C149:C161)</f>
        <v>1.49269508569005</v>
      </c>
    </row>
    <row r="162" customFormat="false" ht="15" hidden="false" customHeight="true" outlineLevel="0" collapsed="false">
      <c r="A162" s="1" t="s">
        <v>165</v>
      </c>
      <c r="B162" s="1" t="n">
        <v>355.6825</v>
      </c>
      <c r="C162" s="1" t="n">
        <f aca="false">LOG(B162/B161)*100</f>
        <v>3.49503872317095</v>
      </c>
      <c r="D162" s="1" t="n">
        <f aca="false">STDEV(C159:C162)</f>
        <v>2.58788910464473</v>
      </c>
      <c r="E162" s="1" t="n">
        <f aca="false">STDEV(C150:C162)</f>
        <v>1.71622841398584</v>
      </c>
    </row>
    <row r="163" customFormat="false" ht="15" hidden="false" customHeight="true" outlineLevel="0" collapsed="false">
      <c r="A163" s="1" t="s">
        <v>166</v>
      </c>
      <c r="B163" s="1" t="n">
        <v>356.352380952381</v>
      </c>
      <c r="C163" s="1" t="n">
        <f aca="false">LOG(B163/B162)*100</f>
        <v>0.081716695281807</v>
      </c>
      <c r="D163" s="1" t="n">
        <f aca="false">STDEV(C160:C163)</f>
        <v>2.58279346677674</v>
      </c>
      <c r="E163" s="1" t="n">
        <f aca="false">STDEV(C151:C163)</f>
        <v>1.68573864405271</v>
      </c>
    </row>
    <row r="164" customFormat="false" ht="15" hidden="false" customHeight="true" outlineLevel="0" collapsed="false">
      <c r="A164" s="1" t="s">
        <v>167</v>
      </c>
      <c r="B164" s="1" t="n">
        <v>351.019565217391</v>
      </c>
      <c r="C164" s="1" t="n">
        <f aca="false">LOG(B164/B163)*100</f>
        <v>-0.654834090543263</v>
      </c>
      <c r="D164" s="1" t="n">
        <f aca="false">STDEV(C161:C164)</f>
        <v>2.22114841195417</v>
      </c>
      <c r="E164" s="1" t="n">
        <f aca="false">STDEV(C152:C164)</f>
        <v>1.70331024813373</v>
      </c>
    </row>
    <row r="165" customFormat="false" ht="15" hidden="false" customHeight="true" outlineLevel="0" collapsed="false">
      <c r="A165" s="1" t="s">
        <v>168</v>
      </c>
      <c r="B165" s="1" t="n">
        <v>359.7675</v>
      </c>
      <c r="C165" s="1" t="n">
        <f aca="false">LOG(B165/B164)*100</f>
        <v>1.06906043468598</v>
      </c>
      <c r="D165" s="1" t="n">
        <f aca="false">STDEV(C162:C165)</f>
        <v>1.8084696418573</v>
      </c>
      <c r="E165" s="1" t="n">
        <f aca="false">STDEV(C153:C165)</f>
        <v>1.66236654027819</v>
      </c>
    </row>
    <row r="166" customFormat="false" ht="15" hidden="false" customHeight="true" outlineLevel="0" collapsed="false">
      <c r="A166" s="1" t="s">
        <v>169</v>
      </c>
      <c r="B166" s="1" t="n">
        <v>378.945454545455</v>
      </c>
      <c r="C166" s="1" t="n">
        <f aca="false">LOG(B166/B165)*100</f>
        <v>2.25547737633157</v>
      </c>
      <c r="D166" s="1" t="n">
        <f aca="false">STDEV(C163:C166)</f>
        <v>1.26134519944913</v>
      </c>
      <c r="E166" s="1" t="n">
        <f aca="false">STDEV(C154:C166)</f>
        <v>1.70905608589264</v>
      </c>
    </row>
    <row r="167" customFormat="false" ht="15" hidden="false" customHeight="true" outlineLevel="0" collapsed="false">
      <c r="A167" s="1" t="s">
        <v>170</v>
      </c>
      <c r="B167" s="1" t="n">
        <v>378.919565217391</v>
      </c>
      <c r="C167" s="1" t="n">
        <f aca="false">LOG(B167/B166)*100</f>
        <v>-0.00296717542822623</v>
      </c>
      <c r="D167" s="1" t="n">
        <f aca="false">STDEV(C164:C167)</f>
        <v>1.27554092424236</v>
      </c>
      <c r="E167" s="1" t="n">
        <f aca="false">STDEV(C155:C167)</f>
        <v>1.70972565831735</v>
      </c>
    </row>
    <row r="168" customFormat="false" ht="15" hidden="false" customHeight="true" outlineLevel="0" collapsed="false">
      <c r="A168" s="1" t="s">
        <v>171</v>
      </c>
      <c r="B168" s="1" t="n">
        <v>389.91</v>
      </c>
      <c r="C168" s="1" t="n">
        <f aca="false">LOG(B168/B167)*100</f>
        <v>1.24173433450049</v>
      </c>
      <c r="D168" s="1" t="n">
        <f aca="false">STDEV(C165:C168)</f>
        <v>0.924850133309955</v>
      </c>
      <c r="E168" s="1" t="n">
        <f aca="false">STDEV(C156:C168)</f>
        <v>1.69487631476062</v>
      </c>
    </row>
    <row r="169" customFormat="false" ht="15" hidden="false" customHeight="true" outlineLevel="0" collapsed="false">
      <c r="A169" s="1" t="s">
        <v>172</v>
      </c>
      <c r="B169" s="1" t="n">
        <v>406.952631578947</v>
      </c>
      <c r="C169" s="1" t="n">
        <f aca="false">LOG(B169/B168)*100</f>
        <v>1.85794875555576</v>
      </c>
      <c r="D169" s="1" t="n">
        <f aca="false">STDEV(C166:C169)</f>
        <v>0.986504177905314</v>
      </c>
      <c r="E169" s="1" t="n">
        <f aca="false">STDEV(C157:C169)</f>
        <v>1.72377866299831</v>
      </c>
    </row>
    <row r="170" customFormat="false" ht="15" hidden="false" customHeight="true" outlineLevel="0" collapsed="false">
      <c r="A170" s="1" t="s">
        <v>173</v>
      </c>
      <c r="B170" s="1" t="n">
        <v>413.788095238095</v>
      </c>
      <c r="C170" s="1" t="n">
        <f aca="false">LOG(B170/B169)*100</f>
        <v>0.723413056220837</v>
      </c>
      <c r="D170" s="1" t="n">
        <f aca="false">STDEV(C167:C170)</f>
        <v>0.789275332464252</v>
      </c>
      <c r="E170" s="1" t="n">
        <f aca="false">STDEV(C158:C170)</f>
        <v>1.70914907703631</v>
      </c>
    </row>
    <row r="171" customFormat="false" ht="15" hidden="false" customHeight="true" outlineLevel="0" collapsed="false">
      <c r="A171" s="1" t="s">
        <v>174</v>
      </c>
      <c r="B171" s="1" t="n">
        <v>404.8775</v>
      </c>
      <c r="C171" s="1" t="n">
        <f aca="false">LOG(B171/B170)*100</f>
        <v>-0.945434910715392</v>
      </c>
      <c r="D171" s="1" t="n">
        <f aca="false">STDEV(C168:C171)</f>
        <v>1.20288788746017</v>
      </c>
      <c r="E171" s="1" t="n">
        <f aca="false">STDEV(C159:C171)</f>
        <v>1.60366687609442</v>
      </c>
    </row>
    <row r="172" customFormat="false" ht="15" hidden="false" customHeight="true" outlineLevel="0" collapsed="false">
      <c r="A172" s="1" t="s">
        <v>175</v>
      </c>
      <c r="B172" s="1" t="n">
        <v>406.667391304348</v>
      </c>
      <c r="C172" s="1" t="n">
        <f aca="false">LOG(B172/B171)*100</f>
        <v>0.191570715420787</v>
      </c>
      <c r="D172" s="1" t="n">
        <f aca="false">STDEV(C169:C172)</f>
        <v>1.16489050315561</v>
      </c>
      <c r="E172" s="1" t="n">
        <f aca="false">STDEV(C160:C172)</f>
        <v>1.60432237996819</v>
      </c>
    </row>
    <row r="173" customFormat="false" ht="15" hidden="false" customHeight="true" outlineLevel="0" collapsed="false">
      <c r="A173" s="1" t="s">
        <v>176</v>
      </c>
      <c r="B173" s="1" t="n">
        <v>403.26</v>
      </c>
      <c r="C173" s="1" t="n">
        <f aca="false">LOG(B173/B172)*100</f>
        <v>-0.365420403754645</v>
      </c>
      <c r="D173" s="1" t="n">
        <f aca="false">STDEV(C170:C173)</f>
        <v>0.718383941262585</v>
      </c>
      <c r="E173" s="1" t="n">
        <f aca="false">STDEV(C161:C173)</f>
        <v>1.41124760993433</v>
      </c>
    </row>
    <row r="174" customFormat="false" ht="15" hidden="false" customHeight="true" outlineLevel="0" collapsed="false">
      <c r="A174" s="1" t="s">
        <v>177</v>
      </c>
      <c r="B174" s="1" t="n">
        <v>383.778947368421</v>
      </c>
      <c r="C174" s="1" t="n">
        <f aca="false">LOG(B174/B173)*100</f>
        <v>-2.15039984503577</v>
      </c>
      <c r="D174" s="1" t="n">
        <f aca="false">STDEV(C171:C174)</f>
        <v>1.00259479742041</v>
      </c>
      <c r="E174" s="1" t="n">
        <f aca="false">STDEV(C162:C174)</f>
        <v>1.48696211229725</v>
      </c>
    </row>
    <row r="175" customFormat="false" ht="15" hidden="false" customHeight="true" outlineLevel="0" collapsed="false">
      <c r="A175" s="1" t="s">
        <v>178</v>
      </c>
      <c r="B175" s="1" t="n">
        <v>392.372727272727</v>
      </c>
      <c r="C175" s="1" t="n">
        <f aca="false">LOG(B175/B174)*100</f>
        <v>0.961766583208494</v>
      </c>
      <c r="D175" s="1" t="n">
        <f aca="false">STDEV(C172:C175)</f>
        <v>1.32355026566472</v>
      </c>
      <c r="E175" s="1" t="n">
        <f aca="false">STDEV(C163:C175)</f>
        <v>1.20408019687368</v>
      </c>
    </row>
    <row r="176" customFormat="false" ht="15" hidden="false" customHeight="true" outlineLevel="0" collapsed="false">
      <c r="A176" s="1" t="s">
        <v>179</v>
      </c>
      <c r="B176" s="1" t="n">
        <v>398.090909090909</v>
      </c>
      <c r="C176" s="1" t="n">
        <f aca="false">LOG(B176/B175)*100</f>
        <v>0.628344686775022</v>
      </c>
      <c r="D176" s="1" t="n">
        <f aca="false">STDEV(C173:C176)</f>
        <v>1.39801398331396</v>
      </c>
      <c r="E176" s="1" t="n">
        <f aca="false">STDEV(C164:C176)</f>
        <v>1.20430848472433</v>
      </c>
    </row>
    <row r="177" customFormat="false" ht="15" hidden="false" customHeight="true" outlineLevel="0" collapsed="false">
      <c r="A177" s="1" t="s">
        <v>180</v>
      </c>
      <c r="B177" s="1" t="n">
        <v>400.509523809524</v>
      </c>
      <c r="C177" s="1" t="n">
        <f aca="false">LOG(B177/B176)*100</f>
        <v>0.26305876990789</v>
      </c>
      <c r="D177" s="1" t="n">
        <f aca="false">STDEV(C174:C177)</f>
        <v>1.41316960844098</v>
      </c>
      <c r="E177" s="1" t="n">
        <f aca="false">STDEV(C165:C177)</f>
        <v>1.16549746853735</v>
      </c>
    </row>
    <row r="178" customFormat="false" ht="15" hidden="false" customHeight="true" outlineLevel="0" collapsed="false">
      <c r="A178" s="1" t="s">
        <v>181</v>
      </c>
      <c r="B178" s="1" t="n">
        <v>405.275</v>
      </c>
      <c r="C178" s="1" t="n">
        <f aca="false">LOG(B178/B177)*100</f>
        <v>0.513696672443765</v>
      </c>
      <c r="D178" s="1" t="n">
        <f aca="false">STDEV(C175:C178)</f>
        <v>0.290046941712381</v>
      </c>
      <c r="E178" s="1" t="n">
        <f aca="false">STDEV(C166:C178)</f>
        <v>1.15062655403718</v>
      </c>
    </row>
    <row r="179" customFormat="false" ht="15" hidden="false" customHeight="true" outlineLevel="0" collapsed="false">
      <c r="A179" s="1" t="s">
        <v>182</v>
      </c>
      <c r="B179" s="1" t="n">
        <v>420.464285714286</v>
      </c>
      <c r="C179" s="1" t="n">
        <f aca="false">LOG(B179/B178)*100</f>
        <v>1.59792982189049</v>
      </c>
      <c r="D179" s="1" t="n">
        <f aca="false">STDEV(C176:C179)</f>
        <v>0.585016731132276</v>
      </c>
      <c r="E179" s="1" t="n">
        <f aca="false">STDEV(C167:C179)</f>
        <v>1.07407034583641</v>
      </c>
    </row>
    <row r="180" customFormat="false" ht="15" hidden="false" customHeight="true" outlineLevel="0" collapsed="false">
      <c r="A180" s="1" t="s">
        <v>183</v>
      </c>
      <c r="B180" s="1" t="n">
        <v>439.375</v>
      </c>
      <c r="C180" s="1" t="n">
        <f aca="false">LOG(B180/B179)*100</f>
        <v>1.91062296875773</v>
      </c>
      <c r="D180" s="1" t="n">
        <f aca="false">STDEV(C177:C180)</f>
        <v>0.805393768948394</v>
      </c>
      <c r="E180" s="1" t="n">
        <f aca="false">STDEV(C168:C180)</f>
        <v>1.15047227540949</v>
      </c>
    </row>
    <row r="181" customFormat="false" ht="15" hidden="false" customHeight="true" outlineLevel="0" collapsed="false">
      <c r="A181" s="1" t="s">
        <v>184</v>
      </c>
      <c r="B181" s="1" t="n">
        <v>442.078947368421</v>
      </c>
      <c r="C181" s="1" t="n">
        <f aca="false">LOG(B181/B180)*100</f>
        <v>0.266449111373399</v>
      </c>
      <c r="D181" s="1" t="n">
        <f aca="false">STDEV(C178:C181)</f>
        <v>0.804260608469604</v>
      </c>
      <c r="E181" s="1" t="n">
        <f aca="false">STDEV(C169:C181)</f>
        <v>1.12929061216029</v>
      </c>
    </row>
    <row r="182" customFormat="false" ht="15" hidden="false" customHeight="true" outlineLevel="0" collapsed="false">
      <c r="A182" s="1" t="s">
        <v>185</v>
      </c>
      <c r="B182" s="1" t="n">
        <v>424.03</v>
      </c>
      <c r="C182" s="1" t="n">
        <f aca="false">LOG(B182/B181)*100</f>
        <v>-1.81032495887848</v>
      </c>
      <c r="D182" s="1" t="n">
        <f aca="false">STDEV(C179:C182)</f>
        <v>1.69185721988116</v>
      </c>
      <c r="E182" s="1" t="n">
        <f aca="false">STDEV(C170:C182)</f>
        <v>1.1962261193291</v>
      </c>
    </row>
    <row r="183" customFormat="false" ht="15" hidden="false" customHeight="true" outlineLevel="0" collapsed="false">
      <c r="A183" s="1" t="s">
        <v>186</v>
      </c>
      <c r="B183" s="1" t="n">
        <v>423.35</v>
      </c>
      <c r="C183" s="1" t="n">
        <f aca="false">LOG(B183/B182)*100</f>
        <v>-0.0697019781175057</v>
      </c>
      <c r="D183" s="1" t="n">
        <f aca="false">STDEV(C180:C183)</f>
        <v>1.52551096641126</v>
      </c>
      <c r="E183" s="1" t="n">
        <f aca="false">STDEV(C171:C183)</f>
        <v>1.18400671574263</v>
      </c>
    </row>
    <row r="184" customFormat="false" ht="15" hidden="false" customHeight="true" outlineLevel="0" collapsed="false">
      <c r="A184" s="1" t="s">
        <v>187</v>
      </c>
      <c r="B184" s="1" t="n">
        <v>434.321428571429</v>
      </c>
      <c r="C184" s="1" t="n">
        <f aca="false">LOG(B184/B183)*100</f>
        <v>1.11116930250953</v>
      </c>
      <c r="D184" s="1" t="n">
        <f aca="false">STDEV(C181:C184)</f>
        <v>1.22810471720437</v>
      </c>
      <c r="E184" s="1" t="n">
        <f aca="false">STDEV(C172:C184)</f>
        <v>1.17345779070321</v>
      </c>
    </row>
    <row r="185" customFormat="false" ht="15" hidden="false" customHeight="true" outlineLevel="0" collapsed="false">
      <c r="A185" s="1" t="s">
        <v>188</v>
      </c>
      <c r="B185" s="1" t="n">
        <v>429.233333333333</v>
      </c>
      <c r="C185" s="1" t="n">
        <f aca="false">LOG(B185/B184)*100</f>
        <v>-0.511781615803219</v>
      </c>
      <c r="D185" s="1" t="n">
        <f aca="false">STDEV(C182:C185)</f>
        <v>1.2067509051526</v>
      </c>
      <c r="E185" s="1" t="n">
        <f aca="false">STDEV(C173:C185)</f>
        <v>1.19167618866324</v>
      </c>
    </row>
    <row r="186" customFormat="false" ht="15" hidden="false" customHeight="true" outlineLevel="0" collapsed="false">
      <c r="A186" s="1" t="s">
        <v>189</v>
      </c>
      <c r="B186" s="1" t="n">
        <v>421.8725</v>
      </c>
      <c r="C186" s="1" t="n">
        <f aca="false">LOG(B186/B185)*100</f>
        <v>-0.751222440419161</v>
      </c>
      <c r="D186" s="1" t="n">
        <f aca="false">STDEV(C183:C186)</f>
        <v>0.827353517945212</v>
      </c>
      <c r="E186" s="1" t="n">
        <f aca="false">STDEV(C174:C186)</f>
        <v>1.2110487554153</v>
      </c>
    </row>
    <row r="187" customFormat="false" ht="15" hidden="false" customHeight="true" outlineLevel="0" collapsed="false">
      <c r="A187" s="1" t="s">
        <v>190</v>
      </c>
      <c r="B187" s="1" t="n">
        <v>430.656818181818</v>
      </c>
      <c r="C187" s="1" t="n">
        <f aca="false">LOG(B187/B186)*100</f>
        <v>0.895011080957674</v>
      </c>
      <c r="D187" s="1" t="n">
        <f aca="false">STDEV(C184:C187)</f>
        <v>0.952876324223266</v>
      </c>
      <c r="E187" s="1" t="n">
        <f aca="false">STDEV(C175:C187)</f>
        <v>1.00602123723127</v>
      </c>
    </row>
    <row r="188" customFormat="false" ht="15" hidden="false" customHeight="true" outlineLevel="0" collapsed="false">
      <c r="A188" s="1" t="s">
        <v>191</v>
      </c>
      <c r="B188" s="1" t="n">
        <v>424.478571428571</v>
      </c>
      <c r="C188" s="1" t="n">
        <f aca="false">LOG(B188/B187)*100</f>
        <v>-0.627555634602474</v>
      </c>
      <c r="D188" s="1" t="n">
        <f aca="false">STDEV(C185:C188)</f>
        <v>0.768840518393269</v>
      </c>
      <c r="E188" s="1" t="n">
        <f aca="false">STDEV(C176:C188)</f>
        <v>1.02645242262503</v>
      </c>
    </row>
    <row r="189" customFormat="false" ht="15" hidden="false" customHeight="true" outlineLevel="0" collapsed="false">
      <c r="A189" s="1" t="s">
        <v>192</v>
      </c>
      <c r="B189" s="1" t="n">
        <v>437.929545454545</v>
      </c>
      <c r="C189" s="1" t="n">
        <f aca="false">LOG(B189/B188)*100</f>
        <v>1.35484753569793</v>
      </c>
      <c r="D189" s="1" t="n">
        <f aca="false">STDEV(C186:C189)</f>
        <v>1.06538296432646</v>
      </c>
      <c r="E189" s="1" t="n">
        <f aca="false">STDEV(C177:C189)</f>
        <v>1.06699258164109</v>
      </c>
    </row>
    <row r="190" customFormat="false" ht="15" hidden="false" customHeight="true" outlineLevel="0" collapsed="false">
      <c r="A190" s="1" t="s">
        <v>193</v>
      </c>
      <c r="B190" s="1" t="n">
        <v>456.047727272727</v>
      </c>
      <c r="C190" s="1" t="n">
        <f aca="false">LOG(B190/B189)*100</f>
        <v>1.76060493578428</v>
      </c>
      <c r="D190" s="1" t="n">
        <f aca="false">STDEV(C187:C190)</f>
        <v>1.04390229416858</v>
      </c>
      <c r="E190" s="1" t="n">
        <f aca="false">STDEV(C178:C190)</f>
        <v>1.13890914470466</v>
      </c>
    </row>
    <row r="191" customFormat="false" ht="15" hidden="false" customHeight="true" outlineLevel="0" collapsed="false">
      <c r="A191" s="1" t="s">
        <v>194</v>
      </c>
      <c r="B191" s="1" t="n">
        <v>469.897619047619</v>
      </c>
      <c r="C191" s="1" t="n">
        <f aca="false">LOG(B191/B190)*100</f>
        <v>1.29929487268943</v>
      </c>
      <c r="D191" s="1" t="n">
        <f aca="false">STDEV(C188:C191)</f>
        <v>1.06952163206356</v>
      </c>
      <c r="E191" s="1" t="n">
        <f aca="false">STDEV(C179:C191)</f>
        <v>1.16406437777099</v>
      </c>
    </row>
    <row r="192" customFormat="false" ht="15" hidden="false" customHeight="true" outlineLevel="0" collapsed="false">
      <c r="A192" s="1" t="s">
        <v>195</v>
      </c>
      <c r="B192" s="1" t="n">
        <v>476.665909090909</v>
      </c>
      <c r="C192" s="1" t="n">
        <f aca="false">LOG(B192/B191)*100</f>
        <v>0.621084803623096</v>
      </c>
      <c r="D192" s="1" t="n">
        <f aca="false">STDEV(C189:C192)</f>
        <v>0.472353585495925</v>
      </c>
      <c r="E192" s="1" t="n">
        <f aca="false">STDEV(C180:C192)</f>
        <v>1.11748006646604</v>
      </c>
    </row>
    <row r="193" customFormat="false" ht="15" hidden="false" customHeight="true" outlineLevel="0" collapsed="false">
      <c r="A193" s="1" t="s">
        <v>196</v>
      </c>
      <c r="B193" s="1" t="n">
        <v>510.097222222222</v>
      </c>
      <c r="C193" s="1" t="n">
        <f aca="false">LOG(B193/B192)*100</f>
        <v>2.94388660380691</v>
      </c>
      <c r="D193" s="1" t="n">
        <f aca="false">STDEV(C190:C193)</f>
        <v>0.977732396695356</v>
      </c>
      <c r="E193" s="1" t="n">
        <f aca="false">STDEV(C181:C193)</f>
        <v>1.26005588075025</v>
      </c>
    </row>
    <row r="194" customFormat="false" ht="15" hidden="false" customHeight="true" outlineLevel="0" collapsed="false">
      <c r="A194" s="1" t="s">
        <v>197</v>
      </c>
      <c r="B194" s="1" t="n">
        <v>549.864285714286</v>
      </c>
      <c r="C194" s="1" t="n">
        <f aca="false">LOG(B194/B193)*100</f>
        <v>3.26025541470189</v>
      </c>
      <c r="D194" s="1" t="n">
        <f aca="false">STDEV(C191:C194)</f>
        <v>1.27379799710024</v>
      </c>
      <c r="E194" s="1" t="n">
        <f aca="false">STDEV(C182:C194)</f>
        <v>1.47015594778646</v>
      </c>
    </row>
    <row r="195" customFormat="false" ht="15" hidden="false" customHeight="true" outlineLevel="0" collapsed="false">
      <c r="A195" s="1" t="s">
        <v>198</v>
      </c>
      <c r="B195" s="1" t="n">
        <v>554.995</v>
      </c>
      <c r="C195" s="1" t="n">
        <f aca="false">LOG(B195/B194)*100</f>
        <v>0.403355784501978</v>
      </c>
      <c r="D195" s="1" t="n">
        <f aca="false">STDEV(C192:C195)</f>
        <v>1.50344873564272</v>
      </c>
      <c r="E195" s="1" t="n">
        <f aca="false">STDEV(C183:C195)</f>
        <v>1.26549431253269</v>
      </c>
    </row>
    <row r="196" customFormat="false" ht="15" hidden="false" customHeight="true" outlineLevel="0" collapsed="false">
      <c r="A196" s="1" t="s">
        <v>199</v>
      </c>
      <c r="B196" s="1" t="n">
        <v>557.09347826087</v>
      </c>
      <c r="C196" s="1" t="n">
        <f aca="false">LOG(B196/B195)*100</f>
        <v>0.16390037817761</v>
      </c>
      <c r="D196" s="1" t="n">
        <f aca="false">STDEV(C193:C196)</f>
        <v>1.63527108822711</v>
      </c>
      <c r="E196" s="1" t="n">
        <f aca="false">STDEV(C184:C196)</f>
        <v>1.25217875723504</v>
      </c>
    </row>
    <row r="197" customFormat="false" ht="15" hidden="false" customHeight="true" outlineLevel="0" collapsed="false">
      <c r="A197" s="1" t="s">
        <v>200</v>
      </c>
      <c r="B197" s="1" t="n">
        <v>610.652777777778</v>
      </c>
      <c r="C197" s="1" t="n">
        <f aca="false">LOG(B197/B196)*100</f>
        <v>3.98662626631336</v>
      </c>
      <c r="D197" s="1" t="n">
        <f aca="false">STDEV(C194:C197)</f>
        <v>1.95335830636578</v>
      </c>
      <c r="E197" s="1" t="n">
        <f aca="false">STDEV(C185:C197)</f>
        <v>1.51557153916867</v>
      </c>
    </row>
    <row r="198" customFormat="false" ht="15" hidden="false" customHeight="true" outlineLevel="0" collapsed="false">
      <c r="A198" s="1" t="s">
        <v>201</v>
      </c>
      <c r="B198" s="1" t="n">
        <v>675.392857142857</v>
      </c>
      <c r="C198" s="1" t="n">
        <f aca="false">LOG(B198/B197)*100</f>
        <v>4.37621263010106</v>
      </c>
      <c r="D198" s="1" t="n">
        <f aca="false">STDEV(C195:C198)</f>
        <v>2.2581213248229</v>
      </c>
      <c r="E198" s="1" t="n">
        <f aca="false">STDEV(C186:C198)</f>
        <v>1.67049402542604</v>
      </c>
    </row>
    <row r="199" customFormat="false" ht="15" hidden="false" customHeight="true" outlineLevel="0" collapsed="false">
      <c r="A199" s="1" t="s">
        <v>202</v>
      </c>
      <c r="B199" s="1" t="n">
        <v>596.145454545455</v>
      </c>
      <c r="C199" s="1" t="n">
        <f aca="false">LOG(B199/B198)*100</f>
        <v>-5.42042263677334</v>
      </c>
      <c r="D199" s="1" t="n">
        <f aca="false">STDEV(C196:C199)</f>
        <v>4.547525704627</v>
      </c>
      <c r="E199" s="1" t="n">
        <f aca="false">STDEV(C187:C199)</f>
        <v>2.49612441953581</v>
      </c>
    </row>
    <row r="200" customFormat="false" ht="15" hidden="false" customHeight="true" outlineLevel="0" collapsed="false">
      <c r="A200" s="1" t="s">
        <v>203</v>
      </c>
      <c r="B200" s="1" t="n">
        <v>633.709523809524</v>
      </c>
      <c r="C200" s="1" t="n">
        <f aca="false">LOG(B200/B199)*100</f>
        <v>2.65379971211742</v>
      </c>
      <c r="D200" s="1" t="n">
        <f aca="false">STDEV(C197:C200)</f>
        <v>4.60574467897624</v>
      </c>
      <c r="E200" s="1" t="n">
        <f aca="false">STDEV(C188:C200)</f>
        <v>2.52830532741233</v>
      </c>
    </row>
    <row r="201" customFormat="false" ht="15" hidden="false" customHeight="true" outlineLevel="0" collapsed="false">
      <c r="A201" s="1" t="s">
        <v>204</v>
      </c>
      <c r="B201" s="1" t="n">
        <v>632.593181818182</v>
      </c>
      <c r="C201" s="1" t="n">
        <f aca="false">LOG(B201/B200)*100</f>
        <v>-0.0765727326016573</v>
      </c>
      <c r="D201" s="1" t="n">
        <f aca="false">STDEV(C198:C201)</f>
        <v>4.28147947874551</v>
      </c>
      <c r="E201" s="1" t="n">
        <f aca="false">STDEV(C189:C201)</f>
        <v>2.49790885141445</v>
      </c>
    </row>
    <row r="202" customFormat="false" ht="15" hidden="false" customHeight="true" outlineLevel="0" collapsed="false">
      <c r="A202" s="1" t="s">
        <v>205</v>
      </c>
      <c r="B202" s="1" t="n">
        <v>598.185714285714</v>
      </c>
      <c r="C202" s="1" t="n">
        <f aca="false">LOG(B202/B201)*100</f>
        <v>-2.42884696032254</v>
      </c>
      <c r="D202" s="1" t="n">
        <f aca="false">STDEV(C199:C202)</f>
        <v>3.43415137857619</v>
      </c>
      <c r="E202" s="1" t="n">
        <f aca="false">STDEV(C190:C202)</f>
        <v>2.70682938376002</v>
      </c>
    </row>
    <row r="203" customFormat="false" ht="15" hidden="false" customHeight="true" outlineLevel="0" collapsed="false">
      <c r="A203" s="1" t="s">
        <v>206</v>
      </c>
      <c r="B203" s="1" t="n">
        <v>585.779545454546</v>
      </c>
      <c r="C203" s="1" t="n">
        <f aca="false">LOG(B203/B202)*100</f>
        <v>-0.910183441557213</v>
      </c>
      <c r="D203" s="1" t="n">
        <f aca="false">STDEV(C200:C203)</f>
        <v>2.13160046567395</v>
      </c>
      <c r="E203" s="1" t="n">
        <f aca="false">STDEV(C191:C203)</f>
        <v>2.74875533931014</v>
      </c>
    </row>
    <row r="204" customFormat="false" ht="15" hidden="false" customHeight="true" outlineLevel="0" collapsed="false">
      <c r="A204" s="1" t="s">
        <v>207</v>
      </c>
      <c r="B204" s="1" t="n">
        <v>627.827272727273</v>
      </c>
      <c r="C204" s="1" t="n">
        <f aca="false">LOG(B204/B203)*100</f>
        <v>3.01059747675125</v>
      </c>
      <c r="D204" s="1" t="n">
        <f aca="false">STDEV(C201:C204)</f>
        <v>2.29174493989868</v>
      </c>
      <c r="E204" s="1" t="n">
        <f aca="false">STDEV(C192:C204)</f>
        <v>2.81300067360274</v>
      </c>
    </row>
    <row r="205" customFormat="false" ht="15" hidden="false" customHeight="true" outlineLevel="0" collapsed="false">
      <c r="A205" s="1" t="s">
        <v>208</v>
      </c>
      <c r="B205" s="1" t="n">
        <v>629.791176470588</v>
      </c>
      <c r="C205" s="1" t="n">
        <f aca="false">LOG(B205/B204)*100</f>
        <v>0.135639430633873</v>
      </c>
      <c r="D205" s="1" t="n">
        <f aca="false">STDEV(C202:C205)</f>
        <v>2.29496073628263</v>
      </c>
      <c r="E205" s="1" t="n">
        <f aca="false">STDEV(C193:C205)</f>
        <v>2.82119946501613</v>
      </c>
    </row>
    <row r="206" customFormat="false" ht="15" hidden="false" customHeight="true" outlineLevel="0" collapsed="false">
      <c r="A206" s="1" t="s">
        <v>209</v>
      </c>
      <c r="B206" s="1" t="n">
        <v>631.165909090909</v>
      </c>
      <c r="C206" s="1" t="n">
        <f aca="false">LOG(B206/B205)*100</f>
        <v>0.0946961692005598</v>
      </c>
      <c r="D206" s="1" t="n">
        <f aca="false">STDEV(C203:C206)</f>
        <v>1.68931919409502</v>
      </c>
      <c r="E206" s="1" t="n">
        <f aca="false">STDEV(C194:C206)</f>
        <v>2.76181028924265</v>
      </c>
    </row>
    <row r="207" customFormat="false" ht="15" hidden="false" customHeight="true" outlineLevel="0" collapsed="false">
      <c r="A207" s="1" t="s">
        <v>210</v>
      </c>
      <c r="B207" s="1" t="n">
        <v>664.745</v>
      </c>
      <c r="C207" s="1" t="n">
        <f aca="false">LOG(B207/B206)*100</f>
        <v>2.25115459286741</v>
      </c>
      <c r="D207" s="1" t="n">
        <f aca="false">STDEV(C204:C207)</f>
        <v>1.48526123912858</v>
      </c>
      <c r="E207" s="1" t="n">
        <f aca="false">STDEV(C195:C207)</f>
        <v>2.69763996724013</v>
      </c>
    </row>
    <row r="208" customFormat="false" ht="15" hidden="false" customHeight="true" outlineLevel="0" collapsed="false">
      <c r="A208" s="1" t="s">
        <v>211</v>
      </c>
      <c r="B208" s="1" t="n">
        <v>654.895454545455</v>
      </c>
      <c r="C208" s="1" t="n">
        <f aca="false">LOG(B208/B207)*100</f>
        <v>-0.648310327404443</v>
      </c>
      <c r="D208" s="1" t="n">
        <f aca="false">STDEV(C205:C208)</f>
        <v>1.24836314115435</v>
      </c>
      <c r="E208" s="1" t="n">
        <f aca="false">STDEV(C196:C208)</f>
        <v>2.72079724971392</v>
      </c>
    </row>
    <row r="209" customFormat="false" ht="15" hidden="false" customHeight="true" outlineLevel="0" collapsed="false">
      <c r="A209" s="1" t="s">
        <v>212</v>
      </c>
      <c r="B209" s="1" t="n">
        <v>679.368421052632</v>
      </c>
      <c r="C209" s="1" t="n">
        <f aca="false">LOG(B209/B208)*100</f>
        <v>1.59333796618531</v>
      </c>
      <c r="D209" s="1" t="n">
        <f aca="false">STDEV(C206:C209)</f>
        <v>1.3326948085568</v>
      </c>
      <c r="E209" s="1" t="n">
        <f aca="false">STDEV(C197:C209)</f>
        <v>2.73262292158813</v>
      </c>
    </row>
    <row r="210" customFormat="false" ht="15" hidden="false" customHeight="true" outlineLevel="0" collapsed="false">
      <c r="A210" s="1" t="s">
        <v>213</v>
      </c>
      <c r="B210" s="1" t="n">
        <v>666.859523809524</v>
      </c>
      <c r="C210" s="1" t="n">
        <f aca="false">LOG(B210/B209)*100</f>
        <v>-0.80709978140409</v>
      </c>
      <c r="D210" s="1" t="n">
        <f aca="false">STDEV(C207:C210)</f>
        <v>1.55469294661049</v>
      </c>
      <c r="E210" s="1" t="n">
        <f aca="false">STDEV(C198:C210)</f>
        <v>2.5650344791784</v>
      </c>
    </row>
    <row r="211" customFormat="false" ht="15" hidden="false" customHeight="true" outlineLevel="0" collapsed="false">
      <c r="A211" s="1" t="s">
        <v>214</v>
      </c>
      <c r="B211" s="1" t="n">
        <v>655.490476190476</v>
      </c>
      <c r="C211" s="1" t="n">
        <f aca="false">LOG(B211/B210)*100</f>
        <v>-0.746797188240404</v>
      </c>
      <c r="D211" s="1" t="n">
        <f aca="false">STDEV(C208:C211)</f>
        <v>1.16554247557329</v>
      </c>
      <c r="E211" s="1" t="n">
        <f aca="false">STDEV(C199:C211)</f>
        <v>2.26116370354933</v>
      </c>
    </row>
    <row r="212" customFormat="false" ht="15" hidden="false" customHeight="true" outlineLevel="0" collapsed="false">
      <c r="A212" s="1" t="s">
        <v>215</v>
      </c>
      <c r="B212" s="1" t="n">
        <v>665.295454545455</v>
      </c>
      <c r="C212" s="1" t="n">
        <f aca="false">LOG(B212/B211)*100</f>
        <v>0.644817017185733</v>
      </c>
      <c r="D212" s="1" t="n">
        <f aca="false">STDEV(C209:C212)</f>
        <v>1.16140413585006</v>
      </c>
      <c r="E212" s="1" t="n">
        <f aca="false">STDEV(C200:C212)</f>
        <v>1.60134020920279</v>
      </c>
    </row>
    <row r="213" customFormat="false" ht="15" hidden="false" customHeight="true" outlineLevel="0" collapsed="false">
      <c r="A213" s="1" t="s">
        <v>216</v>
      </c>
      <c r="B213" s="1" t="n">
        <v>665.411363636364</v>
      </c>
      <c r="C213" s="1" t="n">
        <f aca="false">LOG(B213/B212)*100</f>
        <v>0.00756570538659761</v>
      </c>
      <c r="D213" s="1" t="n">
        <f aca="false">STDEV(C210:C213)</f>
        <v>0.688423401364326</v>
      </c>
      <c r="E213" s="1" t="n">
        <f aca="false">STDEV(C201:C213)</f>
        <v>1.44714162237164</v>
      </c>
    </row>
    <row r="214" customFormat="false" ht="15" hidden="false" customHeight="true" outlineLevel="0" collapsed="false">
      <c r="A214" s="1" t="s">
        <v>217</v>
      </c>
      <c r="B214" s="1" t="n">
        <v>712.6525</v>
      </c>
      <c r="C214" s="1" t="n">
        <f aca="false">LOG(B214/B213)*100</f>
        <v>2.97875996834439</v>
      </c>
      <c r="D214" s="1" t="n">
        <f aca="false">STDEV(C211:C214)</f>
        <v>1.60900600477674</v>
      </c>
      <c r="E214" s="1" t="n">
        <f aca="false">STDEV(C202:C214)</f>
        <v>1.64020286227426</v>
      </c>
    </row>
    <row r="215" customFormat="false" ht="15" hidden="false" customHeight="true" outlineLevel="0" collapsed="false">
      <c r="A215" s="1" t="s">
        <v>218</v>
      </c>
      <c r="B215" s="1" t="n">
        <v>754.604347826087</v>
      </c>
      <c r="C215" s="1" t="n">
        <f aca="false">LOG(B215/B214)*100</f>
        <v>2.48414901677269</v>
      </c>
      <c r="D215" s="1" t="n">
        <f aca="false">STDEV(C212:C215)</f>
        <v>1.42719484123698</v>
      </c>
      <c r="E215" s="1" t="n">
        <f aca="false">STDEV(C203:C215)</f>
        <v>1.49405489498857</v>
      </c>
    </row>
    <row r="216" customFormat="false" ht="15" hidden="false" customHeight="true" outlineLevel="0" collapsed="false">
      <c r="A216" s="1" t="s">
        <v>219</v>
      </c>
      <c r="B216" s="1" t="n">
        <v>806.247727272727</v>
      </c>
      <c r="C216" s="1" t="n">
        <f aca="false">LOG(B216/B215)*100</f>
        <v>2.87492002552414</v>
      </c>
      <c r="D216" s="1" t="n">
        <f aca="false">STDEV(C213:C216)</f>
        <v>1.40212058896816</v>
      </c>
      <c r="E216" s="1" t="n">
        <f aca="false">STDEV(C204:C216)</f>
        <v>1.50682843742529</v>
      </c>
    </row>
    <row r="217" customFormat="false" ht="15" hidden="false" customHeight="true" outlineLevel="0" collapsed="false">
      <c r="A217" s="1" t="s">
        <v>220</v>
      </c>
      <c r="B217" s="1" t="n">
        <v>803.202941176471</v>
      </c>
      <c r="C217" s="1" t="n">
        <f aca="false">LOG(B217/B216)*100</f>
        <v>-0.164321330704585</v>
      </c>
      <c r="D217" s="1" t="n">
        <f aca="false">STDEV(C214:C217)</f>
        <v>1.48712440534658</v>
      </c>
      <c r="E217" s="1" t="n">
        <f aca="false">STDEV(C205:C217)</f>
        <v>1.42040951485519</v>
      </c>
    </row>
    <row r="218" customFormat="false" ht="15" hidden="false" customHeight="true" outlineLevel="0" collapsed="false">
      <c r="A218" s="1" t="s">
        <v>221</v>
      </c>
      <c r="B218" s="1" t="n">
        <v>889.595454545455</v>
      </c>
      <c r="C218" s="1" t="n">
        <f aca="false">LOG(B218/B217)*100</f>
        <v>4.43672650758138</v>
      </c>
      <c r="D218" s="1" t="n">
        <f aca="false">STDEV(C215:C218)</f>
        <v>1.91105391384272</v>
      </c>
      <c r="E218" s="1" t="n">
        <f aca="false">STDEV(C206:C218)</f>
        <v>1.71694033750735</v>
      </c>
    </row>
    <row r="219" customFormat="false" ht="15" hidden="false" customHeight="true" outlineLevel="0" collapsed="false">
      <c r="A219" s="1" t="s">
        <v>222</v>
      </c>
      <c r="B219" s="1" t="n">
        <v>922.297619047619</v>
      </c>
      <c r="C219" s="1" t="n">
        <f aca="false">LOG(B219/B218)*100</f>
        <v>1.56785323051775</v>
      </c>
      <c r="D219" s="1" t="n">
        <f aca="false">STDEV(C216:C219)</f>
        <v>1.95331246254508</v>
      </c>
      <c r="E219" s="1" t="n">
        <f aca="false">STDEV(C207:C219)</f>
        <v>1.68960956650857</v>
      </c>
    </row>
    <row r="220" customFormat="false" ht="15" hidden="false" customHeight="true" outlineLevel="0" collapsed="false">
      <c r="A220" s="1" t="s">
        <v>223</v>
      </c>
      <c r="B220" s="1" t="n">
        <v>968.434210526316</v>
      </c>
      <c r="C220" s="1" t="n">
        <f aca="false">LOG(B220/B219)*100</f>
        <v>2.119903526819</v>
      </c>
      <c r="D220" s="1" t="n">
        <f aca="false">STDEV(C217:C220)</f>
        <v>1.8993554883643</v>
      </c>
      <c r="E220" s="1" t="n">
        <f aca="false">STDEV(C208:C220)</f>
        <v>1.68362110529767</v>
      </c>
    </row>
    <row r="221" customFormat="false" ht="15" hidden="false" customHeight="true" outlineLevel="0" collapsed="false">
      <c r="A221" s="1" t="s">
        <v>224</v>
      </c>
      <c r="B221" s="1" t="n">
        <v>909.704545454546</v>
      </c>
      <c r="C221" s="1" t="n">
        <f aca="false">LOG(B221/B220)*100</f>
        <v>-2.71697580330169</v>
      </c>
      <c r="D221" s="1" t="n">
        <f aca="false">STDEV(C218:C221)</f>
        <v>2.98375435189781</v>
      </c>
      <c r="E221" s="1" t="n">
        <f aca="false">STDEV(C209:C221)</f>
        <v>1.95465713595132</v>
      </c>
    </row>
    <row r="222" customFormat="false" ht="15" hidden="false" customHeight="true" outlineLevel="0" collapsed="false">
      <c r="A222" s="1" t="s">
        <v>225</v>
      </c>
      <c r="B222" s="1" t="n">
        <v>888.6625</v>
      </c>
      <c r="C222" s="1" t="n">
        <f aca="false">LOG(B222/B221)*100</f>
        <v>-1.01635106348934</v>
      </c>
      <c r="D222" s="1" t="n">
        <f aca="false">STDEV(C219:C222)</f>
        <v>2.26322502613185</v>
      </c>
      <c r="E222" s="1" t="n">
        <f aca="false">STDEV(C210:C222)</f>
        <v>2.03201431115136</v>
      </c>
    </row>
    <row r="223" customFormat="false" ht="15" hidden="false" customHeight="true" outlineLevel="0" collapsed="false">
      <c r="A223" s="1" t="s">
        <v>226</v>
      </c>
      <c r="B223" s="1" t="n">
        <v>889.488095238095</v>
      </c>
      <c r="C223" s="1" t="n">
        <f aca="false">LOG(B223/B222)*100</f>
        <v>0.0403285844197048</v>
      </c>
      <c r="D223" s="1" t="n">
        <f aca="false">STDEV(C220:C223)</f>
        <v>2.02417782323566</v>
      </c>
      <c r="E223" s="1" t="n">
        <f aca="false">STDEV(C211:C223)</f>
        <v>1.98585402190121</v>
      </c>
    </row>
    <row r="224" customFormat="false" ht="15" hidden="false" customHeight="true" outlineLevel="0" collapsed="false">
      <c r="A224" s="1" t="s">
        <v>227</v>
      </c>
      <c r="B224" s="1" t="n">
        <v>939.771739130435</v>
      </c>
      <c r="C224" s="1" t="n">
        <f aca="false">LOG(B224/B223)*100</f>
        <v>2.3882240821616</v>
      </c>
      <c r="D224" s="1" t="n">
        <f aca="false">STDEV(C221:C224)</f>
        <v>2.13655164013865</v>
      </c>
      <c r="E224" s="1" t="n">
        <f aca="false">STDEV(C212:C224)</f>
        <v>1.95105283493481</v>
      </c>
    </row>
    <row r="225" customFormat="false" ht="15" hidden="false" customHeight="true" outlineLevel="0" collapsed="false">
      <c r="A225" s="1" t="s">
        <v>228</v>
      </c>
      <c r="B225" s="1" t="n">
        <v>839.025</v>
      </c>
      <c r="C225" s="1" t="n">
        <f aca="false">LOG(B225/B224)*100</f>
        <v>-4.92474792820977</v>
      </c>
      <c r="D225" s="1" t="n">
        <f aca="false">STDEV(C222:C225)</f>
        <v>3.04996485665412</v>
      </c>
      <c r="E225" s="1" t="n">
        <f aca="false">STDEV(C213:C225)</f>
        <v>2.59063231059593</v>
      </c>
    </row>
    <row r="226" customFormat="false" ht="15" hidden="false" customHeight="true" outlineLevel="0" collapsed="false">
      <c r="A226" s="1" t="s">
        <v>229</v>
      </c>
      <c r="B226" s="1" t="n">
        <v>829.931818181818</v>
      </c>
      <c r="C226" s="1" t="n">
        <f aca="false">LOG(B226/B225)*100</f>
        <v>-0.473248645044233</v>
      </c>
      <c r="D226" s="1" t="n">
        <f aca="false">STDEV(C223:C226)</f>
        <v>3.05384718123777</v>
      </c>
      <c r="E226" s="1" t="n">
        <f aca="false">STDEV(C214:C226)</f>
        <v>2.60589031120258</v>
      </c>
    </row>
    <row r="227" customFormat="false" ht="15" hidden="false" customHeight="true" outlineLevel="0" collapsed="false">
      <c r="A227" s="1" t="s">
        <v>230</v>
      </c>
      <c r="B227" s="1" t="n">
        <v>806.619565217391</v>
      </c>
      <c r="C227" s="1" t="n">
        <f aca="false">LOG(B227/B226)*100</f>
        <v>-1.23736630549448</v>
      </c>
      <c r="D227" s="1" t="n">
        <f aca="false">STDEV(C224:C227)</f>
        <v>3.01121509735765</v>
      </c>
      <c r="E227" s="1" t="n">
        <f aca="false">STDEV(C215:C227)</f>
        <v>2.56584077974244</v>
      </c>
    </row>
    <row r="228" customFormat="false" ht="15" hidden="false" customHeight="true" outlineLevel="0" collapsed="false">
      <c r="A228" s="1" t="s">
        <v>231</v>
      </c>
      <c r="B228" s="1" t="n">
        <v>760.8625</v>
      </c>
      <c r="C228" s="1" t="n">
        <f aca="false">LOG(B228/B227)*100</f>
        <v>-2.53625720517793</v>
      </c>
      <c r="D228" s="1" t="n">
        <f aca="false">STDEV(C225:C228)</f>
        <v>1.9503101189522</v>
      </c>
      <c r="E228" s="1" t="n">
        <f aca="false">STDEV(C216:C228)</f>
        <v>2.60576151494647</v>
      </c>
    </row>
    <row r="229" customFormat="false" ht="15" hidden="false" customHeight="true" outlineLevel="0" collapsed="false">
      <c r="A229" s="1" t="s">
        <v>232</v>
      </c>
      <c r="B229" s="1" t="n">
        <v>816.092105263158</v>
      </c>
      <c r="C229" s="1" t="n">
        <f aca="false">LOG(B229/B228)*100</f>
        <v>3.04329966694684</v>
      </c>
      <c r="D229" s="1" t="n">
        <f aca="false">STDEV(C226:C229)</f>
        <v>2.38657121157349</v>
      </c>
      <c r="E229" s="1" t="n">
        <f aca="false">STDEV(C217:C229)</f>
        <v>2.62146511255665</v>
      </c>
    </row>
    <row r="230" customFormat="false" ht="15" hidden="false" customHeight="true" outlineLevel="0" collapsed="false">
      <c r="A230" s="1" t="s">
        <v>233</v>
      </c>
      <c r="B230" s="1" t="n">
        <v>858.690476190476</v>
      </c>
      <c r="C230" s="1" t="n">
        <f aca="false">LOG(B230/B229)*100</f>
        <v>2.20974695432127</v>
      </c>
      <c r="D230" s="1" t="n">
        <f aca="false">STDEV(C227:C230)</f>
        <v>2.68086784858435</v>
      </c>
      <c r="E230" s="1" t="n">
        <f aca="false">STDEV(C218:C230)</f>
        <v>2.68785651180638</v>
      </c>
    </row>
    <row r="231" customFormat="false" ht="15" hidden="false" customHeight="true" outlineLevel="0" collapsed="false">
      <c r="A231" s="1" t="s">
        <v>234</v>
      </c>
      <c r="B231" s="1" t="n">
        <v>943.1625</v>
      </c>
      <c r="C231" s="1" t="n">
        <f aca="false">LOG(B231/B230)*100</f>
        <v>4.07498788184408</v>
      </c>
      <c r="D231" s="1" t="n">
        <f aca="false">STDEV(C228:C231)</f>
        <v>2.92407943330205</v>
      </c>
      <c r="E231" s="1" t="n">
        <f aca="false">STDEV(C219:C231)</f>
        <v>2.64208320888742</v>
      </c>
    </row>
    <row r="232" customFormat="false" ht="15" hidden="false" customHeight="true" outlineLevel="0" collapsed="false">
      <c r="A232" s="1" t="s">
        <v>235</v>
      </c>
      <c r="B232" s="1" t="n">
        <v>924.272727272727</v>
      </c>
      <c r="C232" s="1" t="n">
        <f aca="false">LOG(B232/B231)*100</f>
        <v>-0.878638654780968</v>
      </c>
      <c r="D232" s="1" t="n">
        <f aca="false">STDEV(C229:C232)</f>
        <v>2.13495620855738</v>
      </c>
      <c r="E232" s="1" t="n">
        <f aca="false">STDEV(C220:C232)</f>
        <v>2.62323692669538</v>
      </c>
    </row>
    <row r="233" customFormat="false" ht="15" hidden="false" customHeight="true" outlineLevel="0" collapsed="false">
      <c r="A233" s="1" t="s">
        <v>236</v>
      </c>
      <c r="B233" s="1" t="n">
        <v>890.2</v>
      </c>
      <c r="C233" s="1" t="n">
        <f aca="false">LOG(B233/B232)*100</f>
        <v>-1.63125484523118</v>
      </c>
      <c r="D233" s="1" t="n">
        <f aca="false">STDEV(C230:C233)</f>
        <v>2.66827967779435</v>
      </c>
      <c r="E233" s="1" t="n">
        <f aca="false">STDEV(C221:C233)</f>
        <v>2.57738047853631</v>
      </c>
    </row>
    <row r="234" customFormat="false" ht="15" hidden="false" customHeight="true" outlineLevel="0" collapsed="false">
      <c r="A234" s="1" t="s">
        <v>237</v>
      </c>
      <c r="B234" s="1" t="n">
        <v>928.644736842105</v>
      </c>
      <c r="C234" s="1" t="n">
        <f aca="false">LOG(B234/B233)*100</f>
        <v>1.83620117352214</v>
      </c>
      <c r="D234" s="1" t="n">
        <f aca="false">STDEV(C231:C234)</f>
        <v>2.6152091298701</v>
      </c>
      <c r="E234" s="1" t="n">
        <f aca="false">STDEV(C222:C234)</f>
        <v>2.52771635197903</v>
      </c>
    </row>
    <row r="235" customFormat="false" ht="15" hidden="false" customHeight="true" outlineLevel="0" collapsed="false">
      <c r="A235" s="1" t="s">
        <v>238</v>
      </c>
      <c r="B235" s="1" t="n">
        <v>945.670454545454</v>
      </c>
      <c r="C235" s="1" t="n">
        <f aca="false">LOG(B235/B234)*100</f>
        <v>0.789021896255867</v>
      </c>
      <c r="D235" s="1" t="n">
        <f aca="false">STDEV(C232:C235)</f>
        <v>1.57309284858049</v>
      </c>
      <c r="E235" s="1" t="n">
        <f aca="false">STDEV(C223:C235)</f>
        <v>2.51267619414067</v>
      </c>
    </row>
    <row r="236" customFormat="false" ht="15" hidden="false" customHeight="true" outlineLevel="0" collapsed="false">
      <c r="A236" s="1" t="s">
        <v>239</v>
      </c>
      <c r="B236" s="1" t="n">
        <v>934.228260869565</v>
      </c>
      <c r="C236" s="1" t="n">
        <f aca="false">LOG(B236/B235)*100</f>
        <v>-0.52868198697157</v>
      </c>
      <c r="D236" s="1" t="n">
        <f aca="false">STDEV(C233:C236)</f>
        <v>1.51443768388737</v>
      </c>
      <c r="E236" s="1" t="n">
        <f aca="false">STDEV(C224:C236)</f>
        <v>2.5207779341029</v>
      </c>
    </row>
    <row r="237" customFormat="false" ht="15" hidden="false" customHeight="true" outlineLevel="0" collapsed="false">
      <c r="A237" s="1" t="s">
        <v>240</v>
      </c>
      <c r="B237" s="1" t="n">
        <v>949.375</v>
      </c>
      <c r="C237" s="1" t="n">
        <f aca="false">LOG(B237/B236)*100</f>
        <v>0.698479043229342</v>
      </c>
      <c r="D237" s="1" t="n">
        <f aca="false">STDEV(C234:C237)</f>
        <v>0.967562839192336</v>
      </c>
      <c r="E237" s="1" t="n">
        <f aca="false">STDEV(C225:C237)</f>
        <v>2.4387587773883</v>
      </c>
    </row>
    <row r="238" customFormat="false" ht="15" hidden="false" customHeight="true" outlineLevel="0" collapsed="false">
      <c r="A238" s="1" t="s">
        <v>241</v>
      </c>
      <c r="B238" s="1" t="n">
        <v>996.590909090909</v>
      </c>
      <c r="C238" s="1" t="n">
        <f aca="false">LOG(B238/B237)*100</f>
        <v>2.10791300090103</v>
      </c>
      <c r="D238" s="1" t="n">
        <f aca="false">STDEV(C235:C238)</f>
        <v>1.07734537495239</v>
      </c>
      <c r="E238" s="1" t="n">
        <f aca="false">STDEV(C226:C238)</f>
        <v>1.98491135491076</v>
      </c>
    </row>
    <row r="239" customFormat="false" ht="15" hidden="false" customHeight="true" outlineLevel="0" collapsed="false">
      <c r="A239" s="1" t="s">
        <v>242</v>
      </c>
      <c r="B239" s="1" t="n">
        <v>1043.15909090909</v>
      </c>
      <c r="C239" s="1" t="n">
        <f aca="false">LOG(B239/B238)*100</f>
        <v>1.98336259787125</v>
      </c>
      <c r="D239" s="1" t="n">
        <f aca="false">STDEV(C236:C239)</f>
        <v>1.23898035877891</v>
      </c>
      <c r="E239" s="1" t="n">
        <f aca="false">STDEV(C227:C239)</f>
        <v>1.99372374741379</v>
      </c>
    </row>
    <row r="240" customFormat="false" ht="15" hidden="false" customHeight="true" outlineLevel="0" collapsed="false">
      <c r="A240" s="1" t="s">
        <v>243</v>
      </c>
      <c r="B240" s="1" t="n">
        <v>1127.03571428571</v>
      </c>
      <c r="C240" s="1" t="n">
        <f aca="false">LOG(B240/B239)*100</f>
        <v>3.35871312929174</v>
      </c>
      <c r="D240" s="1" t="n">
        <f aca="false">STDEV(C237:C240)</f>
        <v>1.08727020832876</v>
      </c>
      <c r="E240" s="1" t="n">
        <f aca="false">STDEV(C228:C240)</f>
        <v>2.01664329046146</v>
      </c>
    </row>
    <row r="241" customFormat="false" ht="15" hidden="false" customHeight="true" outlineLevel="0" collapsed="false">
      <c r="A241" s="1" t="s">
        <v>244</v>
      </c>
      <c r="B241" s="1" t="n">
        <v>1134.72368421053</v>
      </c>
      <c r="C241" s="1" t="n">
        <f aca="false">LOG(B241/B240)*100</f>
        <v>0.29524411629634</v>
      </c>
      <c r="D241" s="1" t="n">
        <f aca="false">STDEV(C238:C241)</f>
        <v>1.25803940501969</v>
      </c>
      <c r="E241" s="1" t="n">
        <f aca="false">STDEV(C229:C241)</f>
        <v>1.72026903102579</v>
      </c>
    </row>
    <row r="242" customFormat="false" ht="15" hidden="false" customHeight="true" outlineLevel="0" collapsed="false">
      <c r="A242" s="1" t="s">
        <v>245</v>
      </c>
      <c r="B242" s="1" t="n">
        <v>1117.9625</v>
      </c>
      <c r="C242" s="1" t="n">
        <f aca="false">LOG(B242/B241)*100</f>
        <v>-0.646288346697567</v>
      </c>
      <c r="D242" s="1" t="n">
        <f aca="false">STDEV(C239:C242)</f>
        <v>1.77875798844578</v>
      </c>
      <c r="E242" s="1" t="n">
        <f aca="false">STDEV(C230:C242)</f>
        <v>1.71934799435256</v>
      </c>
    </row>
    <row r="243" customFormat="false" ht="15" hidden="false" customHeight="true" outlineLevel="0" collapsed="false">
      <c r="A243" s="1" t="s">
        <v>246</v>
      </c>
      <c r="B243" s="1" t="n">
        <v>1095.4125</v>
      </c>
      <c r="C243" s="1" t="n">
        <f aca="false">LOG(B243/B242)*100</f>
        <v>-0.884954372980499</v>
      </c>
      <c r="D243" s="1" t="n">
        <f aca="false">STDEV(C240:C243)</f>
        <v>1.95298716524126</v>
      </c>
      <c r="E243" s="1" t="n">
        <f aca="false">STDEV(C231:C243)</f>
        <v>1.759383735195</v>
      </c>
    </row>
    <row r="244" customFormat="false" ht="15" hidden="false" customHeight="true" outlineLevel="0" collapsed="false">
      <c r="A244" s="1" t="s">
        <v>247</v>
      </c>
      <c r="B244" s="1" t="n">
        <v>1113.33695652174</v>
      </c>
      <c r="C244" s="1" t="n">
        <f aca="false">LOG(B244/B243)*100</f>
        <v>0.704893298687453</v>
      </c>
      <c r="D244" s="1" t="n">
        <f aca="false">STDEV(C241:C244)</f>
        <v>0.75594495145874</v>
      </c>
      <c r="E244" s="1" t="n">
        <f aca="false">STDEV(C232:C244)</f>
        <v>1.4618847865226</v>
      </c>
    </row>
    <row r="245" customFormat="false" ht="15" hidden="false" customHeight="true" outlineLevel="0" collapsed="false">
      <c r="A245" s="1" t="s">
        <v>248</v>
      </c>
      <c r="B245" s="1" t="n">
        <v>1148.6875</v>
      </c>
      <c r="C245" s="1" t="n">
        <f aca="false">LOG(B245/B244)*100</f>
        <v>1.35752696665219</v>
      </c>
      <c r="D245" s="1" t="n">
        <f aca="false">STDEV(C242:C245)</f>
        <v>1.07549205805265</v>
      </c>
      <c r="E245" s="1" t="n">
        <f aca="false">STDEV(C233:C245)</f>
        <v>1.4098802294187</v>
      </c>
    </row>
    <row r="246" customFormat="false" ht="15" hidden="false" customHeight="true" outlineLevel="0" collapsed="false">
      <c r="A246" s="1" t="s">
        <v>249</v>
      </c>
      <c r="B246" s="1" t="n">
        <v>1205.43421052632</v>
      </c>
      <c r="C246" s="1" t="n">
        <f aca="false">LOG(B246/B245)*100</f>
        <v>2.09416175864285</v>
      </c>
      <c r="D246" s="1" t="n">
        <f aca="false">STDEV(C243:C246)</f>
        <v>1.269189356721</v>
      </c>
      <c r="E246" s="1" t="n">
        <f aca="false">STDEV(C234:C246)</f>
        <v>1.26159693224103</v>
      </c>
    </row>
    <row r="247" customFormat="false" ht="15" hidden="false" customHeight="true" outlineLevel="0" collapsed="false">
      <c r="A247" s="1" t="s">
        <v>250</v>
      </c>
      <c r="B247" s="1" t="n">
        <v>1232.92045454546</v>
      </c>
      <c r="C247" s="1" t="n">
        <f aca="false">LOG(B247/B246)*100</f>
        <v>0.979154503250105</v>
      </c>
      <c r="D247" s="1" t="n">
        <f aca="false">STDEV(C244:C247)</f>
        <v>0.602788968332939</v>
      </c>
      <c r="E247" s="1" t="n">
        <f aca="false">STDEV(C235:C247)</f>
        <v>1.23713565776331</v>
      </c>
    </row>
    <row r="248" customFormat="false" ht="15" hidden="false" customHeight="true" outlineLevel="0" collapsed="false">
      <c r="A248" s="1" t="s">
        <v>251</v>
      </c>
      <c r="B248" s="1" t="n">
        <v>1192.96590909091</v>
      </c>
      <c r="C248" s="1" t="n">
        <f aca="false">LOG(B248/B247)*100</f>
        <v>-1.43070245378516</v>
      </c>
      <c r="D248" s="1" t="n">
        <f aca="false">STDEV(C245:C248)</f>
        <v>1.52576044667979</v>
      </c>
      <c r="E248" s="1" t="n">
        <f aca="false">STDEV(C236:C248)</f>
        <v>1.40281608994477</v>
      </c>
    </row>
    <row r="249" customFormat="false" ht="15" hidden="false" customHeight="true" outlineLevel="0" collapsed="false">
      <c r="A249" s="1" t="s">
        <v>252</v>
      </c>
      <c r="B249" s="1" t="n">
        <v>1215.80952380952</v>
      </c>
      <c r="C249" s="1" t="n">
        <f aca="false">LOG(B249/B248)*100</f>
        <v>0.823750783568806</v>
      </c>
      <c r="D249" s="1" t="n">
        <f aca="false">STDEV(C246:C249)</f>
        <v>1.47749712944167</v>
      </c>
      <c r="E249" s="1" t="n">
        <f aca="false">STDEV(C237:C249)</f>
        <v>1.34703167280343</v>
      </c>
    </row>
    <row r="250" customFormat="false" ht="15" hidden="false" customHeight="true" outlineLevel="0" collapsed="false">
      <c r="A250" s="1" t="s">
        <v>253</v>
      </c>
      <c r="B250" s="1" t="n">
        <v>1270.97727272727</v>
      </c>
      <c r="C250" s="1" t="n">
        <f aca="false">LOG(B250/B249)*100</f>
        <v>1.92722436628251</v>
      </c>
      <c r="D250" s="1" t="n">
        <f aca="false">STDEV(C247:C250)</f>
        <v>1.42320890978641</v>
      </c>
      <c r="E250" s="1" t="n">
        <f aca="false">STDEV(C238:C250)</f>
        <v>1.37602338483305</v>
      </c>
    </row>
    <row r="251" customFormat="false" ht="15" hidden="false" customHeight="true" outlineLevel="0" collapsed="false">
      <c r="A251" s="1" t="s">
        <v>254</v>
      </c>
      <c r="B251" s="1" t="n">
        <v>1342.02380952381</v>
      </c>
      <c r="C251" s="1" t="n">
        <f aca="false">LOG(B251/B250)*100</f>
        <v>2.36224362529183</v>
      </c>
      <c r="D251" s="1" t="n">
        <f aca="false">STDEV(C248:C251)</f>
        <v>1.69603773087502</v>
      </c>
      <c r="E251" s="1" t="n">
        <f aca="false">STDEV(C239:C251)</f>
        <v>1.39515403100105</v>
      </c>
    </row>
    <row r="252" customFormat="false" ht="15" hidden="false" customHeight="true" outlineLevel="0" collapsed="false">
      <c r="A252" s="1" t="s">
        <v>255</v>
      </c>
      <c r="B252" s="1" t="n">
        <v>1369.88636363636</v>
      </c>
      <c r="C252" s="1" t="n">
        <f aca="false">LOG(B252/B251)*100</f>
        <v>0.892432162371225</v>
      </c>
      <c r="D252" s="1" t="n">
        <f aca="false">STDEV(C249:C252)</f>
        <v>0.76429235795231</v>
      </c>
      <c r="E252" s="1" t="n">
        <f aca="false">STDEV(C240:C252)</f>
        <v>1.36313907241703</v>
      </c>
    </row>
    <row r="253" customFormat="false" ht="15" hidden="false" customHeight="true" outlineLevel="0" collapsed="false">
      <c r="A253" s="1" t="s">
        <v>256</v>
      </c>
      <c r="B253" s="1" t="n">
        <v>1390.55263157895</v>
      </c>
      <c r="C253" s="1" t="n">
        <f aca="false">LOG(B253/B252)*100</f>
        <v>0.650288873233271</v>
      </c>
      <c r="D253" s="1" t="n">
        <f aca="false">STDEV(C250:C253)</f>
        <v>0.818554065435751</v>
      </c>
      <c r="E253" s="1" t="n">
        <f aca="false">STDEV(C241:C253)</f>
        <v>1.14768513298996</v>
      </c>
    </row>
    <row r="254" customFormat="false" ht="15" hidden="false" customHeight="true" outlineLevel="0" collapsed="false">
      <c r="A254" s="1" t="s">
        <v>257</v>
      </c>
      <c r="B254" s="1" t="n">
        <v>1356.4</v>
      </c>
      <c r="C254" s="1" t="n">
        <f aca="false">LOG(B254/B253)*100</f>
        <v>-1.07996501895867</v>
      </c>
      <c r="D254" s="1" t="n">
        <f aca="false">STDEV(C251:C254)</f>
        <v>1.41075327706571</v>
      </c>
      <c r="E254" s="1" t="n">
        <f aca="false">STDEV(C242:C254)</f>
        <v>1.24734482058847</v>
      </c>
    </row>
    <row r="255" customFormat="false" ht="15" hidden="false" customHeight="true" outlineLevel="0" collapsed="false">
      <c r="A255" s="1" t="s">
        <v>258</v>
      </c>
      <c r="B255" s="1" t="n">
        <v>1372.725</v>
      </c>
      <c r="C255" s="1" t="n">
        <f aca="false">LOG(B255/B254)*100</f>
        <v>0.51957619977012</v>
      </c>
      <c r="D255" s="1" t="n">
        <f aca="false">STDEV(C252:C255)</f>
        <v>0.897097264658888</v>
      </c>
      <c r="E255" s="1" t="n">
        <f aca="false">STDEV(C243:C255)</f>
        <v>1.19122191333975</v>
      </c>
    </row>
    <row r="256" customFormat="false" ht="15" hidden="false" customHeight="true" outlineLevel="0" collapsed="false">
      <c r="A256" s="1" t="s">
        <v>259</v>
      </c>
      <c r="B256" s="1" t="n">
        <v>1424.01086956522</v>
      </c>
      <c r="C256" s="1" t="n">
        <f aca="false">LOG(B256/B255)*100</f>
        <v>1.5929761207045</v>
      </c>
      <c r="D256" s="1" t="n">
        <f aca="false">STDEV(C253:C256)</f>
        <v>1.10886042921597</v>
      </c>
      <c r="E256" s="1" t="n">
        <f aca="false">STDEV(C244:C256)</f>
        <v>1.11472749306929</v>
      </c>
    </row>
    <row r="257" customFormat="false" ht="15" hidden="false" customHeight="true" outlineLevel="0" collapsed="false">
      <c r="A257" s="1" t="s">
        <v>260</v>
      </c>
      <c r="B257" s="1" t="n">
        <v>1473.80555555556</v>
      </c>
      <c r="C257" s="1" t="n">
        <f aca="false">LOG(B257/B256)*100</f>
        <v>1.49268849655256</v>
      </c>
      <c r="D257" s="1" t="n">
        <f aca="false">STDEV(C254:C257)</f>
        <v>1.23931718758616</v>
      </c>
      <c r="E257" s="1" t="n">
        <f aca="false">STDEV(C245:C257)</f>
        <v>1.12598185652264</v>
      </c>
    </row>
    <row r="258" customFormat="false" ht="15" hidden="false" customHeight="true" outlineLevel="0" collapsed="false">
      <c r="A258" s="1" t="s">
        <v>261</v>
      </c>
      <c r="B258" s="1" t="n">
        <v>1510.4375</v>
      </c>
      <c r="C258" s="1" t="n">
        <f aca="false">LOG(B258/B257)*100</f>
        <v>1.06625701464899</v>
      </c>
      <c r="D258" s="1" t="n">
        <f aca="false">STDEV(C255:C258)</f>
        <v>0.488819093902864</v>
      </c>
      <c r="E258" s="1" t="n">
        <f aca="false">STDEV(C246:C258)</f>
        <v>1.11979819969067</v>
      </c>
    </row>
    <row r="259" customFormat="false" ht="15" hidden="false" customHeight="true" outlineLevel="0" collapsed="false">
      <c r="A259" s="1" t="s">
        <v>262</v>
      </c>
      <c r="B259" s="1" t="n">
        <v>1528.65909090909</v>
      </c>
      <c r="C259" s="1" t="n">
        <f aca="false">LOG(B259/B258)*100</f>
        <v>0.52078839719893</v>
      </c>
      <c r="D259" s="1" t="n">
        <f aca="false">STDEV(C256:C259)</f>
        <v>0.488283282120719</v>
      </c>
      <c r="E259" s="1" t="n">
        <f aca="false">STDEV(C247:C259)</f>
        <v>1.06539287358838</v>
      </c>
    </row>
    <row r="260" customFormat="false" ht="15" hidden="false" customHeight="true" outlineLevel="0" collapsed="false">
      <c r="A260" s="1" t="s">
        <v>263</v>
      </c>
      <c r="B260" s="1" t="n">
        <v>1572.80952380952</v>
      </c>
      <c r="C260" s="1" t="n">
        <f aca="false">LOG(B260/B259)*100</f>
        <v>1.23654868779747</v>
      </c>
      <c r="D260" s="1" t="n">
        <f aca="false">STDEV(C257:C260)</f>
        <v>0.411388834080713</v>
      </c>
      <c r="E260" s="1" t="n">
        <f aca="false">STDEV(C248:C260)</f>
        <v>1.07150299113342</v>
      </c>
    </row>
    <row r="261" customFormat="false" ht="15" hidden="false" customHeight="true" outlineLevel="0" collapsed="false">
      <c r="A261" s="1" t="s">
        <v>264</v>
      </c>
      <c r="B261" s="1" t="n">
        <v>1755.80681818182</v>
      </c>
      <c r="C261" s="1" t="n">
        <f aca="false">LOG(B261/B260)*100</f>
        <v>4.78006008799526</v>
      </c>
      <c r="D261" s="1" t="n">
        <f aca="false">STDEV(C258:C261)</f>
        <v>1.94355879996617</v>
      </c>
      <c r="E261" s="1" t="n">
        <f aca="false">STDEV(C249:C261)</f>
        <v>1.33880267318902</v>
      </c>
    </row>
    <row r="262" customFormat="false" ht="15" hidden="false" customHeight="true" outlineLevel="0" collapsed="false">
      <c r="A262" s="1" t="s">
        <v>265</v>
      </c>
      <c r="B262" s="1" t="n">
        <v>1771.85227272727</v>
      </c>
      <c r="C262" s="1" t="n">
        <f aca="false">LOG(B262/B261)*100</f>
        <v>0.39507788284215</v>
      </c>
      <c r="D262" s="1" t="n">
        <f aca="false">STDEV(C259:C262)</f>
        <v>2.06482699762534</v>
      </c>
      <c r="E262" s="1" t="n">
        <f aca="false">STDEV(C250:C262)</f>
        <v>1.35643692799088</v>
      </c>
    </row>
    <row r="263" customFormat="false" ht="15" hidden="false" customHeight="true" outlineLevel="0" collapsed="false">
      <c r="A263" s="1" t="s">
        <v>266</v>
      </c>
      <c r="B263" s="1" t="n">
        <v>1665.21428571429</v>
      </c>
      <c r="C263" s="1" t="n">
        <f aca="false">LOG(B263/B262)*100</f>
        <v>-2.69573819795523</v>
      </c>
      <c r="D263" s="1" t="n">
        <f aca="false">STDEV(C260:C263)</f>
        <v>3.07403371413728</v>
      </c>
      <c r="E263" s="1" t="n">
        <f aca="false">STDEV(C251:C263)</f>
        <v>1.72290494394449</v>
      </c>
    </row>
    <row r="264" customFormat="false" ht="15" hidden="false" customHeight="true" outlineLevel="0" collapsed="false">
      <c r="A264" s="1" t="s">
        <v>267</v>
      </c>
      <c r="B264" s="1" t="n">
        <v>1738.97727272727</v>
      </c>
      <c r="C264" s="1" t="n">
        <f aca="false">LOG(B264/B263)*100</f>
        <v>1.88237780990837</v>
      </c>
      <c r="D264" s="1" t="n">
        <f aca="false">STDEV(C261:C264)</f>
        <v>3.11229474338325</v>
      </c>
      <c r="E264" s="1" t="n">
        <f aca="false">STDEV(C252:C264)</f>
        <v>1.69392216134375</v>
      </c>
    </row>
    <row r="265" customFormat="false" ht="15" hidden="false" customHeight="true" outlineLevel="0" collapsed="false">
      <c r="A265" s="1" t="s">
        <v>268</v>
      </c>
      <c r="B265" s="1" t="n">
        <v>1652.30555555556</v>
      </c>
      <c r="C265" s="1" t="n">
        <f aca="false">LOG(B265/B264)*100</f>
        <v>-2.22035430067858</v>
      </c>
      <c r="D265" s="1" t="n">
        <f aca="false">STDEV(C262:C265)</f>
        <v>2.17223459114209</v>
      </c>
      <c r="E265" s="1" t="n">
        <f aca="false">STDEV(C253:C265)</f>
        <v>1.89758162312541</v>
      </c>
    </row>
    <row r="266" customFormat="false" ht="15" hidden="false" customHeight="true" outlineLevel="0" collapsed="false">
      <c r="A266" s="1" t="s">
        <v>269</v>
      </c>
      <c r="B266" s="1" t="n">
        <v>1656.11904761905</v>
      </c>
      <c r="C266" s="1" t="n">
        <f aca="false">LOG(B266/B265)*100</f>
        <v>0.100118908065688</v>
      </c>
      <c r="D266" s="1" t="n">
        <f aca="false">STDEV(C263:C266)</f>
        <v>2.12907269457608</v>
      </c>
      <c r="E266" s="1" t="n">
        <f aca="false">STDEV(C254:C266)</f>
        <v>1.9031265526505</v>
      </c>
    </row>
    <row r="267" customFormat="false" ht="15" hidden="false" customHeight="true" outlineLevel="0" collapsed="false">
      <c r="A267" s="1" t="s">
        <v>270</v>
      </c>
      <c r="B267" s="1" t="n">
        <v>1742.61904761905</v>
      </c>
      <c r="C267" s="1" t="n">
        <f aca="false">LOG(B267/B266)*100</f>
        <v>2.2110904585732</v>
      </c>
      <c r="D267" s="1" t="n">
        <f aca="false">STDEV(C264:C267)</f>
        <v>2.0329659987254</v>
      </c>
      <c r="E267" s="1" t="n">
        <f aca="false">STDEV(C255:C267)</f>
        <v>1.8821304079407</v>
      </c>
    </row>
    <row r="268" customFormat="false" ht="15" hidden="false" customHeight="true" outlineLevel="0" collapsed="false">
      <c r="A268" s="1" t="s">
        <v>271</v>
      </c>
      <c r="B268" s="1" t="n">
        <v>1673.77272727273</v>
      </c>
      <c r="C268" s="1" t="n">
        <f aca="false">LOG(B268/B267)*100</f>
        <v>-1.7505969645596</v>
      </c>
      <c r="D268" s="1" t="n">
        <f aca="false">STDEV(C265:C268)</f>
        <v>2.01699627929928</v>
      </c>
      <c r="E268" s="1" t="n">
        <f aca="false">STDEV(C256:C268)</f>
        <v>2.01468782844429</v>
      </c>
    </row>
    <row r="269" customFormat="false" ht="15" hidden="false" customHeight="true" outlineLevel="0" collapsed="false">
      <c r="A269" s="1" t="s">
        <v>272</v>
      </c>
      <c r="B269" s="1" t="n">
        <v>1650.06578947368</v>
      </c>
      <c r="C269" s="1" t="n">
        <f aca="false">LOG(B269/B268)*100</f>
        <v>-0.619522687909329</v>
      </c>
      <c r="D269" s="1" t="n">
        <f aca="false">STDEV(C266:C269)</f>
        <v>1.66798034555379</v>
      </c>
      <c r="E269" s="1" t="n">
        <f aca="false">STDEV(C257:C269)</f>
        <v>2.02296071126277</v>
      </c>
    </row>
    <row r="270" customFormat="false" ht="15" hidden="false" customHeight="true" outlineLevel="0" collapsed="false">
      <c r="A270" s="1" t="s">
        <v>273</v>
      </c>
      <c r="B270" s="1" t="n">
        <v>1585.50454545455</v>
      </c>
      <c r="C270" s="1" t="n">
        <f aca="false">LOG(B270/B269)*100</f>
        <v>-1.73337687996392</v>
      </c>
      <c r="D270" s="1" t="n">
        <f aca="false">STDEV(C267:C270)</f>
        <v>1.86606665922838</v>
      </c>
      <c r="E270" s="1" t="n">
        <f aca="false">STDEV(C258:C270)</f>
        <v>2.08686718970844</v>
      </c>
    </row>
    <row r="271" customFormat="false" ht="15" hidden="false" customHeight="true" outlineLevel="0" collapsed="false">
      <c r="A271" s="1" t="s">
        <v>274</v>
      </c>
      <c r="B271" s="1" t="n">
        <v>1596.69736842105</v>
      </c>
      <c r="C271" s="1" t="n">
        <f aca="false">LOG(B271/B270)*100</f>
        <v>0.305511807793663</v>
      </c>
      <c r="D271" s="1" t="n">
        <f aca="false">STDEV(C268:C271)</f>
        <v>0.989976257915031</v>
      </c>
      <c r="E271" s="1" t="n">
        <f aca="false">STDEV(C259:C271)</f>
        <v>2.0725069487846</v>
      </c>
    </row>
    <row r="272" customFormat="false" ht="15" hidden="false" customHeight="true" outlineLevel="0" collapsed="false">
      <c r="A272" s="1" t="s">
        <v>275</v>
      </c>
      <c r="B272" s="1" t="n">
        <v>1593.90909090909</v>
      </c>
      <c r="C272" s="1" t="n">
        <f aca="false">LOG(B272/B271)*100</f>
        <v>-0.0759061865610811</v>
      </c>
      <c r="D272" s="1" t="n">
        <f aca="false">STDEV(C269:C272)</f>
        <v>0.887019106657653</v>
      </c>
      <c r="E272" s="1" t="n">
        <f aca="false">STDEV(C260:C272)</f>
        <v>2.07107041584865</v>
      </c>
    </row>
    <row r="273" customFormat="false" ht="15" hidden="false" customHeight="true" outlineLevel="0" collapsed="false">
      <c r="A273" s="1" t="s">
        <v>276</v>
      </c>
      <c r="B273" s="1" t="n">
        <v>1626.03409090909</v>
      </c>
      <c r="C273" s="1" t="n">
        <f aca="false">LOG(B273/B272)*100</f>
        <v>0.866609898399784</v>
      </c>
      <c r="D273" s="1" t="n">
        <f aca="false">STDEV(C270:C273)</f>
        <v>1.11851295448952</v>
      </c>
      <c r="E273" s="1" t="n">
        <f aca="false">STDEV(C261:C273)</f>
        <v>2.05723802715014</v>
      </c>
    </row>
    <row r="274" customFormat="false" ht="15" hidden="false" customHeight="true" outlineLevel="0" collapsed="false">
      <c r="A274" s="1" t="s">
        <v>277</v>
      </c>
      <c r="B274" s="1" t="n">
        <v>1744.45</v>
      </c>
      <c r="C274" s="1" t="n">
        <f aca="false">LOG(B274/B273)*100</f>
        <v>3.05288794388737</v>
      </c>
      <c r="D274" s="1" t="n">
        <f aca="false">STDEV(C271:C274)</f>
        <v>1.39838857738101</v>
      </c>
      <c r="E274" s="1" t="n">
        <f aca="false">STDEV(C262:C274)</f>
        <v>1.76570278736816</v>
      </c>
    </row>
    <row r="275" customFormat="false" ht="15" hidden="false" customHeight="true" outlineLevel="0" collapsed="false">
      <c r="A275" s="1" t="s">
        <v>278</v>
      </c>
      <c r="B275" s="1" t="n">
        <v>1747.01086956522</v>
      </c>
      <c r="C275" s="1" t="n">
        <f aca="false">LOG(B275/B274)*100</f>
        <v>0.0637081016822083</v>
      </c>
      <c r="D275" s="1" t="n">
        <f aca="false">STDEV(C272:C275)</f>
        <v>1.44501558662353</v>
      </c>
      <c r="E275" s="1" t="n">
        <f aca="false">STDEV(C263:C275)</f>
        <v>1.76157208146549</v>
      </c>
    </row>
    <row r="276" customFormat="false" ht="15" hidden="false" customHeight="true" outlineLevel="0" collapsed="false">
      <c r="A276" s="1" t="s">
        <v>279</v>
      </c>
      <c r="B276" s="1" t="n">
        <v>1721.13636363636</v>
      </c>
      <c r="C276" s="1" t="n">
        <f aca="false">LOG(B276/B275)*100</f>
        <v>-0.648032674954959</v>
      </c>
      <c r="D276" s="1" t="n">
        <f aca="false">STDEV(C273:C276)</f>
        <v>1.6035686660674</v>
      </c>
      <c r="E276" s="1" t="n">
        <f aca="false">STDEV(C264:C276)</f>
        <v>1.58800725834916</v>
      </c>
    </row>
    <row r="277" customFormat="false" ht="15" hidden="false" customHeight="true" outlineLevel="0" collapsed="false">
      <c r="A277" s="1" t="s">
        <v>280</v>
      </c>
      <c r="B277" s="1" t="n">
        <v>1688.52941176471</v>
      </c>
      <c r="C277" s="1" t="n">
        <f aca="false">LOG(B277/B276)*100</f>
        <v>-0.830665051305928</v>
      </c>
      <c r="D277" s="1" t="n">
        <f aca="false">STDEV(C274:C277)</f>
        <v>1.80401926905125</v>
      </c>
      <c r="E277" s="1" t="n">
        <f aca="false">STDEV(C265:C277)</f>
        <v>1.51218431324949</v>
      </c>
    </row>
    <row r="278" customFormat="false" ht="15" hidden="false" customHeight="true" outlineLevel="0" collapsed="false">
      <c r="A278" s="1" t="s">
        <v>281</v>
      </c>
      <c r="B278" s="1" t="n">
        <v>1670.95454545455</v>
      </c>
      <c r="C278" s="1" t="n">
        <f aca="false">LOG(B278/B277)*100</f>
        <v>-0.454399377204801</v>
      </c>
      <c r="D278" s="1" t="n">
        <f aca="false">STDEV(C275:C278)</f>
        <v>0.385933708252753</v>
      </c>
      <c r="E278" s="1" t="n">
        <f aca="false">STDEV(C266:C278)</f>
        <v>1.37914186889855</v>
      </c>
    </row>
    <row r="279" customFormat="false" ht="15" hidden="false" customHeight="true" outlineLevel="0" collapsed="false">
      <c r="A279" s="1" t="s">
        <v>282</v>
      </c>
      <c r="B279" s="1" t="n">
        <v>1627.5875</v>
      </c>
      <c r="C279" s="1" t="n">
        <f aca="false">LOG(B279/B278)*100</f>
        <v>-1.14202902750371</v>
      </c>
      <c r="D279" s="1" t="n">
        <f aca="false">STDEV(C276:C279)</f>
        <v>0.292437850145312</v>
      </c>
      <c r="E279" s="1" t="n">
        <f aca="false">STDEV(C267:C279)</f>
        <v>1.41695254572252</v>
      </c>
    </row>
    <row r="280" customFormat="false" ht="15" hidden="false" customHeight="true" outlineLevel="0" collapsed="false">
      <c r="A280" s="1" t="s">
        <v>283</v>
      </c>
      <c r="B280" s="1" t="n">
        <v>1592.8625</v>
      </c>
      <c r="C280" s="1" t="n">
        <f aca="false">LOG(B280/B279)*100</f>
        <v>-0.936605777914804</v>
      </c>
      <c r="D280" s="1" t="n">
        <f aca="false">STDEV(C277:C280)</f>
        <v>0.288285605066464</v>
      </c>
      <c r="E280" s="1" t="n">
        <f aca="false">STDEV(C268:C280)</f>
        <v>1.25677260699546</v>
      </c>
    </row>
    <row r="281" customFormat="false" ht="15" hidden="false" customHeight="true" outlineLevel="0" collapsed="false">
      <c r="A281" s="1" t="s">
        <v>284</v>
      </c>
      <c r="B281" s="1" t="n">
        <v>1485.08333333333</v>
      </c>
      <c r="C281" s="1" t="n">
        <f aca="false">LOG(B281/B280)*100</f>
        <v>-3.04274638466444</v>
      </c>
      <c r="D281" s="1" t="n">
        <f aca="false">STDEV(C278:C281)</f>
        <v>1.13635569616811</v>
      </c>
      <c r="E281" s="1" t="n">
        <f aca="false">STDEV(C269:C281)</f>
        <v>1.42136201476647</v>
      </c>
    </row>
    <row r="282" customFormat="false" ht="15" hidden="false" customHeight="true" outlineLevel="0" collapsed="false">
      <c r="A282" s="1" t="s">
        <v>285</v>
      </c>
      <c r="B282" s="1" t="n">
        <v>1413.5</v>
      </c>
      <c r="C282" s="1" t="n">
        <f aca="false">LOG(B282/B281)*100</f>
        <v>-2.14550113269493</v>
      </c>
      <c r="D282" s="1" t="n">
        <f aca="false">STDEV(C279:C282)</f>
        <v>0.973147245006767</v>
      </c>
      <c r="E282" s="1" t="n">
        <f aca="false">STDEV(C270:C282)</f>
        <v>1.50177604588174</v>
      </c>
    </row>
    <row r="283" customFormat="false" ht="15" hidden="false" customHeight="true" outlineLevel="0" collapsed="false">
      <c r="A283" s="1" t="s">
        <v>286</v>
      </c>
      <c r="B283" s="1" t="n">
        <v>1342.3625</v>
      </c>
      <c r="C283" s="1" t="n">
        <f aca="false">LOG(B283/B282)*100</f>
        <v>-2.24260015448401</v>
      </c>
      <c r="D283" s="1" t="n">
        <f aca="false">STDEV(C280:C283)</f>
        <v>0.868791727905545</v>
      </c>
      <c r="E283" s="1" t="n">
        <f aca="false">STDEV(C271:C283)</f>
        <v>1.54224369975302</v>
      </c>
    </row>
    <row r="284" customFormat="false" ht="15" hidden="false" customHeight="true" outlineLevel="0" collapsed="false">
      <c r="A284" s="1" t="s">
        <v>287</v>
      </c>
      <c r="B284" s="1" t="n">
        <v>1286.72391304348</v>
      </c>
      <c r="C284" s="1" t="n">
        <f aca="false">LOG(B284/B283)*100</f>
        <v>-1.83844391271808</v>
      </c>
      <c r="D284" s="1" t="n">
        <f aca="false">STDEV(C281:C284)</f>
        <v>0.513377874143447</v>
      </c>
      <c r="E284" s="1" t="n">
        <f aca="false">STDEV(C272:C284)</f>
        <v>1.55698650483079</v>
      </c>
    </row>
    <row r="285" customFormat="false" ht="15" hidden="false" customHeight="true" outlineLevel="0" collapsed="false">
      <c r="A285" s="1" t="s">
        <v>288</v>
      </c>
      <c r="B285" s="1" t="n">
        <v>1347.09523809524</v>
      </c>
      <c r="C285" s="1" t="n">
        <f aca="false">LOG(B285/B284)*100</f>
        <v>1.99129287788921</v>
      </c>
      <c r="D285" s="1" t="n">
        <f aca="false">STDEV(C282:C285)</f>
        <v>2.0406872495364</v>
      </c>
      <c r="E285" s="1" t="n">
        <f aca="false">STDEV(C273:C285)</f>
        <v>1.72487642568714</v>
      </c>
    </row>
    <row r="286" customFormat="false" ht="15" hidden="false" customHeight="true" outlineLevel="0" collapsed="false">
      <c r="A286" s="1" t="s">
        <v>289</v>
      </c>
      <c r="B286" s="1" t="n">
        <v>1348.79761904762</v>
      </c>
      <c r="C286" s="1" t="n">
        <f aca="false">LOG(B286/B285)*100</f>
        <v>0.0548489714662507</v>
      </c>
      <c r="D286" s="1" t="n">
        <f aca="false">STDEV(C283:C286)</f>
        <v>1.94440911755181</v>
      </c>
      <c r="E286" s="1" t="n">
        <f aca="false">STDEV(C274:C286)</f>
        <v>1.68303312965789</v>
      </c>
    </row>
    <row r="287" customFormat="false" ht="15" hidden="false" customHeight="true" outlineLevel="0" collapsed="false">
      <c r="A287" s="1" t="s">
        <v>290</v>
      </c>
      <c r="B287" s="1" t="n">
        <v>1316.1847826087</v>
      </c>
      <c r="C287" s="1" t="n">
        <f aca="false">LOG(B287/B286)*100</f>
        <v>-1.06299253556183</v>
      </c>
      <c r="D287" s="1" t="n">
        <f aca="false">STDEV(C284:C287)</f>
        <v>1.66284922881743</v>
      </c>
      <c r="E287" s="1" t="n">
        <f aca="false">STDEV(C275:C287)</f>
        <v>1.27008275064375</v>
      </c>
    </row>
    <row r="288" customFormat="false" ht="15" hidden="false" customHeight="true" outlineLevel="0" collapsed="false">
      <c r="A288" s="1" t="s">
        <v>291</v>
      </c>
      <c r="B288" s="1" t="n">
        <v>1275.82142857143</v>
      </c>
      <c r="C288" s="1" t="n">
        <f aca="false">LOG(B288/B287)*100</f>
        <v>-1.35269730482829</v>
      </c>
      <c r="D288" s="1" t="n">
        <f aca="false">STDEV(C285:C288)</f>
        <v>1.51589989059674</v>
      </c>
      <c r="E288" s="1" t="n">
        <f aca="false">STDEV(C276:C288)</f>
        <v>1.23702604118595</v>
      </c>
    </row>
    <row r="289" customFormat="false" ht="15" hidden="false" customHeight="true" outlineLevel="0" collapsed="false">
      <c r="A289" s="1" t="s">
        <v>292</v>
      </c>
      <c r="B289" s="1" t="n">
        <v>1225.40277777778</v>
      </c>
      <c r="C289" s="1" t="n">
        <f aca="false">LOG(B289/B288)*100</f>
        <v>-1.75110317750679</v>
      </c>
      <c r="D289" s="1" t="n">
        <f aca="false">STDEV(C286:C289)</f>
        <v>0.775046862422102</v>
      </c>
      <c r="E289" s="1" t="n">
        <f aca="false">STDEV(C277:C289)</f>
        <v>1.24495899528988</v>
      </c>
    </row>
    <row r="290" customFormat="false" ht="15" hidden="false" customHeight="true" outlineLevel="0" collapsed="false">
      <c r="A290" s="1" t="s">
        <v>293</v>
      </c>
      <c r="B290" s="1" t="n">
        <v>1244.79545454546</v>
      </c>
      <c r="C290" s="1" t="n">
        <f aca="false">LOG(B290/B289)*100</f>
        <v>0.68191333248205</v>
      </c>
      <c r="D290" s="1" t="n">
        <f aca="false">STDEV(C287:C290)</f>
        <v>1.07315961145686</v>
      </c>
      <c r="E290" s="1" t="n">
        <f aca="false">STDEV(C278:C290)</f>
        <v>1.3426131635476</v>
      </c>
    </row>
    <row r="291" customFormat="false" ht="15" hidden="false" customHeight="true" outlineLevel="0" collapsed="false">
      <c r="A291" s="1" t="s">
        <v>294</v>
      </c>
      <c r="B291" s="1" t="n">
        <v>1300.975</v>
      </c>
      <c r="C291" s="1" t="n">
        <f aca="false">LOG(B291/B290)*100</f>
        <v>1.91709572910559</v>
      </c>
      <c r="D291" s="1" t="n">
        <f aca="false">STDEV(C288:C291)</f>
        <v>1.72942288733561</v>
      </c>
      <c r="E291" s="1" t="n">
        <f aca="false">STDEV(C279:C291)</f>
        <v>1.56786545824387</v>
      </c>
    </row>
    <row r="292" customFormat="false" ht="15" hidden="false" customHeight="true" outlineLevel="0" collapsed="false">
      <c r="A292" s="1" t="s">
        <v>295</v>
      </c>
      <c r="B292" s="1" t="n">
        <v>1336.08333333333</v>
      </c>
      <c r="C292" s="1" t="n">
        <f aca="false">LOG(B292/B291)*100</f>
        <v>1.15645954373984</v>
      </c>
      <c r="D292" s="1" t="n">
        <f aca="false">STDEV(C289:C292)</f>
        <v>1.5853130763451</v>
      </c>
      <c r="E292" s="1" t="n">
        <f aca="false">STDEV(C280:C292)</f>
        <v>1.65752910009924</v>
      </c>
    </row>
    <row r="293" customFormat="false" ht="15" hidden="false" customHeight="true" outlineLevel="0" collapsed="false">
      <c r="A293" s="1" t="s">
        <v>296</v>
      </c>
      <c r="B293" s="1" t="n">
        <v>1299</v>
      </c>
      <c r="C293" s="1" t="n">
        <f aca="false">LOG(B293/B292)*100</f>
        <v>-1.22243954483501</v>
      </c>
      <c r="D293" s="1" t="n">
        <f aca="false">STDEV(C290:C293)</f>
        <v>1.33765465016575</v>
      </c>
      <c r="E293" s="1" t="n">
        <f aca="false">STDEV(C281:C293)</f>
        <v>1.66339932228661</v>
      </c>
    </row>
    <row r="294" customFormat="false" ht="15" hidden="false" customHeight="true" outlineLevel="0" collapsed="false">
      <c r="A294" s="1" t="s">
        <v>297</v>
      </c>
      <c r="B294" s="1" t="n">
        <v>1287.525</v>
      </c>
      <c r="C294" s="1" t="n">
        <f aca="false">LOG(B294/B293)*100</f>
        <v>-0.385348053910978</v>
      </c>
      <c r="D294" s="1" t="n">
        <f aca="false">STDEV(C291:C294)</f>
        <v>1.4280975171748</v>
      </c>
      <c r="E294" s="1" t="n">
        <f aca="false">STDEV(C282:C294)</f>
        <v>1.50473472270782</v>
      </c>
    </row>
    <row r="295" customFormat="false" ht="15" hidden="false" customHeight="true" outlineLevel="0" collapsed="false">
      <c r="A295" s="1" t="s">
        <v>298</v>
      </c>
      <c r="B295" s="1" t="n">
        <v>1279.09523809524</v>
      </c>
      <c r="C295" s="1" t="n">
        <f aca="false">LOG(B295/B294)*100</f>
        <v>-0.285278841698332</v>
      </c>
      <c r="D295" s="1" t="n">
        <f aca="false">STDEV(C292:C295)</f>
        <v>0.987587435317156</v>
      </c>
      <c r="E295" s="1" t="n">
        <f aca="false">STDEV(C283:C295)</f>
        <v>1.41883075175689</v>
      </c>
    </row>
    <row r="296" customFormat="false" ht="15" hidden="false" customHeight="true" outlineLevel="0" collapsed="false">
      <c r="A296" s="1" t="s">
        <v>299</v>
      </c>
      <c r="B296" s="1" t="n">
        <v>1310.96739130435</v>
      </c>
      <c r="C296" s="1" t="n">
        <f aca="false">LOG(B296/B295)*100</f>
        <v>1.06890071683366</v>
      </c>
      <c r="D296" s="1" t="n">
        <f aca="false">STDEV(C293:C296)</f>
        <v>0.948151190194892</v>
      </c>
      <c r="E296" s="1" t="n">
        <f aca="false">STDEV(C284:C296)</f>
        <v>1.34280253680846</v>
      </c>
    </row>
    <row r="297" customFormat="false" ht="15" hidden="false" customHeight="true" outlineLevel="0" collapsed="false">
      <c r="A297" s="1" t="s">
        <v>300</v>
      </c>
      <c r="B297" s="1" t="n">
        <v>1295.9875</v>
      </c>
      <c r="C297" s="1" t="n">
        <f aca="false">LOG(B297/B296)*100</f>
        <v>-0.499107656798383</v>
      </c>
      <c r="D297" s="1" t="n">
        <f aca="false">STDEV(C294:C297)</f>
        <v>0.734618374871573</v>
      </c>
      <c r="E297" s="1" t="n">
        <f aca="false">STDEV(C285:C297)</f>
        <v>1.24433544352937</v>
      </c>
    </row>
    <row r="298" customFormat="false" ht="15" hidden="false" customHeight="true" outlineLevel="0" collapsed="false">
      <c r="A298" s="1" t="s">
        <v>301</v>
      </c>
      <c r="B298" s="1" t="n">
        <v>1238.81818181818</v>
      </c>
      <c r="C298" s="1" t="n">
        <f aca="false">LOG(B298/B297)*100</f>
        <v>-1.95932419565289</v>
      </c>
      <c r="D298" s="1" t="n">
        <f aca="false">STDEV(C295:C298)</f>
        <v>1.2397238135548</v>
      </c>
      <c r="E298" s="1" t="n">
        <f aca="false">STDEV(C286:C298)</f>
        <v>1.20564427815604</v>
      </c>
    </row>
    <row r="299" customFormat="false" ht="15" hidden="false" customHeight="true" outlineLevel="0" collapsed="false">
      <c r="A299" s="1" t="s">
        <v>302</v>
      </c>
      <c r="B299" s="1" t="n">
        <v>1222.48913043478</v>
      </c>
      <c r="C299" s="1" t="n">
        <f aca="false">LOG(B299/B298)*100</f>
        <v>-0.57625644073763</v>
      </c>
      <c r="D299" s="1" t="n">
        <f aca="false">STDEV(C296:C299)</f>
        <v>1.23782063668995</v>
      </c>
      <c r="E299" s="1" t="n">
        <f aca="false">STDEV(C287:C299)</f>
        <v>1.20374532020163</v>
      </c>
    </row>
    <row r="300" customFormat="false" ht="15" hidden="false" customHeight="true" outlineLevel="0" collapsed="false">
      <c r="A300" s="1" t="s">
        <v>303</v>
      </c>
      <c r="B300" s="1" t="n">
        <v>1176.3</v>
      </c>
      <c r="C300" s="1" t="n">
        <f aca="false">LOG(B300/B299)*100</f>
        <v>-1.67269093335131</v>
      </c>
      <c r="D300" s="1" t="n">
        <f aca="false">STDEV(C297:C300)</f>
        <v>0.747924106028883</v>
      </c>
      <c r="E300" s="1" t="n">
        <f aca="false">STDEV(C288:C300)</f>
        <v>1.24588786664132</v>
      </c>
    </row>
    <row r="301" customFormat="false" ht="15" hidden="false" customHeight="true" outlineLevel="0" collapsed="false">
      <c r="A301" s="1" t="s">
        <v>304</v>
      </c>
      <c r="B301" s="1" t="n">
        <v>1202.28947368421</v>
      </c>
      <c r="C301" s="1" t="n">
        <f aca="false">LOG(B301/B300)*100</f>
        <v>0.949094775846152</v>
      </c>
      <c r="D301" s="1" t="n">
        <f aca="false">STDEV(C298:C301)</f>
        <v>1.31835001646623</v>
      </c>
      <c r="E301" s="1" t="n">
        <f aca="false">STDEV(C289:C301)</f>
        <v>1.25891300390327</v>
      </c>
    </row>
    <row r="302" customFormat="false" ht="15" hidden="false" customHeight="true" outlineLevel="0" collapsed="false">
      <c r="A302" s="1" t="s">
        <v>305</v>
      </c>
      <c r="B302" s="1" t="n">
        <v>1251.84523809524</v>
      </c>
      <c r="C302" s="1" t="n">
        <f aca="false">LOG(B302/B301)*100</f>
        <v>1.75415968790676</v>
      </c>
      <c r="D302" s="1" t="n">
        <f aca="false">STDEV(C299:C302)</f>
        <v>1.53364759264671</v>
      </c>
      <c r="E302" s="1" t="n">
        <f aca="false">STDEV(C290:C302)</f>
        <v>1.27391131613545</v>
      </c>
    </row>
    <row r="303" customFormat="false" ht="15" hidden="false" customHeight="true" outlineLevel="0" collapsed="false">
      <c r="A303" s="1" t="s">
        <v>306</v>
      </c>
      <c r="B303" s="1" t="n">
        <v>1227.1875</v>
      </c>
      <c r="C303" s="1" t="n">
        <f aca="false">LOG(B303/B302)*100</f>
        <v>-0.863971870688604</v>
      </c>
      <c r="D303" s="1" t="n">
        <f aca="false">STDEV(C300:C303)</f>
        <v>1.58274669070375</v>
      </c>
      <c r="E303" s="1" t="n">
        <f aca="false">STDEV(C291:C303)</f>
        <v>1.28427423400292</v>
      </c>
    </row>
    <row r="304" customFormat="false" ht="15" hidden="false" customHeight="true" outlineLevel="0" collapsed="false">
      <c r="A304" s="1" t="s">
        <v>307</v>
      </c>
      <c r="B304" s="1" t="n">
        <v>1178.62954545455</v>
      </c>
      <c r="C304" s="1" t="n">
        <f aca="false">LOG(B304/B303)*100</f>
        <v>-1.75335993196287</v>
      </c>
      <c r="D304" s="1" t="n">
        <f aca="false">STDEV(C301:C304)</f>
        <v>1.61211350640982</v>
      </c>
      <c r="E304" s="1" t="n">
        <f aca="false">STDEV(C292:C304)</f>
        <v>1.2181145705283</v>
      </c>
    </row>
    <row r="305" customFormat="false" ht="15" hidden="false" customHeight="true" outlineLevel="0" collapsed="false">
      <c r="A305" s="1" t="s">
        <v>308</v>
      </c>
      <c r="B305" s="1" t="n">
        <v>1197.91</v>
      </c>
      <c r="C305" s="1" t="n">
        <f aca="false">LOG(B305/B304)*100</f>
        <v>0.704686673323073</v>
      </c>
      <c r="D305" s="1" t="n">
        <f aca="false">STDEV(C302:C305)</f>
        <v>1.56929905305996</v>
      </c>
      <c r="E305" s="1" t="n">
        <f aca="false">STDEV(C293:C305)</f>
        <v>1.17795762905158</v>
      </c>
    </row>
    <row r="306" customFormat="false" ht="15" hidden="false" customHeight="true" outlineLevel="0" collapsed="false">
      <c r="A306" s="1" t="s">
        <v>309</v>
      </c>
      <c r="B306" s="1" t="n">
        <v>1199.05263157895</v>
      </c>
      <c r="C306" s="1" t="n">
        <f aca="false">LOG(B306/B305)*100</f>
        <v>0.0414056206498569</v>
      </c>
      <c r="D306" s="1" t="n">
        <f aca="false">STDEV(C303:C306)</f>
        <v>1.07139035099642</v>
      </c>
      <c r="E306" s="1" t="n">
        <f aca="false">STDEV(C294:C306)</f>
        <v>1.15315918282281</v>
      </c>
    </row>
    <row r="307" customFormat="false" ht="15" hidden="false" customHeight="true" outlineLevel="0" collapsed="false">
      <c r="A307" s="1" t="s">
        <v>310</v>
      </c>
      <c r="B307" s="1" t="n">
        <v>1181.50454545455</v>
      </c>
      <c r="C307" s="1" t="n">
        <f aca="false">LOG(B307/B306)*100</f>
        <v>-0.640284979221103</v>
      </c>
      <c r="D307" s="1" t="n">
        <f aca="false">STDEV(C304:C307)</f>
        <v>1.04943258192063</v>
      </c>
      <c r="E307" s="1" t="n">
        <f aca="false">STDEV(C295:C307)</f>
        <v>1.15749047159968</v>
      </c>
    </row>
    <row r="308" customFormat="false" ht="15" hidden="false" customHeight="true" outlineLevel="0" collapsed="false">
      <c r="A308" s="1" t="s">
        <v>311</v>
      </c>
      <c r="B308" s="1" t="n">
        <v>1130.03695652174</v>
      </c>
      <c r="C308" s="1" t="n">
        <f aca="false">LOG(B308/B307)*100</f>
        <v>-1.93427499755035</v>
      </c>
      <c r="D308" s="1" t="n">
        <f aca="false">STDEV(C305:C308)</f>
        <v>1.12751331654892</v>
      </c>
      <c r="E308" s="1" t="n">
        <f aca="false">STDEV(C296:C308)</f>
        <v>1.24437043279482</v>
      </c>
    </row>
    <row r="309" customFormat="false" ht="15" hidden="false" customHeight="true" outlineLevel="0" collapsed="false">
      <c r="A309" s="1" t="s">
        <v>312</v>
      </c>
      <c r="B309" s="1" t="n">
        <v>1117.475</v>
      </c>
      <c r="C309" s="1" t="n">
        <f aca="false">LOG(B309/B308)*100</f>
        <v>-0.485483086782483</v>
      </c>
      <c r="D309" s="1" t="n">
        <f aca="false">STDEV(C306:C309)</f>
        <v>0.838798718567652</v>
      </c>
      <c r="E309" s="1" t="n">
        <f aca="false">STDEV(C297:C309)</f>
        <v>1.16196627724635</v>
      </c>
    </row>
    <row r="310" customFormat="false" ht="15" hidden="false" customHeight="true" outlineLevel="0" collapsed="false">
      <c r="A310" s="1" t="s">
        <v>313</v>
      </c>
      <c r="B310" s="1" t="n">
        <v>1124.53181818182</v>
      </c>
      <c r="C310" s="1" t="n">
        <f aca="false">LOG(B310/B309)*100</f>
        <v>0.273393220055512</v>
      </c>
      <c r="D310" s="1" t="n">
        <f aca="false">STDEV(C307:C310)</f>
        <v>0.916600233384452</v>
      </c>
      <c r="E310" s="1" t="n">
        <f aca="false">STDEV(C298:C310)</f>
        <v>1.18342602728866</v>
      </c>
    </row>
    <row r="311" customFormat="false" ht="15" hidden="false" customHeight="true" outlineLevel="0" collapsed="false">
      <c r="A311" s="1" t="s">
        <v>314</v>
      </c>
      <c r="B311" s="1" t="n">
        <v>1159.24545454545</v>
      </c>
      <c r="C311" s="1" t="n">
        <f aca="false">LOG(B311/B310)*100</f>
        <v>1.32036535469868</v>
      </c>
      <c r="D311" s="1" t="n">
        <f aca="false">STDEV(C308:C311)</f>
        <v>1.36926419643363</v>
      </c>
      <c r="E311" s="1" t="n">
        <f aca="false">STDEV(C299:C311)</f>
        <v>1.18997793374673</v>
      </c>
    </row>
    <row r="312" customFormat="false" ht="15" hidden="false" customHeight="true" outlineLevel="0" collapsed="false">
      <c r="A312" s="1" t="s">
        <v>315</v>
      </c>
      <c r="B312" s="1" t="n">
        <v>1085.70238095238</v>
      </c>
      <c r="C312" s="1" t="n">
        <f aca="false">LOG(B312/B311)*100</f>
        <v>-2.84646114430869</v>
      </c>
      <c r="D312" s="1" t="n">
        <f aca="false">STDEV(C309:C312)</f>
        <v>1.77019971117178</v>
      </c>
      <c r="E312" s="1" t="n">
        <f aca="false">STDEV(C300:C312)</f>
        <v>1.3952118142603</v>
      </c>
    </row>
    <row r="313" customFormat="false" ht="15" hidden="false" customHeight="true" outlineLevel="0" collapsed="false">
      <c r="A313" s="1" t="s">
        <v>316</v>
      </c>
      <c r="B313" s="1" t="n">
        <v>1068.25263157895</v>
      </c>
      <c r="C313" s="1" t="n">
        <f aca="false">LOG(B313/B312)*100</f>
        <v>-0.703681888948553</v>
      </c>
      <c r="D313" s="1" t="n">
        <f aca="false">STDEV(C310:C313)</f>
        <v>1.77564614832518</v>
      </c>
      <c r="E313" s="1" t="n">
        <f aca="false">STDEV(C301:C313)</f>
        <v>1.34637475009877</v>
      </c>
    </row>
    <row r="314" customFormat="false" ht="15" hidden="false" customHeight="true" outlineLevel="0" collapsed="false">
      <c r="A314" s="1" t="s">
        <v>317</v>
      </c>
      <c r="B314" s="1" t="n">
        <v>1097.375</v>
      </c>
      <c r="C314" s="1" t="n">
        <f aca="false">LOG(B314/B313)*100</f>
        <v>1.16810906830439</v>
      </c>
      <c r="D314" s="1" t="n">
        <f aca="false">STDEV(C311:C314)</f>
        <v>1.95137282041278</v>
      </c>
      <c r="E314" s="1" t="n">
        <f aca="false">STDEV(C302:C314)</f>
        <v>1.36484734926889</v>
      </c>
    </row>
    <row r="315" customFormat="false" ht="15" hidden="false" customHeight="true" outlineLevel="0" collapsed="false">
      <c r="A315" s="1" t="s">
        <v>318</v>
      </c>
      <c r="B315" s="1" t="n">
        <v>1199.91190476191</v>
      </c>
      <c r="C315" s="1" t="n">
        <f aca="false">LOG(B315/B314)*100</f>
        <v>3.87943001143617</v>
      </c>
      <c r="D315" s="1" t="n">
        <f aca="false">STDEV(C312:C315)</f>
        <v>2.85490318142746</v>
      </c>
      <c r="E315" s="1" t="n">
        <f aca="false">STDEV(C303:C315)</f>
        <v>1.71453835900094</v>
      </c>
    </row>
    <row r="316" customFormat="false" ht="15" hidden="false" customHeight="true" outlineLevel="0" collapsed="false">
      <c r="A316" s="1" t="s">
        <v>319</v>
      </c>
      <c r="B316" s="1" t="n">
        <v>1246.3380952381</v>
      </c>
      <c r="C316" s="1" t="n">
        <f aca="false">LOG(B316/B315)*100</f>
        <v>1.64865076064556</v>
      </c>
      <c r="D316" s="1" t="n">
        <f aca="false">STDEV(C313:C316)</f>
        <v>1.88415636766939</v>
      </c>
      <c r="E316" s="1" t="n">
        <f aca="false">STDEV(C304:C316)</f>
        <v>1.7671300166654</v>
      </c>
    </row>
    <row r="317" customFormat="false" ht="15" hidden="false" customHeight="true" outlineLevel="0" collapsed="false">
      <c r="A317" s="1" t="s">
        <v>320</v>
      </c>
      <c r="B317" s="1" t="n">
        <v>1242.26190476191</v>
      </c>
      <c r="C317" s="1" t="n">
        <f aca="false">LOG(B317/B316)*100</f>
        <v>-0.142270241431113</v>
      </c>
      <c r="D317" s="1" t="n">
        <f aca="false">STDEV(C314:C317)</f>
        <v>1.67474183422092</v>
      </c>
      <c r="E317" s="1" t="n">
        <f aca="false">STDEV(C305:C317)</f>
        <v>1.68455248542296</v>
      </c>
    </row>
    <row r="318" customFormat="false" ht="15" hidden="false" customHeight="true" outlineLevel="0" collapsed="false">
      <c r="A318" s="1" t="s">
        <v>321</v>
      </c>
      <c r="B318" s="1" t="n">
        <v>1259.3975</v>
      </c>
      <c r="C318" s="1" t="n">
        <f aca="false">LOG(B318/B317)*100</f>
        <v>0.594965951966815</v>
      </c>
      <c r="D318" s="1" t="n">
        <f aca="false">STDEV(C315:C318)</f>
        <v>1.75117389352095</v>
      </c>
      <c r="E318" s="1" t="n">
        <f aca="false">STDEV(C306:C318)</f>
        <v>1.68195390342125</v>
      </c>
    </row>
    <row r="319" customFormat="false" ht="15" hidden="false" customHeight="true" outlineLevel="0" collapsed="false">
      <c r="A319" s="1" t="s">
        <v>322</v>
      </c>
      <c r="B319" s="1" t="n">
        <v>1276.40454545455</v>
      </c>
      <c r="C319" s="1" t="n">
        <f aca="false">LOG(B319/B318)*100</f>
        <v>0.582551524816733</v>
      </c>
      <c r="D319" s="1" t="n">
        <f aca="false">STDEV(C316:C319)</f>
        <v>0.737295463616774</v>
      </c>
      <c r="E319" s="1" t="n">
        <f aca="false">STDEV(C307:C319)</f>
        <v>1.68527376223169</v>
      </c>
    </row>
    <row r="320" customFormat="false" ht="15" hidden="false" customHeight="true" outlineLevel="0" collapsed="false">
      <c r="A320" s="1" t="s">
        <v>323</v>
      </c>
      <c r="B320" s="1" t="n">
        <v>1337.32619047619</v>
      </c>
      <c r="C320" s="1" t="n">
        <f aca="false">LOG(B320/B319)*100</f>
        <v>2.02490078963693</v>
      </c>
      <c r="D320" s="1" t="n">
        <f aca="false">STDEV(C317:C320)</f>
        <v>0.907870825764626</v>
      </c>
      <c r="E320" s="1" t="n">
        <f aca="false">STDEV(C308:C320)</f>
        <v>1.73475256443734</v>
      </c>
    </row>
    <row r="321" customFormat="false" ht="15" hidden="false" customHeight="true" outlineLevel="0" collapsed="false">
      <c r="A321" s="1" t="s">
        <v>324</v>
      </c>
      <c r="B321" s="1" t="n">
        <v>1341.08863636364</v>
      </c>
      <c r="C321" s="1" t="n">
        <f aca="false">LOG(B321/B320)*100</f>
        <v>0.122013255436225</v>
      </c>
      <c r="D321" s="1" t="n">
        <f aca="false">STDEV(C318:C321)</f>
        <v>0.825731992348176</v>
      </c>
      <c r="E321" s="1" t="n">
        <f aca="false">STDEV(C309:C321)</f>
        <v>1.59056000975068</v>
      </c>
    </row>
    <row r="322" customFormat="false" ht="15" hidden="false" customHeight="true" outlineLevel="0" collapsed="false">
      <c r="A322" s="1" t="s">
        <v>325</v>
      </c>
      <c r="B322" s="1" t="n">
        <v>1326.02954545455</v>
      </c>
      <c r="C322" s="1" t="n">
        <f aca="false">LOG(B322/B321)*100</f>
        <v>-0.490428180394117</v>
      </c>
      <c r="D322" s="1" t="n">
        <f aca="false">STDEV(C319:C322)</f>
        <v>1.07108580634721</v>
      </c>
      <c r="E322" s="1" t="n">
        <f aca="false">STDEV(C310:C322)</f>
        <v>1.59083456561603</v>
      </c>
    </row>
    <row r="323" customFormat="false" ht="15" hidden="false" customHeight="true" outlineLevel="0" collapsed="false">
      <c r="A323" s="1" t="s">
        <v>326</v>
      </c>
      <c r="B323" s="1" t="n">
        <v>1266.56904761905</v>
      </c>
      <c r="C323" s="1" t="n">
        <f aca="false">LOG(B323/B322)*100</f>
        <v>-1.99243302103214</v>
      </c>
      <c r="D323" s="1" t="n">
        <f aca="false">STDEV(C320:C323)</f>
        <v>1.66304985521911</v>
      </c>
      <c r="E323" s="1" t="n">
        <f aca="false">STDEV(C311:C323)</f>
        <v>1.74307511311659</v>
      </c>
    </row>
    <row r="324" customFormat="false" ht="15" hidden="false" customHeight="true" outlineLevel="0" collapsed="false">
      <c r="A324" s="1" t="s">
        <v>327</v>
      </c>
      <c r="B324" s="1" t="n">
        <v>1235.97954545455</v>
      </c>
      <c r="C324" s="1" t="n">
        <f aca="false">LOG(B324/B323)*100</f>
        <v>-1.0617586983434</v>
      </c>
      <c r="D324" s="1" t="n">
        <f aca="false">STDEV(C321:C324)</f>
        <v>0.898882426678656</v>
      </c>
      <c r="E324" s="1" t="n">
        <f aca="false">STDEV(C312:C324)</f>
        <v>1.7630543892189</v>
      </c>
    </row>
    <row r="325" customFormat="false" ht="15" hidden="false" customHeight="true" outlineLevel="0" collapsed="false">
      <c r="A325" s="1" t="s">
        <v>328</v>
      </c>
      <c r="B325" s="1" t="n">
        <v>1151.40277777778</v>
      </c>
      <c r="C325" s="1" t="n">
        <f aca="false">LOG(B325/B324)*100</f>
        <v>-3.07840106976391</v>
      </c>
      <c r="D325" s="1" t="n">
        <f aca="false">STDEV(C322:C325)</f>
        <v>1.13256230623824</v>
      </c>
      <c r="E325" s="1" t="n">
        <f aca="false">STDEV(C313:C325)</f>
        <v>1.79744564702537</v>
      </c>
    </row>
    <row r="326" customFormat="false" ht="15" hidden="false" customHeight="true" outlineLevel="0" collapsed="false">
      <c r="A326" s="1" t="s">
        <v>329</v>
      </c>
      <c r="B326" s="1" t="n">
        <v>1192.61666666667</v>
      </c>
      <c r="C326" s="1" t="n">
        <f aca="false">LOG(B326/B325)*100</f>
        <v>1.52736013996124</v>
      </c>
      <c r="D326" s="1" t="n">
        <f aca="false">STDEV(C323:C326)</f>
        <v>1.96676223626624</v>
      </c>
      <c r="E326" s="1" t="n">
        <f aca="false">STDEV(C314:C326)</f>
        <v>1.81081662058857</v>
      </c>
    </row>
    <row r="327" customFormat="false" ht="15" hidden="false" customHeight="true" outlineLevel="0" collapsed="false">
      <c r="A327" s="1" t="s">
        <v>330</v>
      </c>
      <c r="B327" s="1" t="n">
        <v>1234.3575</v>
      </c>
      <c r="C327" s="1" t="n">
        <f aca="false">LOG(B327/B326)*100</f>
        <v>1.49400859141462</v>
      </c>
      <c r="D327" s="1" t="n">
        <f aca="false">STDEV(C324:C327)</f>
        <v>2.22529788284827</v>
      </c>
      <c r="E327" s="1" t="n">
        <f aca="false">STDEV(C315:C327)</f>
        <v>1.82501822949442</v>
      </c>
    </row>
    <row r="328" customFormat="false" ht="15" hidden="false" customHeight="true" outlineLevel="0" collapsed="false">
      <c r="A328" s="1" t="s">
        <v>331</v>
      </c>
      <c r="B328" s="1" t="n">
        <v>1231.09347826087</v>
      </c>
      <c r="C328" s="1" t="n">
        <f aca="false">LOG(B328/B327)*100</f>
        <v>-0.114992954295627</v>
      </c>
      <c r="D328" s="1" t="n">
        <f aca="false">STDEV(C325:C328)</f>
        <v>2.16389071034049</v>
      </c>
      <c r="E328" s="1" t="n">
        <f aca="false">STDEV(C316:C328)</f>
        <v>1.49564839341153</v>
      </c>
    </row>
    <row r="329" customFormat="false" ht="15" hidden="false" customHeight="true" outlineLevel="0" collapsed="false">
      <c r="A329" s="1" t="s">
        <v>332</v>
      </c>
      <c r="B329" s="1" t="n">
        <v>1265.62777777778</v>
      </c>
      <c r="C329" s="1" t="n">
        <f aca="false">LOG(B329/B328)*100</f>
        <v>1.20149674441387</v>
      </c>
      <c r="D329" s="1" t="n">
        <f aca="false">STDEV(C326:C329)</f>
        <v>0.77525357389831</v>
      </c>
      <c r="E329" s="1" t="n">
        <f aca="false">STDEV(C317:C329)</f>
        <v>1.46145990871709</v>
      </c>
    </row>
    <row r="330" customFormat="false" ht="15" hidden="false" customHeight="true" outlineLevel="0" collapsed="false">
      <c r="A330" s="1" t="s">
        <v>333</v>
      </c>
      <c r="B330" s="1" t="n">
        <v>1245.00476190476</v>
      </c>
      <c r="C330" s="1" t="n">
        <f aca="false">LOG(B330/B329)*100</f>
        <v>-0.713498554962019</v>
      </c>
      <c r="D330" s="1" t="n">
        <f aca="false">STDEV(C327:C330)</f>
        <v>1.05301543331151</v>
      </c>
      <c r="E330" s="1" t="n">
        <f aca="false">STDEV(C318:C330)</f>
        <v>1.47627735501635</v>
      </c>
    </row>
    <row r="331" customFormat="false" ht="15" hidden="false" customHeight="true" outlineLevel="0" collapsed="false">
      <c r="A331" s="1" t="s">
        <v>334</v>
      </c>
      <c r="B331" s="1" t="n">
        <v>1260.25681818182</v>
      </c>
      <c r="C331" s="1" t="n">
        <f aca="false">LOG(B331/B330)*100</f>
        <v>0.528804318786013</v>
      </c>
      <c r="D331" s="1" t="n">
        <f aca="false">STDEV(C328:C331)</f>
        <v>0.825069064579652</v>
      </c>
      <c r="E331" s="1" t="n">
        <f aca="false">STDEV(C319:C331)</f>
        <v>1.47419542219229</v>
      </c>
    </row>
    <row r="332" customFormat="false" ht="15" hidden="false" customHeight="true" outlineLevel="0" collapsed="false">
      <c r="A332" s="1" t="s">
        <v>335</v>
      </c>
      <c r="B332" s="1" t="n">
        <v>1236.22142857143</v>
      </c>
      <c r="C332" s="1" t="n">
        <f aca="false">LOG(B332/B331)*100</f>
        <v>-0.836278836630683</v>
      </c>
      <c r="D332" s="1" t="n">
        <f aca="false">STDEV(C329:C332)</f>
        <v>0.987171669624977</v>
      </c>
      <c r="E332" s="1" t="n">
        <f aca="false">STDEV(C320:C332)</f>
        <v>1.4801642809016</v>
      </c>
    </row>
    <row r="333" customFormat="false" ht="15" hidden="false" customHeight="true" outlineLevel="0" collapsed="false">
      <c r="A333" s="1" t="s">
        <v>336</v>
      </c>
      <c r="B333" s="1" t="n">
        <v>1282.31590909091</v>
      </c>
      <c r="C333" s="1" t="n">
        <f aca="false">LOG(B333/B332)*100</f>
        <v>1.5898763038795</v>
      </c>
      <c r="D333" s="1" t="n">
        <f aca="false">STDEV(C330:C333)</f>
        <v>1.14526131343495</v>
      </c>
      <c r="E333" s="1" t="n">
        <f aca="false">STDEV(C321:C333)</f>
        <v>1.4320901494944</v>
      </c>
    </row>
    <row r="334" customFormat="false" ht="15" hidden="false" customHeight="true" outlineLevel="0" collapsed="false">
      <c r="A334" s="1" t="s">
        <v>337</v>
      </c>
      <c r="B334" s="1" t="n">
        <v>1314.97857142857</v>
      </c>
      <c r="C334" s="1" t="n">
        <f aca="false">LOG(B334/B333)*100</f>
        <v>1.09236453375468</v>
      </c>
      <c r="D334" s="1" t="n">
        <f aca="false">STDEV(C331:C334)</f>
        <v>1.04723198130501</v>
      </c>
      <c r="E334" s="1" t="n">
        <f aca="false">STDEV(C322:C334)</f>
        <v>1.4716447761733</v>
      </c>
    </row>
    <row r="335" customFormat="false" ht="15" hidden="false" customHeight="true" outlineLevel="0" collapsed="false">
      <c r="A335" s="1" t="s">
        <v>338</v>
      </c>
      <c r="B335" s="1" t="n">
        <v>1279.51363636364</v>
      </c>
      <c r="C335" s="1" t="n">
        <f aca="false">LOG(B335/B334)*100</f>
        <v>-1.18737570026998</v>
      </c>
      <c r="D335" s="1" t="n">
        <f aca="false">STDEV(C332:C335)</f>
        <v>1.38103298338021</v>
      </c>
      <c r="E335" s="1" t="n">
        <f aca="false">STDEV(C323:C335)</f>
        <v>1.50081316114925</v>
      </c>
    </row>
    <row r="336" customFormat="false" ht="15" hidden="false" customHeight="true" outlineLevel="0" collapsed="false">
      <c r="A336" s="1" t="s">
        <v>339</v>
      </c>
      <c r="B336" s="1" t="n">
        <v>1282.28409090909</v>
      </c>
      <c r="C336" s="1" t="n">
        <f aca="false">LOG(B336/B335)*100</f>
        <v>0.0939335356341284</v>
      </c>
      <c r="D336" s="1" t="n">
        <f aca="false">STDEV(C333:C336)</f>
        <v>1.22591206768956</v>
      </c>
      <c r="E336" s="1" t="n">
        <f aca="false">STDEV(C324:C336)</f>
        <v>1.39137999545383</v>
      </c>
    </row>
    <row r="337" customFormat="false" ht="15" hidden="false" customHeight="true" outlineLevel="0" collapsed="false">
      <c r="A337" s="1" t="s">
        <v>340</v>
      </c>
      <c r="B337" s="1" t="n">
        <v>1261.25588235294</v>
      </c>
      <c r="C337" s="1" t="n">
        <f aca="false">LOG(B337/B336)*100</f>
        <v>-0.718104933028255</v>
      </c>
      <c r="D337" s="1" t="n">
        <f aca="false">STDEV(C334:C337)</f>
        <v>0.999718900840817</v>
      </c>
      <c r="E337" s="1" t="n">
        <f aca="false">STDEV(C325:C337)</f>
        <v>1.37180551332438</v>
      </c>
    </row>
    <row r="338" customFormat="false" ht="15" hidden="false" customHeight="true" outlineLevel="0" collapsed="false">
      <c r="A338" s="1" t="s">
        <v>341</v>
      </c>
      <c r="B338" s="1" t="n">
        <v>1331.66590909091</v>
      </c>
      <c r="C338" s="1" t="n">
        <f aca="false">LOG(B338/B337)*100</f>
        <v>2.35920771138164</v>
      </c>
      <c r="D338" s="1" t="n">
        <f aca="false">STDEV(C335:C338)</f>
        <v>1.57323840596778</v>
      </c>
      <c r="E338" s="1" t="n">
        <f aca="false">STDEV(C326:C338)</f>
        <v>1.14242394337019</v>
      </c>
    </row>
    <row r="339" customFormat="false" ht="15" hidden="false" customHeight="true" outlineLevel="0" collapsed="false">
      <c r="A339" s="1" t="s">
        <v>342</v>
      </c>
      <c r="B339" s="1" t="n">
        <v>1331.525</v>
      </c>
      <c r="C339" s="1" t="n">
        <f aca="false">LOG(B339/B338)*100</f>
        <v>-0.00459569311988546</v>
      </c>
      <c r="D339" s="1" t="n">
        <f aca="false">STDEV(C336:C339)</f>
        <v>1.334388020056</v>
      </c>
      <c r="E339" s="1" t="n">
        <f aca="false">STDEV(C327:C339)</f>
        <v>1.10442406865543</v>
      </c>
    </row>
    <row r="340" customFormat="false" ht="15" hidden="false" customHeight="true" outlineLevel="0" collapsed="false">
      <c r="A340" s="1" t="s">
        <v>343</v>
      </c>
      <c r="B340" s="1" t="n">
        <v>1324.65714285714</v>
      </c>
      <c r="C340" s="1" t="n">
        <f aca="false">LOG(B340/B339)*100</f>
        <v>-0.224583928814413</v>
      </c>
      <c r="D340" s="1" t="n">
        <f aca="false">STDEV(C337:C340)</f>
        <v>1.37035433761381</v>
      </c>
      <c r="E340" s="1" t="n">
        <f aca="false">STDEV(C328:C340)</f>
        <v>1.06039761167816</v>
      </c>
    </row>
    <row r="341" customFormat="false" ht="15" hidden="false" customHeight="true" outlineLevel="0" collapsed="false">
      <c r="A341" s="1" t="s">
        <v>344</v>
      </c>
      <c r="B341" s="1" t="n">
        <v>1334.74</v>
      </c>
      <c r="C341" s="1" t="n">
        <f aca="false">LOG(B341/B340)*100</f>
        <v>0.329319012238188</v>
      </c>
      <c r="D341" s="1" t="n">
        <f aca="false">STDEV(C338:C341)</f>
        <v>1.1849998673838</v>
      </c>
      <c r="E341" s="1" t="n">
        <f aca="false">STDEV(C329:C341)</f>
        <v>1.05529471972641</v>
      </c>
    </row>
    <row r="342" customFormat="false" ht="15" hidden="false" customHeight="true" outlineLevel="0" collapsed="false">
      <c r="A342" s="1" t="s">
        <v>345</v>
      </c>
      <c r="B342" s="1" t="n">
        <v>1303.02619047619</v>
      </c>
      <c r="C342" s="1" t="n">
        <f aca="false">LOG(B342/B341)*100</f>
        <v>-1.04435307635884</v>
      </c>
      <c r="D342" s="1" t="n">
        <f aca="false">STDEV(C339:C342)</f>
        <v>0.585006709410332</v>
      </c>
      <c r="E342" s="1" t="n">
        <f aca="false">STDEV(C330:C342)</f>
        <v>1.07377094146935</v>
      </c>
    </row>
    <row r="343" customFormat="false" ht="15" hidden="false" customHeight="true" outlineLevel="0" collapsed="false">
      <c r="A343" s="1" t="s">
        <v>346</v>
      </c>
      <c r="B343" s="1" t="n">
        <v>1281.56666666667</v>
      </c>
      <c r="C343" s="1" t="n">
        <f aca="false">LOG(B343/B342)*100</f>
        <v>-0.72119420419921</v>
      </c>
      <c r="D343" s="1" t="n">
        <f aca="false">STDEV(C340:C343)</f>
        <v>0.600030302744916</v>
      </c>
      <c r="E343" s="1" t="n">
        <f aca="false">STDEV(C331:C343)</f>
        <v>1.07425718939089</v>
      </c>
    </row>
    <row r="344" customFormat="false" ht="15" hidden="false" customHeight="true" outlineLevel="0" collapsed="false">
      <c r="A344" s="1" t="s">
        <v>347</v>
      </c>
      <c r="B344" s="1" t="n">
        <v>1238.525</v>
      </c>
      <c r="C344" s="1" t="n">
        <f aca="false">LOG(B344/B343)*100</f>
        <v>-1.48364255854735</v>
      </c>
      <c r="D344" s="1" t="n">
        <f aca="false">STDEV(C341:C344)</f>
        <v>0.772232536271214</v>
      </c>
      <c r="E344" s="1" t="n">
        <f aca="false">STDEV(C332:C344)</f>
        <v>1.14918635960964</v>
      </c>
    </row>
    <row r="345" customFormat="false" ht="15" hidden="false" customHeight="true" outlineLevel="0" collapsed="false">
      <c r="A345" s="1" t="s">
        <v>348</v>
      </c>
      <c r="B345" s="1" t="n">
        <v>1201.24545454545</v>
      </c>
      <c r="C345" s="1" t="n">
        <f aca="false">LOG(B345/B344)*100</f>
        <v>-1.32730200447495</v>
      </c>
      <c r="D345" s="1" t="n">
        <f aca="false">STDEV(C342:C345)</f>
        <v>0.335485162263789</v>
      </c>
      <c r="E345" s="1" t="n">
        <f aca="false">STDEV(C333:C345)</f>
        <v>1.18442344611489</v>
      </c>
    </row>
    <row r="346" customFormat="false" ht="15" hidden="false" customHeight="true" outlineLevel="0" collapsed="false">
      <c r="A346" s="1" t="s">
        <v>349</v>
      </c>
      <c r="B346" s="1" t="n">
        <v>1198.4725</v>
      </c>
      <c r="C346" s="1" t="n">
        <f aca="false">LOG(B346/B345)*100</f>
        <v>-0.100368411328031</v>
      </c>
      <c r="D346" s="1" t="n">
        <f aca="false">STDEV(C343:C346)</f>
        <v>0.630963192329976</v>
      </c>
      <c r="E346" s="1" t="n">
        <f aca="false">STDEV(C334:C346)</f>
        <v>1.07132263016219</v>
      </c>
    </row>
    <row r="347" customFormat="false" ht="15" hidden="false" customHeight="true" outlineLevel="0" collapsed="false">
      <c r="A347" s="1" t="s">
        <v>350</v>
      </c>
      <c r="B347" s="1" t="n">
        <v>1215.39347826087</v>
      </c>
      <c r="C347" s="1" t="n">
        <f aca="false">LOG(B347/B346)*100</f>
        <v>0.608882839844193</v>
      </c>
      <c r="D347" s="1" t="n">
        <f aca="false">STDEV(C344:C347)</f>
        <v>1.00306893285804</v>
      </c>
      <c r="E347" s="1" t="n">
        <f aca="false">STDEV(C335:C347)</f>
        <v>1.0293139439686</v>
      </c>
    </row>
    <row r="348" customFormat="false" ht="15" hidden="false" customHeight="true" outlineLevel="0" collapsed="false">
      <c r="A348" s="1" t="s">
        <v>351</v>
      </c>
      <c r="B348" s="1" t="n">
        <v>1220.94545454546</v>
      </c>
      <c r="C348" s="1" t="n">
        <f aca="false">LOG(B348/B347)*100</f>
        <v>0.197936075756044</v>
      </c>
      <c r="D348" s="1" t="n">
        <f aca="false">STDEV(C345:C348)</f>
        <v>0.833738025499649</v>
      </c>
      <c r="E348" s="1" t="n">
        <f aca="false">STDEV(C336:C348)</f>
        <v>0.996847811030482</v>
      </c>
    </row>
    <row r="349" customFormat="false" ht="15" hidden="false" customHeight="true" outlineLevel="0" collapsed="false">
      <c r="A349" s="1" t="s">
        <v>352</v>
      </c>
      <c r="B349" s="1" t="n">
        <v>1247.92352941177</v>
      </c>
      <c r="C349" s="1" t="n">
        <f aca="false">LOG(B349/B348)*100</f>
        <v>0.949171097641807</v>
      </c>
      <c r="D349" s="1" t="n">
        <f aca="false">STDEV(C346:C349)</f>
        <v>0.460306373028666</v>
      </c>
      <c r="E349" s="1" t="n">
        <f aca="false">STDEV(C337:C349)</f>
        <v>1.04195499278625</v>
      </c>
    </row>
    <row r="350" customFormat="false" ht="15" hidden="false" customHeight="true" outlineLevel="0" collapsed="false">
      <c r="A350" s="1" t="s">
        <v>353</v>
      </c>
      <c r="B350" s="1" t="n">
        <v>1291.74545454545</v>
      </c>
      <c r="C350" s="1" t="n">
        <f aca="false">LOG(B350/B349)*100</f>
        <v>1.4988968654985</v>
      </c>
      <c r="D350" s="1" t="n">
        <f aca="false">STDEV(C347:C350)</f>
        <v>0.550442985359029</v>
      </c>
      <c r="E350" s="1" t="n">
        <f aca="false">STDEV(C338:C350)</f>
        <v>1.10992940690377</v>
      </c>
    </row>
    <row r="351" customFormat="false" ht="15" hidden="false" customHeight="true" outlineLevel="0" collapsed="false">
      <c r="A351" s="1" t="s">
        <v>354</v>
      </c>
      <c r="B351" s="1" t="n">
        <v>1320.065</v>
      </c>
      <c r="C351" s="1" t="n">
        <f aca="false">LOG(B351/B350)*100</f>
        <v>0.941837438787294</v>
      </c>
      <c r="D351" s="1" t="n">
        <f aca="false">STDEV(C348:C351)</f>
        <v>0.53407315976375</v>
      </c>
      <c r="E351" s="1" t="n">
        <f aca="false">STDEV(C339:C351)</f>
        <v>0.920877707750243</v>
      </c>
    </row>
    <row r="352" customFormat="false" ht="15" hidden="false" customHeight="true" outlineLevel="0" collapsed="false">
      <c r="A352" s="1" t="s">
        <v>355</v>
      </c>
      <c r="B352" s="1" t="n">
        <v>1300.89761904762</v>
      </c>
      <c r="C352" s="1" t="n">
        <f aca="false">LOG(B352/B351)*100</f>
        <v>-0.635219756511951</v>
      </c>
      <c r="D352" s="1" t="n">
        <f aca="false">STDEV(C349:C352)</f>
        <v>0.92034526762144</v>
      </c>
      <c r="E352" s="1" t="n">
        <f aca="false">STDEV(C340:C352)</f>
        <v>0.935958236558201</v>
      </c>
    </row>
    <row r="353" customFormat="false" ht="15" hidden="false" customHeight="true" outlineLevel="0" collapsed="false">
      <c r="A353" s="1" t="s">
        <v>356</v>
      </c>
      <c r="B353" s="1" t="n">
        <v>1286.445</v>
      </c>
      <c r="C353" s="1" t="n">
        <f aca="false">LOG(B353/B352)*100</f>
        <v>-0.485189548431154</v>
      </c>
      <c r="D353" s="1" t="n">
        <f aca="false">STDEV(C350:C353)</f>
        <v>1.05464813808528</v>
      </c>
      <c r="E353" s="1" t="n">
        <f aca="false">STDEV(C341:C353)</f>
        <v>0.942135940500228</v>
      </c>
    </row>
    <row r="354" customFormat="false" ht="15" hidden="false" customHeight="true" outlineLevel="0" collapsed="false">
      <c r="A354" s="1" t="s">
        <v>357</v>
      </c>
      <c r="B354" s="1" t="n">
        <v>1283.94761904762</v>
      </c>
      <c r="C354" s="1" t="n">
        <f aca="false">LOG(B354/B353)*100</f>
        <v>-0.0843917073273416</v>
      </c>
      <c r="D354" s="1" t="n">
        <f aca="false">STDEV(C351:C354)</f>
        <v>0.710822363672811</v>
      </c>
      <c r="E354" s="1" t="n">
        <f aca="false">STDEV(C342:C354)</f>
        <v>0.933453974368238</v>
      </c>
    </row>
    <row r="355" customFormat="false" ht="15" hidden="false" customHeight="true" outlineLevel="0" collapsed="false">
      <c r="A355" s="1" t="s">
        <v>358</v>
      </c>
      <c r="B355" s="1" t="n">
        <v>1359.0425</v>
      </c>
      <c r="C355" s="1" t="n">
        <f aca="false">LOG(B355/B354)*100</f>
        <v>2.46857319394797</v>
      </c>
      <c r="D355" s="1" t="n">
        <f aca="false">STDEV(C352:C355)</f>
        <v>1.45380060293913</v>
      </c>
      <c r="E355" s="1" t="n">
        <f aca="false">STDEV(C343:C355)</f>
        <v>1.133598980828</v>
      </c>
    </row>
    <row r="356" customFormat="false" ht="15" hidden="false" customHeight="true" outlineLevel="0" collapsed="false">
      <c r="A356" s="1" t="s">
        <v>359</v>
      </c>
      <c r="B356" s="1" t="n">
        <v>1412.97826086957</v>
      </c>
      <c r="C356" s="1" t="n">
        <f aca="false">LOG(B356/B355)*100</f>
        <v>1.69024419287791</v>
      </c>
      <c r="D356" s="1" t="n">
        <f aca="false">STDEV(C353:C356)</f>
        <v>1.41098734963246</v>
      </c>
      <c r="E356" s="1" t="n">
        <f aca="false">STDEV(C344:C356)</f>
        <v>1.17728101411556</v>
      </c>
    </row>
    <row r="357" customFormat="false" ht="15" hidden="false" customHeight="true" outlineLevel="0" collapsed="false">
      <c r="A357" s="1" t="s">
        <v>360</v>
      </c>
      <c r="B357" s="1" t="n">
        <v>1498.79761904762</v>
      </c>
      <c r="C357" s="1" t="n">
        <f aca="false">LOG(B357/B356)*100</f>
        <v>2.56075143749622</v>
      </c>
      <c r="D357" s="1" t="n">
        <f aca="false">STDEV(C354:C357)</f>
        <v>1.22596289868656</v>
      </c>
      <c r="E357" s="1" t="n">
        <f aca="false">STDEV(C345:C357)</f>
        <v>1.19345668369977</v>
      </c>
    </row>
    <row r="358" customFormat="false" ht="15" hidden="false" customHeight="true" outlineLevel="0" collapsed="false">
      <c r="A358" s="1" t="s">
        <v>361</v>
      </c>
      <c r="B358" s="1" t="n">
        <v>1511.31428571429</v>
      </c>
      <c r="C358" s="1" t="n">
        <f aca="false">LOG(B358/B357)*100</f>
        <v>0.361179302811356</v>
      </c>
      <c r="D358" s="1" t="n">
        <f aca="false">STDEV(C355:C358)</f>
        <v>1.01725594106207</v>
      </c>
      <c r="E358" s="1" t="n">
        <f aca="false">STDEV(C346:C358)</f>
        <v>1.04441461510785</v>
      </c>
    </row>
    <row r="359" customFormat="false" ht="15" hidden="false" customHeight="true" outlineLevel="0" collapsed="false">
      <c r="A359" s="1" t="s">
        <v>362</v>
      </c>
      <c r="B359" s="1" t="n">
        <v>1494.8</v>
      </c>
      <c r="C359" s="1" t="n">
        <f aca="false">LOG(B359/B358)*100</f>
        <v>-0.477169836347912</v>
      </c>
      <c r="D359" s="1" t="n">
        <f aca="false">STDEV(C356:C359)</f>
        <v>1.35375380700946</v>
      </c>
      <c r="E359" s="1" t="n">
        <f aca="false">STDEV(C347:C359)</f>
        <v>1.07526769261771</v>
      </c>
    </row>
    <row r="360" customFormat="false" ht="15" hidden="false" customHeight="true" outlineLevel="0" collapsed="false">
      <c r="A360" s="1" t="s">
        <v>363</v>
      </c>
      <c r="B360" s="1" t="n">
        <v>1470.01666666667</v>
      </c>
      <c r="C360" s="1" t="n">
        <f aca="false">LOG(B360/B359)*100</f>
        <v>-0.726083048361861</v>
      </c>
      <c r="D360" s="1" t="n">
        <f aca="false">STDEV(C357:C360)</f>
        <v>1.49491612545391</v>
      </c>
      <c r="E360" s="1" t="n">
        <f aca="false">STDEV(C348:C360)</f>
        <v>1.149800578105</v>
      </c>
    </row>
    <row r="361" customFormat="false" ht="15" hidden="false" customHeight="true" outlineLevel="0" collapsed="false">
      <c r="A361" s="1" t="s">
        <v>364</v>
      </c>
      <c r="B361" s="1" t="n">
        <v>1476.04444444444</v>
      </c>
      <c r="C361" s="1" t="n">
        <f aca="false">LOG(B361/B360)*100</f>
        <v>0.177717581632901</v>
      </c>
      <c r="D361" s="1" t="n">
        <f aca="false">STDEV(C358:C361)</f>
        <v>0.518516939507056</v>
      </c>
      <c r="E361" s="1" t="n">
        <f aca="false">STDEV(C349:C361)</f>
        <v>1.1504551469974</v>
      </c>
    </row>
    <row r="362" customFormat="false" ht="15" hidden="false" customHeight="true" outlineLevel="0" collapsed="false">
      <c r="A362" s="1" t="s">
        <v>365</v>
      </c>
      <c r="B362" s="1" t="n">
        <v>1560.67272727273</v>
      </c>
      <c r="C362" s="1" t="n">
        <f aca="false">LOG(B362/B361)*100</f>
        <v>2.42124066423754</v>
      </c>
      <c r="D362" s="1" t="n">
        <f aca="false">STDEV(C359:C362)</f>
        <v>1.43316423518317</v>
      </c>
      <c r="E362" s="1" t="n">
        <f aca="false">STDEV(C350:C362)</f>
        <v>1.25203669314216</v>
      </c>
    </row>
    <row r="363" customFormat="false" ht="15" hidden="false" customHeight="true" outlineLevel="0" collapsed="false">
      <c r="A363" s="1" t="s">
        <v>366</v>
      </c>
      <c r="B363" s="1" t="n">
        <v>1597.1025</v>
      </c>
      <c r="C363" s="1" t="n">
        <f aca="false">LOG(B363/B362)*100</f>
        <v>1.0020948345785</v>
      </c>
      <c r="D363" s="1" t="n">
        <f aca="false">STDEV(C360:C363)</f>
        <v>1.33653998222232</v>
      </c>
      <c r="E363" s="1" t="n">
        <f aca="false">STDEV(C351:C363)</f>
        <v>1.23463879619343</v>
      </c>
    </row>
    <row r="364" customFormat="false" ht="15" hidden="false" customHeight="true" outlineLevel="0" collapsed="false">
      <c r="A364" s="1" t="s">
        <v>367</v>
      </c>
      <c r="B364" s="1" t="n">
        <v>1591.92727272727</v>
      </c>
      <c r="C364" s="1" t="n">
        <f aca="false">LOG(B364/B363)*100</f>
        <v>-0.140956640756292</v>
      </c>
      <c r="D364" s="1" t="n">
        <f aca="false">STDEV(C361:C364)</f>
        <v>1.14382193865532</v>
      </c>
      <c r="E364" s="1" t="n">
        <f aca="false">STDEV(C352:C364)</f>
        <v>1.25398647058264</v>
      </c>
    </row>
    <row r="365" customFormat="false" ht="15" hidden="false" customHeight="true" outlineLevel="0" collapsed="false">
      <c r="A365" s="1" t="s">
        <v>368</v>
      </c>
      <c r="B365" s="1" t="n">
        <v>1682.93</v>
      </c>
      <c r="C365" s="1" t="n">
        <f aca="false">LOG(B365/B364)*100</f>
        <v>2.41428291618215</v>
      </c>
      <c r="D365" s="1" t="n">
        <f aca="false">STDEV(C362:C365)</f>
        <v>1.23858014719294</v>
      </c>
      <c r="E365" s="1" t="n">
        <f aca="false">STDEV(C353:C365)</f>
        <v>1.28336035902937</v>
      </c>
    </row>
    <row r="366" customFormat="false" ht="15" hidden="false" customHeight="true" outlineLevel="0" collapsed="false">
      <c r="A366" s="1" t="s">
        <v>369</v>
      </c>
      <c r="B366" s="1" t="n">
        <v>1716.38157894737</v>
      </c>
      <c r="C366" s="1" t="n">
        <f aca="false">LOG(B366/B365)*100</f>
        <v>0.854779257059491</v>
      </c>
      <c r="D366" s="1" t="n">
        <f aca="false">STDEV(C363:C366)</f>
        <v>1.05179745225444</v>
      </c>
      <c r="E366" s="1" t="n">
        <f aca="false">STDEV(C354:C366)</f>
        <v>1.21847133231136</v>
      </c>
    </row>
    <row r="367" customFormat="false" ht="15" hidden="false" customHeight="true" outlineLevel="0" collapsed="false">
      <c r="A367" s="1" t="s">
        <v>370</v>
      </c>
      <c r="B367" s="1" t="n">
        <v>1732.21818181818</v>
      </c>
      <c r="C367" s="1" t="n">
        <f aca="false">LOG(B367/B366)*100</f>
        <v>0.398874793420792</v>
      </c>
      <c r="D367" s="1" t="n">
        <f aca="false">STDEV(C364:C367)</f>
        <v>1.09976996052746</v>
      </c>
      <c r="E367" s="1" t="n">
        <f aca="false">STDEV(C355:C367)</f>
        <v>1.19090542793581</v>
      </c>
    </row>
    <row r="368" customFormat="false" ht="15" hidden="false" customHeight="true" outlineLevel="0" collapsed="false">
      <c r="A368" s="1" t="s">
        <v>371</v>
      </c>
      <c r="B368" s="1" t="n">
        <v>1843.31304347826</v>
      </c>
      <c r="C368" s="1" t="n">
        <f aca="false">LOG(B368/B367)*100</f>
        <v>2.6996503454668</v>
      </c>
      <c r="D368" s="1" t="n">
        <f aca="false">STDEV(C365:C368)</f>
        <v>1.13579349969912</v>
      </c>
      <c r="E368" s="1" t="n">
        <f aca="false">STDEV(C356:C368)</f>
        <v>1.21610268722124</v>
      </c>
    </row>
    <row r="369" customFormat="false" ht="15" hidden="false" customHeight="true" outlineLevel="0" collapsed="false">
      <c r="A369" s="1" t="s">
        <v>372</v>
      </c>
      <c r="B369" s="1" t="n">
        <v>1968.03095238095</v>
      </c>
      <c r="C369" s="1" t="n">
        <f aca="false">LOG(B369/B368)*100</f>
        <v>2.84328283417298</v>
      </c>
      <c r="D369" s="1" t="n">
        <f aca="false">STDEV(C366:C369)</f>
        <v>1.25349091844199</v>
      </c>
      <c r="E369" s="1" t="n">
        <f aca="false">STDEV(C357:C369)</f>
        <v>1.30779339571914</v>
      </c>
    </row>
    <row r="370" customFormat="false" ht="15" hidden="false" customHeight="true" outlineLevel="0" collapsed="false">
      <c r="A370" s="1" t="s">
        <v>373</v>
      </c>
      <c r="B370" s="1" t="n">
        <v>1922.21363636364</v>
      </c>
      <c r="C370" s="1" t="n">
        <f aca="false">LOG(B370/B369)*100</f>
        <v>-1.02302707022624</v>
      </c>
      <c r="D370" s="1" t="n">
        <f aca="false">STDEV(C367:C370)</f>
        <v>1.87345076953394</v>
      </c>
      <c r="E370" s="1" t="n">
        <f aca="false">STDEV(C358:C370)</f>
        <v>1.35273791418076</v>
      </c>
    </row>
    <row r="371" customFormat="false" ht="15" hidden="false" customHeight="true" outlineLevel="0" collapsed="false">
      <c r="A371" s="1" t="s">
        <v>374</v>
      </c>
      <c r="B371" s="1" t="n">
        <v>1900.275</v>
      </c>
      <c r="C371" s="1" t="n">
        <f aca="false">LOG(B371/B370)*100</f>
        <v>-0.498519903550938</v>
      </c>
      <c r="D371" s="1" t="n">
        <f aca="false">STDEV(C368:C371)</f>
        <v>2.05138887824472</v>
      </c>
      <c r="E371" s="1" t="n">
        <f aca="false">STDEV(C359:C371)</f>
        <v>1.3978917636662</v>
      </c>
    </row>
    <row r="372" customFormat="false" ht="15" hidden="false" customHeight="true" outlineLevel="0" collapsed="false">
      <c r="A372" s="1" t="s">
        <v>375</v>
      </c>
      <c r="B372" s="1" t="n">
        <v>1863.49285714286</v>
      </c>
      <c r="C372" s="1" t="n">
        <f aca="false">LOG(B372/B371)*100</f>
        <v>-0.848872239460472</v>
      </c>
      <c r="D372" s="1" t="n">
        <f aca="false">STDEV(C369:C372)</f>
        <v>1.82975843885474</v>
      </c>
      <c r="E372" s="1" t="n">
        <f aca="false">STDEV(C360:C372)</f>
        <v>1.42887639770971</v>
      </c>
    </row>
    <row r="373" customFormat="false" ht="15" hidden="false" customHeight="true" outlineLevel="0" collapsed="false">
      <c r="A373" s="1" t="s">
        <v>376</v>
      </c>
      <c r="B373" s="1" t="n">
        <v>1855.9552631579</v>
      </c>
      <c r="C373" s="1" t="n">
        <f aca="false">LOG(B373/B372)*100</f>
        <v>-0.176022885650258</v>
      </c>
      <c r="D373" s="1" t="n">
        <f aca="false">STDEV(C370:C373)</f>
        <v>0.376644295104473</v>
      </c>
      <c r="E373" s="1" t="n">
        <f aca="false">STDEV(C361:C373)</f>
        <v>1.38956020200515</v>
      </c>
    </row>
    <row r="374" customFormat="false" ht="15" hidden="false" customHeight="true" outlineLevel="0" collapsed="false">
      <c r="A374" s="1" t="s">
        <v>377</v>
      </c>
      <c r="B374" s="1" t="n">
        <v>1866.985</v>
      </c>
      <c r="C374" s="1" t="n">
        <f aca="false">LOG(B374/B373)*100</f>
        <v>0.257332512671721</v>
      </c>
      <c r="D374" s="1" t="n">
        <f aca="false">STDEV(C371:C374)</f>
        <v>0.471016283225184</v>
      </c>
      <c r="E374" s="1" t="n">
        <f aca="false">STDEV(C362:C374)</f>
        <v>1.38686306167514</v>
      </c>
    </row>
    <row r="375" customFormat="false" ht="15" hidden="false" customHeight="true" outlineLevel="0" collapsed="false">
      <c r="A375" s="1" t="s">
        <v>378</v>
      </c>
      <c r="B375" s="1" t="n">
        <v>1808.175</v>
      </c>
      <c r="C375" s="1" t="n">
        <f aca="false">LOG(B375/B374)*100</f>
        <v>-1.39003683398137</v>
      </c>
      <c r="D375" s="1" t="n">
        <f aca="false">STDEV(C372:C375)</f>
        <v>0.727136327040028</v>
      </c>
      <c r="E375" s="1" t="n">
        <f aca="false">STDEV(C363:C375)</f>
        <v>1.41469357472685</v>
      </c>
    </row>
    <row r="376" customFormat="false" ht="15" hidden="false" customHeight="true" outlineLevel="0" collapsed="false">
      <c r="A376" s="1" t="s">
        <v>379</v>
      </c>
      <c r="B376" s="1" t="n">
        <v>1718.22826086957</v>
      </c>
      <c r="C376" s="1" t="n">
        <f aca="false">LOG(B376/B375)*100</f>
        <v>-2.21596024567944</v>
      </c>
      <c r="D376" s="1" t="n">
        <f aca="false">STDEV(C373:C376)</f>
        <v>1.13049117332672</v>
      </c>
      <c r="E376" s="1" t="n">
        <f aca="false">STDEV(C364:C376)</f>
        <v>1.58878851173754</v>
      </c>
    </row>
    <row r="377" customFormat="false" ht="15" hidden="false" customHeight="true" outlineLevel="0" collapsed="false">
      <c r="A377" s="1" t="s">
        <v>380</v>
      </c>
      <c r="B377" s="1" t="n">
        <v>1761.6775</v>
      </c>
      <c r="C377" s="1" t="n">
        <f aca="false">LOG(B377/B376)*100</f>
        <v>1.08455497054936</v>
      </c>
      <c r="D377" s="1" t="n">
        <f aca="false">STDEV(C374:C377)</f>
        <v>1.50594529009803</v>
      </c>
      <c r="E377" s="1" t="n">
        <f aca="false">STDEV(C365:C377)</f>
        <v>1.60034553377962</v>
      </c>
    </row>
    <row r="378" customFormat="false" ht="15" hidden="false" customHeight="true" outlineLevel="0" collapsed="false">
      <c r="A378" s="1" t="s">
        <v>381</v>
      </c>
      <c r="B378" s="1" t="n">
        <v>1855.56</v>
      </c>
      <c r="C378" s="1" t="n">
        <f aca="false">LOG(B378/B377)*100</f>
        <v>2.25485943326629</v>
      </c>
      <c r="D378" s="1" t="n">
        <f aca="false">STDEV(C375:C378)</f>
        <v>2.0885055404463</v>
      </c>
      <c r="E378" s="1" t="n">
        <f aca="false">STDEV(C366:C378)</f>
        <v>1.58363687899805</v>
      </c>
    </row>
    <row r="379" customFormat="false" ht="15" hidden="false" customHeight="true" outlineLevel="0" collapsed="false">
      <c r="A379" s="1" t="s">
        <v>382</v>
      </c>
      <c r="B379" s="1" t="n">
        <v>1834.56590909091</v>
      </c>
      <c r="C379" s="1" t="n">
        <f aca="false">LOG(B379/B378)*100</f>
        <v>-0.49416829848181</v>
      </c>
      <c r="D379" s="1" t="n">
        <f aca="false">STDEV(C376:C379)</f>
        <v>1.94219227440704</v>
      </c>
      <c r="E379" s="1" t="n">
        <f aca="false">STDEV(C367:C379)</f>
        <v>1.59029778906847</v>
      </c>
    </row>
    <row r="380" customFormat="false" ht="15" hidden="false" customHeight="true" outlineLevel="0" collapsed="false">
      <c r="A380" s="1" t="s">
        <v>383</v>
      </c>
      <c r="B380" s="1" t="n">
        <v>1807.09318181818</v>
      </c>
      <c r="C380" s="1" t="n">
        <f aca="false">LOG(B380/B379)*100</f>
        <v>-0.655277164154188</v>
      </c>
      <c r="D380" s="1" t="n">
        <f aca="false">STDEV(C377:C380)</f>
        <v>1.3826604820884</v>
      </c>
      <c r="E380" s="1" t="n">
        <f aca="false">STDEV(C368:C380)</f>
        <v>1.60733682533253</v>
      </c>
    </row>
    <row r="381" customFormat="false" ht="15" hidden="false" customHeight="true" outlineLevel="0" collapsed="false">
      <c r="A381" s="1" t="s">
        <v>384</v>
      </c>
      <c r="B381" s="1" t="n">
        <v>1783.96904761905</v>
      </c>
      <c r="C381" s="1" t="n">
        <f aca="false">LOG(B381/B380)*100</f>
        <v>-0.559323233684275</v>
      </c>
      <c r="D381" s="1" t="n">
        <f aca="false">STDEV(C378:C381)</f>
        <v>1.41377393753632</v>
      </c>
      <c r="E381" s="1" t="n">
        <f aca="false">STDEV(C369:C381)</f>
        <v>1.41808416670007</v>
      </c>
    </row>
    <row r="382" customFormat="false" ht="15" hidden="false" customHeight="true" outlineLevel="0" collapsed="false">
      <c r="A382" s="1" t="s">
        <v>385</v>
      </c>
      <c r="B382" s="1" t="n">
        <v>1777.25227272727</v>
      </c>
      <c r="C382" s="1" t="n">
        <f aca="false">LOG(B382/B381)*100</f>
        <v>-0.163823669930499</v>
      </c>
      <c r="D382" s="1" t="n">
        <f aca="false">STDEV(C379:C382)</f>
        <v>0.213401500400635</v>
      </c>
      <c r="E382" s="1" t="n">
        <f aca="false">STDEV(C370:C382)</f>
        <v>1.1075897146846</v>
      </c>
    </row>
    <row r="383" customFormat="false" ht="15" hidden="false" customHeight="true" outlineLevel="0" collapsed="false">
      <c r="A383" s="1" t="s">
        <v>386</v>
      </c>
      <c r="B383" s="1" t="n">
        <v>1776.85476190476</v>
      </c>
      <c r="C383" s="1" t="n">
        <f aca="false">LOG(B383/B382)*100</f>
        <v>-0.00971477537117814</v>
      </c>
      <c r="D383" s="1" t="n">
        <f aca="false">STDEV(C380:C383)</f>
        <v>0.309532363053465</v>
      </c>
      <c r="E383" s="1" t="n">
        <f aca="false">STDEV(C371:C383)</f>
        <v>1.09109764438412</v>
      </c>
    </row>
    <row r="384" customFormat="false" ht="15" hidden="false" customHeight="true" outlineLevel="0" collapsed="false">
      <c r="A384" s="1" t="s">
        <v>387</v>
      </c>
      <c r="B384" s="1" t="n">
        <v>1820.23409090909</v>
      </c>
      <c r="C384" s="1" t="n">
        <f aca="false">LOG(B384/B383)*100</f>
        <v>1.0475313430909</v>
      </c>
      <c r="D384" s="1" t="n">
        <f aca="false">STDEV(C381:C384)</f>
        <v>0.686134757612013</v>
      </c>
      <c r="E384" s="1" t="n">
        <f aca="false">STDEV(C372:C384)</f>
        <v>1.14612122499213</v>
      </c>
    </row>
    <row r="385" customFormat="false" ht="15" hidden="false" customHeight="true" outlineLevel="0" collapsed="false">
      <c r="A385" s="1" t="s">
        <v>388</v>
      </c>
      <c r="B385" s="1" t="n">
        <v>1786.65263157895</v>
      </c>
      <c r="C385" s="1" t="n">
        <f aca="false">LOG(B385/B384)*100</f>
        <v>-0.808712057103073</v>
      </c>
      <c r="D385" s="1" t="n">
        <f aca="false">STDEV(C382:C385)</f>
        <v>0.769676183147074</v>
      </c>
      <c r="E385" s="1" t="n">
        <f aca="false">STDEV(C373:C385)</f>
        <v>1.14411466885092</v>
      </c>
    </row>
    <row r="386" customFormat="false" ht="15" hidden="false" customHeight="true" outlineLevel="0" collapsed="false">
      <c r="A386" s="1" t="s">
        <v>389</v>
      </c>
      <c r="B386" s="1" t="n">
        <v>1816.765</v>
      </c>
      <c r="C386" s="1" t="n">
        <f aca="false">LOG(B386/B385)*100</f>
        <v>0.725863122677591</v>
      </c>
      <c r="D386" s="1" t="n">
        <f aca="false">STDEV(C383:C386)</f>
        <v>0.826703889073063</v>
      </c>
      <c r="E386" s="1" t="n">
        <f aca="false">STDEV(C374:C386)</f>
        <v>1.16886869413234</v>
      </c>
    </row>
    <row r="387" customFormat="false" ht="15" hidden="false" customHeight="true" outlineLevel="0" collapsed="false">
      <c r="A387" s="1" t="s">
        <v>390</v>
      </c>
      <c r="B387" s="1" t="n">
        <v>1856.295</v>
      </c>
      <c r="C387" s="1" t="n">
        <f aca="false">LOG(B387/B386)*100</f>
        <v>0.934824028099841</v>
      </c>
      <c r="D387" s="1" t="n">
        <f aca="false">STDEV(C384:C387)</f>
        <v>0.866040639271549</v>
      </c>
      <c r="E387" s="1" t="n">
        <f aca="false">STDEV(C375:C387)</f>
        <v>1.19944517089203</v>
      </c>
    </row>
    <row r="388" customFormat="false" ht="15" hidden="false" customHeight="true" outlineLevel="0" collapsed="false">
      <c r="A388" s="1" t="s">
        <v>391</v>
      </c>
      <c r="B388" s="1" t="n">
        <v>1947.82826086957</v>
      </c>
      <c r="C388" s="1" t="n">
        <f aca="false">LOG(B388/B387)*100</f>
        <v>2.09036677991948</v>
      </c>
      <c r="D388" s="1" t="n">
        <f aca="false">STDEV(C385:C388)</f>
        <v>1.19164840689903</v>
      </c>
      <c r="E388" s="1" t="n">
        <f aca="false">STDEV(C376:C388)</f>
        <v>1.25509633326127</v>
      </c>
    </row>
    <row r="389" customFormat="false" ht="15" hidden="false" customHeight="true" outlineLevel="0" collapsed="false">
      <c r="A389" s="1" t="s">
        <v>392</v>
      </c>
      <c r="B389" s="1" t="n">
        <v>1933.9</v>
      </c>
      <c r="C389" s="1" t="n">
        <f aca="false">LOG(B389/B388)*100</f>
        <v>-0.311664928185164</v>
      </c>
      <c r="D389" s="1" t="n">
        <f aca="false">STDEV(C386:C389)</f>
        <v>0.984918331771387</v>
      </c>
      <c r="E389" s="1" t="n">
        <f aca="false">STDEV(C377:C389)</f>
        <v>1.03538722306484</v>
      </c>
    </row>
    <row r="390" customFormat="false" ht="15" hidden="false" customHeight="true" outlineLevel="0" collapsed="false">
      <c r="A390" s="1" t="s">
        <v>393</v>
      </c>
      <c r="B390" s="1" t="n">
        <v>1849.83318181818</v>
      </c>
      <c r="C390" s="1" t="n">
        <f aca="false">LOG(B390/B389)*100</f>
        <v>-1.93014479625612</v>
      </c>
      <c r="D390" s="1" t="n">
        <f aca="false">STDEV(C387:C390)</f>
        <v>1.72363005693913</v>
      </c>
      <c r="E390" s="1" t="n">
        <f aca="false">STDEV(C378:C390)</f>
        <v>1.19359995451206</v>
      </c>
    </row>
    <row r="391" customFormat="false" ht="15" hidden="false" customHeight="true" outlineLevel="0" collapsed="false">
      <c r="A391" s="1" t="s">
        <v>394</v>
      </c>
      <c r="B391" s="1" t="n">
        <v>1837.06409090909</v>
      </c>
      <c r="C391" s="1" t="n">
        <f aca="false">LOG(B391/B390)*100</f>
        <v>-0.30082573413365</v>
      </c>
      <c r="D391" s="1" t="n">
        <f aca="false">STDEV(C388:C391)</f>
        <v>1.65646074704071</v>
      </c>
      <c r="E391" s="1" t="n">
        <f aca="false">STDEV(C379:C391)</f>
        <v>1.01790793660647</v>
      </c>
    </row>
    <row r="392" customFormat="false" ht="15" hidden="false" customHeight="true" outlineLevel="0" collapsed="false">
      <c r="A392" s="1" t="s">
        <v>395</v>
      </c>
      <c r="B392" s="1" t="n">
        <v>1737.38047619048</v>
      </c>
      <c r="C392" s="1" t="n">
        <f aca="false">LOG(B392/B391)*100</f>
        <v>-2.42293712771511</v>
      </c>
      <c r="D392" s="1" t="n">
        <f aca="false">STDEV(C389:C392)</f>
        <v>1.09840591035734</v>
      </c>
      <c r="E392" s="1" t="n">
        <f aca="false">STDEV(C380:C392)</f>
        <v>1.21260036596792</v>
      </c>
    </row>
    <row r="393" customFormat="false" ht="15" hidden="false" customHeight="true" outlineLevel="0" collapsed="false">
      <c r="A393" s="1" t="s">
        <v>396</v>
      </c>
      <c r="B393" s="1" t="n">
        <v>1764.13260869565</v>
      </c>
      <c r="C393" s="1" t="n">
        <f aca="false">LOG(B393/B392)*100</f>
        <v>0.663629083426455</v>
      </c>
      <c r="D393" s="1" t="n">
        <f aca="false">STDEV(C390:C393)</f>
        <v>1.43136323903438</v>
      </c>
      <c r="E393" s="1" t="n">
        <f aca="false">STDEV(C381:C393)</f>
        <v>1.22480085634546</v>
      </c>
    </row>
    <row r="394" customFormat="false" ht="15" hidden="false" customHeight="true" outlineLevel="0" collapsed="false">
      <c r="A394" s="1" t="s">
        <v>397</v>
      </c>
      <c r="B394" s="1" t="n">
        <v>1683.20818181818</v>
      </c>
      <c r="C394" s="1" t="n">
        <f aca="false">LOG(B394/B393)*100</f>
        <v>-2.03933941373127</v>
      </c>
      <c r="D394" s="1" t="n">
        <f aca="false">STDEV(C391:C394)</f>
        <v>1.45590855237639</v>
      </c>
      <c r="E394" s="1" t="n">
        <f aca="false">STDEV(C382:C394)</f>
        <v>1.33670262380091</v>
      </c>
    </row>
    <row r="395" customFormat="false" ht="15" hidden="false" customHeight="true" outlineLevel="0" collapsed="false">
      <c r="A395" s="1" t="s">
        <v>398</v>
      </c>
      <c r="B395" s="1" t="n">
        <v>1666.62666666667</v>
      </c>
      <c r="C395" s="1" t="n">
        <f aca="false">LOG(B395/B394)*100</f>
        <v>-0.429950709428323</v>
      </c>
      <c r="D395" s="1" t="n">
        <f aca="false">STDEV(C392:C395)</f>
        <v>1.43579596121557</v>
      </c>
      <c r="E395" s="1" t="n">
        <f aca="false">STDEV(C383:C395)</f>
        <v>1.33823516574334</v>
      </c>
    </row>
    <row r="396" customFormat="false" ht="15" hidden="false" customHeight="true" outlineLevel="0" collapsed="false">
      <c r="A396" s="1" t="s">
        <v>399</v>
      </c>
      <c r="B396" s="1" t="n">
        <v>1727.89863636364</v>
      </c>
      <c r="C396" s="1" t="n">
        <f aca="false">LOG(B396/B395)*100</f>
        <v>1.5679935469664</v>
      </c>
      <c r="D396" s="1" t="n">
        <f aca="false">STDEV(C393:C396)</f>
        <v>1.55227239033123</v>
      </c>
      <c r="E396" s="1" t="n">
        <f aca="false">STDEV(C384:C396)</f>
        <v>1.42697166240054</v>
      </c>
    </row>
    <row r="397" customFormat="false" ht="15" hidden="false" customHeight="true" outlineLevel="0" collapsed="false">
      <c r="A397" s="1" t="s">
        <v>400</v>
      </c>
      <c r="B397" s="1" t="n">
        <v>1797.40818181818</v>
      </c>
      <c r="C397" s="1" t="n">
        <f aca="false">LOG(B397/B396)*100</f>
        <v>1.7128452378125</v>
      </c>
      <c r="D397" s="1" t="n">
        <f aca="false">STDEV(C394:C397)</f>
        <v>1.78620198759052</v>
      </c>
      <c r="E397" s="1" t="n">
        <f aca="false">STDEV(C385:C397)</f>
        <v>1.48216171877614</v>
      </c>
    </row>
    <row r="398" customFormat="false" ht="15" hidden="false" customHeight="true" outlineLevel="0" collapsed="false">
      <c r="A398" s="1" t="s">
        <v>401</v>
      </c>
      <c r="B398" s="1" t="n">
        <v>1896.05954545455</v>
      </c>
      <c r="C398" s="1" t="n">
        <f aca="false">LOG(B398/B397)*100</f>
        <v>2.32052578952401</v>
      </c>
      <c r="D398" s="1" t="n">
        <f aca="false">STDEV(C395:C398)</f>
        <v>1.19390951415296</v>
      </c>
      <c r="E398" s="1" t="n">
        <f aca="false">STDEV(C386:C398)</f>
        <v>1.59695200998289</v>
      </c>
    </row>
    <row r="399" customFormat="false" ht="15" hidden="false" customHeight="true" outlineLevel="0" collapsed="false">
      <c r="A399" s="1" t="s">
        <v>402</v>
      </c>
      <c r="B399" s="1" t="n">
        <v>1853.409</v>
      </c>
      <c r="C399" s="1" t="n">
        <f aca="false">LOG(B399/B398)*100</f>
        <v>-0.988070457863302</v>
      </c>
      <c r="D399" s="1" t="n">
        <f aca="false">STDEV(C396:C399)</f>
        <v>1.46434798805696</v>
      </c>
      <c r="E399" s="1" t="n">
        <f aca="false">STDEV(C387:C399)</f>
        <v>1.62036827221373</v>
      </c>
    </row>
    <row r="400" customFormat="false" ht="15" hidden="false" customHeight="true" outlineLevel="0" collapsed="false">
      <c r="A400" s="1" t="s">
        <v>403</v>
      </c>
      <c r="B400" s="1" t="n">
        <v>1913.64826086957</v>
      </c>
      <c r="C400" s="1" t="n">
        <f aca="false">LOG(B400/B399)*100</f>
        <v>1.38908474611428</v>
      </c>
      <c r="D400" s="1" t="n">
        <f aca="false">STDEV(C397:C400)</f>
        <v>1.4501235727066</v>
      </c>
      <c r="E400" s="1" t="n">
        <f aca="false">STDEV(C388:C400)</f>
        <v>1.64535452800122</v>
      </c>
    </row>
    <row r="401" customFormat="false" ht="15" hidden="false" customHeight="true" outlineLevel="0" collapsed="false">
      <c r="A401" s="1" t="s">
        <v>404</v>
      </c>
      <c r="B401" s="1" t="n">
        <v>1999.6685</v>
      </c>
      <c r="C401" s="1" t="n">
        <f aca="false">LOG(B401/B400)*100</f>
        <v>1.90958903379951</v>
      </c>
      <c r="D401" s="1" t="n">
        <f aca="false">STDEV(C398:C401)</f>
        <v>1.48046959525514</v>
      </c>
      <c r="E401" s="1" t="n">
        <f aca="false">STDEV(C389:C401)</f>
        <v>1.62781641127933</v>
      </c>
    </row>
    <row r="402" customFormat="false" ht="15" hidden="false" customHeight="true" outlineLevel="0" collapsed="false">
      <c r="A402" s="1" t="s">
        <v>405</v>
      </c>
      <c r="B402" s="1" t="n">
        <v>1989.82695652174</v>
      </c>
      <c r="C402" s="1" t="n">
        <f aca="false">LOG(B402/B401)*100</f>
        <v>-0.214269535713701</v>
      </c>
      <c r="D402" s="1" t="n">
        <f aca="false">STDEV(C399:C402)</f>
        <v>1.35396055304399</v>
      </c>
      <c r="E402" s="1" t="n">
        <f aca="false">STDEV(C390:C402)</f>
        <v>1.62604810545441</v>
      </c>
    </row>
    <row r="403" customFormat="false" ht="15" hidden="false" customHeight="true" outlineLevel="0" collapsed="false">
      <c r="A403" s="1" t="s">
        <v>406</v>
      </c>
      <c r="B403" s="1" t="n">
        <v>1944.72863636364</v>
      </c>
      <c r="C403" s="1" t="n">
        <f aca="false">LOG(B403/B402)*100</f>
        <v>-0.995630074467013</v>
      </c>
      <c r="D403" s="1" t="n">
        <f aca="false">STDEV(C400:C403)</f>
        <v>1.35677718705969</v>
      </c>
      <c r="E403" s="1" t="n">
        <f aca="false">STDEV(C391:C403)</f>
        <v>1.54782168338323</v>
      </c>
    </row>
    <row r="404" customFormat="false" ht="15" hidden="false" customHeight="true" outlineLevel="0" collapsed="false">
      <c r="A404" s="1" t="s">
        <v>407</v>
      </c>
      <c r="B404" s="1" t="n">
        <v>1950.27</v>
      </c>
      <c r="C404" s="1" t="n">
        <f aca="false">LOG(B404/B403)*100</f>
        <v>0.123573099651279</v>
      </c>
      <c r="D404" s="1" t="n">
        <f aca="false">STDEV(C401:C404)</f>
        <v>1.22875966900606</v>
      </c>
      <c r="E404" s="1" t="n">
        <f aca="false">STDEV(C392:C404)</f>
        <v>1.54159241867661</v>
      </c>
    </row>
    <row r="405" customFormat="false" ht="15" hidden="false" customHeight="true" outlineLevel="0" collapsed="false">
      <c r="A405" s="1" t="s">
        <v>408</v>
      </c>
      <c r="B405" s="1" t="n">
        <v>1919.30217391304</v>
      </c>
      <c r="C405" s="1" t="n">
        <f aca="false">LOG(B405/B404)*100</f>
        <v>-0.695138507129503</v>
      </c>
      <c r="D405" s="1" t="n">
        <f aca="false">STDEV(C402:C405)</f>
        <v>0.497418044131954</v>
      </c>
      <c r="E405" s="1" t="n">
        <f aca="false">STDEV(C393:C405)</f>
        <v>1.36047505208572</v>
      </c>
    </row>
    <row r="406" customFormat="false" ht="15" hidden="false" customHeight="true" outlineLevel="0" collapsed="false">
      <c r="A406" s="1" t="s">
        <v>409</v>
      </c>
      <c r="B406" s="1" t="n">
        <v>1915.43476190476</v>
      </c>
      <c r="C406" s="1" t="n">
        <f aca="false">LOG(B406/B405)*100</f>
        <v>-0.0875990344058029</v>
      </c>
      <c r="D406" s="1" t="n">
        <f aca="false">STDEV(C403:C406)</f>
        <v>0.5205300081735</v>
      </c>
      <c r="E406" s="1" t="n">
        <f aca="false">STDEV(C394:C406)</f>
        <v>1.36120059564321</v>
      </c>
    </row>
    <row r="407" customFormat="false" ht="15" hidden="false" customHeight="true" outlineLevel="0" collapsed="false">
      <c r="A407" s="1" t="s">
        <v>410</v>
      </c>
      <c r="B407" s="1" t="n">
        <v>1913.98454545455</v>
      </c>
      <c r="C407" s="1" t="n">
        <f aca="false">LOG(B407/B406)*100</f>
        <v>-0.0328938139936834</v>
      </c>
      <c r="D407" s="1" t="n">
        <f aca="false">STDEV(C404:C407)</f>
        <v>0.359401025549184</v>
      </c>
      <c r="E407" s="1" t="n">
        <f aca="false">STDEV(C395:C407)</f>
        <v>1.17840943559327</v>
      </c>
    </row>
    <row r="408" customFormat="false" ht="15" hidden="false" customHeight="true" outlineLevel="0" collapsed="false">
      <c r="A408" s="1" t="s">
        <v>411</v>
      </c>
      <c r="B408" s="1" t="n">
        <v>1985.77772727273</v>
      </c>
      <c r="C408" s="1" t="n">
        <f aca="false">LOG(B408/B407)*100</f>
        <v>1.59922085599683</v>
      </c>
      <c r="D408" s="1" t="n">
        <f aca="false">STDEV(C405:C408)</f>
        <v>0.982509941911783</v>
      </c>
      <c r="E408" s="1" t="n">
        <f aca="false">STDEV(C396:C408)</f>
        <v>1.18945776903476</v>
      </c>
    </row>
    <row r="409" customFormat="false" ht="15" hidden="false" customHeight="true" outlineLevel="0" collapsed="false">
      <c r="A409" s="1" t="s">
        <v>412</v>
      </c>
      <c r="B409" s="1" t="n">
        <v>2034.70428571429</v>
      </c>
      <c r="C409" s="1" t="n">
        <f aca="false">LOG(B409/B408)*100</f>
        <v>1.05706645573877</v>
      </c>
      <c r="D409" s="1" t="n">
        <f aca="false">STDEV(C406:C409)</f>
        <v>0.831883213329794</v>
      </c>
      <c r="E409" s="1" t="n">
        <f aca="false">STDEV(C397:C409)</f>
        <v>1.1624163017515</v>
      </c>
    </row>
    <row r="410" customFormat="false" ht="15" hidden="false" customHeight="true" outlineLevel="0" collapsed="false">
      <c r="A410" s="1" t="s">
        <v>413</v>
      </c>
      <c r="B410" s="1" t="n">
        <v>2034.00608695652</v>
      </c>
      <c r="C410" s="1" t="n">
        <f aca="false">LOG(B410/B409)*100</f>
        <v>-0.0149051587836934</v>
      </c>
      <c r="D410" s="1" t="n">
        <f aca="false">STDEV(C407:C410)</f>
        <v>0.811407861115587</v>
      </c>
      <c r="E410" s="1" t="n">
        <f aca="false">STDEV(C398:C410)</f>
        <v>1.11572408165239</v>
      </c>
    </row>
    <row r="411" customFormat="false" ht="15" hidden="false" customHeight="true" outlineLevel="0" collapsed="false">
      <c r="A411" s="1" t="s">
        <v>414</v>
      </c>
      <c r="B411" s="1" t="n">
        <v>2024.44619047619</v>
      </c>
      <c r="C411" s="1" t="n">
        <f aca="false">LOG(B411/B410)*100</f>
        <v>-0.20460104907646</v>
      </c>
      <c r="D411" s="1" t="n">
        <f aca="false">STDEV(C408:C411)</f>
        <v>0.862651929438867</v>
      </c>
      <c r="E411" s="1" t="n">
        <f aca="false">STDEV(C399:C411)</f>
        <v>0.965702707664131</v>
      </c>
    </row>
    <row r="412" customFormat="false" ht="15" hidden="false" customHeight="true" outlineLevel="0" collapsed="false">
      <c r="A412" s="1" t="s">
        <v>415</v>
      </c>
      <c r="B412" s="1" t="n">
        <v>2162.34619047619</v>
      </c>
      <c r="C412" s="1" t="n">
        <f aca="false">LOG(B412/B411)*100</f>
        <v>2.8618987734154</v>
      </c>
      <c r="D412" s="1" t="n">
        <f aca="false">STDEV(C409:C412)</f>
        <v>1.40575466939859</v>
      </c>
      <c r="E412" s="1" t="n">
        <f aca="false">STDEV(C400:C412)</f>
        <v>1.13943090112942</v>
      </c>
    </row>
    <row r="413" customFormat="false" ht="15" hidden="false" customHeight="true" outlineLevel="0" collapsed="false">
      <c r="A413" s="1" t="s">
        <v>416</v>
      </c>
      <c r="B413" s="1" t="n">
        <v>2333.55045454545</v>
      </c>
      <c r="C413" s="1" t="n">
        <f aca="false">LOG(B413/B412)*100</f>
        <v>3.30919698625034</v>
      </c>
      <c r="D413" s="1" t="n">
        <f aca="false">STDEV(C410:C413)</f>
        <v>1.85544051263989</v>
      </c>
      <c r="E413" s="1" t="n">
        <f aca="false">STDEV(C401:C413)</f>
        <v>1.3644115548704</v>
      </c>
    </row>
    <row r="414" customFormat="false" ht="15" hidden="false" customHeight="true" outlineLevel="0" collapsed="false">
      <c r="A414" s="1" t="s">
        <v>417</v>
      </c>
      <c r="B414" s="1" t="n">
        <v>2350.59652173913</v>
      </c>
      <c r="C414" s="1" t="n">
        <f aca="false">LOG(B414/B413)*100</f>
        <v>0.316089381377173</v>
      </c>
      <c r="D414" s="1" t="n">
        <f aca="false">STDEV(C411:C414)</f>
        <v>1.77156311875794</v>
      </c>
      <c r="E414" s="1" t="n">
        <f aca="false">STDEV(C402:C414)</f>
        <v>1.31369729960274</v>
      </c>
    </row>
    <row r="415" customFormat="false" ht="15" hidden="false" customHeight="true" outlineLevel="0" collapsed="false">
      <c r="A415" s="1" t="s">
        <v>418</v>
      </c>
      <c r="B415" s="1" t="n">
        <v>2328.2625</v>
      </c>
      <c r="C415" s="1" t="n">
        <f aca="false">LOG(B415/B414)*100</f>
        <v>-0.414614589788252</v>
      </c>
      <c r="D415" s="1" t="n">
        <f aca="false">STDEV(C412:C415)</f>
        <v>1.84336999027852</v>
      </c>
      <c r="E415" s="1" t="n">
        <f aca="false">STDEV(C403:C415)</f>
        <v>1.32441647452558</v>
      </c>
    </row>
    <row r="416" customFormat="false" ht="15" hidden="false" customHeight="true" outlineLevel="0" collapsed="false">
      <c r="A416" s="1" t="s">
        <v>419</v>
      </c>
      <c r="B416" s="1" t="n">
        <v>2393.96217391304</v>
      </c>
      <c r="C416" s="1" t="n">
        <f aca="false">LOG(B416/B415)*100</f>
        <v>1.20853407244995</v>
      </c>
      <c r="D416" s="1" t="n">
        <f aca="false">STDEV(C413:C416)</f>
        <v>1.61253547416875</v>
      </c>
      <c r="E416" s="1" t="n">
        <f aca="false">STDEV(C404:C416)</f>
        <v>1.25270587213094</v>
      </c>
    </row>
    <row r="417" customFormat="false" ht="15" hidden="false" customHeight="true" outlineLevel="0" collapsed="false">
      <c r="A417" s="1" t="s">
        <v>420</v>
      </c>
      <c r="B417" s="1" t="n">
        <v>2468.32863636364</v>
      </c>
      <c r="C417" s="1" t="n">
        <f aca="false">LOG(B417/B416)*100</f>
        <v>1.32856977191827</v>
      </c>
      <c r="D417" s="1" t="n">
        <f aca="false">STDEV(C414:C417)</f>
        <v>0.818698877747584</v>
      </c>
      <c r="E417" s="1" t="n">
        <f aca="false">STDEV(C405:C417)</f>
        <v>1.25153748130641</v>
      </c>
    </row>
    <row r="418" customFormat="false" ht="15" hidden="false" customHeight="true" outlineLevel="0" collapsed="false">
      <c r="A418" s="1" t="s">
        <v>421</v>
      </c>
      <c r="B418" s="1" t="n">
        <v>2569.04904761905</v>
      </c>
      <c r="C418" s="1" t="n">
        <f aca="false">LOG(B418/B417)*100</f>
        <v>1.73694140616194</v>
      </c>
      <c r="D418" s="1" t="n">
        <f aca="false">STDEV(C415:C418)</f>
        <v>0.947051862952225</v>
      </c>
      <c r="E418" s="1" t="n">
        <f aca="false">STDEV(C406:C418)</f>
        <v>1.19187778135648</v>
      </c>
    </row>
    <row r="419" customFormat="false" ht="15" hidden="false" customHeight="true" outlineLevel="0" collapsed="false">
      <c r="A419" s="1" t="s">
        <v>422</v>
      </c>
      <c r="B419" s="1" t="n">
        <v>2689.12869565217</v>
      </c>
      <c r="C419" s="1" t="n">
        <f aca="false">LOG(B419/B418)*100</f>
        <v>1.98391912946786</v>
      </c>
      <c r="D419" s="1" t="n">
        <f aca="false">STDEV(C416:C419)</f>
        <v>0.359640217673512</v>
      </c>
      <c r="E419" s="1" t="n">
        <f aca="false">STDEV(C407:C419)</f>
        <v>1.17648616727536</v>
      </c>
    </row>
    <row r="420" customFormat="false" ht="15" hidden="false" customHeight="true" outlineLevel="0" collapsed="false">
      <c r="A420" s="1" t="s">
        <v>423</v>
      </c>
      <c r="B420" s="1" t="n">
        <v>2652.19952380952</v>
      </c>
      <c r="C420" s="1" t="n">
        <f aca="false">LOG(B420/B419)*100</f>
        <v>-0.600539433238707</v>
      </c>
      <c r="D420" s="1" t="n">
        <f aca="false">STDEV(C417:C420)</f>
        <v>1.17338375472529</v>
      </c>
      <c r="E420" s="1" t="n">
        <f aca="false">STDEV(C408:C420)</f>
        <v>1.23257772752379</v>
      </c>
    </row>
    <row r="421" customFormat="false" ht="15" hidden="false" customHeight="true" outlineLevel="0" collapsed="false">
      <c r="A421" s="1" t="s">
        <v>424</v>
      </c>
      <c r="B421" s="1" t="n">
        <v>2640.60545454546</v>
      </c>
      <c r="C421" s="1" t="n">
        <f aca="false">LOG(B421/B420)*100</f>
        <v>-0.190267670113113</v>
      </c>
      <c r="D421" s="1" t="n">
        <f aca="false">STDEV(C418:C421)</f>
        <v>1.31699742835389</v>
      </c>
      <c r="E421" s="1" t="n">
        <f aca="false">STDEV(C409:C421)</f>
        <v>1.27028664285368</v>
      </c>
    </row>
    <row r="422" customFormat="false" ht="15" hidden="false" customHeight="true" outlineLevel="0" collapsed="false">
      <c r="A422" s="1" t="s">
        <v>425</v>
      </c>
      <c r="B422" s="1" t="n">
        <v>2707.46739130435</v>
      </c>
      <c r="C422" s="1" t="n">
        <f aca="false">LOG(B422/B421)*100</f>
        <v>1.08597186483655</v>
      </c>
      <c r="D422" s="1" t="n">
        <f aca="false">STDEV(C419:C422)</f>
        <v>1.18512496600571</v>
      </c>
      <c r="E422" s="1" t="n">
        <f aca="false">STDEV(C410:C422)</f>
        <v>1.27051096550319</v>
      </c>
    </row>
    <row r="423" customFormat="false" ht="15" hidden="false" customHeight="true" outlineLevel="0" collapsed="false">
      <c r="A423" s="1" t="s">
        <v>426</v>
      </c>
      <c r="B423" s="1" t="n">
        <v>2894.38</v>
      </c>
      <c r="C423" s="1" t="n">
        <f aca="false">LOG(B423/B422)*100</f>
        <v>2.89923138833234</v>
      </c>
      <c r="D423" s="1" t="n">
        <f aca="false">STDEV(C420:C423)</f>
        <v>1.57381545307166</v>
      </c>
      <c r="E423" s="1" t="n">
        <f aca="false">STDEV(C411:C423)</f>
        <v>1.34041037637518</v>
      </c>
    </row>
    <row r="424" customFormat="false" ht="15" hidden="false" customHeight="true" outlineLevel="0" collapsed="false">
      <c r="A424" s="1" t="s">
        <v>427</v>
      </c>
      <c r="B424" s="1" t="n">
        <v>2986.25619047619</v>
      </c>
      <c r="C424" s="1" t="n">
        <f aca="false">LOG(B424/B423)*100</f>
        <v>1.35715144704302</v>
      </c>
      <c r="D424" s="1" t="n">
        <f aca="false">STDEV(C421:C424)</f>
        <v>1.26845564623301</v>
      </c>
      <c r="E424" s="1" t="n">
        <f aca="false">STDEV(C412:C424)</f>
        <v>1.27448576412654</v>
      </c>
    </row>
    <row r="425" customFormat="false" ht="15" hidden="false" customHeight="true" outlineLevel="0" collapsed="false">
      <c r="A425" s="1" t="s">
        <v>428</v>
      </c>
      <c r="B425" s="1" t="n">
        <v>3222.01181818182</v>
      </c>
      <c r="C425" s="1" t="n">
        <f aca="false">LOG(B425/B424)*100</f>
        <v>3.30000660105022</v>
      </c>
      <c r="D425" s="1" t="n">
        <f aca="false">STDEV(C422:C425)</f>
        <v>1.10214622987843</v>
      </c>
      <c r="E425" s="1" t="n">
        <f aca="false">STDEV(C413:C425)</f>
        <v>1.32409432389897</v>
      </c>
    </row>
    <row r="426" customFormat="false" ht="15" hidden="false" customHeight="true" outlineLevel="0" collapsed="false">
      <c r="A426" s="1" t="s">
        <v>429</v>
      </c>
      <c r="B426" s="1" t="n">
        <v>3288.00954545455</v>
      </c>
      <c r="C426" s="1" t="n">
        <f aca="false">LOG(B426/B425)*100</f>
        <v>0.880594061760227</v>
      </c>
      <c r="D426" s="1" t="n">
        <f aca="false">STDEV(C423:C426)</f>
        <v>1.17149754939563</v>
      </c>
      <c r="E426" s="1" t="n">
        <f aca="false">STDEV(C414:C426)</f>
        <v>1.1860660975675</v>
      </c>
    </row>
    <row r="427" customFormat="false" ht="15" hidden="false" customHeight="true" outlineLevel="0" collapsed="false">
      <c r="A427" s="1" t="s">
        <v>430</v>
      </c>
      <c r="B427" s="1" t="n">
        <v>3351.85857142857</v>
      </c>
      <c r="C427" s="1" t="n">
        <f aca="false">LOG(B427/B426)*100</f>
        <v>0.835261601630084</v>
      </c>
      <c r="D427" s="1" t="n">
        <f aca="false">STDEV(C424:C427)</f>
        <v>1.16206504698341</v>
      </c>
      <c r="E427" s="1" t="n">
        <f aca="false">STDEV(C415:C427)</f>
        <v>1.16435312976173</v>
      </c>
    </row>
    <row r="428" customFormat="false" ht="15" hidden="false" customHeight="true" outlineLevel="0" collapsed="false">
      <c r="A428" s="1" t="s">
        <v>431</v>
      </c>
      <c r="B428" s="1" t="n">
        <v>3341.64913043478</v>
      </c>
      <c r="C428" s="1" t="n">
        <f aca="false">LOG(B428/B427)*100</f>
        <v>-0.132483819332275</v>
      </c>
      <c r="D428" s="1" t="n">
        <f aca="false">STDEV(C425:C428)</f>
        <v>1.4627436679733</v>
      </c>
      <c r="E428" s="1" t="n">
        <f aca="false">STDEV(C416:C428)</f>
        <v>1.13428547281678</v>
      </c>
    </row>
    <row r="429" customFormat="false" ht="15" hidden="false" customHeight="true" outlineLevel="0" collapsed="false">
      <c r="A429" s="1" t="s">
        <v>432</v>
      </c>
      <c r="B429" s="1" t="n">
        <v>3367.25619047619</v>
      </c>
      <c r="C429" s="1" t="n">
        <f aca="false">LOG(B429/B428)*100</f>
        <v>0.331531251310712</v>
      </c>
      <c r="D429" s="1" t="n">
        <f aca="false">STDEV(C426:C429)</f>
        <v>0.477444346349163</v>
      </c>
      <c r="E429" s="1" t="n">
        <f aca="false">STDEV(C417:C429)</f>
        <v>1.15998478780155</v>
      </c>
    </row>
    <row r="430" customFormat="false" ht="15" hidden="false" customHeight="true" outlineLevel="0" collapsed="false">
      <c r="A430" s="1" t="s">
        <v>433</v>
      </c>
      <c r="B430" s="1" t="n">
        <v>3666.52363636364</v>
      </c>
      <c r="C430" s="1" t="n">
        <f aca="false">LOG(B430/B429)*100</f>
        <v>3.69783290233942</v>
      </c>
      <c r="D430" s="1" t="n">
        <f aca="false">STDEV(C427:C430)</f>
        <v>1.72247914590887</v>
      </c>
      <c r="E430" s="1" t="n">
        <f aca="false">STDEV(C418:C430)</f>
        <v>1.36086447622565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5" min="2" style="1" width="25"/>
  </cols>
  <sheetData>
    <row r="1" customFormat="false" ht="15" hidden="false" customHeight="true" outlineLevel="0" collapsed="false">
      <c r="A1" s="3" t="s">
        <v>434</v>
      </c>
    </row>
    <row r="2" customFormat="false" ht="15" hidden="false" customHeight="true" outlineLevel="0" collapsed="false">
      <c r="A2" s="4" t="s">
        <v>435</v>
      </c>
      <c r="B2" s="5" t="n">
        <f aca="false">'Gold price'!B430</f>
        <v>3666.52363636364</v>
      </c>
    </row>
    <row r="3" customFormat="false" ht="15" hidden="false" customHeight="true" outlineLevel="0" collapsed="false">
      <c r="A3" s="4" t="s">
        <v>436</v>
      </c>
      <c r="B3" s="5" t="n">
        <f aca="false">'Gold price'!D430</f>
        <v>1.72247914590887</v>
      </c>
    </row>
    <row r="4" customFormat="false" ht="15" hidden="false" customHeight="true" outlineLevel="0" collapsed="false">
      <c r="A4" s="4" t="s">
        <v>437</v>
      </c>
      <c r="B4" s="5" t="n">
        <f aca="false">'Gold price'!E430</f>
        <v>1.36086447622565</v>
      </c>
    </row>
    <row r="5" customFormat="false" ht="15" hidden="false" customHeight="true" outlineLevel="0" collapsed="false">
      <c r="A5" s="4" t="s">
        <v>438</v>
      </c>
      <c r="B5" s="5" t="n">
        <f aca="false">B3*SQRT(12)</f>
        <v>5.96684279138402</v>
      </c>
    </row>
    <row r="10" customFormat="false" ht="15" hidden="false" customHeight="true" outlineLevel="0" collapsed="false">
      <c r="A10" s="3" t="s">
        <v>439</v>
      </c>
    </row>
    <row r="11" customFormat="false" ht="15" hidden="false" customHeight="true" outlineLevel="0" collapsed="false">
      <c r="A11" s="2" t="s">
        <v>440</v>
      </c>
      <c r="B11" s="2" t="s">
        <v>441</v>
      </c>
      <c r="C11" s="2" t="s">
        <v>442</v>
      </c>
    </row>
    <row r="12" customFormat="false" ht="15" hidden="false" customHeight="true" outlineLevel="0" collapsed="false">
      <c r="A12" s="6" t="s">
        <v>443</v>
      </c>
      <c r="B12" s="7" t="n">
        <f aca="false">IFERROR(VLOOKUP(A12,Value!$A$2:$B$20,2,0),"")</f>
        <v>1000000000000</v>
      </c>
    </row>
    <row r="13" customFormat="false" ht="15" hidden="false" customHeight="true" outlineLevel="0" collapsed="false">
      <c r="A13" s="1" t="s">
        <v>444</v>
      </c>
      <c r="B13" s="5" t="n">
        <f aca="false">B5</f>
        <v>5.96684279138402</v>
      </c>
    </row>
    <row r="14" customFormat="false" ht="15" hidden="false" customHeight="true" outlineLevel="0" collapsed="false">
      <c r="A14" s="1" t="s">
        <v>445</v>
      </c>
      <c r="B14" s="8" t="n">
        <f aca="false">IFERROR(VLOOKUP(A14,Value!$A$2:$B$20,2,0),"")</f>
        <v>241800000000</v>
      </c>
    </row>
    <row r="15" customFormat="false" ht="15" hidden="false" customHeight="true" outlineLevel="0" collapsed="false">
      <c r="A15" s="1" t="s">
        <v>446</v>
      </c>
      <c r="B15" s="8" t="n">
        <f aca="false">IFERROR(VLOOKUP(A15,Value!$A$2:$B$20,2,0),"")</f>
        <v>237900000000</v>
      </c>
    </row>
    <row r="16" customFormat="false" ht="15" hidden="false" customHeight="true" outlineLevel="0" collapsed="false">
      <c r="A16" s="1" t="s">
        <v>447</v>
      </c>
      <c r="B16" s="8" t="n">
        <f aca="false">IFERROR(VLOOKUP(A16,Value!$A$2:$B$20,2,0),"")</f>
        <v>228500000000</v>
      </c>
    </row>
    <row r="17" customFormat="false" ht="15" hidden="false" customHeight="true" outlineLevel="0" collapsed="false">
      <c r="A17" s="1" t="s">
        <v>448</v>
      </c>
      <c r="B17" s="8" t="n">
        <f aca="false">IFERROR(VLOOKUP(A17,Value!$A$2:$B$20,2,0),"")</f>
        <v>165000000000</v>
      </c>
    </row>
    <row r="18" customFormat="false" ht="15" hidden="false" customHeight="true" outlineLevel="0" collapsed="false">
      <c r="A18" s="3" t="s">
        <v>449</v>
      </c>
      <c r="B18" s="8" t="n">
        <f aca="false">IFERROR(VLOOKUP(A18,Value!$A$2:$B$20,2,0),"")</f>
        <v>30900000000</v>
      </c>
    </row>
    <row r="19" customFormat="false" ht="15" hidden="false" customHeight="true" outlineLevel="0" collapsed="false">
      <c r="A19" s="1" t="s">
        <v>450</v>
      </c>
      <c r="B19" s="8" t="n">
        <f aca="false">IFERROR(VLOOKUP(A19,Value!$A$2:$B$20,2,0),"")</f>
        <v>60000000000</v>
      </c>
    </row>
    <row r="20" customFormat="false" ht="15" hidden="false" customHeight="true" outlineLevel="0" collapsed="false">
      <c r="A20" s="2" t="s">
        <v>451</v>
      </c>
      <c r="B20" s="9" t="n">
        <f aca="false">IFERROR(VLOOKUP(A20,Value!$A$2:$B$20,2,0),"")</f>
        <v>28500000000</v>
      </c>
      <c r="C20" s="2"/>
      <c r="D20" s="2" t="s">
        <v>452</v>
      </c>
      <c r="E20" s="2" t="s">
        <v>453</v>
      </c>
    </row>
    <row r="21" customFormat="false" ht="15" hidden="false" customHeight="true" outlineLevel="0" collapsed="false">
      <c r="A21" s="1" t="s">
        <v>443</v>
      </c>
      <c r="B21" s="8" t="n">
        <f aca="false">IFERROR(VLOOKUP(A21,Value!$A$2:$B$20,2,0),"")</f>
        <v>1000000000000</v>
      </c>
      <c r="C21" s="5" t="n">
        <f aca="false">B3</f>
        <v>1.72247914590887</v>
      </c>
      <c r="D21" s="8" t="n">
        <f aca="false">IFERROR(INDEX('Total Reserves'!$B$2:$B$20,MATCH(A21,'Total Reserves'!$A$2:$A$20,0)),"")</f>
        <v>910037000000</v>
      </c>
      <c r="E21" s="5" t="n">
        <f aca="false">IF(AND(B21&lt;&gt;"",D21&lt;&gt;"",B21&gt;0,D21&gt;0),B21/D21*C21,"")</f>
        <v>1.89275726801094</v>
      </c>
    </row>
    <row r="22" customFormat="false" ht="15" hidden="false" customHeight="true" outlineLevel="0" collapsed="false">
      <c r="A22" s="1" t="s">
        <v>448</v>
      </c>
      <c r="B22" s="8" t="n">
        <f aca="false">IFERROR(VLOOKUP(A22,Value!$A$2:$B$20,2,0),"")</f>
        <v>165000000000</v>
      </c>
      <c r="C22" s="5" t="n">
        <f aca="false">B3</f>
        <v>1.72247914590887</v>
      </c>
      <c r="D22" s="8" t="n">
        <f aca="false">IFERROR(INDEX('Total Reserves'!$B$2:$B$20,MATCH(A22,'Total Reserves'!$A$2:$A$20,0)),"")</f>
        <v>3456000000000</v>
      </c>
      <c r="E22" s="5" t="n">
        <f aca="false">IF(AND(B22&lt;&gt;"",D22&lt;&gt;"",B22&gt;0,D22&gt;0),B22/D22*C22,"")</f>
        <v>0.0822364175564132</v>
      </c>
    </row>
    <row r="23" customFormat="false" ht="15" hidden="false" customHeight="true" outlineLevel="0" collapsed="false">
      <c r="A23" s="1" t="s">
        <v>449</v>
      </c>
      <c r="B23" s="8" t="n">
        <f aca="false">IFERROR(VLOOKUP(A23,Value!$A$2:$B$20,2,0),"")</f>
        <v>30900000000</v>
      </c>
      <c r="C23" s="5" t="n">
        <f aca="false">B3</f>
        <v>1.72247914590887</v>
      </c>
      <c r="D23" s="8" t="n">
        <f aca="false">IFERROR(INDEX('Total Reserves'!$B$2:$B$20,MATCH(A23,'Total Reserves'!$A$2:$A$20,0)),"")</f>
        <v>643043000000</v>
      </c>
      <c r="E23" s="5" t="n">
        <f aca="false">IF(AND(B23&lt;&gt;"",D23&lt;&gt;"",B23&gt;0,D23&gt;0),B23/D23*C23,"")</f>
        <v>0.0827699012485699</v>
      </c>
    </row>
    <row r="24" customFormat="false" ht="15" hidden="false" customHeight="true" outlineLevel="0" collapsed="false">
      <c r="A24" s="1" t="s">
        <v>450</v>
      </c>
      <c r="B24" s="8" t="n">
        <f aca="false">IFERROR(VLOOKUP(A24,Value!$A$2:$B$20,2,0),"")</f>
        <v>60000000000</v>
      </c>
      <c r="C24" s="5" t="n">
        <f aca="false">B3</f>
        <v>1.72247914590887</v>
      </c>
      <c r="D24" s="8" t="n">
        <f aca="false">IFERROR(INDEX('Total Reserves'!$B$2:$B$20,MATCH(A24,'Total Reserves'!$A$2:$A$20,0)),"")</f>
        <v>1231000000000</v>
      </c>
      <c r="E24" s="5" t="n">
        <f aca="false">IF(AND(B24&lt;&gt;"",D24&lt;&gt;"",B24&gt;0,D24&gt;0),B24/D24*C24,"")</f>
        <v>0.0839551167786615</v>
      </c>
    </row>
    <row r="25" customFormat="false" ht="15" hidden="false" customHeight="true" outlineLevel="0" collapsed="false">
      <c r="B25" s="10"/>
      <c r="C25" s="10"/>
      <c r="D25" s="10"/>
      <c r="E25" s="10"/>
    </row>
    <row r="26" customFormat="false" ht="15" hidden="false" customHeight="true" outlineLevel="0" collapsed="false">
      <c r="B26" s="10"/>
      <c r="C26" s="10"/>
      <c r="D26" s="10"/>
      <c r="E26" s="10"/>
    </row>
    <row r="27" customFormat="false" ht="15" hidden="false" customHeight="true" outlineLevel="0" collapsed="false">
      <c r="B27" s="10"/>
      <c r="C27" s="10"/>
      <c r="D27" s="10"/>
      <c r="E27" s="10"/>
    </row>
    <row r="28" customFormat="false" ht="15" hidden="false" customHeight="true" outlineLevel="0" collapsed="false">
      <c r="B28" s="10"/>
      <c r="C28" s="10"/>
      <c r="D28" s="10"/>
      <c r="E28" s="10"/>
    </row>
    <row r="29" customFormat="false" ht="15" hidden="false" customHeight="true" outlineLevel="0" collapsed="false">
      <c r="B29" s="10"/>
      <c r="C29" s="10"/>
      <c r="D29" s="10"/>
      <c r="E2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5"/>
  </cols>
  <sheetData>
    <row r="1" customFormat="false" ht="15" hidden="false" customHeight="true" outlineLevel="0" collapsed="false">
      <c r="A1" s="1" t="s">
        <v>440</v>
      </c>
      <c r="B1" s="1" t="s">
        <v>454</v>
      </c>
    </row>
    <row r="2" customFormat="false" ht="15" hidden="false" customHeight="true" outlineLevel="0" collapsed="false">
      <c r="A2" s="1" t="s">
        <v>443</v>
      </c>
      <c r="B2" s="11" t="n">
        <v>1000000000000</v>
      </c>
    </row>
    <row r="3" customFormat="false" ht="15" hidden="false" customHeight="true" outlineLevel="0" collapsed="false">
      <c r="A3" s="1" t="s">
        <v>455</v>
      </c>
      <c r="B3" s="11" t="n">
        <v>329700000000</v>
      </c>
    </row>
    <row r="4" customFormat="false" ht="15" hidden="false" customHeight="true" outlineLevel="0" collapsed="false">
      <c r="A4" s="1" t="s">
        <v>445</v>
      </c>
      <c r="B4" s="11" t="n">
        <v>241800000000</v>
      </c>
    </row>
    <row r="5" customFormat="false" ht="15" hidden="false" customHeight="true" outlineLevel="0" collapsed="false">
      <c r="A5" s="1" t="s">
        <v>446</v>
      </c>
      <c r="B5" s="11" t="n">
        <v>237900000000</v>
      </c>
    </row>
    <row r="6" customFormat="false" ht="15" hidden="false" customHeight="true" outlineLevel="0" collapsed="false">
      <c r="A6" s="1" t="s">
        <v>447</v>
      </c>
      <c r="B6" s="11" t="n">
        <v>228500000000</v>
      </c>
    </row>
    <row r="7" customFormat="false" ht="15" hidden="false" customHeight="true" outlineLevel="0" collapsed="false">
      <c r="A7" s="1" t="s">
        <v>448</v>
      </c>
      <c r="B7" s="11" t="n">
        <v>165000000000</v>
      </c>
    </row>
    <row r="8" customFormat="false" ht="15" hidden="false" customHeight="true" outlineLevel="0" collapsed="false">
      <c r="A8" s="1" t="s">
        <v>449</v>
      </c>
      <c r="B8" s="11" t="n">
        <v>30900000000</v>
      </c>
    </row>
    <row r="9" customFormat="false" ht="15" hidden="false" customHeight="true" outlineLevel="0" collapsed="false">
      <c r="A9" s="1" t="s">
        <v>450</v>
      </c>
      <c r="B9" s="11" t="n">
        <v>60000000000</v>
      </c>
    </row>
    <row r="10" customFormat="false" ht="15" hidden="false" customHeight="true" outlineLevel="0" collapsed="false">
      <c r="A10" s="1" t="s">
        <v>451</v>
      </c>
      <c r="B10" s="11" t="n">
        <v>28500000000</v>
      </c>
    </row>
    <row r="11" customFormat="false" ht="15" hidden="false" customHeight="true" outlineLevel="0" collapsed="false">
      <c r="A11" s="1" t="s">
        <v>456</v>
      </c>
      <c r="B11" s="11" t="n">
        <v>28700000000</v>
      </c>
    </row>
    <row r="12" customFormat="false" ht="15" hidden="false" customHeight="true" outlineLevel="0" collapsed="false">
      <c r="A12" s="1" t="s">
        <v>457</v>
      </c>
      <c r="B12" s="11" t="n">
        <v>35000000000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5"/>
  </cols>
  <sheetData>
    <row r="1" customFormat="false" ht="15" hidden="false" customHeight="true" outlineLevel="0" collapsed="false">
      <c r="A1" s="1" t="s">
        <v>440</v>
      </c>
      <c r="B1" s="1" t="s">
        <v>458</v>
      </c>
    </row>
    <row r="2" customFormat="false" ht="15" hidden="false" customHeight="true" outlineLevel="0" collapsed="false">
      <c r="A2" s="1" t="s">
        <v>443</v>
      </c>
      <c r="B2" s="12" t="n">
        <v>261.5</v>
      </c>
    </row>
    <row r="3" customFormat="false" ht="15" hidden="false" customHeight="true" outlineLevel="0" collapsed="false">
      <c r="A3" s="1" t="s">
        <v>455</v>
      </c>
      <c r="B3" s="12" t="n">
        <v>107.7</v>
      </c>
    </row>
    <row r="4" customFormat="false" ht="15" hidden="false" customHeight="true" outlineLevel="0" collapsed="false">
      <c r="A4" s="1" t="s">
        <v>445</v>
      </c>
      <c r="B4" s="12" t="n">
        <v>78.7</v>
      </c>
    </row>
    <row r="5" customFormat="false" ht="15" hidden="false" customHeight="true" outlineLevel="0" collapsed="false">
      <c r="A5" s="1" t="s">
        <v>446</v>
      </c>
      <c r="B5" s="12" t="n">
        <v>78.2</v>
      </c>
    </row>
    <row r="6" customFormat="false" ht="15" hidden="false" customHeight="true" outlineLevel="0" collapsed="false">
      <c r="A6" s="1" t="s">
        <v>447</v>
      </c>
      <c r="B6" s="12" t="n">
        <v>74.9</v>
      </c>
    </row>
    <row r="7" customFormat="false" ht="15" hidden="false" customHeight="true" outlineLevel="0" collapsed="false">
      <c r="A7" s="1" t="s">
        <v>448</v>
      </c>
      <c r="B7" s="12" t="n">
        <v>74</v>
      </c>
    </row>
    <row r="8" customFormat="false" ht="15" hidden="false" customHeight="true" outlineLevel="0" collapsed="false">
      <c r="A8" s="1" t="s">
        <v>449</v>
      </c>
      <c r="B8" s="12" t="n">
        <v>28.3</v>
      </c>
    </row>
    <row r="9" customFormat="false" ht="15" hidden="false" customHeight="true" outlineLevel="0" collapsed="false">
      <c r="A9" s="1" t="s">
        <v>450</v>
      </c>
      <c r="B9" s="12" t="n">
        <v>27.2</v>
      </c>
    </row>
    <row r="10" customFormat="false" ht="15" hidden="false" customHeight="true" outlineLevel="0" collapsed="false">
      <c r="A10" s="1" t="s">
        <v>451</v>
      </c>
      <c r="B10" s="12" t="n">
        <v>19.7</v>
      </c>
    </row>
    <row r="11" customFormat="false" ht="15" hidden="false" customHeight="true" outlineLevel="0" collapsed="false">
      <c r="A11" s="1" t="s">
        <v>456</v>
      </c>
      <c r="B11" s="12" t="n">
        <v>19.8</v>
      </c>
    </row>
    <row r="12" customFormat="false" ht="15" hidden="false" customHeight="true" outlineLevel="0" collapsed="false">
      <c r="A12" s="1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5"/>
  </cols>
  <sheetData>
    <row r="1" customFormat="false" ht="15" hidden="false" customHeight="true" outlineLevel="0" collapsed="false">
      <c r="A1" s="1" t="s">
        <v>440</v>
      </c>
      <c r="B1" s="1" t="s">
        <v>459</v>
      </c>
    </row>
    <row r="2" customFormat="false" ht="15" hidden="false" customHeight="true" outlineLevel="0" collapsed="false">
      <c r="A2" s="1" t="s">
        <v>443</v>
      </c>
      <c r="B2" s="11" t="n">
        <v>910037000000</v>
      </c>
    </row>
    <row r="3" customFormat="false" ht="15" hidden="false" customHeight="true" outlineLevel="0" collapsed="false">
      <c r="A3" s="1" t="s">
        <v>455</v>
      </c>
    </row>
    <row r="4" customFormat="false" ht="15" hidden="false" customHeight="true" outlineLevel="0" collapsed="false">
      <c r="A4" s="1" t="s">
        <v>445</v>
      </c>
    </row>
    <row r="5" customFormat="false" ht="15" hidden="false" customHeight="true" outlineLevel="0" collapsed="false">
      <c r="A5" s="1" t="s">
        <v>446</v>
      </c>
    </row>
    <row r="6" customFormat="false" ht="15" hidden="false" customHeight="true" outlineLevel="0" collapsed="false">
      <c r="A6" s="1" t="s">
        <v>447</v>
      </c>
    </row>
    <row r="7" customFormat="false" ht="15" hidden="false" customHeight="true" outlineLevel="0" collapsed="false">
      <c r="A7" s="1" t="s">
        <v>448</v>
      </c>
      <c r="B7" s="11" t="n">
        <v>3456000000000</v>
      </c>
    </row>
    <row r="8" customFormat="false" ht="15" hidden="false" customHeight="true" outlineLevel="0" collapsed="false">
      <c r="A8" s="1" t="s">
        <v>449</v>
      </c>
      <c r="B8" s="11" t="n">
        <v>643043000000</v>
      </c>
    </row>
    <row r="9" customFormat="false" ht="15" hidden="false" customHeight="true" outlineLevel="0" collapsed="false">
      <c r="A9" s="1" t="s">
        <v>450</v>
      </c>
      <c r="B9" s="11" t="n">
        <v>1231000000000</v>
      </c>
    </row>
    <row r="10" customFormat="false" ht="15" hidden="false" customHeight="true" outlineLevel="0" collapsed="false">
      <c r="A10" s="1" t="s">
        <v>451</v>
      </c>
    </row>
    <row r="11" customFormat="false" ht="15" hidden="false" customHeight="true" outlineLevel="0" collapsed="false">
      <c r="A11" s="1" t="s">
        <v>456</v>
      </c>
    </row>
    <row r="12" customFormat="false" ht="15" hidden="false" customHeight="true" outlineLevel="0" collapsed="false">
      <c r="A12" s="1" t="s">
        <v>457</v>
      </c>
      <c r="B12" s="11" t="n">
        <v>909366000000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2026-01-27T11:27:22Z</dcterms:created>
  <dc:creator>openpyxl</dc:creator>
  <dc:description/>
  <dc:language>en-US</dc:language>
  <cp:lastModifiedBy/>
  <dcterms:modified xsi:type="dcterms:W3CDTF">2026-01-27T11:30:19Z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