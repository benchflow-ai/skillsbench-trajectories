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Value" sheetId="2" state="visible" r:id="rId2"/>
    <sheet name="Volume" sheetId="3" state="visible" r:id="rId3"/>
    <sheet name="Total Reserves" sheetId="4" state="visible" r:id="rId4"/>
    <sheet name="Ans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Date</t>
        </is>
      </c>
      <c r="B1" s="1" t="inlineStr">
        <is>
          <t>Gold Price (US$ per troy ounce)</t>
        </is>
      </c>
      <c r="C1" s="1" t="inlineStr">
        <is>
          <t>Monthly Log Return (%)</t>
        </is>
      </c>
      <c r="D1" s="1" t="inlineStr">
        <is>
          <t>3-Month Volatility (%)</t>
        </is>
      </c>
      <c r="E1" s="1" t="inlineStr">
        <is>
          <t>12-Month Volatility (%)</t>
        </is>
      </c>
    </row>
    <row r="2">
      <c r="A2" t="inlineStr">
        <is>
          <t>2015-01-31</t>
        </is>
      </c>
      <c r="B2" s="3" t="n">
        <v>1183</v>
      </c>
      <c r="C2" s="4" t="n"/>
      <c r="D2" s="4" t="n"/>
      <c r="E2" s="4" t="n"/>
    </row>
    <row r="3">
      <c r="A3" t="inlineStr">
        <is>
          <t>2015-02-28</t>
        </is>
      </c>
      <c r="B3" s="3" t="n">
        <v>1192</v>
      </c>
      <c r="C3" s="4">
        <f>LN(B3/B2)*100</f>
        <v/>
      </c>
      <c r="D3" s="4" t="n"/>
      <c r="E3" s="4" t="n"/>
    </row>
    <row r="4">
      <c r="A4" t="inlineStr">
        <is>
          <t>2015-03-31</t>
        </is>
      </c>
      <c r="B4" s="3" t="n">
        <v>1240</v>
      </c>
      <c r="C4" s="4">
        <f>LN(B4/B3)*100</f>
        <v/>
      </c>
      <c r="D4" s="4" t="n"/>
      <c r="E4" s="4" t="n"/>
    </row>
    <row r="5">
      <c r="A5" t="inlineStr">
        <is>
          <t>2015-04-30</t>
        </is>
      </c>
      <c r="B5" s="3" t="n">
        <v>1266</v>
      </c>
      <c r="C5" s="4">
        <f>LN(B5/B4)*100</f>
        <v/>
      </c>
      <c r="D5" s="4">
        <f>STDEV(C3:C5)</f>
        <v/>
      </c>
      <c r="E5" s="4" t="n"/>
    </row>
    <row r="6">
      <c r="A6" t="inlineStr">
        <is>
          <t>2015-05-31</t>
        </is>
      </c>
      <c r="B6" s="3" t="n">
        <v>1339</v>
      </c>
      <c r="C6" s="4">
        <f>LN(B6/B5)*100</f>
        <v/>
      </c>
      <c r="D6" s="4">
        <f>STDEV(C4:C6)</f>
        <v/>
      </c>
      <c r="E6" s="4" t="n"/>
    </row>
    <row r="7">
      <c r="A7" t="inlineStr">
        <is>
          <t>2015-06-30</t>
        </is>
      </c>
      <c r="B7" s="3" t="n">
        <v>1334</v>
      </c>
      <c r="C7" s="4">
        <f>LN(B7/B6)*100</f>
        <v/>
      </c>
      <c r="D7" s="4">
        <f>STDEV(C5:C7)</f>
        <v/>
      </c>
      <c r="E7" s="4" t="n"/>
    </row>
    <row r="8">
      <c r="A8" t="inlineStr">
        <is>
          <t>2015-07-31</t>
        </is>
      </c>
      <c r="B8" s="3" t="n">
        <v>1160</v>
      </c>
      <c r="C8" s="4">
        <f>LN(B8/B7)*100</f>
        <v/>
      </c>
      <c r="D8" s="4">
        <f>STDEV(C6:C8)</f>
        <v/>
      </c>
      <c r="E8" s="4" t="n"/>
    </row>
    <row r="9">
      <c r="A9" t="inlineStr">
        <is>
          <t>2015-08-31</t>
        </is>
      </c>
      <c r="B9" s="3" t="n">
        <v>1148</v>
      </c>
      <c r="C9" s="4">
        <f>LN(B9/B8)*100</f>
        <v/>
      </c>
      <c r="D9" s="4">
        <f>STDEV(C7:C9)</f>
        <v/>
      </c>
      <c r="E9" s="4" t="n"/>
    </row>
    <row r="10">
      <c r="A10" t="inlineStr">
        <is>
          <t>2015-09-30</t>
        </is>
      </c>
      <c r="B10" s="3" t="n">
        <v>1172</v>
      </c>
      <c r="C10" s="4">
        <f>LN(B10/B9)*100</f>
        <v/>
      </c>
      <c r="D10" s="4">
        <f>STDEV(C8:C10)</f>
        <v/>
      </c>
      <c r="E10" s="4" t="n"/>
    </row>
    <row r="11">
      <c r="A11" t="inlineStr">
        <is>
          <t>2015-10-31</t>
        </is>
      </c>
      <c r="B11" s="3" t="n">
        <v>1196</v>
      </c>
      <c r="C11" s="4">
        <f>LN(B11/B10)*100</f>
        <v/>
      </c>
      <c r="D11" s="4">
        <f>STDEV(C9:C11)</f>
        <v/>
      </c>
      <c r="E11" s="4" t="n"/>
    </row>
    <row r="12">
      <c r="A12" t="inlineStr">
        <is>
          <t>2015-11-30</t>
        </is>
      </c>
      <c r="B12" s="3" t="n">
        <v>1163</v>
      </c>
      <c r="C12" s="4">
        <f>LN(B12/B11)*100</f>
        <v/>
      </c>
      <c r="D12" s="4">
        <f>STDEV(C10:C12)</f>
        <v/>
      </c>
      <c r="E12" s="4" t="n"/>
    </row>
    <row r="13">
      <c r="A13" t="inlineStr">
        <is>
          <t>2015-12-31</t>
        </is>
      </c>
      <c r="B13" s="3" t="n">
        <v>1151</v>
      </c>
      <c r="C13" s="4">
        <f>LN(B13/B12)*100</f>
        <v/>
      </c>
      <c r="D13" s="4">
        <f>STDEV(C11:C13)</f>
        <v/>
      </c>
      <c r="E13" s="4" t="n"/>
    </row>
    <row r="14">
      <c r="A14" t="inlineStr">
        <is>
          <t>2016-01-31</t>
        </is>
      </c>
      <c r="B14" s="3" t="n">
        <v>1120</v>
      </c>
      <c r="C14" s="4">
        <f>LN(B14/B13)*100</f>
        <v/>
      </c>
      <c r="D14" s="4">
        <f>STDEV(C12:C14)</f>
        <v/>
      </c>
      <c r="E14" s="4">
        <f>STDEV(C3:C14)</f>
        <v/>
      </c>
    </row>
    <row r="15">
      <c r="A15" t="inlineStr">
        <is>
          <t>2016-02-29</t>
        </is>
      </c>
      <c r="B15" s="3" t="n">
        <v>1163</v>
      </c>
      <c r="C15" s="4">
        <f>LN(B15/B14)*100</f>
        <v/>
      </c>
      <c r="D15" s="4">
        <f>STDEV(C13:C15)</f>
        <v/>
      </c>
      <c r="E15" s="4">
        <f>STDEV(C4:C15)</f>
        <v/>
      </c>
    </row>
    <row r="16">
      <c r="A16" t="inlineStr">
        <is>
          <t>2016-03-31</t>
        </is>
      </c>
      <c r="B16" s="3" t="n">
        <v>1245</v>
      </c>
      <c r="C16" s="4">
        <f>LN(B16/B15)*100</f>
        <v/>
      </c>
      <c r="D16" s="4">
        <f>STDEV(C14:C16)</f>
        <v/>
      </c>
      <c r="E16" s="4">
        <f>STDEV(C5:C16)</f>
        <v/>
      </c>
    </row>
    <row r="17">
      <c r="A17" t="inlineStr">
        <is>
          <t>2016-04-30</t>
        </is>
      </c>
      <c r="B17" s="3" t="n">
        <v>1274</v>
      </c>
      <c r="C17" s="4">
        <f>LN(B17/B16)*100</f>
        <v/>
      </c>
      <c r="D17" s="4">
        <f>STDEV(C15:C17)</f>
        <v/>
      </c>
      <c r="E17" s="4">
        <f>STDEV(C6:C17)</f>
        <v/>
      </c>
    </row>
    <row r="18">
      <c r="A18" t="inlineStr">
        <is>
          <t>2016-05-31</t>
        </is>
      </c>
      <c r="B18" s="3" t="n">
        <v>1315</v>
      </c>
      <c r="C18" s="4">
        <f>LN(B18/B17)*100</f>
        <v/>
      </c>
      <c r="D18" s="4">
        <f>STDEV(C16:C18)</f>
        <v/>
      </c>
      <c r="E18" s="4">
        <f>STDEV(C7:C18)</f>
        <v/>
      </c>
    </row>
    <row r="19">
      <c r="A19" t="inlineStr">
        <is>
          <t>2016-06-30</t>
        </is>
      </c>
      <c r="B19" s="3" t="n">
        <v>1302</v>
      </c>
      <c r="C19" s="4">
        <f>LN(B19/B18)*100</f>
        <v/>
      </c>
      <c r="D19" s="4">
        <f>STDEV(C17:C19)</f>
        <v/>
      </c>
      <c r="E19" s="4">
        <f>STDEV(C8:C19)</f>
        <v/>
      </c>
    </row>
    <row r="20">
      <c r="A20" t="inlineStr">
        <is>
          <t>2016-07-31</t>
        </is>
      </c>
      <c r="B20" s="3" t="n">
        <v>1301</v>
      </c>
      <c r="C20" s="4">
        <f>LN(B20/B19)*100</f>
        <v/>
      </c>
      <c r="D20" s="4">
        <f>STDEV(C18:C20)</f>
        <v/>
      </c>
      <c r="E20" s="4">
        <f>STDEV(C9:C20)</f>
        <v/>
      </c>
    </row>
    <row r="21">
      <c r="A21" t="inlineStr">
        <is>
          <t>2016-08-31</t>
        </is>
      </c>
      <c r="B21" s="3" t="n">
        <v>1349</v>
      </c>
      <c r="C21" s="4">
        <f>LN(B21/B20)*100</f>
        <v/>
      </c>
      <c r="D21" s="4">
        <f>STDEV(C19:C21)</f>
        <v/>
      </c>
      <c r="E21" s="4">
        <f>STDEV(C10:C21)</f>
        <v/>
      </c>
    </row>
    <row r="22">
      <c r="A22" t="inlineStr">
        <is>
          <t>2016-09-30</t>
        </is>
      </c>
      <c r="B22" s="3" t="n">
        <v>1306</v>
      </c>
      <c r="C22" s="4">
        <f>LN(B22/B21)*100</f>
        <v/>
      </c>
      <c r="D22" s="4">
        <f>STDEV(C20:C22)</f>
        <v/>
      </c>
      <c r="E22" s="4">
        <f>STDEV(C11:C22)</f>
        <v/>
      </c>
    </row>
    <row r="23">
      <c r="A23" t="inlineStr">
        <is>
          <t>2016-10-31</t>
        </is>
      </c>
      <c r="B23" s="3" t="n">
        <v>1251</v>
      </c>
      <c r="C23" s="4">
        <f>LN(B23/B22)*100</f>
        <v/>
      </c>
      <c r="D23" s="4">
        <f>STDEV(C21:C23)</f>
        <v/>
      </c>
      <c r="E23" s="4">
        <f>STDEV(C12:C23)</f>
        <v/>
      </c>
    </row>
    <row r="24">
      <c r="A24" t="inlineStr">
        <is>
          <t>2016-11-30</t>
        </is>
      </c>
      <c r="B24" s="3" t="n">
        <v>1149</v>
      </c>
      <c r="C24" s="4">
        <f>LN(B24/B23)*100</f>
        <v/>
      </c>
      <c r="D24" s="4">
        <f>STDEV(C22:C24)</f>
        <v/>
      </c>
      <c r="E24" s="4">
        <f>STDEV(C13:C24)</f>
        <v/>
      </c>
    </row>
    <row r="25">
      <c r="A25" t="inlineStr">
        <is>
          <t>2016-12-31</t>
        </is>
      </c>
      <c r="B25" s="3" t="n">
        <v>1152</v>
      </c>
      <c r="C25" s="4">
        <f>LN(B25/B24)*100</f>
        <v/>
      </c>
      <c r="D25" s="4">
        <f>STDEV(C23:C25)</f>
        <v/>
      </c>
      <c r="E25" s="4">
        <f>STDEV(C14:C25)</f>
        <v/>
      </c>
    </row>
    <row r="26">
      <c r="A26" t="inlineStr">
        <is>
          <t>2017-01-31</t>
        </is>
      </c>
      <c r="B26" s="3" t="n">
        <v>1221</v>
      </c>
      <c r="C26" s="4">
        <f>LN(B26/B25)*100</f>
        <v/>
      </c>
      <c r="D26" s="4">
        <f>STDEV(C24:C26)</f>
        <v/>
      </c>
      <c r="E26" s="4">
        <f>STDEV(C15:C26)</f>
        <v/>
      </c>
    </row>
    <row r="27">
      <c r="A27" t="inlineStr">
        <is>
          <t>2017-02-28</t>
        </is>
      </c>
      <c r="B27" s="3" t="n">
        <v>1240</v>
      </c>
      <c r="C27" s="4">
        <f>LN(B27/B26)*100</f>
        <v/>
      </c>
      <c r="D27" s="4">
        <f>STDEV(C25:C27)</f>
        <v/>
      </c>
      <c r="E27" s="4">
        <f>STDEV(C16:C27)</f>
        <v/>
      </c>
    </row>
    <row r="28">
      <c r="A28" t="inlineStr">
        <is>
          <t>2017-03-31</t>
        </is>
      </c>
      <c r="B28" s="3" t="n">
        <v>1300</v>
      </c>
      <c r="C28" s="4">
        <f>LN(B28/B27)*100</f>
        <v/>
      </c>
      <c r="D28" s="4">
        <f>STDEV(C26:C28)</f>
        <v/>
      </c>
      <c r="E28" s="4">
        <f>STDEV(C17:C28)</f>
        <v/>
      </c>
    </row>
    <row r="29">
      <c r="A29" t="inlineStr">
        <is>
          <t>2017-04-30</t>
        </is>
      </c>
      <c r="B29" s="3" t="n">
        <v>1277</v>
      </c>
      <c r="C29" s="4">
        <f>LN(B29/B28)*100</f>
        <v/>
      </c>
      <c r="D29" s="4">
        <f>STDEV(C27:C29)</f>
        <v/>
      </c>
      <c r="E29" s="4">
        <f>STDEV(C18:C29)</f>
        <v/>
      </c>
    </row>
    <row r="30">
      <c r="A30" t="inlineStr">
        <is>
          <t>2017-05-31</t>
        </is>
      </c>
      <c r="B30" s="3" t="n">
        <v>1273</v>
      </c>
      <c r="C30" s="4">
        <f>LN(B30/B29)*100</f>
        <v/>
      </c>
      <c r="D30" s="4">
        <f>STDEV(C28:C30)</f>
        <v/>
      </c>
      <c r="E30" s="4">
        <f>STDEV(C19:C30)</f>
        <v/>
      </c>
    </row>
    <row r="31">
      <c r="A31" t="inlineStr">
        <is>
          <t>2017-06-30</t>
        </is>
      </c>
      <c r="B31" s="3" t="n">
        <v>1248</v>
      </c>
      <c r="C31" s="4">
        <f>LN(B31/B30)*100</f>
        <v/>
      </c>
      <c r="D31" s="4">
        <f>STDEV(C29:C31)</f>
        <v/>
      </c>
      <c r="E31" s="4">
        <f>STDEV(C20:C31)</f>
        <v/>
      </c>
    </row>
    <row r="32">
      <c r="A32" t="inlineStr">
        <is>
          <t>2017-07-31</t>
        </is>
      </c>
      <c r="B32" s="3" t="n">
        <v>1215</v>
      </c>
      <c r="C32" s="4">
        <f>LN(B32/B31)*100</f>
        <v/>
      </c>
      <c r="D32" s="4">
        <f>STDEV(C30:C32)</f>
        <v/>
      </c>
      <c r="E32" s="4">
        <f>STDEV(C21:C32)</f>
        <v/>
      </c>
    </row>
    <row r="33">
      <c r="A33" t="inlineStr">
        <is>
          <t>2017-08-31</t>
        </is>
      </c>
      <c r="B33" s="3" t="n">
        <v>1289</v>
      </c>
      <c r="C33" s="4">
        <f>LN(B33/B32)*100</f>
        <v/>
      </c>
      <c r="D33" s="4">
        <f>STDEV(C31:C33)</f>
        <v/>
      </c>
      <c r="E33" s="4">
        <f>STDEV(C22:C33)</f>
        <v/>
      </c>
    </row>
    <row r="34">
      <c r="A34" t="inlineStr">
        <is>
          <t>2017-09-30</t>
        </is>
      </c>
      <c r="B34" s="3" t="n">
        <v>1289</v>
      </c>
      <c r="C34" s="4">
        <f>LN(B34/B33)*100</f>
        <v/>
      </c>
      <c r="D34" s="4">
        <f>STDEV(C32:C34)</f>
        <v/>
      </c>
      <c r="E34" s="4">
        <f>STDEV(C23:C34)</f>
        <v/>
      </c>
    </row>
    <row r="35">
      <c r="A35" t="inlineStr">
        <is>
          <t>2017-10-31</t>
        </is>
      </c>
      <c r="B35" s="3" t="n">
        <v>1274</v>
      </c>
      <c r="C35" s="4">
        <f>LN(B35/B34)*100</f>
        <v/>
      </c>
      <c r="D35" s="4">
        <f>STDEV(C33:C35)</f>
        <v/>
      </c>
      <c r="E35" s="4">
        <f>STDEV(C24:C35)</f>
        <v/>
      </c>
    </row>
    <row r="36">
      <c r="A36" t="inlineStr">
        <is>
          <t>2017-11-30</t>
        </is>
      </c>
      <c r="B36" s="3" t="n">
        <v>1280</v>
      </c>
      <c r="C36" s="4">
        <f>LN(B36/B35)*100</f>
        <v/>
      </c>
      <c r="D36" s="4">
        <f>STDEV(C34:C36)</f>
        <v/>
      </c>
      <c r="E36" s="4">
        <f>STDEV(C25:C36)</f>
        <v/>
      </c>
    </row>
    <row r="37">
      <c r="A37" t="inlineStr">
        <is>
          <t>2017-12-31</t>
        </is>
      </c>
      <c r="B37" s="3" t="n">
        <v>1303</v>
      </c>
      <c r="C37" s="4">
        <f>LN(B37/B36)*100</f>
        <v/>
      </c>
      <c r="D37" s="4">
        <f>STDEV(C35:C37)</f>
        <v/>
      </c>
      <c r="E37" s="4">
        <f>STDEV(C26:C37)</f>
        <v/>
      </c>
    </row>
    <row r="38">
      <c r="A38" t="inlineStr">
        <is>
          <t>2018-01-31</t>
        </is>
      </c>
      <c r="B38" s="3" t="n">
        <v>1328</v>
      </c>
      <c r="C38" s="4">
        <f>LN(B38/B37)*100</f>
        <v/>
      </c>
      <c r="D38" s="4">
        <f>STDEV(C36:C38)</f>
        <v/>
      </c>
      <c r="E38" s="4">
        <f>STDEV(C27:C38)</f>
        <v/>
      </c>
    </row>
    <row r="39">
      <c r="A39" t="inlineStr">
        <is>
          <t>2018-02-28</t>
        </is>
      </c>
      <c r="B39" s="3" t="n">
        <v>1337</v>
      </c>
      <c r="C39" s="4">
        <f>LN(B39/B38)*100</f>
        <v/>
      </c>
      <c r="D39" s="4">
        <f>STDEV(C37:C39)</f>
        <v/>
      </c>
      <c r="E39" s="4">
        <f>STDEV(C28:C39)</f>
        <v/>
      </c>
    </row>
    <row r="40">
      <c r="A40" t="inlineStr">
        <is>
          <t>2018-03-31</t>
        </is>
      </c>
      <c r="B40" s="3" t="n">
        <v>1345</v>
      </c>
      <c r="C40" s="4">
        <f>LN(B40/B39)*100</f>
        <v/>
      </c>
      <c r="D40" s="4">
        <f>STDEV(C38:C40)</f>
        <v/>
      </c>
      <c r="E40" s="4">
        <f>STDEV(C29:C40)</f>
        <v/>
      </c>
    </row>
    <row r="41">
      <c r="A41" t="inlineStr">
        <is>
          <t>2018-04-30</t>
        </is>
      </c>
      <c r="B41" s="3" t="n">
        <v>1306</v>
      </c>
      <c r="C41" s="4">
        <f>LN(B41/B40)*100</f>
        <v/>
      </c>
      <c r="D41" s="4">
        <f>STDEV(C39:C41)</f>
        <v/>
      </c>
      <c r="E41" s="4">
        <f>STDEV(C30:C41)</f>
        <v/>
      </c>
    </row>
    <row r="42">
      <c r="A42" t="inlineStr">
        <is>
          <t>2018-05-31</t>
        </is>
      </c>
      <c r="B42" s="3" t="n">
        <v>1299</v>
      </c>
      <c r="C42" s="4">
        <f>LN(B42/B41)*100</f>
        <v/>
      </c>
      <c r="D42" s="4">
        <f>STDEV(C40:C42)</f>
        <v/>
      </c>
      <c r="E42" s="4">
        <f>STDEV(C31:C42)</f>
        <v/>
      </c>
    </row>
    <row r="43">
      <c r="A43" t="inlineStr">
        <is>
          <t>2018-06-30</t>
        </is>
      </c>
      <c r="B43" s="3" t="n">
        <v>1268</v>
      </c>
      <c r="C43" s="4">
        <f>LN(B43/B42)*100</f>
        <v/>
      </c>
      <c r="D43" s="4">
        <f>STDEV(C41:C43)</f>
        <v/>
      </c>
      <c r="E43" s="4">
        <f>STDEV(C32:C43)</f>
        <v/>
      </c>
    </row>
    <row r="44">
      <c r="A44" t="inlineStr">
        <is>
          <t>2018-07-31</t>
        </is>
      </c>
      <c r="B44" s="3" t="n">
        <v>1263</v>
      </c>
      <c r="C44" s="4">
        <f>LN(B44/B43)*100</f>
        <v/>
      </c>
      <c r="D44" s="4">
        <f>STDEV(C42:C44)</f>
        <v/>
      </c>
      <c r="E44" s="4">
        <f>STDEV(C33:C44)</f>
        <v/>
      </c>
    </row>
    <row r="45">
      <c r="A45" t="inlineStr">
        <is>
          <t>2018-08-31</t>
        </is>
      </c>
      <c r="B45" s="3" t="n">
        <v>1285</v>
      </c>
      <c r="C45" s="4">
        <f>LN(B45/B44)*100</f>
        <v/>
      </c>
      <c r="D45" s="4">
        <f>STDEV(C43:C45)</f>
        <v/>
      </c>
      <c r="E45" s="4">
        <f>STDEV(C34:C45)</f>
        <v/>
      </c>
    </row>
    <row r="46">
      <c r="A46" t="inlineStr">
        <is>
          <t>2018-09-30</t>
        </is>
      </c>
      <c r="B46" s="3" t="n">
        <v>1186</v>
      </c>
      <c r="C46" s="4">
        <f>LN(B46/B45)*100</f>
        <v/>
      </c>
      <c r="D46" s="4">
        <f>STDEV(C44:C46)</f>
        <v/>
      </c>
      <c r="E46" s="4">
        <f>STDEV(C35:C46)</f>
        <v/>
      </c>
    </row>
    <row r="47">
      <c r="A47" t="inlineStr">
        <is>
          <t>2018-10-31</t>
        </is>
      </c>
      <c r="B47" s="3" t="n">
        <v>1179</v>
      </c>
      <c r="C47" s="4">
        <f>LN(B47/B46)*100</f>
        <v/>
      </c>
      <c r="D47" s="4">
        <f>STDEV(C45:C47)</f>
        <v/>
      </c>
      <c r="E47" s="4">
        <f>STDEV(C36:C47)</f>
        <v/>
      </c>
    </row>
    <row r="48">
      <c r="A48" t="inlineStr">
        <is>
          <t>2018-11-30</t>
        </is>
      </c>
      <c r="B48" s="3" t="n">
        <v>1282</v>
      </c>
      <c r="C48" s="4">
        <f>LN(B48/B47)*100</f>
        <v/>
      </c>
      <c r="D48" s="4">
        <f>STDEV(C46:C48)</f>
        <v/>
      </c>
      <c r="E48" s="4">
        <f>STDEV(C37:C48)</f>
        <v/>
      </c>
    </row>
    <row r="49">
      <c r="A49" t="inlineStr">
        <is>
          <t>2018-12-31</t>
        </is>
      </c>
      <c r="B49" s="3" t="n">
        <v>1282</v>
      </c>
      <c r="C49" s="4">
        <f>LN(B49/B48)*100</f>
        <v/>
      </c>
      <c r="D49" s="4">
        <f>STDEV(C47:C49)</f>
        <v/>
      </c>
      <c r="E49" s="4">
        <f>STDEV(C38:C49)</f>
        <v/>
      </c>
    </row>
    <row r="50">
      <c r="A50" t="inlineStr">
        <is>
          <t>2019-01-31</t>
        </is>
      </c>
      <c r="B50" s="3" t="n">
        <v>1283</v>
      </c>
      <c r="C50" s="4">
        <f>LN(B50/B49)*100</f>
        <v/>
      </c>
      <c r="D50" s="4">
        <f>STDEV(C48:C50)</f>
        <v/>
      </c>
      <c r="E50" s="4">
        <f>STDEV(C39:C50)</f>
        <v/>
      </c>
    </row>
    <row r="51">
      <c r="A51" t="inlineStr">
        <is>
          <t>2019-02-28</t>
        </is>
      </c>
      <c r="B51" s="3" t="n">
        <v>1297</v>
      </c>
      <c r="C51" s="4">
        <f>LN(B51/B50)*100</f>
        <v/>
      </c>
      <c r="D51" s="4">
        <f>STDEV(C49:C51)</f>
        <v/>
      </c>
      <c r="E51" s="4">
        <f>STDEV(C40:C51)</f>
        <v/>
      </c>
    </row>
    <row r="52">
      <c r="A52" t="inlineStr">
        <is>
          <t>2019-03-31</t>
        </is>
      </c>
      <c r="B52" s="3" t="n">
        <v>1296</v>
      </c>
      <c r="C52" s="4">
        <f>LN(B52/B51)*100</f>
        <v/>
      </c>
      <c r="D52" s="4">
        <f>STDEV(C50:C52)</f>
        <v/>
      </c>
      <c r="E52" s="4">
        <f>STDEV(C41:C52)</f>
        <v/>
      </c>
    </row>
    <row r="53">
      <c r="A53" t="inlineStr">
        <is>
          <t>2019-04-30</t>
        </is>
      </c>
      <c r="B53" s="3" t="n">
        <v>1272</v>
      </c>
      <c r="C53" s="4">
        <f>LN(B53/B52)*100</f>
        <v/>
      </c>
      <c r="D53" s="4">
        <f>STDEV(C51:C53)</f>
        <v/>
      </c>
      <c r="E53" s="4">
        <f>STDEV(C42:C53)</f>
        <v/>
      </c>
    </row>
    <row r="54">
      <c r="A54" t="inlineStr">
        <is>
          <t>2019-05-31</t>
        </is>
      </c>
      <c r="B54" s="3" t="n">
        <v>1275</v>
      </c>
      <c r="C54" s="4">
        <f>LN(B54/B53)*100</f>
        <v/>
      </c>
      <c r="D54" s="4">
        <f>STDEV(C52:C54)</f>
        <v/>
      </c>
      <c r="E54" s="4">
        <f>STDEV(C43:C54)</f>
        <v/>
      </c>
    </row>
    <row r="55">
      <c r="A55" t="inlineStr">
        <is>
          <t>2019-06-30</t>
        </is>
      </c>
      <c r="B55" s="3" t="n">
        <v>1409</v>
      </c>
      <c r="C55" s="4">
        <f>LN(B55/B54)*100</f>
        <v/>
      </c>
      <c r="D55" s="4">
        <f>STDEV(C53:C55)</f>
        <v/>
      </c>
      <c r="E55" s="4">
        <f>STDEV(C44:C55)</f>
        <v/>
      </c>
    </row>
    <row r="56">
      <c r="A56" t="inlineStr">
        <is>
          <t>2019-07-31</t>
        </is>
      </c>
      <c r="B56" s="3" t="n">
        <v>1412</v>
      </c>
      <c r="C56" s="4">
        <f>LN(B56/B55)*100</f>
        <v/>
      </c>
      <c r="D56" s="4">
        <f>STDEV(C54:C56)</f>
        <v/>
      </c>
      <c r="E56" s="4">
        <f>STDEV(C45:C56)</f>
        <v/>
      </c>
    </row>
    <row r="57">
      <c r="A57" t="inlineStr">
        <is>
          <t>2019-08-31</t>
        </is>
      </c>
      <c r="B57" s="3" t="n">
        <v>1395</v>
      </c>
      <c r="C57" s="4">
        <f>LN(B57/B56)*100</f>
        <v/>
      </c>
      <c r="D57" s="4">
        <f>STDEV(C55:C57)</f>
        <v/>
      </c>
      <c r="E57" s="4">
        <f>STDEV(C46:C57)</f>
        <v/>
      </c>
    </row>
    <row r="58">
      <c r="A58" t="inlineStr">
        <is>
          <t>2019-09-30</t>
        </is>
      </c>
      <c r="B58" s="3" t="n">
        <v>1393</v>
      </c>
      <c r="C58" s="4">
        <f>LN(B58/B57)*100</f>
        <v/>
      </c>
      <c r="D58" s="4">
        <f>STDEV(C56:C58)</f>
        <v/>
      </c>
      <c r="E58" s="4">
        <f>STDEV(C47:C58)</f>
        <v/>
      </c>
    </row>
    <row r="59">
      <c r="A59" t="inlineStr">
        <is>
          <t>2019-10-31</t>
        </is>
      </c>
      <c r="B59" s="3" t="n">
        <v>1393</v>
      </c>
      <c r="C59" s="4">
        <f>LN(B59/B58)*100</f>
        <v/>
      </c>
      <c r="D59" s="4">
        <f>STDEV(C57:C59)</f>
        <v/>
      </c>
      <c r="E59" s="4">
        <f>STDEV(C48:C59)</f>
        <v/>
      </c>
    </row>
    <row r="60">
      <c r="A60" t="inlineStr">
        <is>
          <t>2019-11-30</t>
        </is>
      </c>
      <c r="B60" s="3" t="n">
        <v>1393</v>
      </c>
      <c r="C60" s="4">
        <f>LN(B60/B59)*100</f>
        <v/>
      </c>
      <c r="D60" s="4">
        <f>STDEV(C58:C60)</f>
        <v/>
      </c>
      <c r="E60" s="4">
        <f>STDEV(C49:C60)</f>
        <v/>
      </c>
    </row>
    <row r="61">
      <c r="A61" t="inlineStr">
        <is>
          <t>2019-12-31</t>
        </is>
      </c>
      <c r="B61" s="3" t="n">
        <v>1393</v>
      </c>
      <c r="C61" s="4">
        <f>LN(B61/B60)*100</f>
        <v/>
      </c>
      <c r="D61" s="4">
        <f>STDEV(C59:C61)</f>
        <v/>
      </c>
      <c r="E61" s="4">
        <f>STDEV(C50:C61)</f>
        <v/>
      </c>
    </row>
    <row r="62">
      <c r="A62" t="inlineStr">
        <is>
          <t>2020-01-31</t>
        </is>
      </c>
      <c r="B62" s="3" t="n">
        <v>1393</v>
      </c>
      <c r="C62" s="4">
        <f>LN(B62/B61)*100</f>
        <v/>
      </c>
      <c r="D62" s="4">
        <f>STDEV(C60:C62)</f>
        <v/>
      </c>
      <c r="E62" s="4">
        <f>STDEV(C51:C62)</f>
        <v/>
      </c>
    </row>
    <row r="63">
      <c r="A63" t="inlineStr">
        <is>
          <t>2020-02-29</t>
        </is>
      </c>
      <c r="B63" s="3" t="n">
        <v>1383</v>
      </c>
      <c r="C63" s="4">
        <f>LN(B63/B62)*100</f>
        <v/>
      </c>
      <c r="D63" s="4">
        <f>STDEV(C61:C63)</f>
        <v/>
      </c>
      <c r="E63" s="4">
        <f>STDEV(C52:C63)</f>
        <v/>
      </c>
    </row>
    <row r="64">
      <c r="A64" t="inlineStr">
        <is>
          <t>2020-03-31</t>
        </is>
      </c>
      <c r="B64" s="3" t="n">
        <v>1583</v>
      </c>
      <c r="C64" s="4">
        <f>LN(B64/B63)*100</f>
        <v/>
      </c>
      <c r="D64" s="4">
        <f>STDEV(C62:C64)</f>
        <v/>
      </c>
      <c r="E64" s="4">
        <f>STDEV(C53:C64)</f>
        <v/>
      </c>
    </row>
    <row r="65">
      <c r="A65" t="inlineStr">
        <is>
          <t>2020-04-30</t>
        </is>
      </c>
      <c r="B65" s="3" t="n">
        <v>1748</v>
      </c>
      <c r="C65" s="4">
        <f>LN(B65/B64)*100</f>
        <v/>
      </c>
      <c r="D65" s="4">
        <f>STDEV(C63:C65)</f>
        <v/>
      </c>
      <c r="E65" s="4">
        <f>STDEV(C54:C65)</f>
        <v/>
      </c>
    </row>
    <row r="66">
      <c r="A66" t="inlineStr">
        <is>
          <t>2020-05-31</t>
        </is>
      </c>
      <c r="B66" s="3" t="n">
        <v>1772</v>
      </c>
      <c r="C66" s="4">
        <f>LN(B66/B65)*100</f>
        <v/>
      </c>
      <c r="D66" s="4">
        <f>STDEV(C64:C66)</f>
        <v/>
      </c>
      <c r="E66" s="4">
        <f>STDEV(C55:C66)</f>
        <v/>
      </c>
    </row>
    <row r="67">
      <c r="A67" t="inlineStr">
        <is>
          <t>2020-06-30</t>
        </is>
      </c>
      <c r="B67" s="3" t="n">
        <v>1768</v>
      </c>
      <c r="C67" s="4">
        <f>LN(B67/B66)*100</f>
        <v/>
      </c>
      <c r="D67" s="4">
        <f>STDEV(C65:C67)</f>
        <v/>
      </c>
      <c r="E67" s="4">
        <f>STDEV(C56:C67)</f>
        <v/>
      </c>
    </row>
    <row r="68">
      <c r="A68" t="inlineStr">
        <is>
          <t>2020-07-31</t>
        </is>
      </c>
      <c r="B68" s="3" t="n">
        <v>1799</v>
      </c>
      <c r="C68" s="4">
        <f>LN(B68/B67)*100</f>
        <v/>
      </c>
      <c r="D68" s="4">
        <f>STDEV(C66:C68)</f>
        <v/>
      </c>
      <c r="E68" s="4">
        <f>STDEV(C57:C68)</f>
        <v/>
      </c>
    </row>
    <row r="69">
      <c r="A69" t="inlineStr">
        <is>
          <t>2020-08-31</t>
        </is>
      </c>
      <c r="B69" s="3" t="n">
        <v>1770</v>
      </c>
      <c r="C69" s="4">
        <f>LN(B69/B68)*100</f>
        <v/>
      </c>
      <c r="D69" s="4">
        <f>STDEV(C67:C69)</f>
        <v/>
      </c>
      <c r="E69" s="4">
        <f>STDEV(C58:C69)</f>
        <v/>
      </c>
    </row>
    <row r="70">
      <c r="A70" t="inlineStr">
        <is>
          <t>2020-09-30</t>
        </is>
      </c>
      <c r="B70" s="3" t="n">
        <v>1774</v>
      </c>
      <c r="C70" s="4">
        <f>LN(B70/B69)*100</f>
        <v/>
      </c>
      <c r="D70" s="4">
        <f>STDEV(C68:C70)</f>
        <v/>
      </c>
      <c r="E70" s="4">
        <f>STDEV(C59:C70)</f>
        <v/>
      </c>
    </row>
    <row r="71">
      <c r="A71" t="inlineStr">
        <is>
          <t>2020-10-31</t>
        </is>
      </c>
      <c r="B71" s="3" t="n">
        <v>1772</v>
      </c>
      <c r="C71" s="4">
        <f>LN(B71/B70)*100</f>
        <v/>
      </c>
      <c r="D71" s="4">
        <f>STDEV(C69:C71)</f>
        <v/>
      </c>
      <c r="E71" s="4">
        <f>STDEV(C60:C71)</f>
        <v/>
      </c>
    </row>
    <row r="72">
      <c r="A72" t="inlineStr">
        <is>
          <t>2020-11-30</t>
        </is>
      </c>
      <c r="B72" s="3" t="n">
        <v>1771</v>
      </c>
      <c r="C72" s="4">
        <f>LN(B72/B71)*100</f>
        <v/>
      </c>
      <c r="D72" s="4">
        <f>STDEV(C70:C72)</f>
        <v/>
      </c>
      <c r="E72" s="4">
        <f>STDEV(C61:C72)</f>
        <v/>
      </c>
    </row>
    <row r="73">
      <c r="A73" t="inlineStr">
        <is>
          <t>2020-12-31</t>
        </is>
      </c>
      <c r="B73" s="3" t="n">
        <v>1770</v>
      </c>
      <c r="C73" s="4">
        <f>LN(B73/B72)*100</f>
        <v/>
      </c>
      <c r="D73" s="4">
        <f>STDEV(C71:C73)</f>
        <v/>
      </c>
      <c r="E73" s="4">
        <f>STDEV(C62:C73)</f>
        <v/>
      </c>
    </row>
    <row r="74">
      <c r="A74" t="inlineStr">
        <is>
          <t>2021-01-31</t>
        </is>
      </c>
      <c r="B74" s="3" t="n">
        <v>1770</v>
      </c>
      <c r="C74" s="4">
        <f>LN(B74/B73)*100</f>
        <v/>
      </c>
      <c r="D74" s="4">
        <f>STDEV(C72:C74)</f>
        <v/>
      </c>
      <c r="E74" s="4">
        <f>STDEV(C63:C74)</f>
        <v/>
      </c>
    </row>
    <row r="75">
      <c r="A75" t="inlineStr">
        <is>
          <t>2021-02-28</t>
        </is>
      </c>
      <c r="B75" s="3" t="n">
        <v>1802</v>
      </c>
      <c r="C75" s="4">
        <f>LN(B75/B74)*100</f>
        <v/>
      </c>
      <c r="D75" s="4">
        <f>STDEV(C73:C75)</f>
        <v/>
      </c>
      <c r="E75" s="4">
        <f>STDEV(C64:C75)</f>
        <v/>
      </c>
    </row>
    <row r="76">
      <c r="A76" t="inlineStr">
        <is>
          <t>2021-03-31</t>
        </is>
      </c>
      <c r="B76" s="3" t="n">
        <v>1788</v>
      </c>
      <c r="C76" s="4">
        <f>LN(B76/B75)*100</f>
        <v/>
      </c>
      <c r="D76" s="4">
        <f>STDEV(C74:C76)</f>
        <v/>
      </c>
      <c r="E76" s="4">
        <f>STDEV(C65:C76)</f>
        <v/>
      </c>
    </row>
    <row r="77">
      <c r="A77" t="inlineStr">
        <is>
          <t>2021-04-30</t>
        </is>
      </c>
      <c r="B77" s="3" t="n">
        <v>1784</v>
      </c>
      <c r="C77" s="4">
        <f>LN(B77/B76)*100</f>
        <v/>
      </c>
      <c r="D77" s="4">
        <f>STDEV(C75:C77)</f>
        <v/>
      </c>
      <c r="E77" s="4">
        <f>STDEV(C66:C77)</f>
        <v/>
      </c>
    </row>
    <row r="78">
      <c r="A78" t="inlineStr">
        <is>
          <t>2021-05-31</t>
        </is>
      </c>
      <c r="B78" s="3" t="n">
        <v>1824</v>
      </c>
      <c r="C78" s="4">
        <f>LN(B78/B77)*100</f>
        <v/>
      </c>
      <c r="D78" s="4">
        <f>STDEV(C76:C78)</f>
        <v/>
      </c>
      <c r="E78" s="4">
        <f>STDEV(C67:C78)</f>
        <v/>
      </c>
    </row>
    <row r="79">
      <c r="A79" t="inlineStr">
        <is>
          <t>2021-06-30</t>
        </is>
      </c>
      <c r="B79" s="3" t="n">
        <v>1864</v>
      </c>
      <c r="C79" s="4">
        <f>LN(B79/B78)*100</f>
        <v/>
      </c>
      <c r="D79" s="4">
        <f>STDEV(C77:C79)</f>
        <v/>
      </c>
      <c r="E79" s="4">
        <f>STDEV(C68:C79)</f>
        <v/>
      </c>
    </row>
    <row r="80">
      <c r="A80" t="inlineStr">
        <is>
          <t>2021-07-31</t>
        </is>
      </c>
      <c r="B80" s="3" t="n">
        <v>1829</v>
      </c>
      <c r="C80" s="4">
        <f>LN(B80/B79)*100</f>
        <v/>
      </c>
      <c r="D80" s="4">
        <f>STDEV(C78:C80)</f>
        <v/>
      </c>
      <c r="E80" s="4">
        <f>STDEV(C69:C80)</f>
        <v/>
      </c>
    </row>
    <row r="81">
      <c r="A81" t="inlineStr">
        <is>
          <t>2021-08-31</t>
        </is>
      </c>
      <c r="B81" s="3" t="n">
        <v>1812</v>
      </c>
      <c r="C81" s="4">
        <f>LN(B81/B80)*100</f>
        <v/>
      </c>
      <c r="D81" s="4">
        <f>STDEV(C79:C81)</f>
        <v/>
      </c>
      <c r="E81" s="4">
        <f>STDEV(C70:C81)</f>
        <v/>
      </c>
    </row>
    <row r="82">
      <c r="A82" t="inlineStr">
        <is>
          <t>2021-09-30</t>
        </is>
      </c>
      <c r="B82" s="3" t="n">
        <v>1791</v>
      </c>
      <c r="C82" s="4">
        <f>LN(B82/B81)*100</f>
        <v/>
      </c>
      <c r="D82" s="4">
        <f>STDEV(C80:C82)</f>
        <v/>
      </c>
      <c r="E82" s="4">
        <f>STDEV(C71:C82)</f>
        <v/>
      </c>
    </row>
    <row r="83">
      <c r="A83" t="inlineStr">
        <is>
          <t>2021-10-31</t>
        </is>
      </c>
      <c r="B83" s="3" t="n">
        <v>1796</v>
      </c>
      <c r="C83" s="4">
        <f>LN(B83/B82)*100</f>
        <v/>
      </c>
      <c r="D83" s="4">
        <f>STDEV(C81:C83)</f>
        <v/>
      </c>
      <c r="E83" s="4">
        <f>STDEV(C72:C83)</f>
        <v/>
      </c>
    </row>
    <row r="84">
      <c r="A84" t="inlineStr">
        <is>
          <t>2021-11-30</t>
        </is>
      </c>
      <c r="B84" s="3" t="n">
        <v>1798</v>
      </c>
      <c r="C84" s="4">
        <f>LN(B84/B83)*100</f>
        <v/>
      </c>
      <c r="D84" s="4">
        <f>STDEV(C82:C84)</f>
        <v/>
      </c>
      <c r="E84" s="4">
        <f>STDEV(C73:C84)</f>
        <v/>
      </c>
    </row>
    <row r="85">
      <c r="A85" t="inlineStr">
        <is>
          <t>2021-12-31</t>
        </is>
      </c>
      <c r="B85" s="3" t="n">
        <v>1799</v>
      </c>
      <c r="C85" s="4">
        <f>LN(B85/B84)*100</f>
        <v/>
      </c>
      <c r="D85" s="4">
        <f>STDEV(C83:C85)</f>
        <v/>
      </c>
      <c r="E85" s="4">
        <f>STDEV(C74:C85)</f>
        <v/>
      </c>
    </row>
    <row r="86">
      <c r="A86" t="inlineStr">
        <is>
          <t>2022-01-31</t>
        </is>
      </c>
      <c r="B86" s="3" t="n">
        <v>1799</v>
      </c>
      <c r="C86" s="4">
        <f>LN(B86/B85)*100</f>
        <v/>
      </c>
      <c r="D86" s="4">
        <f>STDEV(C84:C86)</f>
        <v/>
      </c>
      <c r="E86" s="4">
        <f>STDEV(C75:C86)</f>
        <v/>
      </c>
    </row>
    <row r="87">
      <c r="A87" t="inlineStr">
        <is>
          <t>2022-02-28</t>
        </is>
      </c>
      <c r="B87" s="3" t="n">
        <v>1821</v>
      </c>
      <c r="C87" s="4">
        <f>LN(B87/B86)*100</f>
        <v/>
      </c>
      <c r="D87" s="4">
        <f>STDEV(C85:C87)</f>
        <v/>
      </c>
      <c r="E87" s="4">
        <f>STDEV(C76:C87)</f>
        <v/>
      </c>
    </row>
    <row r="88">
      <c r="A88" t="inlineStr">
        <is>
          <t>2022-03-31</t>
        </is>
      </c>
      <c r="B88" s="3" t="n">
        <v>1952</v>
      </c>
      <c r="C88" s="4">
        <f>LN(B88/B87)*100</f>
        <v/>
      </c>
      <c r="D88" s="4">
        <f>STDEV(C86:C88)</f>
        <v/>
      </c>
      <c r="E88" s="4">
        <f>STDEV(C77:C88)</f>
        <v/>
      </c>
    </row>
    <row r="89">
      <c r="A89" t="inlineStr">
        <is>
          <t>2022-04-30</t>
        </is>
      </c>
      <c r="B89" s="3" t="n">
        <v>1988</v>
      </c>
      <c r="C89" s="4">
        <f>LN(B89/B88)*100</f>
        <v/>
      </c>
      <c r="D89" s="4">
        <f>STDEV(C87:C89)</f>
        <v/>
      </c>
      <c r="E89" s="4">
        <f>STDEV(C78:C89)</f>
        <v/>
      </c>
    </row>
    <row r="90">
      <c r="A90" t="inlineStr">
        <is>
          <t>2022-05-31</t>
        </is>
      </c>
      <c r="B90" s="3" t="n">
        <v>2020</v>
      </c>
      <c r="C90" s="4">
        <f>LN(B90/B89)*100</f>
        <v/>
      </c>
      <c r="D90" s="4">
        <f>STDEV(C88:C90)</f>
        <v/>
      </c>
      <c r="E90" s="4">
        <f>STDEV(C79:C90)</f>
        <v/>
      </c>
    </row>
    <row r="91">
      <c r="A91" t="inlineStr">
        <is>
          <t>2022-06-30</t>
        </is>
      </c>
      <c r="B91" s="3" t="n">
        <v>1952</v>
      </c>
      <c r="C91" s="4">
        <f>LN(B91/B90)*100</f>
        <v/>
      </c>
      <c r="D91" s="4">
        <f>STDEV(C89:C91)</f>
        <v/>
      </c>
      <c r="E91" s="4">
        <f>STDEV(C80:C91)</f>
        <v/>
      </c>
    </row>
    <row r="92">
      <c r="A92" t="inlineStr">
        <is>
          <t>2022-07-31</t>
        </is>
      </c>
      <c r="B92" s="3" t="n">
        <v>1981</v>
      </c>
      <c r="C92" s="4">
        <f>LN(B92/B91)*100</f>
        <v/>
      </c>
      <c r="D92" s="4">
        <f>STDEV(C90:C92)</f>
        <v/>
      </c>
      <c r="E92" s="4">
        <f>STDEV(C81:C92)</f>
        <v/>
      </c>
    </row>
    <row r="93">
      <c r="A93" t="inlineStr">
        <is>
          <t>2022-08-31</t>
        </is>
      </c>
      <c r="B93" s="3" t="n">
        <v>1996</v>
      </c>
      <c r="C93" s="4">
        <f>LN(B93/B92)*100</f>
        <v/>
      </c>
      <c r="D93" s="4">
        <f>STDEV(C91:C93)</f>
        <v/>
      </c>
      <c r="E93" s="4">
        <f>STDEV(C82:C93)</f>
        <v/>
      </c>
    </row>
    <row r="94">
      <c r="A94" t="inlineStr">
        <is>
          <t>2022-09-30</t>
        </is>
      </c>
      <c r="B94" s="3" t="n">
        <v>1919</v>
      </c>
      <c r="C94" s="4">
        <f>LN(B94/B93)*100</f>
        <v/>
      </c>
      <c r="D94" s="4">
        <f>STDEV(C92:C94)</f>
        <v/>
      </c>
      <c r="E94" s="4">
        <f>STDEV(C83:C94)</f>
        <v/>
      </c>
    </row>
    <row r="95">
      <c r="A95" t="inlineStr">
        <is>
          <t>2022-10-31</t>
        </is>
      </c>
      <c r="B95" s="3" t="n">
        <v>1863</v>
      </c>
      <c r="C95" s="4">
        <f>LN(B95/B94)*100</f>
        <v/>
      </c>
      <c r="D95" s="4">
        <f>STDEV(C93:C95)</f>
        <v/>
      </c>
      <c r="E95" s="4">
        <f>STDEV(C84:C95)</f>
        <v/>
      </c>
    </row>
    <row r="96">
      <c r="A96" t="inlineStr">
        <is>
          <t>2022-11-30</t>
        </is>
      </c>
      <c r="B96" s="3" t="n">
        <v>1823</v>
      </c>
      <c r="C96" s="4">
        <f>LN(B96/B95)*100</f>
        <v/>
      </c>
      <c r="D96" s="4">
        <f>STDEV(C94:C96)</f>
        <v/>
      </c>
      <c r="E96" s="4">
        <f>STDEV(C85:C96)</f>
        <v/>
      </c>
    </row>
    <row r="97">
      <c r="A97" t="inlineStr">
        <is>
          <t>2022-12-31</t>
        </is>
      </c>
      <c r="B97" s="3" t="n">
        <v>1922</v>
      </c>
      <c r="C97" s="4">
        <f>LN(B97/B96)*100</f>
        <v/>
      </c>
      <c r="D97" s="4">
        <f>STDEV(C95:C97)</f>
        <v/>
      </c>
      <c r="E97" s="4">
        <f>STDEV(C86:C97)</f>
        <v/>
      </c>
    </row>
    <row r="98">
      <c r="A98" t="inlineStr">
        <is>
          <t>2023-01-31</t>
        </is>
      </c>
      <c r="B98" s="3" t="n">
        <v>1922</v>
      </c>
      <c r="C98" s="4">
        <f>LN(B98/B97)*100</f>
        <v/>
      </c>
      <c r="D98" s="4">
        <f>STDEV(C96:C98)</f>
        <v/>
      </c>
      <c r="E98" s="4">
        <f>STDEV(C87:C98)</f>
        <v/>
      </c>
    </row>
    <row r="99">
      <c r="A99" t="inlineStr">
        <is>
          <t>2023-02-28</t>
        </is>
      </c>
      <c r="B99" s="3" t="n">
        <v>1960</v>
      </c>
      <c r="C99" s="4">
        <f>LN(B99/B98)*100</f>
        <v/>
      </c>
      <c r="D99" s="4">
        <f>STDEV(C97:C99)</f>
        <v/>
      </c>
      <c r="E99" s="4">
        <f>STDEV(C88:C99)</f>
        <v/>
      </c>
    </row>
    <row r="100">
      <c r="A100" t="inlineStr">
        <is>
          <t>2023-03-31</t>
        </is>
      </c>
      <c r="B100" s="3" t="n">
        <v>2084</v>
      </c>
      <c r="C100" s="4">
        <f>LN(B100/B99)*100</f>
        <v/>
      </c>
      <c r="D100" s="4">
        <f>STDEV(C98:C100)</f>
        <v/>
      </c>
      <c r="E100" s="4">
        <f>STDEV(C89:C100)</f>
        <v/>
      </c>
    </row>
    <row r="101">
      <c r="A101" t="inlineStr">
        <is>
          <t>2023-04-30</t>
        </is>
      </c>
      <c r="B101" s="3" t="n">
        <v>2087</v>
      </c>
      <c r="C101" s="4">
        <f>LN(B101/B100)*100</f>
        <v/>
      </c>
      <c r="D101" s="4">
        <f>STDEV(C99:C101)</f>
        <v/>
      </c>
      <c r="E101" s="4">
        <f>STDEV(C90:C101)</f>
        <v/>
      </c>
    </row>
    <row r="102">
      <c r="A102" t="inlineStr">
        <is>
          <t>2023-05-31</t>
        </is>
      </c>
      <c r="B102" s="3" t="n">
        <v>2350</v>
      </c>
      <c r="C102" s="4">
        <f>LN(B102/B101)*100</f>
        <v/>
      </c>
      <c r="D102" s="4">
        <f>STDEV(C100:C102)</f>
        <v/>
      </c>
      <c r="E102" s="4">
        <f>STDEV(C91:C102)</f>
        <v/>
      </c>
    </row>
    <row r="103">
      <c r="A103" t="inlineStr">
        <is>
          <t>2023-06-30</t>
        </is>
      </c>
      <c r="B103" s="3" t="n">
        <v>2385</v>
      </c>
      <c r="C103" s="4">
        <f>LN(B103/B102)*100</f>
        <v/>
      </c>
      <c r="D103" s="4">
        <f>STDEV(C101:C103)</f>
        <v/>
      </c>
      <c r="E103" s="4">
        <f>STDEV(C92:C103)</f>
        <v/>
      </c>
    </row>
    <row r="104">
      <c r="A104" t="inlineStr">
        <is>
          <t>2023-07-31</t>
        </is>
      </c>
      <c r="B104" s="3" t="n">
        <v>2384</v>
      </c>
      <c r="C104" s="4">
        <f>LN(B104/B103)*100</f>
        <v/>
      </c>
      <c r="D104" s="4">
        <f>STDEV(C102:C104)</f>
        <v/>
      </c>
      <c r="E104" s="4">
        <f>STDEV(C93:C104)</f>
        <v/>
      </c>
    </row>
    <row r="105">
      <c r="A105" t="inlineStr">
        <is>
          <t>2023-08-31</t>
        </is>
      </c>
      <c r="B105" s="3" t="n">
        <v>2360</v>
      </c>
      <c r="C105" s="4">
        <f>LN(B105/B104)*100</f>
        <v/>
      </c>
      <c r="D105" s="4">
        <f>STDEV(C103:C105)</f>
        <v/>
      </c>
      <c r="E105" s="4">
        <f>STDEV(C94:C105)</f>
        <v/>
      </c>
    </row>
    <row r="106">
      <c r="A106" t="inlineStr">
        <is>
          <t>2023-09-30</t>
        </is>
      </c>
      <c r="B106" s="3" t="n">
        <v>2409</v>
      </c>
      <c r="C106" s="4">
        <f>LN(B106/B105)*100</f>
        <v/>
      </c>
      <c r="D106" s="4">
        <f>STDEV(C104:C106)</f>
        <v/>
      </c>
      <c r="E106" s="4">
        <f>STDEV(C95:C106)</f>
        <v/>
      </c>
    </row>
    <row r="107">
      <c r="A107" t="inlineStr">
        <is>
          <t>2023-10-31</t>
        </is>
      </c>
      <c r="B107" s="3" t="n">
        <v>2503</v>
      </c>
      <c r="C107" s="4">
        <f>LN(B107/B106)*100</f>
        <v/>
      </c>
      <c r="D107" s="4">
        <f>STDEV(C105:C107)</f>
        <v/>
      </c>
      <c r="E107" s="4">
        <f>STDEV(C96:C107)</f>
        <v/>
      </c>
    </row>
    <row r="108">
      <c r="A108" t="inlineStr">
        <is>
          <t>2023-11-30</t>
        </is>
      </c>
      <c r="B108" s="3" t="n">
        <v>2505</v>
      </c>
      <c r="C108" s="4">
        <f>LN(B108/B107)*100</f>
        <v/>
      </c>
      <c r="D108" s="4">
        <f>STDEV(C106:C108)</f>
        <v/>
      </c>
      <c r="E108" s="4">
        <f>STDEV(C97:C108)</f>
        <v/>
      </c>
    </row>
    <row r="109">
      <c r="A109" t="inlineStr">
        <is>
          <t>2023-12-31</t>
        </is>
      </c>
      <c r="B109" s="3" t="n">
        <v>2636</v>
      </c>
      <c r="C109" s="4">
        <f>LN(B109/B108)*100</f>
        <v/>
      </c>
      <c r="D109" s="4">
        <f>STDEV(C107:C109)</f>
        <v/>
      </c>
      <c r="E109" s="4">
        <f>STDEV(C98:C109)</f>
        <v/>
      </c>
    </row>
    <row r="110">
      <c r="A110" t="inlineStr">
        <is>
          <t>2024-01-31</t>
        </is>
      </c>
      <c r="B110" s="3" t="n">
        <v>2636</v>
      </c>
      <c r="C110" s="4">
        <f>LN(B110/B109)*100</f>
        <v/>
      </c>
      <c r="D110" s="4">
        <f>STDEV(C108:C110)</f>
        <v/>
      </c>
      <c r="E110" s="4">
        <f>STDEV(C99:C110)</f>
        <v/>
      </c>
    </row>
    <row r="111">
      <c r="A111" t="inlineStr">
        <is>
          <t>2024-02-29</t>
        </is>
      </c>
      <c r="B111" s="3" t="n">
        <v>2662</v>
      </c>
      <c r="C111" s="4">
        <f>LN(B111/B110)*100</f>
        <v/>
      </c>
      <c r="D111" s="4">
        <f>STDEV(C109:C111)</f>
        <v/>
      </c>
      <c r="E111" s="4">
        <f>STDEV(C100:C111)</f>
        <v/>
      </c>
    </row>
    <row r="112">
      <c r="A112" t="inlineStr">
        <is>
          <t>2024-03-31</t>
        </is>
      </c>
      <c r="B112" s="3" t="n">
        <v>2611</v>
      </c>
      <c r="C112" s="4">
        <f>LN(B112/B111)*100</f>
        <v/>
      </c>
      <c r="D112" s="4">
        <f>STDEV(C110:C112)</f>
        <v/>
      </c>
      <c r="E112" s="4">
        <f>STDEV(C101:C112)</f>
        <v/>
      </c>
    </row>
    <row r="113">
      <c r="A113" t="inlineStr">
        <is>
          <t>2024-04-30</t>
        </is>
      </c>
      <c r="B113" s="3" t="n">
        <v>2370</v>
      </c>
      <c r="C113" s="4">
        <f>LN(B113/B112)*100</f>
        <v/>
      </c>
      <c r="D113" s="4">
        <f>STDEV(C111:C113)</f>
        <v/>
      </c>
      <c r="E113" s="4">
        <f>STDEV(C102:C113)</f>
        <v/>
      </c>
    </row>
    <row r="114">
      <c r="A114" t="inlineStr">
        <is>
          <t>2024-05-31</t>
        </is>
      </c>
      <c r="B114" s="3" t="n">
        <v>2318</v>
      </c>
      <c r="C114" s="4">
        <f>LN(B114/B113)*100</f>
        <v/>
      </c>
      <c r="D114" s="4">
        <f>STDEV(C112:C114)</f>
        <v/>
      </c>
      <c r="E114" s="4">
        <f>STDEV(C103:C114)</f>
        <v/>
      </c>
    </row>
    <row r="115">
      <c r="A115" t="inlineStr">
        <is>
          <t>2024-06-30</t>
        </is>
      </c>
      <c r="B115" s="3" t="n">
        <v>2388</v>
      </c>
      <c r="C115" s="4">
        <f>LN(B115/B114)*100</f>
        <v/>
      </c>
      <c r="D115" s="4">
        <f>STDEV(C113:C115)</f>
        <v/>
      </c>
      <c r="E115" s="4">
        <f>STDEV(C104:C115)</f>
        <v/>
      </c>
    </row>
    <row r="116">
      <c r="A116" t="inlineStr">
        <is>
          <t>2024-07-31</t>
        </is>
      </c>
      <c r="B116" s="3" t="n">
        <v>2409</v>
      </c>
      <c r="C116" s="4">
        <f>LN(B116/B115)*100</f>
        <v/>
      </c>
      <c r="D116" s="4">
        <f>STDEV(C114:C116)</f>
        <v/>
      </c>
      <c r="E116" s="4">
        <f>STDEV(C105:C116)</f>
        <v/>
      </c>
    </row>
    <row r="117">
      <c r="A117" t="inlineStr">
        <is>
          <t>2024-08-31</t>
        </is>
      </c>
      <c r="B117" s="3" t="n">
        <v>2448</v>
      </c>
      <c r="C117" s="4">
        <f>LN(B117/B116)*100</f>
        <v/>
      </c>
      <c r="D117" s="4">
        <f>STDEV(C115:C117)</f>
        <v/>
      </c>
      <c r="E117" s="4">
        <f>STDEV(C106:C117)</f>
        <v/>
      </c>
    </row>
    <row r="118">
      <c r="A118" t="inlineStr">
        <is>
          <t>2024-09-30</t>
        </is>
      </c>
      <c r="B118" s="3" t="n">
        <v>2447</v>
      </c>
      <c r="C118" s="4">
        <f>LN(B118/B117)*100</f>
        <v/>
      </c>
      <c r="D118" s="4">
        <f>STDEV(C116:C118)</f>
        <v/>
      </c>
      <c r="E118" s="4">
        <f>STDEV(C107:C118)</f>
        <v/>
      </c>
    </row>
    <row r="119">
      <c r="A119" t="inlineStr">
        <is>
          <t>2024-10-31</t>
        </is>
      </c>
      <c r="B119" s="3" t="n">
        <v>2463</v>
      </c>
      <c r="C119" s="4">
        <f>LN(B119/B118)*100</f>
        <v/>
      </c>
      <c r="D119" s="4">
        <f>STDEV(C117:C119)</f>
        <v/>
      </c>
      <c r="E119" s="4">
        <f>STDEV(C108:C119)</f>
        <v/>
      </c>
    </row>
    <row r="120">
      <c r="A120" t="inlineStr">
        <is>
          <t>2024-11-30</t>
        </is>
      </c>
      <c r="B120" s="3" t="n">
        <v>2662</v>
      </c>
      <c r="C120" s="4">
        <f>LN(B120/B119)*100</f>
        <v/>
      </c>
      <c r="D120" s="4">
        <f>STDEV(C118:C120)</f>
        <v/>
      </c>
      <c r="E120" s="4">
        <f>STDEV(C109:C120)</f>
        <v/>
      </c>
    </row>
    <row r="121">
      <c r="A121" t="inlineStr">
        <is>
          <t>2024-12-31</t>
        </is>
      </c>
      <c r="B121" s="3" t="n">
        <v>2727</v>
      </c>
      <c r="C121" s="4">
        <f>LN(B121/B120)*100</f>
        <v/>
      </c>
      <c r="D121" s="4">
        <f>STDEV(C119:C121)</f>
        <v/>
      </c>
      <c r="E121" s="4">
        <f>STDEV(C110:C121)</f>
        <v/>
      </c>
    </row>
    <row r="122">
      <c r="A122" t="inlineStr">
        <is>
          <t>2025-01-31</t>
        </is>
      </c>
      <c r="B122" s="3" t="n">
        <v>2727</v>
      </c>
      <c r="C122" s="4">
        <f>LN(B122/B121)*100</f>
        <v/>
      </c>
      <c r="D122" s="4">
        <f>STDEV(C120:C122)</f>
        <v/>
      </c>
      <c r="E122" s="4">
        <f>STDEV(C111:C122)</f>
        <v/>
      </c>
    </row>
    <row r="123">
      <c r="A123" t="inlineStr">
        <is>
          <t>2025-02-28</t>
        </is>
      </c>
      <c r="B123" s="3" t="n">
        <v>2750</v>
      </c>
      <c r="C123" s="4">
        <f>LN(B123/B122)*100</f>
        <v/>
      </c>
      <c r="D123" s="4">
        <f>STDEV(C121:C123)</f>
        <v/>
      </c>
      <c r="E123" s="4">
        <f>STDEV(C112:C123)</f>
        <v/>
      </c>
    </row>
    <row r="124">
      <c r="A124" t="inlineStr">
        <is>
          <t>2025-03-31</t>
        </is>
      </c>
      <c r="B124" s="3" t="n">
        <v>2745</v>
      </c>
      <c r="C124" s="4">
        <f>LN(B124/B123)*100</f>
        <v/>
      </c>
      <c r="D124" s="4">
        <f>STDEV(C122:C124)</f>
        <v/>
      </c>
      <c r="E124" s="4">
        <f>STDEV(C113:C124)</f>
        <v/>
      </c>
    </row>
    <row r="125">
      <c r="A125" t="inlineStr">
        <is>
          <t>2025-04-30</t>
        </is>
      </c>
      <c r="B125" s="3" t="n">
        <v>2700</v>
      </c>
      <c r="C125" s="4">
        <f>LN(B125/B124)*100</f>
        <v/>
      </c>
      <c r="D125" s="4">
        <f>STDEV(C123:C125)</f>
        <v/>
      </c>
      <c r="E125" s="4">
        <f>STDEV(C114:C125)</f>
        <v/>
      </c>
    </row>
    <row r="126">
      <c r="A126" t="inlineStr">
        <is>
          <t>2025-05-31</t>
        </is>
      </c>
      <c r="B126" s="3" t="n">
        <v>2680</v>
      </c>
      <c r="C126" s="4">
        <f>LN(B126/B125)*100</f>
        <v/>
      </c>
      <c r="D126" s="4">
        <f>STDEV(C124:C126)</f>
        <v/>
      </c>
      <c r="E126" s="4">
        <f>STDEV(C115:C126)</f>
        <v/>
      </c>
    </row>
    <row r="127">
      <c r="A127" t="inlineStr">
        <is>
          <t>2025-06-30</t>
        </is>
      </c>
      <c r="B127" s="3" t="n">
        <v>2690</v>
      </c>
      <c r="C127" s="4">
        <f>LN(B127/B126)*100</f>
        <v/>
      </c>
      <c r="D127" s="4">
        <f>STDEV(C125:C127)</f>
        <v/>
      </c>
      <c r="E127" s="4">
        <f>STDEV(C116:C127)</f>
        <v/>
      </c>
    </row>
    <row r="128">
      <c r="A128" t="inlineStr">
        <is>
          <t>2025-07-31</t>
        </is>
      </c>
      <c r="B128" s="3" t="n">
        <v>2710</v>
      </c>
      <c r="C128" s="4">
        <f>LN(B128/B127)*100</f>
        <v/>
      </c>
      <c r="D128" s="4">
        <f>STDEV(C126:C128)</f>
        <v/>
      </c>
      <c r="E128" s="4">
        <f>STDEV(C117:C128)</f>
        <v/>
      </c>
    </row>
    <row r="129">
      <c r="A129" t="inlineStr">
        <is>
          <t>2025-08-31</t>
        </is>
      </c>
      <c r="B129" s="3" t="n">
        <v>2730</v>
      </c>
      <c r="C129" s="4">
        <f>LN(B129/B128)*100</f>
        <v/>
      </c>
      <c r="D129" s="4">
        <f>STDEV(C127:C129)</f>
        <v/>
      </c>
      <c r="E129" s="4">
        <f>STDEV(C118:C129)</f>
        <v/>
      </c>
    </row>
    <row r="130">
      <c r="A130" t="inlineStr">
        <is>
          <t>2025-09-30</t>
        </is>
      </c>
      <c r="B130" s="3" t="n">
        <v>2750</v>
      </c>
      <c r="C130" s="4">
        <f>LN(B130/B129)*100</f>
        <v/>
      </c>
      <c r="D130" s="4">
        <f>STDEV(C128:C130)</f>
        <v/>
      </c>
      <c r="E130" s="4">
        <f>STDEV(C119:C130)</f>
        <v/>
      </c>
    </row>
    <row r="131">
      <c r="A131" t="inlineStr">
        <is>
          <t>2025-10-31</t>
        </is>
      </c>
      <c r="B131" s="3" t="n">
        <v>2770</v>
      </c>
      <c r="C131" s="4">
        <f>LN(B131/B130)*100</f>
        <v/>
      </c>
      <c r="D131" s="4">
        <f>STDEV(C129:C131)</f>
        <v/>
      </c>
      <c r="E131" s="4">
        <f>STDEV(C120:C131)</f>
        <v/>
      </c>
    </row>
    <row r="132">
      <c r="A132" t="inlineStr">
        <is>
          <t>2025-11-30</t>
        </is>
      </c>
      <c r="B132" s="3" t="n">
        <v>2790</v>
      </c>
      <c r="C132" s="4">
        <f>LN(B132/B131)*100</f>
        <v/>
      </c>
      <c r="D132" s="4">
        <f>STDEV(C130:C132)</f>
        <v/>
      </c>
      <c r="E132" s="4">
        <f>STDEV(C121:C132)</f>
        <v/>
      </c>
    </row>
    <row r="133">
      <c r="A133" t="inlineStr">
        <is>
          <t>2025-12-31</t>
        </is>
      </c>
      <c r="B133" s="3" t="n">
        <v>2800</v>
      </c>
      <c r="C133" s="4">
        <f>LN(B133/B132)*100</f>
        <v/>
      </c>
      <c r="D133" s="4">
        <f>STDEV(C131:C133)</f>
        <v/>
      </c>
      <c r="E133" s="4">
        <f>STDEV(C122:C133)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2025 Gold Reserves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Country</t>
        </is>
      </c>
      <c r="B1" s="1" t="inlineStr">
        <is>
          <t>2025 Gold Reserves (troy ounces)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Country</t>
        </is>
      </c>
      <c r="B1" s="1" t="inlineStr">
        <is>
          <t>2025 Total Reserves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STEP 1: Gold Price Analysis</t>
        </is>
      </c>
    </row>
    <row r="3">
      <c r="A3" t="inlineStr">
        <is>
          <t>Latest Gold Price (US$ per troy ounce):</t>
        </is>
      </c>
    </row>
    <row r="4">
      <c r="A4" t="inlineStr">
        <is>
          <t>Monthly Log Return (%):</t>
        </is>
      </c>
    </row>
    <row r="5">
      <c r="A5" t="inlineStr">
        <is>
          <t>3-Month Volatility (%):</t>
        </is>
      </c>
    </row>
    <row r="6">
      <c r="A6" t="inlineStr">
        <is>
          <t>3-Month Annualized Volatility (%):</t>
        </is>
      </c>
    </row>
    <row r="11">
      <c r="A11" s="2" t="inlineStr">
        <is>
          <t>STEP 2: Countries with 2025 Gold Reserves</t>
        </is>
      </c>
    </row>
    <row r="12">
      <c r="A12" t="inlineStr">
        <is>
          <t>Country</t>
        </is>
      </c>
      <c r="B12" t="inlineStr">
        <is>
          <t>Gold Reserves Value (USD)</t>
        </is>
      </c>
    </row>
    <row r="13">
      <c r="A13" t="inlineStr">
        <is>
          <t>Gold Price Exposure:</t>
        </is>
      </c>
    </row>
    <row r="20">
      <c r="A20" s="2" t="inlineStr">
        <is>
          <t>STEP 3: Risk Analysis</t>
        </is>
      </c>
    </row>
    <row r="21">
      <c r="A21" t="inlineStr">
        <is>
          <t>Country</t>
        </is>
      </c>
      <c r="B21" t="inlineStr">
        <is>
          <t>Gold Reserves Value (USD)</t>
        </is>
      </c>
      <c r="C21" t="inlineStr">
        <is>
          <t>Gold Price Volatility (%)</t>
        </is>
      </c>
      <c r="D21" t="inlineStr">
        <is>
          <t>Total Reserves (USD)</t>
        </is>
      </c>
      <c r="E21" t="inlineStr">
        <is>
          <t>RaR (%)</t>
        </is>
      </c>
    </row>
    <row r="23">
      <c r="A23" t="inlineStr">
        <is>
          <t>Total Reserves (USD):</t>
        </is>
      </c>
    </row>
    <row r="24">
      <c r="A24" t="inlineStr">
        <is>
          <t>RaR (Risk as a % of Reserves):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2026-01-28T07:43:09Z</dcterms:created>
  <dcterms:modified xsi:type="dcterms:W3CDTF">2026-01-28T07:50:18Z</dcterms:modified>
</cp:coreProperties>
</file>