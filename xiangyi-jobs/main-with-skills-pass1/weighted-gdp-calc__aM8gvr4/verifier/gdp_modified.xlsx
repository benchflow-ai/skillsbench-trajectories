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<sst xmlns="http://schemas.openxmlformats.org/spreadsheetml/2006/main" count="362" uniqueCount="110">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</sst>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IFERROR(INDEX(Data!$H$21:$K$26,MATCH($D$12,Data!$B$21:$B$26,0),MATCH(H$9,Data!$H$4:$K$4,0)),"")</f>
        <v>404.046289993193</v>
      </c>
      <c r="I12" s="9" t="n">
        <f aca="false">IFERROR(INDEX(Data!$H$21:$K$26,MATCH($D$12,Data!$B$21:$B$26,0),MATCH(I$9,Data!$H$4:$K$4,0)),"")</f>
        <v>350.279101429544</v>
      </c>
      <c r="J12" s="9" t="n">
        <f aca="false">IFERROR(INDEX(Data!$H$21:$K$26,MATCH($D$12,Data!$B$21:$B$26,0),MATCH(J$9,Data!$H$4:$K$4,0)),"")</f>
        <v>425.132743362831</v>
      </c>
      <c r="K12" s="9" t="str">
        <f aca="false">IFERROR(INDEX(Data!$H$21:$K$26,MATCH($D$12,Data!$B$21:$B$26,0),MATCH(K$9,Data!$H$4:$K$4,0)),"")</f>
        <v/>
      </c>
      <c r="L12" s="10" t="str">
        <f aca="false">IFERROR(INDEX(Data!$H$21:$K$26,MATCH($D$12,Data!$B$21:$B$26,0),MATCH(L$9,Data!$H$4:$K$4,0)),"")</f>
        <v/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IFERROR(INDEX(Data!$H$21:$K$26,MATCH($D$13,Data!$B$21:$B$26,0),MATCH(H$9,Data!$H$4:$K$4,0)),"")</f>
        <v>29.5643617021277</v>
      </c>
      <c r="I13" s="14" t="n">
        <f aca="false">IFERROR(INDEX(Data!$H$21:$K$26,MATCH($D$13,Data!$B$21:$B$26,0),MATCH(I$9,Data!$H$4:$K$4,0)),"")</f>
        <v>25.2492021276596</v>
      </c>
      <c r="J13" s="14" t="n">
        <f aca="false">IFERROR(INDEX(Data!$H$21:$K$26,MATCH($D$13,Data!$B$21:$B$26,0),MATCH(J$9,Data!$H$4:$K$4,0)),"")</f>
        <v>35.2345744680852</v>
      </c>
      <c r="K13" s="14" t="str">
        <f aca="false">IFERROR(INDEX(Data!$H$21:$K$26,MATCH($D$13,Data!$B$21:$B$26,0),MATCH(K$9,Data!$H$4:$K$4,0)),"")</f>
        <v/>
      </c>
      <c r="L13" s="15" t="str">
        <f aca="false">IFERROR(INDEX(Data!$H$21:$K$26,MATCH($D$13,Data!$B$21:$B$26,0),MATCH(L$9,Data!$H$4:$K$4,0)),"")</f>
        <v/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IFERROR(INDEX(Data!$H$21:$K$26,MATCH($D$14,Data!$B$21:$B$26,0),MATCH(H$9,Data!$H$4:$K$4,0)),"")</f>
        <v>73.3299115928385</v>
      </c>
      <c r="I14" s="14" t="n">
        <f aca="false">IFERROR(INDEX(Data!$H$21:$K$26,MATCH($D$14,Data!$B$21:$B$26,0),MATCH(I$9,Data!$H$4:$K$4,0)),"")</f>
        <v>48.5460037554086</v>
      </c>
      <c r="J14" s="14" t="n">
        <f aca="false">IFERROR(INDEX(Data!$H$21:$K$26,MATCH($D$14,Data!$B$21:$B$26,0),MATCH(J$9,Data!$H$4:$K$4,0)),"")</f>
        <v>76.7375173351161</v>
      </c>
      <c r="K14" s="14" t="str">
        <f aca="false">IFERROR(INDEX(Data!$H$21:$K$26,MATCH($D$14,Data!$B$21:$B$26,0),MATCH(K$9,Data!$H$4:$K$4,0)),"")</f>
        <v/>
      </c>
      <c r="L14" s="15" t="str">
        <f aca="false">IFERROR(INDEX(Data!$H$21:$K$26,MATCH($D$14,Data!$B$21:$B$26,0),MATCH(L$9,Data!$H$4:$K$4,0)),"")</f>
        <v/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IFERROR(INDEX(Data!$H$21:$K$26,MATCH($D$15,Data!$B$21:$B$26,0),MATCH(H$9,Data!$H$4:$K$4,0)),"")</f>
        <v>92.0461538461538</v>
      </c>
      <c r="I15" s="14" t="n">
        <f aca="false">IFERROR(INDEX(Data!$H$21:$K$26,MATCH($D$15,Data!$B$21:$B$26,0),MATCH(I$9,Data!$H$4:$K$4,0)),"")</f>
        <v>70.9332417582417</v>
      </c>
      <c r="J15" s="14" t="n">
        <f aca="false">IFERROR(INDEX(Data!$H$21:$K$26,MATCH($D$15,Data!$B$21:$B$26,0),MATCH(J$9,Data!$H$4:$K$4,0)),"")</f>
        <v>105.54945054945</v>
      </c>
      <c r="K15" s="14" t="str">
        <f aca="false">IFERROR(INDEX(Data!$H$21:$K$26,MATCH($D$15,Data!$B$21:$B$26,0),MATCH(K$9,Data!$H$4:$K$4,0)),"")</f>
        <v/>
      </c>
      <c r="L15" s="15" t="str">
        <f aca="false">IFERROR(INDEX(Data!$H$21:$K$26,MATCH($D$15,Data!$B$21:$B$26,0),MATCH(L$9,Data!$H$4:$K$4,0)),"")</f>
        <v/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IFERROR(INDEX(Data!$H$21:$K$26,MATCH($D$16,Data!$B$21:$B$26,0),MATCH(H$9,Data!$H$4:$K$4,0)),"")</f>
        <v>43.5465965960978</v>
      </c>
      <c r="I16" s="14" t="n">
        <f aca="false">IFERROR(INDEX(Data!$H$21:$K$26,MATCH($D$16,Data!$B$21:$B$26,0),MATCH(I$9,Data!$H$4:$K$4,0)),"")</f>
        <v>35.6913528845155</v>
      </c>
      <c r="J16" s="14" t="n">
        <f aca="false">IFERROR(INDEX(Data!$H$21:$K$26,MATCH($D$16,Data!$B$21:$B$26,0),MATCH(J$9,Data!$H$4:$K$4,0)),"")</f>
        <v>46.5723129604928</v>
      </c>
      <c r="K16" s="14" t="str">
        <f aca="false">IFERROR(INDEX(Data!$H$21:$K$26,MATCH($D$16,Data!$B$21:$B$26,0),MATCH(K$9,Data!$H$4:$K$4,0)),"")</f>
        <v/>
      </c>
      <c r="L16" s="15" t="str">
        <f aca="false">IFERROR(INDEX(Data!$H$21:$K$26,MATCH($D$16,Data!$B$21:$B$26,0),MATCH(L$9,Data!$H$4:$K$4,0)),"")</f>
        <v/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IFERROR(INDEX(Data!$H$21:$K$26,MATCH($D$17,Data!$B$21:$B$26,0),MATCH(H$9,Data!$H$4:$K$4,0)),"")</f>
        <v>285.8599</v>
      </c>
      <c r="I17" s="17" t="n">
        <f aca="false">IFERROR(INDEX(Data!$H$21:$K$26,MATCH($D$17,Data!$B$21:$B$26,0),MATCH(I$9,Data!$H$4:$K$4,0)),"")</f>
        <v>182.8481</v>
      </c>
      <c r="J17" s="17" t="n">
        <f aca="false">IFERROR(INDEX(Data!$H$21:$K$26,MATCH($D$17,Data!$B$21:$B$26,0),MATCH(J$9,Data!$H$4:$K$4,0)),"")</f>
        <v>286.5016</v>
      </c>
      <c r="K17" s="17" t="str">
        <f aca="false">IFERROR(INDEX(Data!$H$21:$K$26,MATCH($D$17,Data!$B$21:$B$26,0),MATCH(K$9,Data!$H$4:$K$4,0)),"")</f>
        <v/>
      </c>
      <c r="L17" s="18" t="str">
        <f aca="false">IFERROR(INDEX(Data!$H$21:$K$26,MATCH($D$17,Data!$B$21:$B$26,0),MATCH(L$9,Data!$H$4:$K$4,0)),"")</f>
        <v/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IFERROR(INDEX(Data!$H$28:$K$33,MATCH($D$19,Data!$B$28:$B$33,0),MATCH(H$9,Data!$H$4:$K$4,0)),"")</f>
        <v>321.524846834582</v>
      </c>
      <c r="I19" s="9" t="n">
        <f aca="false">IFERROR(INDEX(Data!$H$28:$K$33,MATCH($D$19,Data!$B$28:$B$33,0),MATCH(I$9,Data!$H$4:$K$4,0)),"")</f>
        <v>273.682777399592</v>
      </c>
      <c r="J19" s="9" t="n">
        <f aca="false">IFERROR(INDEX(Data!$H$28:$K$33,MATCH($D$19,Data!$B$28:$B$33,0),MATCH(J$9,Data!$H$4:$K$4,0)),"")</f>
        <v>320.408441116406</v>
      </c>
      <c r="K19" s="9" t="str">
        <f aca="false">IFERROR(INDEX(Data!$H$28:$K$33,MATCH($D$19,Data!$B$28:$B$33,0),MATCH(K$9,Data!$H$4:$K$4,0)),"")</f>
        <v/>
      </c>
      <c r="L19" s="10" t="str">
        <f aca="false">IFERROR(INDEX(Data!$H$28:$K$33,MATCH($D$19,Data!$B$28:$B$33,0),MATCH(L$9,Data!$H$4:$K$4,0)),"")</f>
        <v/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IFERROR(INDEX(Data!$H$28:$K$33,MATCH($D$20,Data!$B$28:$B$33,0),MATCH(H$9,Data!$H$4:$K$4,0)),"")</f>
        <v>25.2077127659575</v>
      </c>
      <c r="I20" s="14" t="n">
        <f aca="false">IFERROR(INDEX(Data!$H$28:$K$33,MATCH($D$20,Data!$B$28:$B$33,0),MATCH(I$9,Data!$H$4:$K$4,0)),"")</f>
        <v>23.2968085106383</v>
      </c>
      <c r="J20" s="14" t="n">
        <f aca="false">IFERROR(INDEX(Data!$H$28:$K$33,MATCH($D$20,Data!$B$28:$B$33,0),MATCH(J$9,Data!$H$4:$K$4,0)),"")</f>
        <v>27.5773936170213</v>
      </c>
      <c r="K20" s="14" t="str">
        <f aca="false">IFERROR(INDEX(Data!$H$28:$K$33,MATCH($D$20,Data!$B$28:$B$33,0),MATCH(K$9,Data!$H$4:$K$4,0)),"")</f>
        <v/>
      </c>
      <c r="L20" s="15" t="str">
        <f aca="false">IFERROR(INDEX(Data!$H$28:$K$33,MATCH($D$20,Data!$B$28:$B$33,0),MATCH(L$9,Data!$H$4:$K$4,0)),"")</f>
        <v/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IFERROR(INDEX(Data!$H$28:$K$33,MATCH($D$21,Data!$B$28:$B$33,0),MATCH(H$9,Data!$H$4:$K$4,0)),"")</f>
        <v>55.8175535287385</v>
      </c>
      <c r="I21" s="14" t="n">
        <f aca="false">IFERROR(INDEX(Data!$H$28:$K$33,MATCH($D$21,Data!$B$28:$B$33,0),MATCH(I$9,Data!$H$4:$K$4,0)),"")</f>
        <v>42.5308188423545</v>
      </c>
      <c r="J21" s="14" t="n">
        <f aca="false">IFERROR(INDEX(Data!$H$28:$K$33,MATCH($D$21,Data!$B$28:$B$33,0),MATCH(J$9,Data!$H$4:$K$4,0)),"")</f>
        <v>44.9160455492262</v>
      </c>
      <c r="K21" s="14" t="str">
        <f aca="false">IFERROR(INDEX(Data!$H$28:$K$33,MATCH($D$21,Data!$B$28:$B$33,0),MATCH(K$9,Data!$H$4:$K$4,0)),"")</f>
        <v/>
      </c>
      <c r="L21" s="15" t="str">
        <f aca="false">IFERROR(INDEX(Data!$H$28:$K$33,MATCH($D$21,Data!$B$28:$B$33,0),MATCH(L$9,Data!$H$4:$K$4,0)),"")</f>
        <v/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IFERROR(INDEX(Data!$H$28:$K$33,MATCH($D$22,Data!$B$28:$B$33,0),MATCH(H$9,Data!$H$4:$K$4,0)),"")</f>
        <v>66.7697802197803</v>
      </c>
      <c r="I22" s="14" t="n">
        <f aca="false">IFERROR(INDEX(Data!$H$28:$K$33,MATCH($D$22,Data!$B$28:$B$33,0),MATCH(I$9,Data!$H$4:$K$4,0)),"")</f>
        <v>59.0645604395604</v>
      </c>
      <c r="J22" s="14" t="n">
        <f aca="false">IFERROR(INDEX(Data!$H$28:$K$33,MATCH($D$22,Data!$B$28:$B$33,0),MATCH(J$9,Data!$H$4:$K$4,0)),"")</f>
        <v>61.2043956043956</v>
      </c>
      <c r="K22" s="14" t="str">
        <f aca="false">IFERROR(INDEX(Data!$H$28:$K$33,MATCH($D$22,Data!$B$28:$B$33,0),MATCH(K$9,Data!$H$4:$K$4,0)),"")</f>
        <v/>
      </c>
      <c r="L22" s="15" t="str">
        <f aca="false">IFERROR(INDEX(Data!$H$28:$K$33,MATCH($D$22,Data!$B$28:$B$33,0),MATCH(L$9,Data!$H$4:$K$4,0)),"")</f>
        <v/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IFERROR(INDEX(Data!$H$28:$K$33,MATCH($D$23,Data!$B$28:$B$33,0),MATCH(H$9,Data!$H$4:$K$4,0)),"")</f>
        <v>32.5685552505517</v>
      </c>
      <c r="I23" s="14" t="n">
        <f aca="false">IFERROR(INDEX(Data!$H$28:$K$33,MATCH($D$23,Data!$B$28:$B$33,0),MATCH(I$9,Data!$H$4:$K$4,0)),"")</f>
        <v>33.8270953409951</v>
      </c>
      <c r="J23" s="14" t="n">
        <f aca="false">IFERROR(INDEX(Data!$H$28:$K$33,MATCH($D$23,Data!$B$28:$B$33,0),MATCH(J$9,Data!$H$4:$K$4,0)),"")</f>
        <v>37.2157374510285</v>
      </c>
      <c r="K23" s="14" t="str">
        <f aca="false">IFERROR(INDEX(Data!$H$28:$K$33,MATCH($D$23,Data!$B$28:$B$33,0),MATCH(K$9,Data!$H$4:$K$4,0)),"")</f>
        <v/>
      </c>
      <c r="L23" s="15" t="str">
        <f aca="false">IFERROR(INDEX(Data!$H$28:$K$33,MATCH($D$23,Data!$B$28:$B$33,0),MATCH(L$9,Data!$H$4:$K$4,0)),"")</f>
        <v/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IFERROR(INDEX(Data!$H$28:$K$33,MATCH($D$24,Data!$B$28:$B$33,0),MATCH(H$9,Data!$H$4:$K$4,0)),"")</f>
        <v>218.9747</v>
      </c>
      <c r="I24" s="17" t="n">
        <f aca="false">IFERROR(INDEX(Data!$H$28:$K$33,MATCH($D$24,Data!$B$28:$B$33,0),MATCH(I$9,Data!$H$4:$K$4,0)),"")</f>
        <v>182.1837</v>
      </c>
      <c r="J24" s="17" t="n">
        <f aca="false">IFERROR(INDEX(Data!$H$28:$K$33,MATCH($D$24,Data!$B$28:$B$33,0),MATCH(J$9,Data!$H$4:$K$4,0)),"")</f>
        <v>213.5156</v>
      </c>
      <c r="K24" s="17" t="str">
        <f aca="false">IFERROR(INDEX(Data!$H$28:$K$33,MATCH($D$24,Data!$B$28:$B$33,0),MATCH(K$9,Data!$H$4:$K$4,0)),"")</f>
        <v/>
      </c>
      <c r="L24" s="18" t="str">
        <f aca="false">IFERROR(INDEX(Data!$H$28:$K$33,MATCH($D$24,Data!$B$28:$B$33,0),MATCH(L$9,Data!$H$4:$K$4,0)),"")</f>
        <v/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IFERROR(INDEX(Data!$H$35:$K$40,MATCH($D$26,Data!$B$35:$B$40,0),MATCH(H$9,Data!$H$4:$K$4,0)),"")</f>
        <v>417.989652825051</v>
      </c>
      <c r="I26" s="9" t="n">
        <f aca="false">IFERROR(INDEX(Data!$H$35:$K$40,MATCH($D$26,Data!$B$35:$B$40,0),MATCH(I$9,Data!$H$4:$K$4,0)),"")</f>
        <v>349.473110959837</v>
      </c>
      <c r="J26" s="9" t="n">
        <f aca="false">IFERROR(INDEX(Data!$H$35:$K$40,MATCH($D$26,Data!$B$35:$B$40,0),MATCH(J$9,Data!$H$4:$K$4,0)),"")</f>
        <v>415.178761061947</v>
      </c>
      <c r="K26" s="9" t="str">
        <f aca="false">IFERROR(INDEX(Data!$H$35:$K$40,MATCH($D$26,Data!$B$35:$B$40,0),MATCH(K$9,Data!$H$4:$K$4,0)),"")</f>
        <v/>
      </c>
      <c r="L26" s="10" t="str">
        <f aca="false">IFERROR(INDEX(Data!$H$35:$K$40,MATCH($D$26,Data!$B$35:$B$40,0),MATCH(L$9,Data!$H$4:$K$4,0)),"")</f>
        <v/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IFERROR(INDEX(Data!$H$35:$K$40,MATCH($D$27,Data!$B$35:$B$40,0),MATCH(H$9,Data!$H$4:$K$4,0)),"")</f>
        <v>38.6537765957447</v>
      </c>
      <c r="I27" s="14" t="n">
        <f aca="false">IFERROR(INDEX(Data!$H$35:$K$40,MATCH($D$27,Data!$B$35:$B$40,0),MATCH(I$9,Data!$H$4:$K$4,0)),"")</f>
        <v>34.6217287234043</v>
      </c>
      <c r="J27" s="14" t="n">
        <f aca="false">IFERROR(INDEX(Data!$H$35:$K$40,MATCH($D$27,Data!$B$35:$B$40,0),MATCH(J$9,Data!$H$4:$K$4,0)),"")</f>
        <v>39.2886968085106</v>
      </c>
      <c r="K27" s="14" t="str">
        <f aca="false">IFERROR(INDEX(Data!$H$35:$K$40,MATCH($D$27,Data!$B$35:$B$40,0),MATCH(K$9,Data!$H$4:$K$4,0)),"")</f>
        <v/>
      </c>
      <c r="L27" s="15" t="str">
        <f aca="false">IFERROR(INDEX(Data!$H$35:$K$40,MATCH($D$27,Data!$B$35:$B$40,0),MATCH(L$9,Data!$H$4:$K$4,0)),"")</f>
        <v/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IFERROR(INDEX(Data!$H$35:$K$40,MATCH($D$28,Data!$B$35:$B$40,0),MATCH(H$9,Data!$H$4:$K$4,0)),"")</f>
        <v>138.694779832957</v>
      </c>
      <c r="I28" s="14" t="n">
        <f aca="false">IFERROR(INDEX(Data!$H$35:$K$40,MATCH($D$28,Data!$B$35:$B$40,0),MATCH(I$9,Data!$H$4:$K$4,0)),"")</f>
        <v>107.515715568618</v>
      </c>
      <c r="J28" s="14" t="n">
        <f aca="false">IFERROR(INDEX(Data!$H$35:$K$40,MATCH($D$28,Data!$B$35:$B$40,0),MATCH(J$9,Data!$H$4:$K$4,0)),"")</f>
        <v>141.773126840561</v>
      </c>
      <c r="K28" s="14" t="str">
        <f aca="false">IFERROR(INDEX(Data!$H$35:$K$40,MATCH($D$28,Data!$B$35:$B$40,0),MATCH(K$9,Data!$H$4:$K$4,0)),"")</f>
        <v/>
      </c>
      <c r="L28" s="15" t="str">
        <f aca="false">IFERROR(INDEX(Data!$H$35:$K$40,MATCH($D$28,Data!$B$35:$B$40,0),MATCH(L$9,Data!$H$4:$K$4,0)),"")</f>
        <v/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IFERROR(INDEX(Data!$H$35:$K$40,MATCH($D$29,Data!$B$35:$B$40,0),MATCH(H$9,Data!$H$4:$K$4,0)),"")</f>
        <v>176.371267689082</v>
      </c>
      <c r="I29" s="14" t="n">
        <f aca="false">IFERROR(INDEX(Data!$H$35:$K$40,MATCH($D$29,Data!$B$35:$B$40,0),MATCH(I$9,Data!$H$4:$K$4,0)),"")</f>
        <v>144.41136334527</v>
      </c>
      <c r="J29" s="14" t="n">
        <f aca="false">IFERROR(INDEX(Data!$H$35:$K$40,MATCH($D$29,Data!$B$35:$B$40,0),MATCH(J$9,Data!$H$4:$K$4,0)),"")</f>
        <v>179.732142857143</v>
      </c>
      <c r="K29" s="14" t="str">
        <f aca="false">IFERROR(INDEX(Data!$H$35:$K$40,MATCH($D$29,Data!$B$35:$B$40,0),MATCH(K$9,Data!$H$4:$K$4,0)),"")</f>
        <v/>
      </c>
      <c r="L29" s="15" t="str">
        <f aca="false">IFERROR(INDEX(Data!$H$35:$K$40,MATCH($D$29,Data!$B$35:$B$40,0),MATCH(L$9,Data!$H$4:$K$4,0)),"")</f>
        <v/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IFERROR(INDEX(Data!$H$35:$K$40,MATCH($D$30,Data!$B$35:$B$40,0),MATCH(H$9,Data!$H$4:$K$4,0)),"")</f>
        <v>88.0606849980307</v>
      </c>
      <c r="I30" s="14" t="n">
        <f aca="false">IFERROR(INDEX(Data!$H$35:$K$40,MATCH($D$30,Data!$B$35:$B$40,0),MATCH(I$9,Data!$H$4:$K$4,0)),"")</f>
        <v>75.9087126137841</v>
      </c>
      <c r="J30" s="14" t="n">
        <f aca="false">IFERROR(INDEX(Data!$H$35:$K$40,MATCH($D$30,Data!$B$35:$B$40,0),MATCH(J$9,Data!$H$4:$K$4,0)),"")</f>
        <v>88.1919375812744</v>
      </c>
      <c r="K30" s="14" t="str">
        <f aca="false">IFERROR(INDEX(Data!$H$35:$K$40,MATCH($D$30,Data!$B$35:$B$40,0),MATCH(K$9,Data!$H$4:$K$4,0)),"")</f>
        <v/>
      </c>
      <c r="L30" s="15" t="str">
        <f aca="false">IFERROR(INDEX(Data!$H$35:$K$40,MATCH($D$30,Data!$B$35:$B$40,0),MATCH(L$9,Data!$H$4:$K$4,0)),"")</f>
        <v/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IFERROR(INDEX(Data!$H$35:$K$40,MATCH($D$31,Data!$B$35:$B$40,0),MATCH(H$9,Data!$H$4:$K$4,0)),"")</f>
        <v>838.563733333333</v>
      </c>
      <c r="I31" s="17" t="n">
        <f aca="false">IFERROR(INDEX(Data!$H$35:$K$40,MATCH($D$31,Data!$B$35:$B$40,0),MATCH(I$9,Data!$H$4:$K$4,0)),"")</f>
        <v>734.2712</v>
      </c>
      <c r="J31" s="17" t="n">
        <f aca="false">IFERROR(INDEX(Data!$H$35:$K$40,MATCH($D$31,Data!$B$35:$B$40,0),MATCH(J$9,Data!$H$4:$K$4,0)),"")</f>
        <v>874.156</v>
      </c>
      <c r="K31" s="17" t="str">
        <f aca="false">IFERROR(INDEX(Data!$H$35:$K$40,MATCH($D$31,Data!$B$35:$B$40,0),MATCH(K$9,Data!$H$4:$K$4,0)),"")</f>
        <v/>
      </c>
      <c r="L31" s="18" t="str">
        <f aca="false">IFERROR(INDEX(Data!$H$35:$K$40,MATCH($D$31,Data!$B$35:$B$40,0),MATCH(L$9,Data!$H$4:$K$4,0)),"")</f>
        <v/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IF(OR(ISBLANK(H12),ISBLANK(H19),ISBLANK(H26)),"",(H12-H19)/H26*100)</f>
        <v>19.7424607525274</v>
      </c>
      <c r="I35" s="9" t="n">
        <f aca="false">IF(OR(ISBLANK(I12),ISBLANK(I19),ISBLANK(I26)),"",(I12-I19)/I26*100)</f>
        <v>21.9176587919964</v>
      </c>
      <c r="J35" s="9" t="n">
        <f aca="false">IF(OR(ISBLANK(J12),ISBLANK(J19),ISBLANK(J26)),"",(J12-J19)/J26*100)</f>
        <v>25.2239064393758</v>
      </c>
      <c r="K35" s="9" t="str">
        <f aca="false">""</f>
        <v/>
      </c>
      <c r="L35" s="10" t="str">
        <f aca="false">""</f>
        <v/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IF(OR(ISBLANK(H13),ISBLANK(H20),ISBLANK(H27)),"",(H13-H20)/H27*100)</f>
        <v>11.2709528534136</v>
      </c>
      <c r="I36" s="14" t="n">
        <f aca="false">IF(OR(ISBLANK(I13),ISBLANK(I20),ISBLANK(I27)),"",(I13-I20)/I27*100)</f>
        <v>5.63921470420823</v>
      </c>
      <c r="J36" s="14" t="n">
        <f aca="false">IF(OR(ISBLANK(J13),ISBLANK(J20),ISBLANK(J27)),"",(J13-J20)/J27*100)</f>
        <v>19.4895261820067</v>
      </c>
      <c r="K36" s="14" t="str">
        <f aca="false">""</f>
        <v/>
      </c>
      <c r="L36" s="15" t="str">
        <f aca="false">""</f>
        <v/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IF(OR(ISBLANK(H14),ISBLANK(H21),ISBLANK(H28)),"",(H14-H21)/H28*100)</f>
        <v>12.6265444778756</v>
      </c>
      <c r="I37" s="14" t="n">
        <f aca="false">IF(OR(ISBLANK(I14),ISBLANK(I21),ISBLANK(I28)),"",(I14-I21)/I28*100)</f>
        <v>5.59470295225364</v>
      </c>
      <c r="J37" s="14" t="n">
        <f aca="false">IF(OR(ISBLANK(J14),ISBLANK(J21),ISBLANK(J28)),"",(J14-J21)/J28*100)</f>
        <v>22.4453480677453</v>
      </c>
      <c r="K37" s="14" t="str">
        <f aca="false">""</f>
        <v/>
      </c>
      <c r="L37" s="15" t="str">
        <f aca="false">""</f>
        <v/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IF(OR(ISBLANK(H15),ISBLANK(H22),ISBLANK(H29)),"",(H15-H22)/H29*100)</f>
        <v>14.3313443042958</v>
      </c>
      <c r="I38" s="14" t="n">
        <f aca="false">IF(OR(ISBLANK(I15),ISBLANK(I22),ISBLANK(I29)),"",(I15-I22)/I29*100)</f>
        <v>8.21866163696878</v>
      </c>
      <c r="J38" s="14" t="n">
        <f aca="false">IF(OR(ISBLANK(J15),ISBLANK(J22),ISBLANK(J29)),"",(J15-J22)/J29*100)</f>
        <v>24.672857197447</v>
      </c>
      <c r="K38" s="14" t="str">
        <f aca="false">""</f>
        <v/>
      </c>
      <c r="L38" s="15" t="str">
        <f aca="false">""</f>
        <v/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IF(OR(ISBLANK(H16),ISBLANK(H23),ISBLANK(H30)),"",(H16-H23)/H30*100)</f>
        <v>12.4664500915381</v>
      </c>
      <c r="I39" s="14" t="n">
        <f aca="false">IF(OR(ISBLANK(I16),ISBLANK(I23),ISBLANK(I30)),"",(I16-I23)/I30*100)</f>
        <v>2.45592038031992</v>
      </c>
      <c r="J39" s="14" t="n">
        <f aca="false">IF(OR(ISBLANK(J16),ISBLANK(J23),ISBLANK(J30)),"",(J16-J23)/J30*100)</f>
        <v>10.6093320614956</v>
      </c>
      <c r="K39" s="14" t="str">
        <f aca="false">""</f>
        <v/>
      </c>
      <c r="L39" s="15" t="str">
        <f aca="false">""</f>
        <v/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IF(OR(ISBLANK(H17),ISBLANK(H24),ISBLANK(H31)),"",(H17-H24)/H31*100)</f>
        <v>7.97616178011037</v>
      </c>
      <c r="I40" s="17" t="n">
        <f aca="false">IF(OR(ISBLANK(I17),ISBLANK(I24),ISBLANK(I31)),"",(I17-I24)/I31*100)</f>
        <v>0.0904842788332159</v>
      </c>
      <c r="J40" s="17" t="n">
        <f aca="false">IF(OR(ISBLANK(J17),ISBLANK(J24),ISBLANK(J31)),"",(J17-J24)/J31*100)</f>
        <v>8.34931064935778</v>
      </c>
      <c r="K40" s="17" t="str">
        <f aca="false">""</f>
        <v/>
      </c>
      <c r="L40" s="18" t="str">
        <f aca="false">""</f>
        <v/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str">
        <f aca="false">""</f>
        <v/>
      </c>
      <c r="L42" s="10"/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19.7424607525274</v>
      </c>
      <c r="I43" s="14" t="n">
        <f aca="false">MAX(I35:I40)</f>
        <v>21.9176587919964</v>
      </c>
      <c r="J43" s="14" t="n">
        <f aca="false">MAX(J35:J40)</f>
        <v>25.2239064393758</v>
      </c>
      <c r="K43" s="14" t="str">
        <f aca="false">""</f>
        <v/>
      </c>
      <c r="L43" s="15"/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12.5464972847069</v>
      </c>
      <c r="I44" s="14" t="n">
        <f aca="false">MEDIAN(I35:I40)</f>
        <v>5.61695882823094</v>
      </c>
      <c r="J44" s="14" t="n">
        <f aca="false">MEDIAN(J35:J40)</f>
        <v>20.967437124876</v>
      </c>
      <c r="K44" s="14" t="str">
        <f aca="false">""</f>
        <v/>
      </c>
      <c r="L44" s="15"/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13.0689857099601</v>
      </c>
      <c r="I45" s="14" t="n">
        <f aca="false">AVERAGE(I35:I40)</f>
        <v>7.31944045743003</v>
      </c>
      <c r="J45" s="14" t="n">
        <f aca="false">AVERAGE(J35:J40)</f>
        <v>18.465046766238</v>
      </c>
      <c r="K45" s="14" t="str">
        <f aca="false">""</f>
        <v/>
      </c>
      <c r="L45" s="15"/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QUARTILE(H35:H40,1)</f>
        <v>11.5698271629447</v>
      </c>
      <c r="I46" s="14" t="n">
        <f aca="false">QUARTILE(I35:I40,1)</f>
        <v>3.24061602330335</v>
      </c>
      <c r="J46" s="14" t="n">
        <f aca="false">QUARTILE(J35:J40,1)</f>
        <v>12.8293805916233</v>
      </c>
      <c r="K46" s="14" t="str">
        <f aca="false">""</f>
        <v/>
      </c>
      <c r="L46" s="15"/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QUARTILE(H35:H40,3)</f>
        <v>13.9051443476907</v>
      </c>
      <c r="I47" s="17" t="n">
        <f aca="false">QUARTILE(I35:I40,3)</f>
        <v>7.57379990377865</v>
      </c>
      <c r="J47" s="17" t="n">
        <f aca="false">QUARTILE(J35:J40,3)</f>
        <v>24.1159799150216</v>
      </c>
      <c r="K47" s="17" t="str">
        <f aca="false">""</f>
        <v/>
      </c>
      <c r="L47" s="18"/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SUMPRODUCT(H35:H40/100,H26:H31)/SUMPRODUCT(H26:H31)*100</f>
        <v>12.2196268771574</v>
      </c>
      <c r="I50" s="23" t="n">
        <f aca="false">SUMPRODUCT(I35:I40/100,I26:I31)/SUMPRODUCT(I26:I31)*100</f>
        <v>6.84283751316843</v>
      </c>
      <c r="J50" s="23" t="n">
        <f aca="false">SUMPRODUCT(J35:J40/100,J26:J31)/SUMPRODUCT(J26:J31)*100</f>
        <v>15.5834645913624</v>
      </c>
      <c r="K50" s="23" t="str">
        <f aca="false">""</f>
        <v/>
      </c>
      <c r="L50" s="24" t="str">
        <f aca="false">""</f>
        <v/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2026-01-27T19:08:17Z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