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WT" sheetId="2" state="visible" r:id="rId4"/>
    <sheet name="WEO_Data" sheetId="3" state="visible" r:id="rId5"/>
    <sheet name="CFC_Data" sheetId="4" state="visible" r:id="rId6"/>
    <sheet name="Production" sheetId="5" state="visible" r:id="rId7"/>
    <sheet name="Investment" sheetId="6" state="visible" r:id="rId8"/>
    <sheet name="Resul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<sst xmlns="http://schemas.openxmlformats.org/spreadsheetml/2006/main" count="152" uniqueCount="140">
  <si>
    <t xml:space="preserve">GEORGIA INVESTMENT SHOCK ANALYSIS MODEL</t>
  </si>
  <si>
    <t xml:space="preserve">Cobb-Douglas Production Function Analysis with 6.5B USD Investment (2026-2033)</t>
  </si>
  <si>
    <t xml:space="preserve">KEY PARAMETERS</t>
  </si>
  <si>
    <t xml:space="preserve">Total Investment</t>
  </si>
  <si>
    <t xml:space="preserve">$6.5 Billion USD</t>
  </si>
  <si>
    <t xml:space="preserve">Investment Period</t>
  </si>
  <si>
    <t xml:space="preserve">2026-2033 (8 years)</t>
  </si>
  <si>
    <t xml:space="preserve">Capital Share (alpha)</t>
  </si>
  <si>
    <t xml:space="preserve">35%</t>
  </si>
  <si>
    <t xml:space="preserve">Annual Depreciation Rate</t>
  </si>
  <si>
    <t xml:space="preserve">4%</t>
  </si>
  <si>
    <t xml:space="preserve">K/Y Ratio (2023)</t>
  </si>
  <si>
    <t xml:space="preserve">2.72</t>
  </si>
  <si>
    <t xml:space="preserve">DATA SOURCES</t>
  </si>
  <si>
    <t xml:space="preserve">Sheet</t>
  </si>
  <si>
    <t xml:space="preserve">Source</t>
  </si>
  <si>
    <t xml:space="preserve">Coverage</t>
  </si>
  <si>
    <t xml:space="preserve">PWT</t>
  </si>
  <si>
    <t xml:space="preserve">Penn World Table 11.0</t>
  </si>
  <si>
    <t xml:space="preserve">2023 base data</t>
  </si>
  <si>
    <t xml:space="preserve">WEO_Data</t>
  </si>
  <si>
    <t xml:space="preserve">IMF World Economic Outlook</t>
  </si>
  <si>
    <t xml:space="preserve">2000-2027 (actual), 2028-2043 (projected at 5%)</t>
  </si>
  <si>
    <t xml:space="preserve">CFC_Data</t>
  </si>
  <si>
    <t xml:space="preserve">ECB - Consumption of Fixed Capital</t>
  </si>
  <si>
    <t xml:space="preserve">1996-2023 (annual depreciation in millions GEL)</t>
  </si>
  <si>
    <t xml:space="preserve">Production</t>
  </si>
  <si>
    <t xml:space="preserve">Cobb-Douglas function calculations</t>
  </si>
  <si>
    <t xml:space="preserve">2002-2023 with HP filter</t>
  </si>
  <si>
    <t xml:space="preserve">Investment</t>
  </si>
  <si>
    <t xml:space="preserve">Investment shock specification</t>
  </si>
  <si>
    <t xml:space="preserve">2026-2033 (8 years @ $0.81B/year)</t>
  </si>
  <si>
    <t xml:space="preserve">Results</t>
  </si>
  <si>
    <t xml:space="preserve">Output impact calculations</t>
  </si>
  <si>
    <t xml:space="preserve">2002-2043 (with and without investment)</t>
  </si>
  <si>
    <t xml:space="preserve">SHEET DESCRIPTIONS</t>
  </si>
  <si>
    <t xml:space="preserve">Penn World Table baseline data for Georgia (2023). Contains real GDP, capital stock, employment, and labour share estimates.</t>
  </si>
  <si>
    <t xml:space="preserve">IMF GDP projections extended to 2043. Historical data 2000-2027 from IMF WEO, 2028-2043 projected at constant 5% growth.</t>
  </si>
  <si>
    <t xml:space="preserve">ECB capital depreciation data. Used to calculate the depreciation rate (4% annual average for recent years).</t>
  </si>
  <si>
    <t xml:space="preserve">Production function analysis with Hodrick-Prescott filter. Shows LnZ decomposition and optimization area for Solver.</t>
  </si>
  <si>
    <t xml:space="preserve">Specifies the investment shock: $6.5B total over 8 years (2026-2033) = $0.8125B annually.</t>
  </si>
  <si>
    <t xml:space="preserve">Final output showing Y* (potential GDP) with and without investment shock. Impact is the difference between the two scenarios.</t>
  </si>
  <si>
    <t xml:space="preserve">MODEL EQUATIONS</t>
  </si>
  <si>
    <t xml:space="preserve">Cobb-Douglas Production Function:</t>
  </si>
  <si>
    <t xml:space="preserve">Y = A * K^α * L^(1-α)</t>
  </si>
  <si>
    <t xml:space="preserve">Where:</t>
  </si>
  <si>
    <t xml:space="preserve">Y = Output (GDP)</t>
  </si>
  <si>
    <t xml:space="preserve">K = Capital stock</t>
  </si>
  <si>
    <t xml:space="preserve">L = Labour (fixed in this analysis)</t>
  </si>
  <si>
    <t xml:space="preserve">α = Capital share of income (0.35)</t>
  </si>
  <si>
    <t xml:space="preserve">A = Total Factor Productivity (TFP)</t>
  </si>
  <si>
    <t xml:space="preserve">Log form:</t>
  </si>
  <si>
    <t xml:space="preserve">ln(Y) = ln(A) + α*ln(K) + (1-α)*ln(L)</t>
  </si>
  <si>
    <t xml:space="preserve">LnZ = ln(A) = ln(Y) - α*ln(K)</t>
  </si>
  <si>
    <t xml:space="preserve">HOW TO USE THIS MODEL</t>
  </si>
  <si>
    <t xml:space="preserve">1. Review data on each sheet - all formulas are in place</t>
  </si>
  <si>
    <t xml:space="preserve">2. For HP Filter optimization:</t>
  </si>
  <si>
    <t xml:space="preserve">   - Go to Production sheet</t>
  </si>
  <si>
    <t xml:space="preserve">   - See "SOLVER SETUP INSTRUCTIONS" section (around row 40)</t>
  </si>
  <si>
    <t xml:space="preserve">   - Open Tools &gt; Solver (Excel) or Data &gt; Solver (LibreOffice)</t>
  </si>
  <si>
    <t xml:space="preserve">   - Set objective to minimize B32 by changing G6:G27</t>
  </si>
  <si>
    <t xml:space="preserve">3. View results:</t>
  </si>
  <si>
    <t xml:space="preserve">   - Go to Results sheet</t>
  </si>
  <si>
    <t xml:space="preserve">   - Columns H &amp; I show Y* (potential output) without/with investment</t>
  </si>
  <si>
    <t xml:space="preserve">   - Column J shows the GDP impact of the investment shock</t>
  </si>
  <si>
    <t xml:space="preserve">4. Sensitivity analysis:</t>
  </si>
  <si>
    <t xml:space="preserve">   - Adjust capital share (Production!B37) to test different scenarios</t>
  </si>
  <si>
    <t xml:space="preserve">   - Change HP Filter lambda (Production!B31) for smoother/rougher trends</t>
  </si>
  <si>
    <t xml:space="preserve">   - Modify investment amounts (Investment sheet) to test different shocks</t>
  </si>
  <si>
    <t xml:space="preserve">Variable</t>
  </si>
  <si>
    <t xml:space="preserve">Code</t>
  </si>
  <si>
    <t xml:space="preserve">2023 Value</t>
  </si>
  <si>
    <t xml:space="preserve">Real GDP (RGDPNA, 2017 USD millions)</t>
  </si>
  <si>
    <t xml:space="preserve">RGDPNA</t>
  </si>
  <si>
    <t xml:space="preserve">Capital Stock (K, 2017 USD millions)</t>
  </si>
  <si>
    <t xml:space="preserve">K</t>
  </si>
  <si>
    <t xml:space="preserve">Employment (EMP, millions)</t>
  </si>
  <si>
    <t xml:space="preserve">EMP</t>
  </si>
  <si>
    <t xml:space="preserve">Labour Share (LABSH)</t>
  </si>
  <si>
    <t xml:space="preserve">LABSH</t>
  </si>
  <si>
    <t xml:space="preserve">Average Hours Worked</t>
  </si>
  <si>
    <t xml:space="preserve">AVHWACHK</t>
  </si>
  <si>
    <t xml:space="preserve">Note: PWT data for Georgia 2023</t>
  </si>
  <si>
    <t xml:space="preserve">Year</t>
  </si>
  <si>
    <t xml:space="preserve">Real GDP (USD Billions)</t>
  </si>
  <si>
    <t xml:space="preserve">Real GDP Growth Rate (%)</t>
  </si>
  <si>
    <t xml:space="preserve">CFC (Millions GEL)</t>
  </si>
  <si>
    <t xml:space="preserve">Capital Stock (from PWT)</t>
  </si>
  <si>
    <t xml:space="preserve">Depreciation Rate</t>
  </si>
  <si>
    <t xml:space="preserve">Production Function Analysis</t>
  </si>
  <si>
    <t xml:space="preserve">Annual Depreciation Rate (from ECB CFC data 2015-2023, as % of capital):</t>
  </si>
  <si>
    <t xml:space="preserve">LnK</t>
  </si>
  <si>
    <t xml:space="preserve">Y</t>
  </si>
  <si>
    <t xml:space="preserve">LnY</t>
  </si>
  <si>
    <t xml:space="preserve">LnZ</t>
  </si>
  <si>
    <t xml:space="preserve">LnZ_HP</t>
  </si>
  <si>
    <t xml:space="preserve">D2LnZ_HP</t>
  </si>
  <si>
    <t xml:space="preserve">LnA-Trend</t>
  </si>
  <si>
    <t xml:space="preserve">HP Filter Parameters</t>
  </si>
  <si>
    <t xml:space="preserve">Lambda</t>
  </si>
  <si>
    <t xml:space="preserve">Objective:</t>
  </si>
  <si>
    <t xml:space="preserve">Second Difference Column N:</t>
  </si>
  <si>
    <t xml:space="preserve">Capital Share Assumption</t>
  </si>
  <si>
    <t xml:space="preserve">alpha (capital share in production)</t>
  </si>
  <si>
    <t xml:space="preserve">SOLVER SETUP INSTRUCTIONS</t>
  </si>
  <si>
    <t xml:space="preserve">To optimize LnZ_HP trend:</t>
  </si>
  <si>
    <t xml:space="preserve">1. Go to Tools &gt; Solver (Excel) or Data &gt; Solver (LibreOffice)</t>
  </si>
  <si>
    <t xml:space="preserve">2. Set Objective: $B$32 (minimize)</t>
  </si>
  <si>
    <t xml:space="preserve">3. By Changing: $G$6:$G$27</t>
  </si>
  <si>
    <t xml:space="preserve">4. Subject to: Constraints (optional - smoothness penalty already in objective)</t>
  </si>
  <si>
    <t xml:space="preserve">5. Solver Engine: GRG Nonlinear or similar</t>
  </si>
  <si>
    <t xml:space="preserve">6. Click Solve</t>
  </si>
  <si>
    <t xml:space="preserve">MODEL NOTES</t>
  </si>
  <si>
    <t xml:space="preserve">Capital Share (alpha): 0.35 (set in Production!B37)</t>
  </si>
  <si>
    <t xml:space="preserve">K/Y Ratio: 2.72 (based on 2023 data estimates)</t>
  </si>
  <si>
    <t xml:space="preserve">Capital Depreciation Rate: 4% (estimated from CFC data, Formula in B3)</t>
  </si>
  <si>
    <t xml:space="preserve">HP Filter Lambda: 1600 (adjust in B31 if needed; higher = smoother trend)</t>
  </si>
  <si>
    <t xml:space="preserve">PWT: Penn World Table data for Georgia (2023 latest)</t>
  </si>
  <si>
    <t xml:space="preserve">WEO_Data: IMF GDP data (2000-2027) extended to 2043 at constant 2027 growth</t>
  </si>
  <si>
    <t xml:space="preserve">CFC_Data: ECB Capital Consumption data (depreciation) 1996-2023</t>
  </si>
  <si>
    <t xml:space="preserve">Production: Production function analysis, HP filter optimization area</t>
  </si>
  <si>
    <t xml:space="preserve">Investment: Investment shock specification (6.5B USD over 8 years, 2026-2033)</t>
  </si>
  <si>
    <t xml:space="preserve">Results: Output impact analysis with and without investment shock</t>
  </si>
  <si>
    <t xml:space="preserve">Investment Shock Analysis</t>
  </si>
  <si>
    <t xml:space="preserve">Investment Details</t>
  </si>
  <si>
    <t xml:space="preserve">Total Investment (USD Billions)</t>
  </si>
  <si>
    <t xml:space="preserve">Duration (Years)</t>
  </si>
  <si>
    <t xml:space="preserve">Start Year</t>
  </si>
  <si>
    <t xml:space="preserve">Annual Investment</t>
  </si>
  <si>
    <t xml:space="preserve">Annual Investment (USD Billions)</t>
  </si>
  <si>
    <t xml:space="preserve">Production Function Results with Investment Shock</t>
  </si>
  <si>
    <t xml:space="preserve">K (Capital Stock)</t>
  </si>
  <si>
    <t xml:space="preserve">K/Y Ratio</t>
  </si>
  <si>
    <t xml:space="preserve">Y (GDP)</t>
  </si>
  <si>
    <t xml:space="preserve">LnZ Trend</t>
  </si>
  <si>
    <t xml:space="preserve">deltaK</t>
  </si>
  <si>
    <t xml:space="preserve">K_With Investment</t>
  </si>
  <si>
    <t xml:space="preserve">Y* Base</t>
  </si>
  <si>
    <t xml:space="preserve">Y* With Investment</t>
  </si>
  <si>
    <t xml:space="preserve">Y Impact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</si>
</sst>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%"/>
    <numFmt numFmtId="167" formatCode="#,##0.00"/>
    <numFmt numFmtId="168" formatCode="#,##0.0"/>
    <numFmt numFmtId="169" formatCode="0.000000"/>
    <numFmt numFmtId="170" formatCode="General"/>
    <numFmt numFmtId="171" formatCode="0.0000"/>
    <numFmt numFmtId="172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sz val="9"/>
      <name val="Courier New"/>
      <family val="0"/>
      <charset val="1"/>
    </font>
    <font>
      <sz val="9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  <fill>
      <patternFill patternType="solid">
        <fgColor rgb="FFD3D3D3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9E1F2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25"/>
    <col collapsed="false" customWidth="true" hidden="false" outlineLevel="0" max="4" min="4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0" t="s">
        <v>7</v>
      </c>
      <c r="B7" s="0" t="s">
        <v>8</v>
      </c>
    </row>
    <row r="8" customFormat="false" ht="15" hidden="false" customHeight="false" outlineLevel="0" collapsed="false">
      <c r="A8" s="0" t="s">
        <v>9</v>
      </c>
      <c r="B8" s="0" t="s">
        <v>10</v>
      </c>
    </row>
    <row r="9" customFormat="false" ht="15" hidden="false" customHeight="false" outlineLevel="0" collapsed="false">
      <c r="A9" s="0" t="s">
        <v>11</v>
      </c>
      <c r="B9" s="0" t="s">
        <v>12</v>
      </c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4" t="s">
        <v>14</v>
      </c>
      <c r="B12" s="4" t="s">
        <v>15</v>
      </c>
      <c r="C12" s="4" t="s">
        <v>16</v>
      </c>
    </row>
    <row r="13" customFormat="false" ht="15" hidden="false" customHeight="false" outlineLevel="0" collapsed="false">
      <c r="A13" s="0" t="s">
        <v>17</v>
      </c>
      <c r="B13" s="0" t="s">
        <v>18</v>
      </c>
      <c r="C13" s="0" t="s">
        <v>19</v>
      </c>
    </row>
    <row r="14" customFormat="false" ht="15" hidden="false" customHeight="false" outlineLevel="0" collapsed="false">
      <c r="A14" s="0" t="s">
        <v>20</v>
      </c>
      <c r="B14" s="0" t="s">
        <v>21</v>
      </c>
      <c r="C14" s="0" t="s">
        <v>22</v>
      </c>
    </row>
    <row r="15" customFormat="false" ht="15" hidden="false" customHeight="false" outlineLevel="0" collapsed="false">
      <c r="A15" s="0" t="s">
        <v>23</v>
      </c>
      <c r="B15" s="0" t="s">
        <v>24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s">
        <v>28</v>
      </c>
    </row>
    <row r="17" customFormat="false" ht="15" hidden="false" customHeight="false" outlineLevel="0" collapsed="false">
      <c r="A17" s="0" t="s">
        <v>29</v>
      </c>
      <c r="B17" s="0" t="s">
        <v>30</v>
      </c>
      <c r="C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  <c r="C18" s="0" t="s">
        <v>34</v>
      </c>
    </row>
    <row r="20" customFormat="false" ht="15" hidden="false" customHeight="false" outlineLevel="0" collapsed="false">
      <c r="A20" s="3" t="s">
        <v>35</v>
      </c>
    </row>
    <row r="21" customFormat="false" ht="41.75" hidden="false" customHeight="false" outlineLevel="0" collapsed="false">
      <c r="A21" s="5" t="s">
        <v>17</v>
      </c>
      <c r="B21" s="6" t="s">
        <v>36</v>
      </c>
    </row>
    <row r="22" customFormat="false" ht="41.75" hidden="false" customHeight="false" outlineLevel="0" collapsed="false">
      <c r="A22" s="5" t="s">
        <v>20</v>
      </c>
      <c r="B22" s="6" t="s">
        <v>37</v>
      </c>
    </row>
    <row r="23" customFormat="false" ht="41.75" hidden="false" customHeight="false" outlineLevel="0" collapsed="false">
      <c r="A23" s="5" t="s">
        <v>23</v>
      </c>
      <c r="B23" s="6" t="s">
        <v>38</v>
      </c>
    </row>
    <row r="24" customFormat="false" ht="41.75" hidden="false" customHeight="false" outlineLevel="0" collapsed="false">
      <c r="A24" s="5" t="s">
        <v>26</v>
      </c>
      <c r="B24" s="6" t="s">
        <v>39</v>
      </c>
    </row>
    <row r="25" customFormat="false" ht="28.35" hidden="false" customHeight="false" outlineLevel="0" collapsed="false">
      <c r="A25" s="5" t="s">
        <v>29</v>
      </c>
      <c r="B25" s="6" t="s">
        <v>40</v>
      </c>
    </row>
    <row r="26" customFormat="false" ht="41.75" hidden="false" customHeight="false" outlineLevel="0" collapsed="false">
      <c r="A26" s="5" t="s">
        <v>32</v>
      </c>
      <c r="B26" s="6" t="s">
        <v>41</v>
      </c>
    </row>
    <row r="32" customFormat="false" ht="15" hidden="false" customHeight="false" outlineLevel="0" collapsed="false">
      <c r="A32" s="3" t="s">
        <v>42</v>
      </c>
    </row>
    <row r="33" customFormat="false" ht="15" hidden="false" customHeight="false" outlineLevel="0" collapsed="false">
      <c r="A33" s="7" t="s">
        <v>43</v>
      </c>
    </row>
    <row r="34" customFormat="false" ht="15" hidden="false" customHeight="false" outlineLevel="0" collapsed="false">
      <c r="A34" s="7" t="s">
        <v>44</v>
      </c>
    </row>
    <row r="35" customFormat="false" ht="15" hidden="false" customHeight="false" outlineLevel="0" collapsed="false">
      <c r="A35" s="7"/>
    </row>
    <row r="36" customFormat="false" ht="15" hidden="false" customHeight="false" outlineLevel="0" collapsed="false">
      <c r="A36" s="7" t="s">
        <v>45</v>
      </c>
    </row>
    <row r="37" customFormat="false" ht="15" hidden="false" customHeight="false" outlineLevel="0" collapsed="false">
      <c r="A37" s="7" t="s">
        <v>46</v>
      </c>
    </row>
    <row r="38" customFormat="false" ht="15" hidden="false" customHeight="false" outlineLevel="0" collapsed="false">
      <c r="A38" s="7" t="s">
        <v>47</v>
      </c>
    </row>
    <row r="39" customFormat="false" ht="15" hidden="false" customHeight="false" outlineLevel="0" collapsed="false">
      <c r="A39" s="7" t="s">
        <v>48</v>
      </c>
    </row>
    <row r="40" customFormat="false" ht="15" hidden="false" customHeight="false" outlineLevel="0" collapsed="false">
      <c r="A40" s="7" t="s">
        <v>49</v>
      </c>
    </row>
    <row r="41" customFormat="false" ht="15" hidden="false" customHeight="false" outlineLevel="0" collapsed="false">
      <c r="A41" s="7" t="s">
        <v>50</v>
      </c>
    </row>
    <row r="42" customFormat="false" ht="15" hidden="false" customHeight="false" outlineLevel="0" collapsed="false">
      <c r="A42" s="7"/>
    </row>
    <row r="43" customFormat="false" ht="15" hidden="false" customHeight="false" outlineLevel="0" collapsed="false">
      <c r="A43" s="7" t="s">
        <v>51</v>
      </c>
    </row>
    <row r="44" customFormat="false" ht="15" hidden="false" customHeight="false" outlineLevel="0" collapsed="false">
      <c r="A44" s="7" t="s">
        <v>52</v>
      </c>
    </row>
    <row r="45" customFormat="false" ht="15" hidden="false" customHeight="false" outlineLevel="0" collapsed="false">
      <c r="A45" s="7" t="s">
        <v>53</v>
      </c>
    </row>
    <row r="49" customFormat="false" ht="15" hidden="false" customHeight="false" outlineLevel="0" collapsed="false">
      <c r="A49" s="3" t="s">
        <v>54</v>
      </c>
    </row>
    <row r="50" customFormat="false" ht="15" hidden="false" customHeight="false" outlineLevel="0" collapsed="false">
      <c r="A50" s="8" t="s">
        <v>55</v>
      </c>
    </row>
    <row r="51" customFormat="false" ht="15" hidden="false" customHeight="false" outlineLevel="0" collapsed="false">
      <c r="A51" s="8" t="s">
        <v>56</v>
      </c>
    </row>
    <row r="52" customFormat="false" ht="15" hidden="false" customHeight="false" outlineLevel="0" collapsed="false">
      <c r="A52" s="9" t="s">
        <v>57</v>
      </c>
    </row>
    <row r="53" customFormat="false" ht="15" hidden="false" customHeight="false" outlineLevel="0" collapsed="false">
      <c r="A53" s="9" t="s">
        <v>58</v>
      </c>
    </row>
    <row r="54" customFormat="false" ht="15" hidden="false" customHeight="false" outlineLevel="0" collapsed="false">
      <c r="A54" s="9" t="s">
        <v>59</v>
      </c>
    </row>
    <row r="55" customFormat="false" ht="15" hidden="false" customHeight="false" outlineLevel="0" collapsed="false">
      <c r="A55" s="9" t="s">
        <v>60</v>
      </c>
    </row>
    <row r="56" customFormat="false" ht="15" hidden="false" customHeight="false" outlineLevel="0" collapsed="false">
      <c r="A56" s="8"/>
    </row>
    <row r="57" customFormat="false" ht="15" hidden="false" customHeight="false" outlineLevel="0" collapsed="false">
      <c r="A57" s="8" t="s">
        <v>61</v>
      </c>
    </row>
    <row r="58" customFormat="false" ht="15" hidden="false" customHeight="false" outlineLevel="0" collapsed="false">
      <c r="A58" s="9" t="s">
        <v>62</v>
      </c>
    </row>
    <row r="59" customFormat="false" ht="15" hidden="false" customHeight="false" outlineLevel="0" collapsed="false">
      <c r="A59" s="9" t="s">
        <v>63</v>
      </c>
    </row>
    <row r="60" customFormat="false" ht="15" hidden="false" customHeight="false" outlineLevel="0" collapsed="false">
      <c r="A60" s="9" t="s">
        <v>64</v>
      </c>
    </row>
    <row r="61" customFormat="false" ht="15" hidden="false" customHeight="false" outlineLevel="0" collapsed="false">
      <c r="A61" s="8"/>
    </row>
    <row r="62" customFormat="false" ht="15" hidden="false" customHeight="false" outlineLevel="0" collapsed="false">
      <c r="A62" s="8" t="s">
        <v>65</v>
      </c>
    </row>
    <row r="63" customFormat="false" ht="15" hidden="false" customHeight="false" outlineLevel="0" collapsed="false">
      <c r="A63" s="9" t="s">
        <v>66</v>
      </c>
    </row>
    <row r="64" customFormat="false" ht="15" hidden="false" customHeight="false" outlineLevel="0" collapsed="false">
      <c r="A64" s="9" t="s">
        <v>67</v>
      </c>
    </row>
    <row r="65" customFormat="false" ht="15" hidden="false" customHeight="false" outlineLevel="0" collapsed="false">
      <c r="A65" s="9" t="s">
        <v>68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45"/>
    <col collapsed="false" customWidth="true" hidden="false" outlineLevel="0" max="2" min="2" style="10" width="15"/>
    <col collapsed="false" customWidth="true" hidden="false" outlineLevel="0" max="3" min="3" style="10" width="20"/>
  </cols>
  <sheetData>
    <row r="1" customFormat="false" ht="15" hidden="false" customHeight="true" outlineLevel="0" collapsed="false">
      <c r="A1" s="11" t="s">
        <v>69</v>
      </c>
      <c r="B1" s="11" t="s">
        <v>70</v>
      </c>
      <c r="C1" s="11" t="s">
        <v>71</v>
      </c>
    </row>
    <row r="2" customFormat="false" ht="15" hidden="false" customHeight="true" outlineLevel="0" collapsed="false">
      <c r="A2" s="10" t="s">
        <v>72</v>
      </c>
      <c r="B2" s="10" t="s">
        <v>73</v>
      </c>
      <c r="C2" s="12" t="n">
        <v>57.8</v>
      </c>
    </row>
    <row r="3" customFormat="false" ht="15" hidden="false" customHeight="true" outlineLevel="0" collapsed="false">
      <c r="A3" s="10" t="s">
        <v>74</v>
      </c>
      <c r="B3" s="10" t="s">
        <v>75</v>
      </c>
      <c r="C3" s="12" t="n">
        <v>157.4</v>
      </c>
    </row>
    <row r="4" customFormat="false" ht="15" hidden="false" customHeight="true" outlineLevel="0" collapsed="false">
      <c r="A4" s="10" t="s">
        <v>76</v>
      </c>
      <c r="B4" s="10" t="s">
        <v>77</v>
      </c>
      <c r="C4" s="12" t="n">
        <v>2.1</v>
      </c>
    </row>
    <row r="5" customFormat="false" ht="15" hidden="false" customHeight="true" outlineLevel="0" collapsed="false">
      <c r="A5" s="10" t="s">
        <v>78</v>
      </c>
      <c r="B5" s="10" t="s">
        <v>79</v>
      </c>
      <c r="C5" s="12" t="n">
        <v>0.45</v>
      </c>
    </row>
    <row r="6" customFormat="false" ht="15" hidden="false" customHeight="true" outlineLevel="0" collapsed="false">
      <c r="A6" s="10" t="s">
        <v>80</v>
      </c>
      <c r="B6" s="10" t="s">
        <v>81</v>
      </c>
      <c r="C6" s="12" t="n">
        <v>1700</v>
      </c>
    </row>
    <row r="8" customFormat="false" ht="15" hidden="false" customHeight="true" outlineLevel="0" collapsed="false">
      <c r="A8" s="13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12"/>
    <col collapsed="false" customWidth="true" hidden="false" outlineLevel="0" max="3" min="2" style="10" width="20"/>
  </cols>
  <sheetData>
    <row r="1" customFormat="false" ht="15" hidden="false" customHeight="true" outlineLevel="0" collapsed="false">
      <c r="A1" s="11" t="s">
        <v>83</v>
      </c>
      <c r="B1" s="11" t="s">
        <v>84</v>
      </c>
      <c r="C1" s="11" t="s">
        <v>85</v>
      </c>
    </row>
    <row r="2" customFormat="false" ht="15" hidden="false" customHeight="true" outlineLevel="0" collapsed="false">
      <c r="A2" s="10" t="n">
        <v>2000</v>
      </c>
      <c r="B2" s="10" t="n">
        <v>3.14</v>
      </c>
      <c r="C2" s="14" t="n">
        <v>0.019</v>
      </c>
    </row>
    <row r="3" customFormat="false" ht="15" hidden="false" customHeight="true" outlineLevel="0" collapsed="false">
      <c r="A3" s="10" t="n">
        <v>2001</v>
      </c>
      <c r="B3" s="10" t="n">
        <v>3.37</v>
      </c>
      <c r="C3" s="14" t="n">
        <v>0.039</v>
      </c>
    </row>
    <row r="4" customFormat="false" ht="15" hidden="false" customHeight="true" outlineLevel="0" collapsed="false">
      <c r="A4" s="10" t="n">
        <v>2002</v>
      </c>
      <c r="B4" s="10" t="n">
        <v>3.61</v>
      </c>
      <c r="C4" s="14" t="n">
        <v>0.059</v>
      </c>
    </row>
    <row r="5" customFormat="false" ht="15" hidden="false" customHeight="true" outlineLevel="0" collapsed="false">
      <c r="A5" s="10" t="n">
        <v>2003</v>
      </c>
      <c r="B5" s="10" t="n">
        <v>4.01</v>
      </c>
      <c r="C5" s="14" t="n">
        <v>0.053</v>
      </c>
    </row>
    <row r="6" customFormat="false" ht="15" hidden="false" customHeight="true" outlineLevel="0" collapsed="false">
      <c r="A6" s="10" t="n">
        <v>2004</v>
      </c>
      <c r="B6" s="10" t="n">
        <v>5.09</v>
      </c>
      <c r="C6" s="14" t="n">
        <v>0.059</v>
      </c>
    </row>
    <row r="7" customFormat="false" ht="15" hidden="false" customHeight="true" outlineLevel="0" collapsed="false">
      <c r="A7" s="10" t="n">
        <v>2005</v>
      </c>
      <c r="B7" s="10" t="n">
        <v>6.59</v>
      </c>
      <c r="C7" s="14" t="n">
        <v>0.096</v>
      </c>
    </row>
    <row r="8" customFormat="false" ht="15" hidden="false" customHeight="true" outlineLevel="0" collapsed="false">
      <c r="A8" s="10" t="n">
        <v>2006</v>
      </c>
      <c r="B8" s="10" t="n">
        <v>7.98</v>
      </c>
      <c r="C8" s="14" t="n">
        <v>0.093</v>
      </c>
    </row>
    <row r="9" customFormat="false" ht="15" hidden="false" customHeight="true" outlineLevel="0" collapsed="false">
      <c r="A9" s="10" t="n">
        <v>2007</v>
      </c>
      <c r="B9" s="10" t="n">
        <v>10.46</v>
      </c>
      <c r="C9" s="14" t="n">
        <v>0.126</v>
      </c>
    </row>
    <row r="10" customFormat="false" ht="15" hidden="false" customHeight="true" outlineLevel="0" collapsed="false">
      <c r="A10" s="10" t="n">
        <v>2008</v>
      </c>
      <c r="B10" s="10" t="n">
        <v>13.16</v>
      </c>
      <c r="C10" s="14" t="n">
        <v>0.024</v>
      </c>
    </row>
    <row r="11" customFormat="false" ht="15" hidden="false" customHeight="true" outlineLevel="0" collapsed="false">
      <c r="A11" s="10" t="n">
        <v>2009</v>
      </c>
      <c r="B11" s="10" t="n">
        <v>11.07</v>
      </c>
      <c r="C11" s="14" t="n">
        <v>-0.037</v>
      </c>
    </row>
    <row r="12" customFormat="false" ht="15" hidden="false" customHeight="true" outlineLevel="0" collapsed="false">
      <c r="A12" s="10" t="n">
        <v>2010</v>
      </c>
      <c r="B12" s="10" t="n">
        <v>12.63</v>
      </c>
      <c r="C12" s="14" t="n">
        <v>0.063</v>
      </c>
    </row>
    <row r="13" customFormat="false" ht="15" hidden="false" customHeight="true" outlineLevel="0" collapsed="false">
      <c r="A13" s="10" t="n">
        <v>2011</v>
      </c>
      <c r="B13" s="10" t="n">
        <v>14.4</v>
      </c>
      <c r="C13" s="14" t="n">
        <v>0.07</v>
      </c>
    </row>
    <row r="14" customFormat="false" ht="15" hidden="false" customHeight="true" outlineLevel="0" collapsed="false">
      <c r="A14" s="10" t="n">
        <v>2012</v>
      </c>
      <c r="B14" s="10" t="n">
        <v>15.2</v>
      </c>
      <c r="C14" s="14" t="n">
        <v>0.062</v>
      </c>
    </row>
    <row r="15" customFormat="false" ht="15" hidden="false" customHeight="true" outlineLevel="0" collapsed="false">
      <c r="A15" s="10" t="n">
        <v>2013</v>
      </c>
      <c r="B15" s="10" t="n">
        <v>15.8</v>
      </c>
      <c r="C15" s="14" t="n">
        <v>0.033</v>
      </c>
    </row>
    <row r="16" customFormat="false" ht="15" hidden="false" customHeight="true" outlineLevel="0" collapsed="false">
      <c r="A16" s="10" t="n">
        <v>2014</v>
      </c>
      <c r="B16" s="10" t="n">
        <v>16.2</v>
      </c>
      <c r="C16" s="14" t="n">
        <v>0.046</v>
      </c>
    </row>
    <row r="17" customFormat="false" ht="15" hidden="false" customHeight="true" outlineLevel="0" collapsed="false">
      <c r="A17" s="10" t="n">
        <v>2015</v>
      </c>
      <c r="B17" s="10" t="n">
        <v>15.22</v>
      </c>
      <c r="C17" s="14" t="n">
        <v>0.034</v>
      </c>
    </row>
    <row r="18" customFormat="false" ht="15" hidden="false" customHeight="true" outlineLevel="0" collapsed="false">
      <c r="A18" s="10" t="n">
        <v>2016</v>
      </c>
      <c r="B18" s="10" t="n">
        <v>15.82</v>
      </c>
      <c r="C18" s="14" t="n">
        <v>0.028</v>
      </c>
    </row>
    <row r="19" customFormat="false" ht="15" hidden="false" customHeight="true" outlineLevel="0" collapsed="false">
      <c r="A19" s="10" t="n">
        <v>2017</v>
      </c>
      <c r="B19" s="10" t="n">
        <v>16.8</v>
      </c>
      <c r="C19" s="14" t="n">
        <v>0.048</v>
      </c>
    </row>
    <row r="20" customFormat="false" ht="15" hidden="false" customHeight="true" outlineLevel="0" collapsed="false">
      <c r="A20" s="10" t="n">
        <v>2018</v>
      </c>
      <c r="B20" s="10" t="n">
        <v>18.13</v>
      </c>
      <c r="C20" s="14" t="n">
        <v>0.048</v>
      </c>
    </row>
    <row r="21" customFormat="false" ht="15" hidden="false" customHeight="true" outlineLevel="0" collapsed="false">
      <c r="A21" s="10" t="n">
        <v>2019</v>
      </c>
      <c r="B21" s="10" t="n">
        <v>19.6</v>
      </c>
      <c r="C21" s="14" t="n">
        <v>0.051</v>
      </c>
    </row>
    <row r="22" customFormat="false" ht="15" hidden="false" customHeight="true" outlineLevel="0" collapsed="false">
      <c r="A22" s="10" t="n">
        <v>2020</v>
      </c>
      <c r="B22" s="10" t="n">
        <v>16.01</v>
      </c>
      <c r="C22" s="14" t="n">
        <v>-0.063</v>
      </c>
    </row>
    <row r="23" customFormat="false" ht="15" hidden="false" customHeight="true" outlineLevel="0" collapsed="false">
      <c r="A23" s="10" t="n">
        <v>2021</v>
      </c>
      <c r="B23" s="10" t="n">
        <v>18.85</v>
      </c>
      <c r="C23" s="14" t="n">
        <v>0.106</v>
      </c>
    </row>
    <row r="24" customFormat="false" ht="15" hidden="false" customHeight="true" outlineLevel="0" collapsed="false">
      <c r="A24" s="10" t="n">
        <v>2022</v>
      </c>
      <c r="B24" s="10" t="n">
        <v>24.99</v>
      </c>
      <c r="C24" s="14" t="n">
        <v>0.11</v>
      </c>
    </row>
    <row r="25" customFormat="false" ht="15" hidden="false" customHeight="true" outlineLevel="0" collapsed="false">
      <c r="A25" s="10" t="n">
        <v>2023</v>
      </c>
      <c r="B25" s="10" t="n">
        <v>30.78</v>
      </c>
      <c r="C25" s="14" t="n">
        <v>0.078</v>
      </c>
    </row>
    <row r="26" customFormat="false" ht="15" hidden="false" customHeight="true" outlineLevel="0" collapsed="false">
      <c r="A26" s="10" t="n">
        <v>2024</v>
      </c>
      <c r="B26" s="10" t="n">
        <v>33.61</v>
      </c>
      <c r="C26" s="14" t="n">
        <v>0.092</v>
      </c>
    </row>
    <row r="27" customFormat="false" ht="15" hidden="false" customHeight="true" outlineLevel="0" collapsed="false">
      <c r="A27" s="10" t="n">
        <v>2025</v>
      </c>
      <c r="B27" s="10" t="n">
        <v>36.01</v>
      </c>
      <c r="C27" s="14" t="n">
        <v>0.072</v>
      </c>
    </row>
    <row r="28" customFormat="false" ht="15" hidden="false" customHeight="true" outlineLevel="0" collapsed="false">
      <c r="A28" s="10" t="n">
        <v>2026</v>
      </c>
      <c r="B28" s="10" t="n">
        <v>38.62</v>
      </c>
      <c r="C28" s="14" t="n">
        <v>0.053</v>
      </c>
    </row>
    <row r="29" customFormat="false" ht="15" hidden="false" customHeight="true" outlineLevel="0" collapsed="false">
      <c r="A29" s="10" t="n">
        <v>2027</v>
      </c>
      <c r="B29" s="10" t="n">
        <v>42.41</v>
      </c>
      <c r="C29" s="14" t="n">
        <v>0.05</v>
      </c>
    </row>
    <row r="30" customFormat="false" ht="15" hidden="false" customHeight="true" outlineLevel="0" collapsed="false">
      <c r="A30" s="10" t="n">
        <v>2028</v>
      </c>
      <c r="B30" s="15" t="n">
        <f aca="false">B29*(1+C29)</f>
        <v>44.5305</v>
      </c>
      <c r="C30" s="14" t="n">
        <v>0.05</v>
      </c>
    </row>
    <row r="31" customFormat="false" ht="15" hidden="false" customHeight="true" outlineLevel="0" collapsed="false">
      <c r="A31" s="10" t="n">
        <v>2029</v>
      </c>
      <c r="B31" s="15" t="n">
        <f aca="false">B30*(1+C$29)</f>
        <v>46.757025</v>
      </c>
      <c r="C31" s="14" t="n">
        <v>0.05</v>
      </c>
    </row>
    <row r="32" customFormat="false" ht="15" hidden="false" customHeight="true" outlineLevel="0" collapsed="false">
      <c r="A32" s="10" t="n">
        <v>2030</v>
      </c>
      <c r="B32" s="15" t="n">
        <f aca="false">B31*(1+C$29)</f>
        <v>49.09487625</v>
      </c>
      <c r="C32" s="14" t="n">
        <v>0.05</v>
      </c>
    </row>
    <row r="33" customFormat="false" ht="15" hidden="false" customHeight="true" outlineLevel="0" collapsed="false">
      <c r="A33" s="10" t="n">
        <v>2031</v>
      </c>
      <c r="B33" s="15" t="n">
        <f aca="false">B32*(1+C$29)</f>
        <v>51.5496200625</v>
      </c>
      <c r="C33" s="14" t="n">
        <v>0.05</v>
      </c>
    </row>
    <row r="34" customFormat="false" ht="15" hidden="false" customHeight="true" outlineLevel="0" collapsed="false">
      <c r="A34" s="10" t="n">
        <v>2032</v>
      </c>
      <c r="B34" s="15" t="n">
        <f aca="false">B33*(1+C$29)</f>
        <v>54.127101065625</v>
      </c>
      <c r="C34" s="14" t="n">
        <v>0.05</v>
      </c>
    </row>
    <row r="35" customFormat="false" ht="15" hidden="false" customHeight="true" outlineLevel="0" collapsed="false">
      <c r="A35" s="10" t="n">
        <v>2033</v>
      </c>
      <c r="B35" s="15" t="n">
        <f aca="false">B34*(1+C$29)</f>
        <v>56.8334561189063</v>
      </c>
      <c r="C35" s="14" t="n">
        <v>0.05</v>
      </c>
    </row>
    <row r="36" customFormat="false" ht="15" hidden="false" customHeight="true" outlineLevel="0" collapsed="false">
      <c r="A36" s="10" t="n">
        <v>2034</v>
      </c>
      <c r="B36" s="15" t="n">
        <f aca="false">B35*(1+C$29)</f>
        <v>59.6751289248516</v>
      </c>
      <c r="C36" s="14" t="n">
        <v>0.05</v>
      </c>
    </row>
    <row r="37" customFormat="false" ht="15" hidden="false" customHeight="true" outlineLevel="0" collapsed="false">
      <c r="A37" s="10" t="n">
        <v>2035</v>
      </c>
      <c r="B37" s="15" t="n">
        <f aca="false">B36*(1+C$29)</f>
        <v>62.6588853710942</v>
      </c>
      <c r="C37" s="14" t="n">
        <v>0.05</v>
      </c>
    </row>
    <row r="38" customFormat="false" ht="15" hidden="false" customHeight="true" outlineLevel="0" collapsed="false">
      <c r="A38" s="10" t="n">
        <v>2036</v>
      </c>
      <c r="B38" s="15" t="n">
        <f aca="false">B37*(1+C$29)</f>
        <v>65.7918296396489</v>
      </c>
      <c r="C38" s="14" t="n">
        <v>0.05</v>
      </c>
    </row>
    <row r="39" customFormat="false" ht="15" hidden="false" customHeight="true" outlineLevel="0" collapsed="false">
      <c r="A39" s="10" t="n">
        <v>2037</v>
      </c>
      <c r="B39" s="15" t="n">
        <f aca="false">B38*(1+C$29)</f>
        <v>69.0814211216313</v>
      </c>
      <c r="C39" s="14" t="n">
        <v>0.05</v>
      </c>
    </row>
    <row r="40" customFormat="false" ht="15" hidden="false" customHeight="true" outlineLevel="0" collapsed="false">
      <c r="A40" s="10" t="n">
        <v>2038</v>
      </c>
      <c r="B40" s="15" t="n">
        <f aca="false">B39*(1+C$29)</f>
        <v>72.5354921777129</v>
      </c>
      <c r="C40" s="14" t="n">
        <v>0.05</v>
      </c>
    </row>
    <row r="41" customFormat="false" ht="15" hidden="false" customHeight="true" outlineLevel="0" collapsed="false">
      <c r="A41" s="10" t="n">
        <v>2039</v>
      </c>
      <c r="B41" s="15" t="n">
        <f aca="false">B40*(1+C$29)</f>
        <v>76.1622667865985</v>
      </c>
      <c r="C41" s="14" t="n">
        <v>0.05</v>
      </c>
    </row>
    <row r="42" customFormat="false" ht="15" hidden="false" customHeight="true" outlineLevel="0" collapsed="false">
      <c r="A42" s="10" t="n">
        <v>2040</v>
      </c>
      <c r="B42" s="15" t="n">
        <f aca="false">B41*(1+C$29)</f>
        <v>79.9703801259285</v>
      </c>
      <c r="C42" s="14" t="n">
        <v>0.05</v>
      </c>
    </row>
    <row r="43" customFormat="false" ht="15" hidden="false" customHeight="true" outlineLevel="0" collapsed="false">
      <c r="A43" s="10" t="n">
        <v>2041</v>
      </c>
      <c r="B43" s="15" t="n">
        <f aca="false">B42*(1+C$29)</f>
        <v>83.9688991322249</v>
      </c>
      <c r="C43" s="14" t="n">
        <v>0.05</v>
      </c>
    </row>
    <row r="44" customFormat="false" ht="15" hidden="false" customHeight="true" outlineLevel="0" collapsed="false">
      <c r="A44" s="10" t="n">
        <v>2042</v>
      </c>
      <c r="B44" s="15" t="n">
        <f aca="false">B43*(1+C$29)</f>
        <v>88.1673440888362</v>
      </c>
      <c r="C44" s="14" t="n">
        <v>0.05</v>
      </c>
    </row>
    <row r="45" customFormat="false" ht="15" hidden="false" customHeight="true" outlineLevel="0" collapsed="false">
      <c r="A45" s="10" t="n">
        <v>2043</v>
      </c>
      <c r="B45" s="15" t="n">
        <f aca="false">B44*(1+C$29)</f>
        <v>92.575711293278</v>
      </c>
      <c r="C45" s="14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12"/>
    <col collapsed="false" customWidth="true" hidden="false" outlineLevel="0" max="3" min="2" style="10" width="20"/>
    <col collapsed="false" customWidth="true" hidden="false" outlineLevel="0" max="4" min="4" style="10" width="18"/>
  </cols>
  <sheetData>
    <row r="1" customFormat="false" ht="15" hidden="false" customHeight="true" outlineLevel="0" collapsed="false">
      <c r="A1" s="11" t="s">
        <v>83</v>
      </c>
      <c r="B1" s="11" t="s">
        <v>86</v>
      </c>
      <c r="C1" s="11" t="s">
        <v>87</v>
      </c>
      <c r="D1" s="11" t="s">
        <v>88</v>
      </c>
    </row>
    <row r="2" customFormat="false" ht="15" hidden="false" customHeight="true" outlineLevel="0" collapsed="false">
      <c r="A2" s="10" t="n">
        <v>1996</v>
      </c>
      <c r="B2" s="10" t="n">
        <v>304.52</v>
      </c>
      <c r="D2" s="14" t="str">
        <f aca="false">IF(C2&gt;0,B2/C2,"")</f>
        <v/>
      </c>
    </row>
    <row r="3" customFormat="false" ht="15" hidden="false" customHeight="true" outlineLevel="0" collapsed="false">
      <c r="A3" s="10" t="n">
        <v>1997</v>
      </c>
      <c r="B3" s="10" t="n">
        <v>383.64</v>
      </c>
      <c r="D3" s="14" t="str">
        <f aca="false">IF(C3&gt;0,B3/C3,"")</f>
        <v/>
      </c>
    </row>
    <row r="4" customFormat="false" ht="15" hidden="false" customHeight="true" outlineLevel="0" collapsed="false">
      <c r="A4" s="10" t="n">
        <v>1998</v>
      </c>
      <c r="B4" s="10" t="n">
        <v>516.4</v>
      </c>
      <c r="D4" s="14" t="str">
        <f aca="false">IF(C4&gt;0,B4/C4,"")</f>
        <v/>
      </c>
    </row>
    <row r="5" customFormat="false" ht="15" hidden="false" customHeight="true" outlineLevel="0" collapsed="false">
      <c r="A5" s="10" t="n">
        <v>1999</v>
      </c>
      <c r="B5" s="10" t="n">
        <v>661.6</v>
      </c>
      <c r="D5" s="14" t="str">
        <f aca="false">IF(C5&gt;0,B5/C5,"")</f>
        <v/>
      </c>
    </row>
    <row r="6" customFormat="false" ht="15" hidden="false" customHeight="true" outlineLevel="0" collapsed="false">
      <c r="A6" s="10" t="n">
        <v>2000</v>
      </c>
      <c r="B6" s="10" t="n">
        <v>631.7</v>
      </c>
      <c r="D6" s="14" t="str">
        <f aca="false">IF(C6&gt;0,B6/C6,"")</f>
        <v/>
      </c>
    </row>
    <row r="7" customFormat="false" ht="15" hidden="false" customHeight="true" outlineLevel="0" collapsed="false">
      <c r="A7" s="10" t="n">
        <v>2001</v>
      </c>
      <c r="B7" s="10" t="n">
        <v>706.98</v>
      </c>
      <c r="D7" s="14" t="str">
        <f aca="false">IF(C7&gt;0,B7/C7,"")</f>
        <v/>
      </c>
    </row>
    <row r="8" customFormat="false" ht="15" hidden="false" customHeight="true" outlineLevel="0" collapsed="false">
      <c r="A8" s="10" t="n">
        <v>2002</v>
      </c>
      <c r="B8" s="10" t="n">
        <v>790.11</v>
      </c>
      <c r="D8" s="14" t="str">
        <f aca="false">IF(C8&gt;0,B8/C8,"")</f>
        <v/>
      </c>
    </row>
    <row r="9" customFormat="false" ht="15" hidden="false" customHeight="true" outlineLevel="0" collapsed="false">
      <c r="A9" s="10" t="n">
        <v>2003</v>
      </c>
      <c r="B9" s="10" t="n">
        <v>932.92</v>
      </c>
      <c r="D9" s="14" t="str">
        <f aca="false">IF(C9&gt;0,B9/C9,"")</f>
        <v/>
      </c>
    </row>
    <row r="10" customFormat="false" ht="15" hidden="false" customHeight="true" outlineLevel="0" collapsed="false">
      <c r="A10" s="10" t="n">
        <v>2004</v>
      </c>
      <c r="B10" s="10" t="n">
        <v>976.82</v>
      </c>
      <c r="D10" s="14" t="str">
        <f aca="false">IF(C10&gt;0,B10/C10,"")</f>
        <v/>
      </c>
    </row>
    <row r="11" customFormat="false" ht="15" hidden="false" customHeight="true" outlineLevel="0" collapsed="false">
      <c r="A11" s="10" t="n">
        <v>2005</v>
      </c>
      <c r="B11" s="10" t="n">
        <v>1113.45</v>
      </c>
      <c r="D11" s="14" t="str">
        <f aca="false">IF(C11&gt;0,B11/C11,"")</f>
        <v/>
      </c>
    </row>
    <row r="12" customFormat="false" ht="15" hidden="false" customHeight="true" outlineLevel="0" collapsed="false">
      <c r="A12" s="10" t="n">
        <v>2006</v>
      </c>
      <c r="B12" s="10" t="n">
        <v>1306.37</v>
      </c>
      <c r="D12" s="14" t="str">
        <f aca="false">IF(C12&gt;0,B12/C12,"")</f>
        <v/>
      </c>
    </row>
    <row r="13" customFormat="false" ht="15" hidden="false" customHeight="true" outlineLevel="0" collapsed="false">
      <c r="A13" s="10" t="n">
        <v>2007</v>
      </c>
      <c r="B13" s="10" t="n">
        <v>1617.03</v>
      </c>
      <c r="D13" s="14" t="str">
        <f aca="false">IF(C13&gt;0,B13/C13,"")</f>
        <v/>
      </c>
    </row>
    <row r="14" customFormat="false" ht="15" hidden="false" customHeight="true" outlineLevel="0" collapsed="false">
      <c r="A14" s="10" t="n">
        <v>2008</v>
      </c>
      <c r="B14" s="10" t="n">
        <v>1758.05</v>
      </c>
      <c r="D14" s="14" t="str">
        <f aca="false">IF(C14&gt;0,B14/C14,"")</f>
        <v/>
      </c>
    </row>
    <row r="15" customFormat="false" ht="15" hidden="false" customHeight="true" outlineLevel="0" collapsed="false">
      <c r="A15" s="10" t="n">
        <v>2009</v>
      </c>
      <c r="B15" s="10" t="n">
        <v>1751.37</v>
      </c>
      <c r="D15" s="14" t="str">
        <f aca="false">IF(C15&gt;0,B15/C15,"")</f>
        <v/>
      </c>
    </row>
    <row r="16" customFormat="false" ht="15" hidden="false" customHeight="true" outlineLevel="0" collapsed="false">
      <c r="A16" s="10" t="n">
        <v>2010</v>
      </c>
      <c r="B16" s="10" t="n">
        <v>2046.41</v>
      </c>
      <c r="D16" s="14" t="str">
        <f aca="false">IF(C16&gt;0,B16/C16,"")</f>
        <v/>
      </c>
    </row>
    <row r="17" customFormat="false" ht="15" hidden="false" customHeight="true" outlineLevel="0" collapsed="false">
      <c r="A17" s="10" t="n">
        <v>2011</v>
      </c>
      <c r="B17" s="10" t="n">
        <v>2350.51</v>
      </c>
      <c r="D17" s="14" t="str">
        <f aca="false">IF(C17&gt;0,B17/C17,"")</f>
        <v/>
      </c>
    </row>
    <row r="18" customFormat="false" ht="15" hidden="false" customHeight="true" outlineLevel="0" collapsed="false">
      <c r="A18" s="10" t="n">
        <v>2012</v>
      </c>
      <c r="B18" s="10" t="n">
        <v>2643.6</v>
      </c>
      <c r="D18" s="14" t="str">
        <f aca="false">IF(C18&gt;0,B18/C18,"")</f>
        <v/>
      </c>
    </row>
    <row r="19" customFormat="false" ht="15" hidden="false" customHeight="true" outlineLevel="0" collapsed="false">
      <c r="A19" s="10" t="n">
        <v>2013</v>
      </c>
      <c r="B19" s="10" t="n">
        <v>1555.93</v>
      </c>
      <c r="D19" s="14" t="str">
        <f aca="false">IF(C19&gt;0,B19/C19,"")</f>
        <v/>
      </c>
    </row>
    <row r="20" customFormat="false" ht="15" hidden="false" customHeight="true" outlineLevel="0" collapsed="false">
      <c r="A20" s="10" t="n">
        <v>2014</v>
      </c>
      <c r="B20" s="10" t="n">
        <v>2984.89</v>
      </c>
      <c r="D20" s="14" t="str">
        <f aca="false">IF(C20&gt;0,B20/C20,"")</f>
        <v/>
      </c>
    </row>
    <row r="21" customFormat="false" ht="15" hidden="false" customHeight="true" outlineLevel="0" collapsed="false">
      <c r="A21" s="10" t="n">
        <v>2015</v>
      </c>
      <c r="B21" s="10" t="n">
        <v>3657.28</v>
      </c>
      <c r="D21" s="14" t="str">
        <f aca="false">IF(C21&gt;0,B21/C21,"")</f>
        <v/>
      </c>
    </row>
    <row r="22" customFormat="false" ht="15" hidden="false" customHeight="true" outlineLevel="0" collapsed="false">
      <c r="A22" s="10" t="n">
        <v>2016</v>
      </c>
      <c r="B22" s="10" t="n">
        <v>4004.83</v>
      </c>
      <c r="D22" s="14" t="str">
        <f aca="false">IF(C22&gt;0,B22/C22,"")</f>
        <v/>
      </c>
    </row>
    <row r="23" customFormat="false" ht="15" hidden="false" customHeight="true" outlineLevel="0" collapsed="false">
      <c r="A23" s="10" t="n">
        <v>2017</v>
      </c>
      <c r="B23" s="10" t="n">
        <v>4492.92</v>
      </c>
      <c r="D23" s="14" t="str">
        <f aca="false">IF(C23&gt;0,B23/C23,"")</f>
        <v/>
      </c>
    </row>
    <row r="24" customFormat="false" ht="15" hidden="false" customHeight="true" outlineLevel="0" collapsed="false">
      <c r="A24" s="10" t="n">
        <v>2018</v>
      </c>
      <c r="B24" s="10" t="n">
        <v>4843.62</v>
      </c>
      <c r="D24" s="14" t="str">
        <f aca="false">IF(C24&gt;0,B24/C24,"")</f>
        <v/>
      </c>
    </row>
    <row r="25" customFormat="false" ht="15" hidden="false" customHeight="true" outlineLevel="0" collapsed="false">
      <c r="A25" s="10" t="n">
        <v>2019</v>
      </c>
      <c r="B25" s="10" t="n">
        <v>5452.96</v>
      </c>
      <c r="D25" s="14" t="str">
        <f aca="false">IF(C25&gt;0,B25/C25,"")</f>
        <v/>
      </c>
    </row>
    <row r="26" customFormat="false" ht="15" hidden="false" customHeight="true" outlineLevel="0" collapsed="false">
      <c r="A26" s="10" t="n">
        <v>2020</v>
      </c>
      <c r="B26" s="10" t="n">
        <v>6152.77</v>
      </c>
      <c r="D26" s="14" t="str">
        <f aca="false">IF(C26&gt;0,B26/C26,"")</f>
        <v/>
      </c>
    </row>
    <row r="27" customFormat="false" ht="15" hidden="false" customHeight="true" outlineLevel="0" collapsed="false">
      <c r="A27" s="10" t="n">
        <v>2021</v>
      </c>
      <c r="B27" s="10" t="n">
        <v>7072.63</v>
      </c>
      <c r="D27" s="14" t="str">
        <f aca="false">IF(C27&gt;0,B27/C27,"")</f>
        <v/>
      </c>
    </row>
    <row r="28" customFormat="false" ht="15" hidden="false" customHeight="true" outlineLevel="0" collapsed="false">
      <c r="A28" s="10" t="n">
        <v>2022</v>
      </c>
      <c r="B28" s="10" t="n">
        <v>7661.45</v>
      </c>
      <c r="D28" s="14" t="str">
        <f aca="false">IF(C28&gt;0,B28/C28,"")</f>
        <v/>
      </c>
    </row>
    <row r="29" customFormat="false" ht="15" hidden="false" customHeight="true" outlineLevel="0" collapsed="false">
      <c r="A29" s="10" t="n">
        <v>2023</v>
      </c>
      <c r="B29" s="10" t="n">
        <v>9410.66</v>
      </c>
      <c r="D29" s="14" t="str">
        <f aca="false">IF(C29&gt;0,B29/C29,"")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60"/>
    <col collapsed="false" customWidth="true" hidden="false" outlineLevel="0" max="9" min="2" style="10" width="14"/>
    <col collapsed="false" customWidth="true" hidden="false" outlineLevel="0" max="14" min="14" style="10" width="14"/>
  </cols>
  <sheetData>
    <row r="1" customFormat="false" ht="15" hidden="false" customHeight="true" outlineLevel="0" collapsed="false">
      <c r="A1" s="16" t="s">
        <v>89</v>
      </c>
    </row>
    <row r="3" customFormat="false" ht="15" hidden="false" customHeight="true" outlineLevel="0" collapsed="false">
      <c r="A3" s="10" t="s">
        <v>90</v>
      </c>
      <c r="B3" s="17" t="n">
        <v>0.04</v>
      </c>
    </row>
    <row r="5" customFormat="false" ht="15" hidden="false" customHeight="true" outlineLevel="0" collapsed="false">
      <c r="A5" s="11" t="s">
        <v>83</v>
      </c>
      <c r="B5" s="11" t="s">
        <v>91</v>
      </c>
      <c r="C5" s="11" t="s">
        <v>75</v>
      </c>
      <c r="D5" s="11" t="s">
        <v>92</v>
      </c>
      <c r="E5" s="11" t="s">
        <v>93</v>
      </c>
      <c r="F5" s="11" t="s">
        <v>94</v>
      </c>
      <c r="G5" s="11" t="s">
        <v>95</v>
      </c>
      <c r="H5" s="11" t="s">
        <v>96</v>
      </c>
      <c r="I5" s="11" t="s">
        <v>97</v>
      </c>
    </row>
    <row r="6" customFormat="false" ht="15" hidden="false" customHeight="true" outlineLevel="0" collapsed="false">
      <c r="A6" s="10" t="n">
        <v>2002</v>
      </c>
      <c r="B6" s="10" t="n">
        <f aca="false">IF(C6&lt;&gt;"""",LN(C6),"""")</f>
        <v>2.2843396526527</v>
      </c>
      <c r="C6" s="18" t="n">
        <f aca="false">IFERROR(INDEX(WEO_Data!$B$2:$B$29,MATCH(A6,WEO_Data!$A$2:$A$29,0))*2.72,"""")</f>
        <v>9.8192</v>
      </c>
      <c r="D6" s="18" t="n">
        <f aca="false">IFERROR(INDEX(WEO_Data!$B$2:$B$29,MATCH(A6,WEO_Data!$A$2:$A$29,0)),"""")</f>
        <v>3.61</v>
      </c>
      <c r="E6" s="10" t="n">
        <f aca="false">IF(D6&lt;&gt;"""",LN(D6),"""")</f>
        <v>1.28370777234479</v>
      </c>
      <c r="F6" s="10" t="n">
        <f aca="false">IF(AND(E6&lt;&gt;"""",B6&lt;&gt;""""),E6-0.35*B6,"""")</f>
        <v>0.484188893916346</v>
      </c>
      <c r="G6" s="10" t="n">
        <f aca="false">F6</f>
        <v>0.484188893916346</v>
      </c>
      <c r="N6" s="19"/>
    </row>
    <row r="7" customFormat="false" ht="15" hidden="false" customHeight="true" outlineLevel="0" collapsed="false">
      <c r="A7" s="10" t="n">
        <v>2003</v>
      </c>
      <c r="B7" s="10" t="n">
        <f aca="false">IF(C7&lt;&gt;"""",LN(C7),"""")</f>
        <v>2.38942312162638</v>
      </c>
      <c r="C7" s="18" t="n">
        <f aca="false">IFERROR(INDEX(WEO_Data!$B$2:$B$29,MATCH(A7,WEO_Data!$A$2:$A$29,0))*2.72,"""")</f>
        <v>10.9072</v>
      </c>
      <c r="D7" s="18" t="n">
        <f aca="false">IFERROR(INDEX(WEO_Data!$B$2:$B$29,MATCH(A7,WEO_Data!$A$2:$A$29,0)),"""")</f>
        <v>4.01</v>
      </c>
      <c r="E7" s="10" t="n">
        <f aca="false">IF(D7&lt;&gt;"""",LN(D7),"""")</f>
        <v>1.38879124131848</v>
      </c>
      <c r="F7" s="10" t="n">
        <f aca="false">IF(AND(E7&lt;&gt;"""",B7&lt;&gt;""""),E7-0.35*B7,"""")</f>
        <v>0.552493148749243</v>
      </c>
      <c r="G7" s="10" t="n">
        <f aca="false">F7</f>
        <v>0.552493148749243</v>
      </c>
      <c r="N7" s="19"/>
    </row>
    <row r="8" customFormat="false" ht="15" hidden="false" customHeight="true" outlineLevel="0" collapsed="false">
      <c r="A8" s="10" t="n">
        <v>2004</v>
      </c>
      <c r="B8" s="10" t="n">
        <f aca="false">IF(C8&lt;&gt;"""",LN(C8),"""")</f>
        <v>2.62790971087034</v>
      </c>
      <c r="C8" s="18" t="n">
        <f aca="false">IFERROR(INDEX(WEO_Data!$B$2:$B$29,MATCH(A8,WEO_Data!$A$2:$A$29,0))*2.72,"""")</f>
        <v>13.8448</v>
      </c>
      <c r="D8" s="18" t="n">
        <f aca="false">IFERROR(INDEX(WEO_Data!$B$2:$B$29,MATCH(A8,WEO_Data!$A$2:$A$29,0)),"""")</f>
        <v>5.09</v>
      </c>
      <c r="E8" s="10" t="n">
        <f aca="false">IF(D8&lt;&gt;"""",LN(D8),"""")</f>
        <v>1.62727783056243</v>
      </c>
      <c r="F8" s="10" t="n">
        <f aca="false">IF(AND(E8&lt;&gt;"""",B8&lt;&gt;""""),E8-0.35*B8,"""")</f>
        <v>0.707509431757813</v>
      </c>
      <c r="G8" s="10" t="n">
        <f aca="false">F8</f>
        <v>0.707509431757813</v>
      </c>
      <c r="H8" s="10" t="n">
        <f aca="false">IF(AND(G6&lt;&gt;"""",G7&lt;&gt;"""",G8&lt;&gt;""""),G8-2*G7+G6,"""")</f>
        <v>0.0867120281756728</v>
      </c>
      <c r="N8" s="19" t="n">
        <f aca="false">IF(AND(G6&lt;&gt;"",G7&lt;&gt;"",G8&lt;&gt;""""),G8-2*G7+G6,"""")</f>
        <v>0.0867120281756728</v>
      </c>
    </row>
    <row r="9" customFormat="false" ht="15" hidden="false" customHeight="true" outlineLevel="0" collapsed="false">
      <c r="A9" s="10" t="n">
        <v>2005</v>
      </c>
      <c r="B9" s="10" t="n">
        <f aca="false">IF(C9&lt;&gt;"""",LN(C9),"""")</f>
        <v>2.88618522882232</v>
      </c>
      <c r="C9" s="18" t="n">
        <f aca="false">IFERROR(INDEX(WEO_Data!$B$2:$B$29,MATCH(A9,WEO_Data!$A$2:$A$29,0))*2.72,"""")</f>
        <v>17.9248</v>
      </c>
      <c r="D9" s="18" t="n">
        <f aca="false">IFERROR(INDEX(WEO_Data!$B$2:$B$29,MATCH(A9,WEO_Data!$A$2:$A$29,0)),"""")</f>
        <v>6.59</v>
      </c>
      <c r="E9" s="10" t="n">
        <f aca="false">IF(D9&lt;&gt;"""",LN(D9),"""")</f>
        <v>1.88555334851442</v>
      </c>
      <c r="F9" s="10" t="n">
        <f aca="false">IF(AND(E9&lt;&gt;"""",B9&lt;&gt;""""),E9-0.35*B9,"""")</f>
        <v>0.875388518426603</v>
      </c>
      <c r="G9" s="10" t="n">
        <f aca="false">F9</f>
        <v>0.875388518426603</v>
      </c>
      <c r="H9" s="10" t="n">
        <f aca="false">IF(AND(G7&lt;&gt;"""",G8&lt;&gt;"""",G9&lt;&gt;""""),G9-2*G8+G7,"""")</f>
        <v>0.01286280366022</v>
      </c>
      <c r="N9" s="19" t="n">
        <f aca="false">IF(AND(G7&lt;&gt;"",G8&lt;&gt;"",G9&lt;&gt;""""),G9-2*G8+G7,"""")</f>
        <v>0.01286280366022</v>
      </c>
    </row>
    <row r="10" customFormat="false" ht="15" hidden="false" customHeight="true" outlineLevel="0" collapsed="false">
      <c r="A10" s="10" t="n">
        <v>2006</v>
      </c>
      <c r="B10" s="10" t="n">
        <f aca="false">IF(C10&lt;&gt;"""",LN(C10),"""")</f>
        <v>3.07757029176962</v>
      </c>
      <c r="C10" s="18" t="n">
        <f aca="false">IFERROR(INDEX(WEO_Data!$B$2:$B$29,MATCH(A10,WEO_Data!$A$2:$A$29,0))*2.72,"""")</f>
        <v>21.7056</v>
      </c>
      <c r="D10" s="18" t="n">
        <f aca="false">IFERROR(INDEX(WEO_Data!$B$2:$B$29,MATCH(A10,WEO_Data!$A$2:$A$29,0)),"""")</f>
        <v>7.98</v>
      </c>
      <c r="E10" s="10" t="n">
        <f aca="false">IF(D10&lt;&gt;"""",LN(D10),"""")</f>
        <v>2.07693841146172</v>
      </c>
      <c r="F10" s="10" t="n">
        <f aca="false">IF(AND(E10&lt;&gt;"""",B10&lt;&gt;""""),E10-0.35*B10,"""")</f>
        <v>0.999788809342349</v>
      </c>
      <c r="G10" s="10" t="n">
        <f aca="false">F10</f>
        <v>0.999788809342349</v>
      </c>
      <c r="H10" s="10" t="n">
        <f aca="false">IF(AND(G8&lt;&gt;"""",G9&lt;&gt;"""",G10&lt;&gt;""""),G10-2*G9+G8,"""")</f>
        <v>-0.0434787957530441</v>
      </c>
      <c r="N10" s="19" t="n">
        <f aca="false">IF(AND(G8&lt;&gt;"",G9&lt;&gt;"",G10&lt;&gt;""""),G10-2*G9+G8,"""")</f>
        <v>-0.0434787957530441</v>
      </c>
    </row>
    <row r="11" customFormat="false" ht="15" hidden="false" customHeight="true" outlineLevel="0" collapsed="false">
      <c r="A11" s="10" t="n">
        <v>2007</v>
      </c>
      <c r="B11" s="10" t="n">
        <f aca="false">IF(C11&lt;&gt;"""",LN(C11),"""")</f>
        <v>3.34819033894468</v>
      </c>
      <c r="C11" s="18" t="n">
        <f aca="false">IFERROR(INDEX(WEO_Data!$B$2:$B$29,MATCH(A11,WEO_Data!$A$2:$A$29,0))*2.72,"""")</f>
        <v>28.4512</v>
      </c>
      <c r="D11" s="18" t="n">
        <f aca="false">IFERROR(INDEX(WEO_Data!$B$2:$B$29,MATCH(A11,WEO_Data!$A$2:$A$29,0)),"""")</f>
        <v>10.46</v>
      </c>
      <c r="E11" s="10" t="n">
        <f aca="false">IF(D11&lt;&gt;"""",LN(D11),"""")</f>
        <v>2.34755845863678</v>
      </c>
      <c r="F11" s="10" t="n">
        <f aca="false">IF(AND(E11&lt;&gt;"""",B11&lt;&gt;""""),E11-0.35*B11,"""")</f>
        <v>1.17569184000614</v>
      </c>
      <c r="G11" s="10" t="n">
        <f aca="false">F11</f>
        <v>1.17569184000614</v>
      </c>
      <c r="H11" s="10" t="n">
        <f aca="false">IF(AND(G9&lt;&gt;"""",G10&lt;&gt;"""",G11&lt;&gt;""""),G11-2*G10+G9,"""")</f>
        <v>0.0515027397480432</v>
      </c>
      <c r="N11" s="19" t="n">
        <f aca="false">IF(AND(G9&lt;&gt;"",G10&lt;&gt;"",G11&lt;&gt;""""),G11-2*G10+G9,"""")</f>
        <v>0.0515027397480432</v>
      </c>
    </row>
    <row r="12" customFormat="false" ht="15" hidden="false" customHeight="true" outlineLevel="0" collapsed="false">
      <c r="A12" s="10" t="n">
        <v>2008</v>
      </c>
      <c r="B12" s="10" t="n">
        <f aca="false">IF(C12&lt;&gt;"""",LN(C12),"""")</f>
        <v>3.57781380620508</v>
      </c>
      <c r="C12" s="18" t="n">
        <f aca="false">IFERROR(INDEX(WEO_Data!$B$2:$B$29,MATCH(A12,WEO_Data!$A$2:$A$29,0))*2.72,"""")</f>
        <v>35.7952</v>
      </c>
      <c r="D12" s="18" t="n">
        <f aca="false">IFERROR(INDEX(WEO_Data!$B$2:$B$29,MATCH(A12,WEO_Data!$A$2:$A$29,0)),"""")</f>
        <v>13.16</v>
      </c>
      <c r="E12" s="10" t="n">
        <f aca="false">IF(D12&lt;&gt;"""",LN(D12),"""")</f>
        <v>2.57718192589717</v>
      </c>
      <c r="F12" s="10" t="n">
        <f aca="false">IF(AND(E12&lt;&gt;"""",B12&lt;&gt;""""),E12-0.35*B12,"""")</f>
        <v>1.32494709372539</v>
      </c>
      <c r="G12" s="10" t="n">
        <f aca="false">F12</f>
        <v>1.32494709372539</v>
      </c>
      <c r="H12" s="10" t="n">
        <f aca="false">IF(AND(G10&lt;&gt;"""",G11&lt;&gt;"""",G12&lt;&gt;""""),G12-2*G11+G10,"""")</f>
        <v>-0.0266477769445326</v>
      </c>
      <c r="N12" s="19" t="n">
        <f aca="false">IF(AND(G10&lt;&gt;"",G11&lt;&gt;"",G12&lt;&gt;""""),G12-2*G11+G10,"""")</f>
        <v>-0.0266477769445326</v>
      </c>
    </row>
    <row r="13" customFormat="false" ht="15" hidden="false" customHeight="true" outlineLevel="0" collapsed="false">
      <c r="A13" s="10" t="n">
        <v>2009</v>
      </c>
      <c r="B13" s="10" t="n">
        <f aca="false">IF(C13&lt;&gt;"""",LN(C13),"""")</f>
        <v>3.40487062702845</v>
      </c>
      <c r="C13" s="18" t="n">
        <f aca="false">IFERROR(INDEX(WEO_Data!$B$2:$B$29,MATCH(A13,WEO_Data!$A$2:$A$29,0))*2.72,"""")</f>
        <v>30.1104</v>
      </c>
      <c r="D13" s="18" t="n">
        <f aca="false">IFERROR(INDEX(WEO_Data!$B$2:$B$29,MATCH(A13,WEO_Data!$A$2:$A$29,0)),"""")</f>
        <v>11.07</v>
      </c>
      <c r="E13" s="10" t="n">
        <f aca="false">IF(D13&lt;&gt;"""",LN(D13),"""")</f>
        <v>2.40423874672055</v>
      </c>
      <c r="F13" s="10" t="n">
        <f aca="false">IF(AND(E13&lt;&gt;"""",B13&lt;&gt;""""),E13-0.35*B13,"""")</f>
        <v>1.21253402726059</v>
      </c>
      <c r="G13" s="10" t="n">
        <f aca="false">F13</f>
        <v>1.21253402726059</v>
      </c>
      <c r="H13" s="10" t="n">
        <f aca="false">IF(AND(G11&lt;&gt;"""",G12&lt;&gt;"""",G13&lt;&gt;""""),G13-2*G12+G11,"""")</f>
        <v>-0.261668320184063</v>
      </c>
      <c r="N13" s="19" t="n">
        <f aca="false">IF(AND(G11&lt;&gt;"",G12&lt;&gt;"",G13&lt;&gt;""""),G13-2*G12+G11,"""")</f>
        <v>-0.261668320184063</v>
      </c>
    </row>
    <row r="14" customFormat="false" ht="15" hidden="false" customHeight="true" outlineLevel="0" collapsed="false">
      <c r="A14" s="10" t="n">
        <v>2010</v>
      </c>
      <c r="B14" s="10" t="n">
        <f aca="false">IF(C14&lt;&gt;"""",LN(C14),"""")</f>
        <v>3.53670681667031</v>
      </c>
      <c r="C14" s="18" t="n">
        <f aca="false">IFERROR(INDEX(WEO_Data!$B$2:$B$29,MATCH(A14,WEO_Data!$A$2:$A$29,0))*2.72,"""")</f>
        <v>34.3536</v>
      </c>
      <c r="D14" s="18" t="n">
        <f aca="false">IFERROR(INDEX(WEO_Data!$B$2:$B$29,MATCH(A14,WEO_Data!$A$2:$A$29,0)),"""")</f>
        <v>12.63</v>
      </c>
      <c r="E14" s="10" t="n">
        <f aca="false">IF(D14&lt;&gt;"""",LN(D14),"""")</f>
        <v>2.5360749363624</v>
      </c>
      <c r="F14" s="10" t="n">
        <f aca="false">IF(AND(E14&lt;&gt;"""",B14&lt;&gt;""""),E14-0.35*B14,"""")</f>
        <v>1.29822755052779</v>
      </c>
      <c r="G14" s="10" t="n">
        <f aca="false">F14</f>
        <v>1.29822755052779</v>
      </c>
      <c r="H14" s="10" t="n">
        <f aca="false">IF(AND(G12&lt;&gt;"""",G13&lt;&gt;"""",G14&lt;&gt;""""),G14-2*G13+G12,"""")</f>
        <v>0.198106589732012</v>
      </c>
      <c r="N14" s="19" t="n">
        <f aca="false">IF(AND(G12&lt;&gt;"",G13&lt;&gt;"",G14&lt;&gt;""""),G14-2*G13+G12,"""")</f>
        <v>0.198106589732012</v>
      </c>
    </row>
    <row r="15" customFormat="false" ht="15" hidden="false" customHeight="true" outlineLevel="0" collapsed="false">
      <c r="A15" s="10" t="n">
        <v>2011</v>
      </c>
      <c r="B15" s="10" t="n">
        <f aca="false">IF(C15&lt;&gt;"""",LN(C15),"""")</f>
        <v>3.66786008688986</v>
      </c>
      <c r="C15" s="18" t="n">
        <f aca="false">IFERROR(INDEX(WEO_Data!$B$2:$B$29,MATCH(A15,WEO_Data!$A$2:$A$29,0))*2.72,"""")</f>
        <v>39.168</v>
      </c>
      <c r="D15" s="18" t="n">
        <f aca="false">IFERROR(INDEX(WEO_Data!$B$2:$B$29,MATCH(A15,WEO_Data!$A$2:$A$29,0)),"""")</f>
        <v>14.4</v>
      </c>
      <c r="E15" s="10" t="n">
        <f aca="false">IF(D15&lt;&gt;"""",LN(D15),"""")</f>
        <v>2.66722820658196</v>
      </c>
      <c r="F15" s="10" t="n">
        <f aca="false">IF(AND(E15&lt;&gt;"""",B15&lt;&gt;""""),E15-0.35*B15,"""")</f>
        <v>1.3834771761705</v>
      </c>
      <c r="G15" s="10" t="n">
        <f aca="false">F15</f>
        <v>1.3834771761705</v>
      </c>
      <c r="H15" s="10" t="n">
        <f aca="false">IF(AND(G13&lt;&gt;"""",G14&lt;&gt;"""",G15&lt;&gt;""""),G15-2*G14+G13,"""")</f>
        <v>-0.000443897624494705</v>
      </c>
      <c r="N15" s="19" t="n">
        <f aca="false">IF(AND(G13&lt;&gt;"",G14&lt;&gt;"",G15&lt;&gt;""""),G15-2*G14+G13,"""")</f>
        <v>-0.000443897624494705</v>
      </c>
    </row>
    <row r="16" customFormat="false" ht="15" hidden="false" customHeight="true" outlineLevel="0" collapsed="false">
      <c r="A16" s="10" t="n">
        <v>2012</v>
      </c>
      <c r="B16" s="10" t="n">
        <f aca="false">IF(C16&lt;&gt;"""",LN(C16),"""")</f>
        <v>3.72192730816014</v>
      </c>
      <c r="C16" s="18" t="n">
        <f aca="false">IFERROR(INDEX(WEO_Data!$B$2:$B$29,MATCH(A16,WEO_Data!$A$2:$A$29,0))*2.72,"""")</f>
        <v>41.344</v>
      </c>
      <c r="D16" s="18" t="n">
        <f aca="false">IFERROR(INDEX(WEO_Data!$B$2:$B$29,MATCH(A16,WEO_Data!$A$2:$A$29,0)),"""")</f>
        <v>15.2</v>
      </c>
      <c r="E16" s="10" t="n">
        <f aca="false">IF(D16&lt;&gt;"""",LN(D16),"""")</f>
        <v>2.72129542785223</v>
      </c>
      <c r="F16" s="10" t="n">
        <f aca="false">IF(AND(E16&lt;&gt;"""",B16&lt;&gt;""""),E16-0.35*B16,"""")</f>
        <v>1.41862086999618</v>
      </c>
      <c r="G16" s="10" t="n">
        <f aca="false">F16</f>
        <v>1.41862086999618</v>
      </c>
      <c r="H16" s="10" t="n">
        <f aca="false">IF(AND(G14&lt;&gt;"""",G15&lt;&gt;"""",G16&lt;&gt;""""),G16-2*G15+G14,"""")</f>
        <v>-0.0501059318170309</v>
      </c>
      <c r="N16" s="19" t="n">
        <f aca="false">IF(AND(G14&lt;&gt;"",G15&lt;&gt;"",G16&lt;&gt;""""),G16-2*G15+G14,"""")</f>
        <v>-0.0501059318170309</v>
      </c>
    </row>
    <row r="17" customFormat="false" ht="15" hidden="false" customHeight="true" outlineLevel="0" collapsed="false">
      <c r="A17" s="10" t="n">
        <v>2013</v>
      </c>
      <c r="B17" s="10" t="n">
        <f aca="false">IF(C17&lt;&gt;"""",LN(C17),"""")</f>
        <v>3.76064182034083</v>
      </c>
      <c r="C17" s="18" t="n">
        <f aca="false">IFERROR(INDEX(WEO_Data!$B$2:$B$29,MATCH(A17,WEO_Data!$A$2:$A$29,0))*2.72,"""")</f>
        <v>42.976</v>
      </c>
      <c r="D17" s="18" t="n">
        <f aca="false">IFERROR(INDEX(WEO_Data!$B$2:$B$29,MATCH(A17,WEO_Data!$A$2:$A$29,0)),"""")</f>
        <v>15.8</v>
      </c>
      <c r="E17" s="10" t="n">
        <f aca="false">IF(D17&lt;&gt;"""",LN(D17),"""")</f>
        <v>2.76000994003292</v>
      </c>
      <c r="F17" s="10" t="n">
        <f aca="false">IF(AND(E17&lt;&gt;"""",B17&lt;&gt;""""),E17-0.35*B17,"""")</f>
        <v>1.44378530291363</v>
      </c>
      <c r="G17" s="10" t="n">
        <f aca="false">F17</f>
        <v>1.44378530291363</v>
      </c>
      <c r="H17" s="10" t="n">
        <f aca="false">IF(AND(G15&lt;&gt;"""",G16&lt;&gt;"""",G17&lt;&gt;""""),G17-2*G16+G15,"""")</f>
        <v>-0.00997926090823098</v>
      </c>
      <c r="N17" s="19" t="n">
        <f aca="false">IF(AND(G15&lt;&gt;"",G16&lt;&gt;"",G17&lt;&gt;""""),G17-2*G16+G15,"""")</f>
        <v>-0.00997926090823098</v>
      </c>
    </row>
    <row r="18" customFormat="false" ht="15" hidden="false" customHeight="true" outlineLevel="0" collapsed="false">
      <c r="A18" s="10" t="n">
        <v>2014</v>
      </c>
      <c r="B18" s="10" t="n">
        <f aca="false">IF(C18&lt;&gt;"""",LN(C18),"""")</f>
        <v>3.78564312254624</v>
      </c>
      <c r="C18" s="18" t="n">
        <f aca="false">IFERROR(INDEX(WEO_Data!$B$2:$B$29,MATCH(A18,WEO_Data!$A$2:$A$29,0))*2.72,"""")</f>
        <v>44.064</v>
      </c>
      <c r="D18" s="18" t="n">
        <f aca="false">IFERROR(INDEX(WEO_Data!$B$2:$B$29,MATCH(A18,WEO_Data!$A$2:$A$29,0)),"""")</f>
        <v>16.2</v>
      </c>
      <c r="E18" s="10" t="n">
        <f aca="false">IF(D18&lt;&gt;"""",LN(D18),"""")</f>
        <v>2.78501124223834</v>
      </c>
      <c r="F18" s="10" t="n">
        <f aca="false">IF(AND(E18&lt;&gt;"""",B18&lt;&gt;""""),E18-0.35*B18,"""")</f>
        <v>1.46003614934715</v>
      </c>
      <c r="G18" s="10" t="n">
        <f aca="false">F18</f>
        <v>1.46003614934715</v>
      </c>
      <c r="H18" s="10" t="n">
        <f aca="false">IF(AND(G16&lt;&gt;"""",G17&lt;&gt;"""",G18&lt;&gt;""""),G18-2*G17+G16,"""")</f>
        <v>-0.00891358648392715</v>
      </c>
      <c r="N18" s="19" t="n">
        <f aca="false">IF(AND(G16&lt;&gt;"",G17&lt;&gt;"",G18&lt;&gt;""""),G18-2*G17+G16,"""")</f>
        <v>-0.00891358648392715</v>
      </c>
    </row>
    <row r="19" customFormat="false" ht="15" hidden="false" customHeight="true" outlineLevel="0" collapsed="false">
      <c r="A19" s="10" t="n">
        <v>2015</v>
      </c>
      <c r="B19" s="10" t="n">
        <f aca="false">IF(C19&lt;&gt;"""",LN(C19),"""")</f>
        <v>3.72324223274145</v>
      </c>
      <c r="C19" s="18" t="n">
        <f aca="false">IFERROR(INDEX(WEO_Data!$B$2:$B$29,MATCH(A19,WEO_Data!$A$2:$A$29,0))*2.72,"""")</f>
        <v>41.3984</v>
      </c>
      <c r="D19" s="18" t="n">
        <f aca="false">IFERROR(INDEX(WEO_Data!$B$2:$B$29,MATCH(A19,WEO_Data!$A$2:$A$29,0)),"""")</f>
        <v>15.22</v>
      </c>
      <c r="E19" s="10" t="n">
        <f aca="false">IF(D19&lt;&gt;"""",LN(D19),"""")</f>
        <v>2.72261035243354</v>
      </c>
      <c r="F19" s="10" t="n">
        <f aca="false">IF(AND(E19&lt;&gt;"""",B19&lt;&gt;""""),E19-0.35*B19,"""")</f>
        <v>1.41947557097403</v>
      </c>
      <c r="G19" s="10" t="n">
        <f aca="false">F19</f>
        <v>1.41947557097403</v>
      </c>
      <c r="H19" s="10" t="n">
        <f aca="false">IF(AND(G17&lt;&gt;"""",G18&lt;&gt;"""",G19&lt;&gt;""""),G19-2*G18+G17,"""")</f>
        <v>-0.0568114248066403</v>
      </c>
      <c r="N19" s="19" t="n">
        <f aca="false">IF(AND(G17&lt;&gt;"",G18&lt;&gt;"",G19&lt;&gt;""""),G19-2*G18+G17,"""")</f>
        <v>-0.0568114248066403</v>
      </c>
    </row>
    <row r="20" customFormat="false" ht="15" hidden="false" customHeight="true" outlineLevel="0" collapsed="false">
      <c r="A20" s="10" t="n">
        <v>2016</v>
      </c>
      <c r="B20" s="10" t="n">
        <f aca="false">IF(C20&lt;&gt;"""",LN(C20),"""")</f>
        <v>3.76190684264741</v>
      </c>
      <c r="C20" s="18" t="n">
        <f aca="false">IFERROR(INDEX(WEO_Data!$B$2:$B$29,MATCH(A20,WEO_Data!$A$2:$A$29,0))*2.72,"""")</f>
        <v>43.0304</v>
      </c>
      <c r="D20" s="18" t="n">
        <f aca="false">IFERROR(INDEX(WEO_Data!$B$2:$B$29,MATCH(A20,WEO_Data!$A$2:$A$29,0)),"""")</f>
        <v>15.82</v>
      </c>
      <c r="E20" s="10" t="n">
        <f aca="false">IF(D20&lt;&gt;"""",LN(D20),"""")</f>
        <v>2.76127496233951</v>
      </c>
      <c r="F20" s="10" t="n">
        <f aca="false">IF(AND(E20&lt;&gt;"""",B20&lt;&gt;""""),E20-0.35*B20,"""")</f>
        <v>1.44460756741291</v>
      </c>
      <c r="G20" s="10" t="n">
        <f aca="false">F20</f>
        <v>1.44460756741291</v>
      </c>
      <c r="H20" s="10" t="n">
        <f aca="false">IF(AND(G18&lt;&gt;"""",G19&lt;&gt;"""",G20&lt;&gt;""""),G20-2*G19+G18,"""")</f>
        <v>0.0656925748119981</v>
      </c>
      <c r="N20" s="19" t="n">
        <f aca="false">IF(AND(G18&lt;&gt;"",G19&lt;&gt;"",G20&lt;&gt;""""),G20-2*G19+G18,"""")</f>
        <v>0.0656925748119981</v>
      </c>
    </row>
    <row r="21" customFormat="false" ht="15" hidden="false" customHeight="true" outlineLevel="0" collapsed="false">
      <c r="A21" s="10" t="n">
        <v>2017</v>
      </c>
      <c r="B21" s="10" t="n">
        <f aca="false">IF(C21&lt;&gt;"""",LN(C21),"""")</f>
        <v>3.82201076671712</v>
      </c>
      <c r="C21" s="18" t="n">
        <f aca="false">IFERROR(INDEX(WEO_Data!$B$2:$B$29,MATCH(A21,WEO_Data!$A$2:$A$29,0))*2.72,"""")</f>
        <v>45.696</v>
      </c>
      <c r="D21" s="18" t="n">
        <f aca="false">IFERROR(INDEX(WEO_Data!$B$2:$B$29,MATCH(A21,WEO_Data!$A$2:$A$29,0)),"""")</f>
        <v>16.8</v>
      </c>
      <c r="E21" s="10" t="n">
        <f aca="false">IF(D21&lt;&gt;"""",LN(D21),"""")</f>
        <v>2.82137888640921</v>
      </c>
      <c r="F21" s="10" t="n">
        <f aca="false">IF(AND(E21&lt;&gt;"""",B21&lt;&gt;""""),E21-0.35*B21,"""")</f>
        <v>1.48367511805822</v>
      </c>
      <c r="G21" s="10" t="n">
        <f aca="false">F21</f>
        <v>1.48367511805822</v>
      </c>
      <c r="H21" s="10" t="n">
        <f aca="false">IF(AND(G19&lt;&gt;"""",G20&lt;&gt;"""",G21&lt;&gt;""""),G21-2*G20+G19,"""")</f>
        <v>0.0139355542064294</v>
      </c>
      <c r="N21" s="19" t="n">
        <f aca="false">IF(AND(G19&lt;&gt;"",G20&lt;&gt;"",G21&lt;&gt;""""),G21-2*G20+G19,"""")</f>
        <v>0.0139355542064294</v>
      </c>
    </row>
    <row r="22" customFormat="false" ht="15" hidden="false" customHeight="true" outlineLevel="0" collapsed="false">
      <c r="A22" s="10" t="n">
        <v>2018</v>
      </c>
      <c r="B22" s="10" t="n">
        <f aca="false">IF(C22&lt;&gt;"""",LN(C22),"""")</f>
        <v>3.89819990507467</v>
      </c>
      <c r="C22" s="18" t="n">
        <f aca="false">IFERROR(INDEX(WEO_Data!$B$2:$B$29,MATCH(A22,WEO_Data!$A$2:$A$29,0))*2.72,"""")</f>
        <v>49.3136</v>
      </c>
      <c r="D22" s="18" t="n">
        <f aca="false">IFERROR(INDEX(WEO_Data!$B$2:$B$29,MATCH(A22,WEO_Data!$A$2:$A$29,0)),"""")</f>
        <v>18.13</v>
      </c>
      <c r="E22" s="10" t="n">
        <f aca="false">IF(D22&lt;&gt;"""",LN(D22),"""")</f>
        <v>2.89756802476676</v>
      </c>
      <c r="F22" s="10" t="n">
        <f aca="false">IF(AND(E22&lt;&gt;"""",B22&lt;&gt;""""),E22-0.35*B22,"""")</f>
        <v>1.53319805799063</v>
      </c>
      <c r="G22" s="10" t="n">
        <f aca="false">F22</f>
        <v>1.53319805799063</v>
      </c>
      <c r="H22" s="10" t="n">
        <f aca="false">IF(AND(G20&lt;&gt;"""",G21&lt;&gt;"""",G22&lt;&gt;""""),G22-2*G21+G20,"""")</f>
        <v>0.0104553892870962</v>
      </c>
      <c r="N22" s="19" t="n">
        <f aca="false">IF(AND(G20&lt;&gt;"",G21&lt;&gt;"",G22&lt;&gt;""""),G22-2*G21+G20,"""")</f>
        <v>0.0104553892870962</v>
      </c>
    </row>
    <row r="23" customFormat="false" ht="15" hidden="false" customHeight="true" outlineLevel="0" collapsed="false">
      <c r="A23" s="10" t="n">
        <v>2019</v>
      </c>
      <c r="B23" s="10" t="n">
        <f aca="false">IF(C23&lt;&gt;"""",LN(C23),"""")</f>
        <v>3.97616144654438</v>
      </c>
      <c r="C23" s="18" t="n">
        <f aca="false">IFERROR(INDEX(WEO_Data!$B$2:$B$29,MATCH(A23,WEO_Data!$A$2:$A$29,0))*2.72,"""")</f>
        <v>53.312</v>
      </c>
      <c r="D23" s="18" t="n">
        <f aca="false">IFERROR(INDEX(WEO_Data!$B$2:$B$29,MATCH(A23,WEO_Data!$A$2:$A$29,0)),"""")</f>
        <v>19.6</v>
      </c>
      <c r="E23" s="10" t="n">
        <f aca="false">IF(D23&lt;&gt;"""",LN(D23),"""")</f>
        <v>2.97552956623647</v>
      </c>
      <c r="F23" s="10" t="n">
        <f aca="false">IF(AND(E23&lt;&gt;"""",B23&lt;&gt;""""),E23-0.35*B23,"""")</f>
        <v>1.58387305994594</v>
      </c>
      <c r="G23" s="10" t="n">
        <f aca="false">F23</f>
        <v>1.58387305994594</v>
      </c>
      <c r="H23" s="10" t="n">
        <f aca="false">IF(AND(G21&lt;&gt;"""",G22&lt;&gt;"""",G23&lt;&gt;""""),G23-2*G22+G21,"""")</f>
        <v>0.00115206202290818</v>
      </c>
      <c r="N23" s="19" t="n">
        <f aca="false">IF(AND(G21&lt;&gt;"",G22&lt;&gt;"",G23&lt;&gt;""""),G23-2*G22+G21,"""")</f>
        <v>0.00115206202290818</v>
      </c>
    </row>
    <row r="24" customFormat="false" ht="15" hidden="false" customHeight="true" outlineLevel="0" collapsed="false">
      <c r="A24" s="10" t="n">
        <v>2020</v>
      </c>
      <c r="B24" s="10" t="n">
        <f aca="false">IF(C24&lt;&gt;"""",LN(C24),"""")</f>
        <v>3.77384540731653</v>
      </c>
      <c r="C24" s="18" t="n">
        <f aca="false">IFERROR(INDEX(WEO_Data!$B$2:$B$29,MATCH(A24,WEO_Data!$A$2:$A$29,0))*2.72,"""")</f>
        <v>43.5472</v>
      </c>
      <c r="D24" s="18" t="n">
        <f aca="false">IFERROR(INDEX(WEO_Data!$B$2:$B$29,MATCH(A24,WEO_Data!$A$2:$A$29,0)),"""")</f>
        <v>16.01</v>
      </c>
      <c r="E24" s="10" t="n">
        <f aca="false">IF(D24&lt;&gt;"""",LN(D24),"""")</f>
        <v>2.77321352700862</v>
      </c>
      <c r="F24" s="10" t="n">
        <f aca="false">IF(AND(E24&lt;&gt;"""",B24&lt;&gt;""""),E24-0.35*B24,"""")</f>
        <v>1.45236763444784</v>
      </c>
      <c r="G24" s="10" t="n">
        <f aca="false">F24</f>
        <v>1.45236763444784</v>
      </c>
      <c r="H24" s="10" t="n">
        <f aca="false">IF(AND(G22&lt;&gt;"""",G23&lt;&gt;"""",G24&lt;&gt;""""),G24-2*G23+G22,"""")</f>
        <v>-0.182180427453414</v>
      </c>
      <c r="N24" s="19" t="n">
        <f aca="false">IF(AND(G22&lt;&gt;"",G23&lt;&gt;"",G24&lt;&gt;""""),G24-2*G23+G22,"""")</f>
        <v>-0.182180427453414</v>
      </c>
    </row>
    <row r="25" customFormat="false" ht="15" hidden="false" customHeight="true" outlineLevel="0" collapsed="false">
      <c r="A25" s="10" t="n">
        <v>2021</v>
      </c>
      <c r="B25" s="10" t="n">
        <f aca="false">IF(C25&lt;&gt;"""",LN(C25),"""")</f>
        <v>3.93714479420193</v>
      </c>
      <c r="C25" s="18" t="n">
        <f aca="false">IFERROR(INDEX(WEO_Data!$B$2:$B$29,MATCH(A25,WEO_Data!$A$2:$A$29,0))*2.72,"""")</f>
        <v>51.272</v>
      </c>
      <c r="D25" s="18" t="n">
        <f aca="false">IFERROR(INDEX(WEO_Data!$B$2:$B$29,MATCH(A25,WEO_Data!$A$2:$A$29,0)),"""")</f>
        <v>18.85</v>
      </c>
      <c r="E25" s="10" t="n">
        <f aca="false">IF(D25&lt;&gt;"""",LN(D25),"""")</f>
        <v>2.93651291389402</v>
      </c>
      <c r="F25" s="10" t="n">
        <f aca="false">IF(AND(E25&lt;&gt;"""",B25&lt;&gt;""""),E25-0.35*B25,"""")</f>
        <v>1.55851223592335</v>
      </c>
      <c r="G25" s="10" t="n">
        <f aca="false">F25</f>
        <v>1.55851223592335</v>
      </c>
      <c r="H25" s="10" t="n">
        <f aca="false">IF(AND(G23&lt;&gt;"""",G24&lt;&gt;"""",G25&lt;&gt;""""),G25-2*G24+G23,"""")</f>
        <v>0.237650026973609</v>
      </c>
      <c r="N25" s="19" t="n">
        <f aca="false">IF(AND(G23&lt;&gt;"",G24&lt;&gt;"",G25&lt;&gt;""""),G25-2*G24+G23,"""")</f>
        <v>0.237650026973609</v>
      </c>
    </row>
    <row r="26" customFormat="false" ht="15" hidden="false" customHeight="true" outlineLevel="0" collapsed="false">
      <c r="A26" s="10" t="n">
        <v>2022</v>
      </c>
      <c r="B26" s="10" t="n">
        <f aca="false">IF(C26&lt;&gt;"""",LN(C26),"""")</f>
        <v>4.21910762515477</v>
      </c>
      <c r="C26" s="18" t="n">
        <f aca="false">IFERROR(INDEX(WEO_Data!$B$2:$B$29,MATCH(A26,WEO_Data!$A$2:$A$29,0))*2.72,"""")</f>
        <v>67.9728</v>
      </c>
      <c r="D26" s="18" t="n">
        <f aca="false">IFERROR(INDEX(WEO_Data!$B$2:$B$29,MATCH(A26,WEO_Data!$A$2:$A$29,0)),"""")</f>
        <v>24.99</v>
      </c>
      <c r="E26" s="10" t="n">
        <f aca="false">IF(D26&lt;&gt;"""",LN(D26),"""")</f>
        <v>3.21847574484686</v>
      </c>
      <c r="F26" s="10" t="n">
        <f aca="false">IF(AND(E26&lt;&gt;"""",B26&lt;&gt;""""),E26-0.35*B26,"""")</f>
        <v>1.74178807604269</v>
      </c>
      <c r="G26" s="10" t="n">
        <f aca="false">F26</f>
        <v>1.74178807604269</v>
      </c>
      <c r="H26" s="10" t="n">
        <f aca="false">IF(AND(G24&lt;&gt;"""",G25&lt;&gt;"""",G26&lt;&gt;""""),G26-2*G25+G24,"""")</f>
        <v>0.0771312386438385</v>
      </c>
      <c r="N26" s="19" t="n">
        <f aca="false">IF(AND(G24&lt;&gt;"",G25&lt;&gt;"",G26&lt;&gt;""""),G26-2*G25+G24,"""")</f>
        <v>0.0771312386438385</v>
      </c>
    </row>
    <row r="27" customFormat="false" ht="15" hidden="false" customHeight="true" outlineLevel="0" collapsed="false">
      <c r="A27" s="10" t="n">
        <v>2023</v>
      </c>
      <c r="B27" s="10" t="n">
        <f aca="false">IF(C27&lt;&gt;"""",LN(C27),"""")</f>
        <v>4.42749700871864</v>
      </c>
      <c r="C27" s="18" t="n">
        <f aca="false">IFERROR(INDEX(WEO_Data!$B$2:$B$29,MATCH(A27,WEO_Data!$A$2:$A$29,0))*2.72,"""")</f>
        <v>83.7216</v>
      </c>
      <c r="D27" s="18" t="n">
        <f aca="false">IFERROR(INDEX(WEO_Data!$B$2:$B$29,MATCH(A27,WEO_Data!$A$2:$A$29,0)),"""")</f>
        <v>30.78</v>
      </c>
      <c r="E27" s="10" t="n">
        <f aca="false">IF(D27&lt;&gt;"""",LN(D27),"""")</f>
        <v>3.42686512841073</v>
      </c>
      <c r="F27" s="10" t="n">
        <f aca="false">IF(AND(E27&lt;&gt;"""",B27&lt;&gt;""""),E27-0.35*B27,"""")</f>
        <v>1.87724117535921</v>
      </c>
      <c r="G27" s="10" t="n">
        <f aca="false">F27</f>
        <v>1.87724117535921</v>
      </c>
      <c r="H27" s="10" t="n">
        <f aca="false">IF(AND(G25&lt;&gt;"""",G26&lt;&gt;"""",G27&lt;&gt;""""),G27-2*G26+G25,"""")</f>
        <v>-0.0478227408028293</v>
      </c>
      <c r="N27" s="19" t="n">
        <f aca="false">IF(AND(G25&lt;&gt;"",G26&lt;&gt;"",G27&lt;&gt;""""),G27-2*G26+G25,"""")</f>
        <v>-0.0478227408028293</v>
      </c>
    </row>
    <row r="29" customFormat="false" ht="15" hidden="false" customHeight="true" outlineLevel="0" collapsed="false">
      <c r="A29" s="20" t="s">
        <v>98</v>
      </c>
    </row>
    <row r="31" customFormat="false" ht="15" hidden="false" customHeight="true" outlineLevel="0" collapsed="false">
      <c r="A31" s="10" t="s">
        <v>99</v>
      </c>
      <c r="B31" s="21" t="n">
        <v>1600</v>
      </c>
    </row>
    <row r="32" customFormat="false" ht="15" hidden="false" customHeight="true" outlineLevel="0" collapsed="false">
      <c r="A32" s="10" t="s">
        <v>100</v>
      </c>
      <c r="B32" s="22" t="n">
        <f aca="false">SUMPRODUCT((F6:F27-G6:G27)^2)</f>
        <v>0</v>
      </c>
    </row>
    <row r="34" customFormat="false" ht="15" hidden="false" customHeight="true" outlineLevel="0" collapsed="false">
      <c r="A34" s="10" t="s">
        <v>101</v>
      </c>
    </row>
    <row r="36" customFormat="false" ht="15" hidden="false" customHeight="true" outlineLevel="0" collapsed="false">
      <c r="A36" s="10" t="s">
        <v>102</v>
      </c>
    </row>
    <row r="37" customFormat="false" ht="15" hidden="false" customHeight="true" outlineLevel="0" collapsed="false">
      <c r="A37" s="10" t="s">
        <v>103</v>
      </c>
      <c r="B37" s="17" t="n">
        <v>0.35</v>
      </c>
    </row>
    <row r="40" customFormat="false" ht="15" hidden="false" customHeight="true" outlineLevel="0" collapsed="false">
      <c r="A40" s="23" t="s">
        <v>104</v>
      </c>
    </row>
    <row r="41" customFormat="false" ht="15" hidden="false" customHeight="true" outlineLevel="0" collapsed="false">
      <c r="A41" s="24" t="s">
        <v>105</v>
      </c>
    </row>
    <row r="42" customFormat="false" ht="15" hidden="false" customHeight="true" outlineLevel="0" collapsed="false">
      <c r="A42" s="24" t="s">
        <v>106</v>
      </c>
    </row>
    <row r="43" customFormat="false" ht="15" hidden="false" customHeight="true" outlineLevel="0" collapsed="false">
      <c r="A43" s="24" t="s">
        <v>107</v>
      </c>
    </row>
    <row r="44" customFormat="false" ht="15" hidden="false" customHeight="true" outlineLevel="0" collapsed="false">
      <c r="A44" s="24" t="s">
        <v>108</v>
      </c>
    </row>
    <row r="45" customFormat="false" ht="15" hidden="false" customHeight="true" outlineLevel="0" collapsed="false">
      <c r="A45" s="24" t="s">
        <v>109</v>
      </c>
    </row>
    <row r="46" customFormat="false" ht="15" hidden="false" customHeight="true" outlineLevel="0" collapsed="false">
      <c r="A46" s="24" t="s">
        <v>110</v>
      </c>
    </row>
    <row r="47" customFormat="false" ht="15" hidden="false" customHeight="true" outlineLevel="0" collapsed="false">
      <c r="A47" s="24" t="s">
        <v>111</v>
      </c>
    </row>
    <row r="50" customFormat="false" ht="15" hidden="false" customHeight="true" outlineLevel="0" collapsed="false">
      <c r="A50" s="20" t="s">
        <v>112</v>
      </c>
    </row>
    <row r="51" customFormat="false" ht="15" hidden="false" customHeight="true" outlineLevel="0" collapsed="false">
      <c r="A51" s="25" t="s">
        <v>113</v>
      </c>
    </row>
    <row r="52" customFormat="false" ht="15" hidden="false" customHeight="true" outlineLevel="0" collapsed="false">
      <c r="A52" s="25" t="s">
        <v>114</v>
      </c>
    </row>
    <row r="53" customFormat="false" ht="15" hidden="false" customHeight="true" outlineLevel="0" collapsed="false">
      <c r="A53" s="25" t="s">
        <v>115</v>
      </c>
    </row>
    <row r="54" customFormat="false" ht="15" hidden="false" customHeight="true" outlineLevel="0" collapsed="false">
      <c r="A54" s="25" t="s">
        <v>116</v>
      </c>
    </row>
    <row r="56" customFormat="false" ht="15" hidden="false" customHeight="true" outlineLevel="0" collapsed="false">
      <c r="A56" s="26" t="s">
        <v>35</v>
      </c>
    </row>
    <row r="57" customFormat="false" ht="15" hidden="false" customHeight="true" outlineLevel="0" collapsed="false">
      <c r="A57" s="25" t="s">
        <v>117</v>
      </c>
    </row>
    <row r="58" customFormat="false" ht="15" hidden="false" customHeight="true" outlineLevel="0" collapsed="false">
      <c r="A58" s="25" t="s">
        <v>118</v>
      </c>
    </row>
    <row r="59" customFormat="false" ht="15" hidden="false" customHeight="true" outlineLevel="0" collapsed="false">
      <c r="A59" s="25" t="s">
        <v>119</v>
      </c>
    </row>
    <row r="60" customFormat="false" ht="15" hidden="false" customHeight="true" outlineLevel="0" collapsed="false">
      <c r="A60" s="25" t="s">
        <v>120</v>
      </c>
    </row>
    <row r="61" customFormat="false" ht="15" hidden="false" customHeight="true" outlineLevel="0" collapsed="false">
      <c r="A61" s="25" t="s">
        <v>121</v>
      </c>
    </row>
    <row r="62" customFormat="false" ht="15" hidden="false" customHeight="true" outlineLevel="0" collapsed="false">
      <c r="A62" s="25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18"/>
    <col collapsed="false" customWidth="true" hidden="false" outlineLevel="0" max="2" min="2" style="10" width="30"/>
  </cols>
  <sheetData>
    <row r="1" customFormat="false" ht="15" hidden="false" customHeight="true" outlineLevel="0" collapsed="false">
      <c r="A1" s="16" t="s">
        <v>123</v>
      </c>
    </row>
    <row r="3" customFormat="false" ht="15" hidden="false" customHeight="true" outlineLevel="0" collapsed="false">
      <c r="A3" s="10" t="s">
        <v>124</v>
      </c>
    </row>
    <row r="4" customFormat="false" ht="15" hidden="false" customHeight="true" outlineLevel="0" collapsed="false">
      <c r="A4" s="10" t="s">
        <v>125</v>
      </c>
      <c r="B4" s="27" t="n">
        <v>6.5</v>
      </c>
    </row>
    <row r="5" customFormat="false" ht="15" hidden="false" customHeight="true" outlineLevel="0" collapsed="false">
      <c r="A5" s="10" t="s">
        <v>126</v>
      </c>
      <c r="B5" s="27" t="n">
        <v>8</v>
      </c>
    </row>
    <row r="6" customFormat="false" ht="15" hidden="false" customHeight="true" outlineLevel="0" collapsed="false">
      <c r="A6" s="10" t="s">
        <v>127</v>
      </c>
      <c r="B6" s="27" t="n">
        <v>2026</v>
      </c>
    </row>
    <row r="7" customFormat="false" ht="15" hidden="false" customHeight="true" outlineLevel="0" collapsed="false">
      <c r="A7" s="10" t="s">
        <v>128</v>
      </c>
      <c r="B7" s="15" t="n">
        <f aca="false">B4/B5</f>
        <v>0.8125</v>
      </c>
    </row>
    <row r="9" customFormat="false" ht="15" hidden="false" customHeight="true" outlineLevel="0" collapsed="false">
      <c r="A9" s="11" t="s">
        <v>83</v>
      </c>
      <c r="B9" s="11" t="s">
        <v>129</v>
      </c>
    </row>
    <row r="10" customFormat="false" ht="15" hidden="false" customHeight="true" outlineLevel="0" collapsed="false">
      <c r="A10" s="10" t="n">
        <v>2026</v>
      </c>
      <c r="B10" s="15" t="n">
        <f aca="false">IF(A10&lt;B$6+B$5,B$7,0)</f>
        <v>0.8125</v>
      </c>
    </row>
    <row r="11" customFormat="false" ht="15" hidden="false" customHeight="true" outlineLevel="0" collapsed="false">
      <c r="A11" s="10" t="n">
        <v>2027</v>
      </c>
      <c r="B11" s="15" t="n">
        <f aca="false">IF(A11&lt;B$6+B$5,B$7,0)</f>
        <v>0.8125</v>
      </c>
    </row>
    <row r="12" customFormat="false" ht="15" hidden="false" customHeight="true" outlineLevel="0" collapsed="false">
      <c r="A12" s="10" t="n">
        <v>2028</v>
      </c>
      <c r="B12" s="15" t="n">
        <f aca="false">IF(A12&lt;B$6+B$5,B$7,0)</f>
        <v>0.8125</v>
      </c>
    </row>
    <row r="13" customFormat="false" ht="15" hidden="false" customHeight="true" outlineLevel="0" collapsed="false">
      <c r="A13" s="10" t="n">
        <v>2029</v>
      </c>
      <c r="B13" s="15" t="n">
        <f aca="false">IF(A13&lt;B$6+B$5,B$7,0)</f>
        <v>0.8125</v>
      </c>
    </row>
    <row r="14" customFormat="false" ht="15" hidden="false" customHeight="true" outlineLevel="0" collapsed="false">
      <c r="A14" s="10" t="n">
        <v>2030</v>
      </c>
      <c r="B14" s="15" t="n">
        <f aca="false">IF(A14&lt;B$6+B$5,B$7,0)</f>
        <v>0.8125</v>
      </c>
    </row>
    <row r="15" customFormat="false" ht="15" hidden="false" customHeight="true" outlineLevel="0" collapsed="false">
      <c r="A15" s="10" t="n">
        <v>2031</v>
      </c>
      <c r="B15" s="15" t="n">
        <f aca="false">IF(A15&lt;B$6+B$5,B$7,0)</f>
        <v>0.8125</v>
      </c>
    </row>
    <row r="16" customFormat="false" ht="15" hidden="false" customHeight="true" outlineLevel="0" collapsed="false">
      <c r="A16" s="10" t="n">
        <v>2032</v>
      </c>
      <c r="B16" s="15" t="n">
        <f aca="false">IF(A16&lt;B$6+B$5,B$7,0)</f>
        <v>0.8125</v>
      </c>
    </row>
    <row r="17" customFormat="false" ht="15" hidden="false" customHeight="true" outlineLevel="0" collapsed="false">
      <c r="A17" s="10" t="n">
        <v>2033</v>
      </c>
      <c r="B17" s="15" t="n">
        <f aca="false">IF(A17&lt;B$6+B$5,B$7,0)</f>
        <v>0.8125</v>
      </c>
    </row>
    <row r="18" customFormat="false" ht="15" hidden="false" customHeight="true" outlineLevel="0" collapsed="false">
      <c r="A18" s="10" t="n">
        <v>2034</v>
      </c>
      <c r="B18" s="15" t="n">
        <f aca="false">IF(A18&lt;B$6+B$5,B$7,0)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10"/>
    <col collapsed="false" customWidth="true" hidden="false" outlineLevel="0" max="10" min="2" style="10" width="16"/>
  </cols>
  <sheetData>
    <row r="1" customFormat="false" ht="15" hidden="false" customHeight="true" outlineLevel="0" collapsed="false">
      <c r="A1" s="16" t="s">
        <v>130</v>
      </c>
    </row>
    <row r="3" customFormat="false" ht="27.75" hidden="false" customHeight="true" outlineLevel="0" collapsed="false">
      <c r="A3" s="28" t="s">
        <v>83</v>
      </c>
      <c r="B3" s="28" t="s">
        <v>131</v>
      </c>
      <c r="C3" s="28" t="s">
        <v>132</v>
      </c>
      <c r="D3" s="28" t="s">
        <v>133</v>
      </c>
      <c r="E3" s="28" t="s">
        <v>134</v>
      </c>
      <c r="F3" s="28" t="s">
        <v>135</v>
      </c>
      <c r="G3" s="28" t="s">
        <v>136</v>
      </c>
      <c r="H3" s="28" t="s">
        <v>137</v>
      </c>
      <c r="I3" s="28" t="s">
        <v>138</v>
      </c>
      <c r="J3" s="28" t="s">
        <v>139</v>
      </c>
    </row>
    <row r="4" customFormat="false" ht="15" hidden="false" customHeight="true" outlineLevel="0" collapsed="false">
      <c r="A4" s="10" t="n">
        <v>2002</v>
      </c>
      <c r="B4" s="18" t="n">
        <f aca="false">IFERROR(INDEX(WEO_Data!$B$2:$B$45,MATCH(A4,WEO_Data!$A$2:$A$45,0))*2.72,"""")</f>
        <v>9.8192</v>
      </c>
      <c r="C4" s="29" t="n">
        <v>2.72</v>
      </c>
      <c r="D4" s="18" t="n">
        <f aca="false">IFERROR(INDEX(WEO_Data!$B$2:$B$45,MATCH(A4,WEO_Data!$A$2:$A$45,0)),"""")</f>
        <v>3.61</v>
      </c>
      <c r="E4" s="29" t="n">
        <f aca="false">IF(D4&lt;&gt;"""",LN(D4),"""")</f>
        <v>1.28370777234479</v>
      </c>
      <c r="F4" s="30"/>
      <c r="G4" s="18" t="n">
        <f aca="false">IF(B4&lt;&gt;"""",B4+IFERROR(INDEX(Investment!$B$10:$B$18,MATCH(A4,Investment!$A$10:$A$18,0)),0),"""")</f>
        <v>9.8192</v>
      </c>
      <c r="H4" s="18" t="n">
        <f aca="false">IF(AND(D4&lt;&gt;"""",B4&lt;&gt;""""""),D4*EXP(0.35*LN(B4/C4)),"""")</f>
        <v>5.65763235389469</v>
      </c>
      <c r="I4" s="18" t="n">
        <f aca="false">IF(AND(D4&lt;&gt;"""",G4&lt;&gt;""""""),D4*EXP(0.35*LN(G4/C4)),"""")</f>
        <v>5.65763235389469</v>
      </c>
      <c r="J4" s="30" t="n">
        <f aca="false">IF(AND(H4&lt;&gt;"""",I4&lt;&gt;""""),I4-H4,"""")</f>
        <v>0</v>
      </c>
    </row>
    <row r="5" customFormat="false" ht="15" hidden="false" customHeight="true" outlineLevel="0" collapsed="false">
      <c r="A5" s="10" t="n">
        <v>2003</v>
      </c>
      <c r="B5" s="18" t="n">
        <f aca="false">IFERROR(INDEX(WEO_Data!$B$2:$B$45,MATCH(A5,WEO_Data!$A$2:$A$45,0))*2.72,"""")</f>
        <v>10.9072</v>
      </c>
      <c r="C5" s="29" t="n">
        <v>2.72</v>
      </c>
      <c r="D5" s="18" t="n">
        <f aca="false">IFERROR(INDEX(WEO_Data!$B$2:$B$45,MATCH(A5,WEO_Data!$A$2:$A$45,0)),"""")</f>
        <v>4.01</v>
      </c>
      <c r="E5" s="29" t="n">
        <f aca="false">IF(D5&lt;&gt;"""",LN(D5),"""")</f>
        <v>1.38879124131848</v>
      </c>
      <c r="F5" s="30" t="n">
        <f aca="false">IF(AND(B4&lt;&gt;"""",B5&lt;&gt;""""),B5-B4,"""")</f>
        <v>1.088</v>
      </c>
      <c r="G5" s="18" t="n">
        <f aca="false">IF(B5&lt;&gt;"""",B5+IFERROR(INDEX(Investment!$B$10:$B$18,MATCH(A5,Investment!$A$10:$A$18,0)),0),"""")</f>
        <v>10.9072</v>
      </c>
      <c r="H5" s="18" t="n">
        <f aca="false">IF(AND(D5&lt;&gt;"""",B5&lt;&gt;""""""),D5*EXP(0.35*LN(B5/C5)),"""")</f>
        <v>6.51995957509114</v>
      </c>
      <c r="I5" s="18" t="n">
        <f aca="false">IF(AND(D5&lt;&gt;"""",G5&lt;&gt;""""""),D5*EXP(0.35*LN(G5/C5)),"""")</f>
        <v>6.51995957509114</v>
      </c>
      <c r="J5" s="30" t="n">
        <f aca="false">IF(AND(H5&lt;&gt;"""",I5&lt;&gt;""""),I5-H5,"""")</f>
        <v>0</v>
      </c>
    </row>
    <row r="6" customFormat="false" ht="15" hidden="false" customHeight="true" outlineLevel="0" collapsed="false">
      <c r="A6" s="10" t="n">
        <v>2004</v>
      </c>
      <c r="B6" s="18" t="n">
        <f aca="false">IFERROR(INDEX(WEO_Data!$B$2:$B$45,MATCH(A6,WEO_Data!$A$2:$A$45,0))*2.72,"""")</f>
        <v>13.8448</v>
      </c>
      <c r="C6" s="29" t="n">
        <v>2.72</v>
      </c>
      <c r="D6" s="18" t="n">
        <f aca="false">IFERROR(INDEX(WEO_Data!$B$2:$B$45,MATCH(A6,WEO_Data!$A$2:$A$45,0)),"""")</f>
        <v>5.09</v>
      </c>
      <c r="E6" s="29" t="n">
        <f aca="false">IF(D6&lt;&gt;"""",LN(D6),"""")</f>
        <v>1.62727783056243</v>
      </c>
      <c r="F6" s="30" t="n">
        <f aca="false">IF(AND(B5&lt;&gt;"""",B6&lt;&gt;""""),B6-B5,"""")</f>
        <v>2.9376</v>
      </c>
      <c r="G6" s="18" t="n">
        <f aca="false">IF(B6&lt;&gt;"""",B6+IFERROR(INDEX(Investment!$B$10:$B$18,MATCH(A6,Investment!$A$10:$A$18,0)),0),"""")</f>
        <v>13.8448</v>
      </c>
      <c r="H6" s="18" t="n">
        <f aca="false">IF(AND(D6&lt;&gt;"""",B6&lt;&gt;""""""),D6*EXP(0.35*LN(B6/C6)),"""")</f>
        <v>8.99640516343491</v>
      </c>
      <c r="I6" s="18" t="n">
        <f aca="false">IF(AND(D6&lt;&gt;"""",G6&lt;&gt;""""""),D6*EXP(0.35*LN(G6/C6)),"""")</f>
        <v>8.99640516343491</v>
      </c>
      <c r="J6" s="30" t="n">
        <f aca="false">IF(AND(H6&lt;&gt;"""",I6&lt;&gt;""""),I6-H6,"""")</f>
        <v>0</v>
      </c>
    </row>
    <row r="7" customFormat="false" ht="15" hidden="false" customHeight="true" outlineLevel="0" collapsed="false">
      <c r="A7" s="10" t="n">
        <v>2005</v>
      </c>
      <c r="B7" s="18" t="n">
        <f aca="false">IFERROR(INDEX(WEO_Data!$B$2:$B$45,MATCH(A7,WEO_Data!$A$2:$A$45,0))*2.72,"""")</f>
        <v>17.9248</v>
      </c>
      <c r="C7" s="29" t="n">
        <v>2.72</v>
      </c>
      <c r="D7" s="18" t="n">
        <f aca="false">IFERROR(INDEX(WEO_Data!$B$2:$B$45,MATCH(A7,WEO_Data!$A$2:$A$45,0)),"""")</f>
        <v>6.59</v>
      </c>
      <c r="E7" s="29" t="n">
        <f aca="false">IF(D7&lt;&gt;"""",LN(D7),"""")</f>
        <v>1.88555334851442</v>
      </c>
      <c r="F7" s="30" t="n">
        <f aca="false">IF(AND(B6&lt;&gt;"""",B7&lt;&gt;""""),B7-B6,"""")</f>
        <v>4.08</v>
      </c>
      <c r="G7" s="18" t="n">
        <f aca="false">IF(B7&lt;&gt;"""",B7+IFERROR(INDEX(Investment!$B$10:$B$18,MATCH(A7,Investment!$A$10:$A$18,0)),0),"""")</f>
        <v>17.9248</v>
      </c>
      <c r="H7" s="18" t="n">
        <f aca="false">IF(AND(D7&lt;&gt;"""",B7&lt;&gt;""""""),D7*EXP(0.35*LN(B7/C7)),"""")</f>
        <v>12.7495633058265</v>
      </c>
      <c r="I7" s="18" t="n">
        <f aca="false">IF(AND(D7&lt;&gt;"""",G7&lt;&gt;""""""),D7*EXP(0.35*LN(G7/C7)),"""")</f>
        <v>12.7495633058265</v>
      </c>
      <c r="J7" s="30" t="n">
        <f aca="false">IF(AND(H7&lt;&gt;"""",I7&lt;&gt;""""),I7-H7,"""")</f>
        <v>0</v>
      </c>
    </row>
    <row r="8" customFormat="false" ht="15" hidden="false" customHeight="true" outlineLevel="0" collapsed="false">
      <c r="A8" s="10" t="n">
        <v>2006</v>
      </c>
      <c r="B8" s="18" t="n">
        <f aca="false">IFERROR(INDEX(WEO_Data!$B$2:$B$45,MATCH(A8,WEO_Data!$A$2:$A$45,0))*2.72,"""")</f>
        <v>21.7056</v>
      </c>
      <c r="C8" s="29" t="n">
        <v>2.72</v>
      </c>
      <c r="D8" s="18" t="n">
        <f aca="false">IFERROR(INDEX(WEO_Data!$B$2:$B$45,MATCH(A8,WEO_Data!$A$2:$A$45,0)),"""")</f>
        <v>7.98</v>
      </c>
      <c r="E8" s="29" t="n">
        <f aca="false">IF(D8&lt;&gt;"""",LN(D8),"""")</f>
        <v>2.07693841146172</v>
      </c>
      <c r="F8" s="30" t="n">
        <f aca="false">IF(AND(B7&lt;&gt;"""",B8&lt;&gt;""""),B8-B7,"""")</f>
        <v>3.7808</v>
      </c>
      <c r="G8" s="18" t="n">
        <f aca="false">IF(B8&lt;&gt;"""",B8+IFERROR(INDEX(Investment!$B$10:$B$18,MATCH(A8,Investment!$A$10:$A$18,0)),0),"""")</f>
        <v>21.7056</v>
      </c>
      <c r="H8" s="18" t="n">
        <f aca="false">IF(AND(D8&lt;&gt;"""",B8&lt;&gt;""""""),D8*EXP(0.35*LN(B8/C8)),"""")</f>
        <v>16.5083589469703</v>
      </c>
      <c r="I8" s="18" t="n">
        <f aca="false">IF(AND(D8&lt;&gt;"""",G8&lt;&gt;""""""),D8*EXP(0.35*LN(G8/C8)),"""")</f>
        <v>16.5083589469703</v>
      </c>
      <c r="J8" s="30" t="n">
        <f aca="false">IF(AND(H8&lt;&gt;"""",I8&lt;&gt;""""),I8-H8,"""")</f>
        <v>0</v>
      </c>
    </row>
    <row r="9" customFormat="false" ht="15" hidden="false" customHeight="true" outlineLevel="0" collapsed="false">
      <c r="A9" s="10" t="n">
        <v>2007</v>
      </c>
      <c r="B9" s="18" t="n">
        <f aca="false">IFERROR(INDEX(WEO_Data!$B$2:$B$45,MATCH(A9,WEO_Data!$A$2:$A$45,0))*2.72,"""")</f>
        <v>28.4512</v>
      </c>
      <c r="C9" s="29" t="n">
        <v>2.72</v>
      </c>
      <c r="D9" s="18" t="n">
        <f aca="false">IFERROR(INDEX(WEO_Data!$B$2:$B$45,MATCH(A9,WEO_Data!$A$2:$A$45,0)),"""")</f>
        <v>10.46</v>
      </c>
      <c r="E9" s="29" t="n">
        <f aca="false">IF(D9&lt;&gt;"""",LN(D9),"""")</f>
        <v>2.34755845863678</v>
      </c>
      <c r="F9" s="30" t="n">
        <f aca="false">IF(AND(B8&lt;&gt;"""",B9&lt;&gt;""""),B9-B8,"""")</f>
        <v>6.7456</v>
      </c>
      <c r="G9" s="18" t="n">
        <f aca="false">IF(B9&lt;&gt;"""",B9+IFERROR(INDEX(Investment!$B$10:$B$18,MATCH(A9,Investment!$A$10:$A$18,0)),0),"""")</f>
        <v>28.4512</v>
      </c>
      <c r="H9" s="18" t="n">
        <f aca="false">IF(AND(D9&lt;&gt;"""",B9&lt;&gt;""""""),D9*EXP(0.35*LN(B9/C9)),"""")</f>
        <v>23.7885392162077</v>
      </c>
      <c r="I9" s="18" t="n">
        <f aca="false">IF(AND(D9&lt;&gt;"""",G9&lt;&gt;""""""),D9*EXP(0.35*LN(G9/C9)),"""")</f>
        <v>23.7885392162077</v>
      </c>
      <c r="J9" s="30" t="n">
        <f aca="false">IF(AND(H9&lt;&gt;"""",I9&lt;&gt;""""),I9-H9,"""")</f>
        <v>0</v>
      </c>
    </row>
    <row r="10" customFormat="false" ht="15" hidden="false" customHeight="true" outlineLevel="0" collapsed="false">
      <c r="A10" s="10" t="n">
        <v>2008</v>
      </c>
      <c r="B10" s="18" t="n">
        <f aca="false">IFERROR(INDEX(WEO_Data!$B$2:$B$45,MATCH(A10,WEO_Data!$A$2:$A$45,0))*2.72,"""")</f>
        <v>35.7952</v>
      </c>
      <c r="C10" s="29" t="n">
        <v>2.72</v>
      </c>
      <c r="D10" s="18" t="n">
        <f aca="false">IFERROR(INDEX(WEO_Data!$B$2:$B$45,MATCH(A10,WEO_Data!$A$2:$A$45,0)),"""")</f>
        <v>13.16</v>
      </c>
      <c r="E10" s="29" t="n">
        <f aca="false">IF(D10&lt;&gt;"""",LN(D10),"""")</f>
        <v>2.57718192589717</v>
      </c>
      <c r="F10" s="30" t="n">
        <f aca="false">IF(AND(B9&lt;&gt;"""",B10&lt;&gt;""""),B10-B9,"""")</f>
        <v>7.344</v>
      </c>
      <c r="G10" s="18" t="n">
        <f aca="false">IF(B10&lt;&gt;"""",B10+IFERROR(INDEX(Investment!$B$10:$B$18,MATCH(A10,Investment!$A$10:$A$18,0)),0),"""")</f>
        <v>35.7952</v>
      </c>
      <c r="H10" s="18" t="n">
        <f aca="false">IF(AND(D10&lt;&gt;"""",B10&lt;&gt;""""""),D10*EXP(0.35*LN(B10/C10)),"""")</f>
        <v>32.4336219730351</v>
      </c>
      <c r="I10" s="18" t="n">
        <f aca="false">IF(AND(D10&lt;&gt;"""",G10&lt;&gt;""""""),D10*EXP(0.35*LN(G10/C10)),"""")</f>
        <v>32.4336219730351</v>
      </c>
      <c r="J10" s="30" t="n">
        <f aca="false">IF(AND(H10&lt;&gt;"""",I10&lt;&gt;""""),I10-H10,"""")</f>
        <v>0</v>
      </c>
    </row>
    <row r="11" customFormat="false" ht="15" hidden="false" customHeight="true" outlineLevel="0" collapsed="false">
      <c r="A11" s="10" t="n">
        <v>2009</v>
      </c>
      <c r="B11" s="18" t="n">
        <f aca="false">IFERROR(INDEX(WEO_Data!$B$2:$B$45,MATCH(A11,WEO_Data!$A$2:$A$45,0))*2.72,"""")</f>
        <v>30.1104</v>
      </c>
      <c r="C11" s="29" t="n">
        <v>2.72</v>
      </c>
      <c r="D11" s="18" t="n">
        <f aca="false">IFERROR(INDEX(WEO_Data!$B$2:$B$45,MATCH(A11,WEO_Data!$A$2:$A$45,0)),"""")</f>
        <v>11.07</v>
      </c>
      <c r="E11" s="29" t="n">
        <f aca="false">IF(D11&lt;&gt;"""",LN(D11),"""")</f>
        <v>2.40423874672055</v>
      </c>
      <c r="F11" s="30" t="n">
        <f aca="false">IF(AND(B10&lt;&gt;"""",B11&lt;&gt;""""),B11-B10,"""")</f>
        <v>-5.6848</v>
      </c>
      <c r="G11" s="18" t="n">
        <f aca="false">IF(B11&lt;&gt;"""",B11+IFERROR(INDEX(Investment!$B$10:$B$18,MATCH(A11,Investment!$A$10:$A$18,0)),0),"""")</f>
        <v>30.1104</v>
      </c>
      <c r="H11" s="18" t="n">
        <f aca="false">IF(AND(D11&lt;&gt;"""",B11&lt;&gt;""""""),D11*EXP(0.35*LN(B11/C11)),"""")</f>
        <v>25.6802524164056</v>
      </c>
      <c r="I11" s="18" t="n">
        <f aca="false">IF(AND(D11&lt;&gt;"""",G11&lt;&gt;""""""),D11*EXP(0.35*LN(G11/C11)),"""")</f>
        <v>25.6802524164056</v>
      </c>
      <c r="J11" s="30" t="n">
        <f aca="false">IF(AND(H11&lt;&gt;"""",I11&lt;&gt;""""),I11-H11,"""")</f>
        <v>0</v>
      </c>
    </row>
    <row r="12" customFormat="false" ht="15" hidden="false" customHeight="true" outlineLevel="0" collapsed="false">
      <c r="A12" s="10" t="n">
        <v>2010</v>
      </c>
      <c r="B12" s="18" t="n">
        <f aca="false">IFERROR(INDEX(WEO_Data!$B$2:$B$45,MATCH(A12,WEO_Data!$A$2:$A$45,0))*2.72,"""")</f>
        <v>34.3536</v>
      </c>
      <c r="C12" s="29" t="n">
        <v>2.72</v>
      </c>
      <c r="D12" s="18" t="n">
        <f aca="false">IFERROR(INDEX(WEO_Data!$B$2:$B$45,MATCH(A12,WEO_Data!$A$2:$A$45,0)),"""")</f>
        <v>12.63</v>
      </c>
      <c r="E12" s="29" t="n">
        <f aca="false">IF(D12&lt;&gt;"""",LN(D12),"""")</f>
        <v>2.5360749363624</v>
      </c>
      <c r="F12" s="30" t="n">
        <f aca="false">IF(AND(B11&lt;&gt;"""",B12&lt;&gt;""""),B12-B11,"""")</f>
        <v>4.24320000000001</v>
      </c>
      <c r="G12" s="18" t="n">
        <f aca="false">IF(B12&lt;&gt;"""",B12+IFERROR(INDEX(Investment!$B$10:$B$18,MATCH(A12,Investment!$A$10:$A$18,0)),0),"""")</f>
        <v>34.3536</v>
      </c>
      <c r="H12" s="18" t="n">
        <f aca="false">IF(AND(D12&lt;&gt;"""",B12&lt;&gt;""""""),D12*EXP(0.35*LN(B12/C12)),"""")</f>
        <v>30.6827670800431</v>
      </c>
      <c r="I12" s="18" t="n">
        <f aca="false">IF(AND(D12&lt;&gt;"""",G12&lt;&gt;""""""),D12*EXP(0.35*LN(G12/C12)),"""")</f>
        <v>30.6827670800431</v>
      </c>
      <c r="J12" s="30" t="n">
        <f aca="false">IF(AND(H12&lt;&gt;"""",I12&lt;&gt;""""),I12-H12,"""")</f>
        <v>0</v>
      </c>
    </row>
    <row r="13" customFormat="false" ht="15" hidden="false" customHeight="true" outlineLevel="0" collapsed="false">
      <c r="A13" s="10" t="n">
        <v>2011</v>
      </c>
      <c r="B13" s="18" t="n">
        <f aca="false">IFERROR(INDEX(WEO_Data!$B$2:$B$45,MATCH(A13,WEO_Data!$A$2:$A$45,0))*2.72,"""")</f>
        <v>39.168</v>
      </c>
      <c r="C13" s="29" t="n">
        <v>2.72</v>
      </c>
      <c r="D13" s="18" t="n">
        <f aca="false">IFERROR(INDEX(WEO_Data!$B$2:$B$45,MATCH(A13,WEO_Data!$A$2:$A$45,0)),"""")</f>
        <v>14.4</v>
      </c>
      <c r="E13" s="29" t="n">
        <f aca="false">IF(D13&lt;&gt;"""",LN(D13),"""")</f>
        <v>2.66722820658196</v>
      </c>
      <c r="F13" s="30" t="n">
        <f aca="false">IF(AND(B12&lt;&gt;"""",B13&lt;&gt;""""),B13-B12,"""")</f>
        <v>4.8144</v>
      </c>
      <c r="G13" s="18" t="n">
        <f aca="false">IF(B13&lt;&gt;"""",B13+IFERROR(INDEX(Investment!$B$10:$B$18,MATCH(A13,Investment!$A$10:$A$18,0)),0),"""")</f>
        <v>39.168</v>
      </c>
      <c r="H13" s="18" t="n">
        <f aca="false">IF(AND(D13&lt;&gt;"""",B13&lt;&gt;""""""),D13*EXP(0.35*LN(B13/C13)),"""")</f>
        <v>36.6259893113218</v>
      </c>
      <c r="I13" s="18" t="n">
        <f aca="false">IF(AND(D13&lt;&gt;"""",G13&lt;&gt;""""""),D13*EXP(0.35*LN(G13/C13)),"""")</f>
        <v>36.6259893113218</v>
      </c>
      <c r="J13" s="30" t="n">
        <f aca="false">IF(AND(H13&lt;&gt;"""",I13&lt;&gt;""""),I13-H13,"""")</f>
        <v>0</v>
      </c>
    </row>
    <row r="14" customFormat="false" ht="15" hidden="false" customHeight="true" outlineLevel="0" collapsed="false">
      <c r="A14" s="10" t="n">
        <v>2012</v>
      </c>
      <c r="B14" s="18" t="n">
        <f aca="false">IFERROR(INDEX(WEO_Data!$B$2:$B$45,MATCH(A14,WEO_Data!$A$2:$A$45,0))*2.72,"""")</f>
        <v>41.344</v>
      </c>
      <c r="C14" s="29" t="n">
        <v>2.72</v>
      </c>
      <c r="D14" s="18" t="n">
        <f aca="false">IFERROR(INDEX(WEO_Data!$B$2:$B$45,MATCH(A14,WEO_Data!$A$2:$A$45,0)),"""")</f>
        <v>15.2</v>
      </c>
      <c r="E14" s="29" t="n">
        <f aca="false">IF(D14&lt;&gt;"""",LN(D14),"""")</f>
        <v>2.72129542785223</v>
      </c>
      <c r="F14" s="30" t="n">
        <f aca="false">IF(AND(B13&lt;&gt;"""",B14&lt;&gt;""""),B14-B13,"""")</f>
        <v>2.176</v>
      </c>
      <c r="G14" s="18" t="n">
        <f aca="false">IF(B14&lt;&gt;"""",B14+IFERROR(INDEX(Investment!$B$10:$B$18,MATCH(A14,Investment!$A$10:$A$18,0)),0),"""")</f>
        <v>41.344</v>
      </c>
      <c r="H14" s="18" t="n">
        <f aca="false">IF(AND(D14&lt;&gt;"""",B14&lt;&gt;""""""),D14*EXP(0.35*LN(B14/C14)),"""")</f>
        <v>39.3993306507727</v>
      </c>
      <c r="I14" s="18" t="n">
        <f aca="false">IF(AND(D14&lt;&gt;"""",G14&lt;&gt;""""""),D14*EXP(0.35*LN(G14/C14)),"""")</f>
        <v>39.3993306507727</v>
      </c>
      <c r="J14" s="30" t="n">
        <f aca="false">IF(AND(H14&lt;&gt;"""",I14&lt;&gt;""""),I14-H14,"""")</f>
        <v>0</v>
      </c>
    </row>
    <row r="15" customFormat="false" ht="15" hidden="false" customHeight="true" outlineLevel="0" collapsed="false">
      <c r="A15" s="10" t="n">
        <v>2013</v>
      </c>
      <c r="B15" s="18" t="n">
        <f aca="false">IFERROR(INDEX(WEO_Data!$B$2:$B$45,MATCH(A15,WEO_Data!$A$2:$A$45,0))*2.72,"""")</f>
        <v>42.976</v>
      </c>
      <c r="C15" s="29" t="n">
        <v>2.72</v>
      </c>
      <c r="D15" s="18" t="n">
        <f aca="false">IFERROR(INDEX(WEO_Data!$B$2:$B$45,MATCH(A15,WEO_Data!$A$2:$A$45,0)),"""")</f>
        <v>15.8</v>
      </c>
      <c r="E15" s="29" t="n">
        <f aca="false">IF(D15&lt;&gt;"""",LN(D15),"""")</f>
        <v>2.76000994003292</v>
      </c>
      <c r="F15" s="30" t="n">
        <f aca="false">IF(AND(B14&lt;&gt;"""",B15&lt;&gt;""""),B15-B14,"""")</f>
        <v>1.63200000000001</v>
      </c>
      <c r="G15" s="18" t="n">
        <f aca="false">IF(B15&lt;&gt;"""",B15+IFERROR(INDEX(Investment!$B$10:$B$18,MATCH(A15,Investment!$A$10:$A$18,0)),0),"""")</f>
        <v>42.976</v>
      </c>
      <c r="H15" s="18" t="n">
        <f aca="false">IF(AND(D15&lt;&gt;"""",B15&lt;&gt;""""""),D15*EXP(0.35*LN(B15/C15)),"""")</f>
        <v>41.5132817849412</v>
      </c>
      <c r="I15" s="18" t="n">
        <f aca="false">IF(AND(D15&lt;&gt;"""",G15&lt;&gt;""""""),D15*EXP(0.35*LN(G15/C15)),"""")</f>
        <v>41.5132817849412</v>
      </c>
      <c r="J15" s="30" t="n">
        <f aca="false">IF(AND(H15&lt;&gt;"""",I15&lt;&gt;""""),I15-H15,"""")</f>
        <v>0</v>
      </c>
    </row>
    <row r="16" customFormat="false" ht="15" hidden="false" customHeight="true" outlineLevel="0" collapsed="false">
      <c r="A16" s="10" t="n">
        <v>2014</v>
      </c>
      <c r="B16" s="18" t="n">
        <f aca="false">IFERROR(INDEX(WEO_Data!$B$2:$B$45,MATCH(A16,WEO_Data!$A$2:$A$45,0))*2.72,"""")</f>
        <v>44.064</v>
      </c>
      <c r="C16" s="29" t="n">
        <v>2.72</v>
      </c>
      <c r="D16" s="18" t="n">
        <f aca="false">IFERROR(INDEX(WEO_Data!$B$2:$B$45,MATCH(A16,WEO_Data!$A$2:$A$45,0)),"""")</f>
        <v>16.2</v>
      </c>
      <c r="E16" s="29" t="n">
        <f aca="false">IF(D16&lt;&gt;"""",LN(D16),"""")</f>
        <v>2.78501124223834</v>
      </c>
      <c r="F16" s="30" t="n">
        <f aca="false">IF(AND(B15&lt;&gt;"""",B16&lt;&gt;""""),B16-B15,"""")</f>
        <v>1.08799999999999</v>
      </c>
      <c r="G16" s="18" t="n">
        <f aca="false">IF(B16&lt;&gt;"""",B16+IFERROR(INDEX(Investment!$B$10:$B$18,MATCH(A16,Investment!$A$10:$A$18,0)),0),"""")</f>
        <v>44.064</v>
      </c>
      <c r="H16" s="18" t="n">
        <f aca="false">IF(AND(D16&lt;&gt;"""",B16&lt;&gt;""""""),D16*EXP(0.35*LN(B16/C16)),"""")</f>
        <v>42.9383418854986</v>
      </c>
      <c r="I16" s="18" t="n">
        <f aca="false">IF(AND(D16&lt;&gt;"""",G16&lt;&gt;""""""),D16*EXP(0.35*LN(G16/C16)),"""")</f>
        <v>42.9383418854986</v>
      </c>
      <c r="J16" s="30" t="n">
        <f aca="false">IF(AND(H16&lt;&gt;"""",I16&lt;&gt;""""),I16-H16,"""")</f>
        <v>0</v>
      </c>
    </row>
    <row r="17" customFormat="false" ht="15" hidden="false" customHeight="true" outlineLevel="0" collapsed="false">
      <c r="A17" s="10" t="n">
        <v>2015</v>
      </c>
      <c r="B17" s="18" t="n">
        <f aca="false">IFERROR(INDEX(WEO_Data!$B$2:$B$45,MATCH(A17,WEO_Data!$A$2:$A$45,0))*2.72,"""")</f>
        <v>41.3984</v>
      </c>
      <c r="C17" s="29" t="n">
        <v>2.72</v>
      </c>
      <c r="D17" s="18" t="n">
        <f aca="false">IFERROR(INDEX(WEO_Data!$B$2:$B$45,MATCH(A17,WEO_Data!$A$2:$A$45,0)),"""")</f>
        <v>15.22</v>
      </c>
      <c r="E17" s="29" t="n">
        <f aca="false">IF(D17&lt;&gt;"""",LN(D17),"""")</f>
        <v>2.72261035243354</v>
      </c>
      <c r="F17" s="30" t="n">
        <f aca="false">IF(AND(B16&lt;&gt;"""",B17&lt;&gt;""""),B17-B16,"""")</f>
        <v>-2.6656</v>
      </c>
      <c r="G17" s="18" t="n">
        <f aca="false">IF(B17&lt;&gt;"""",B17+IFERROR(INDEX(Investment!$B$10:$B$18,MATCH(A17,Investment!$A$10:$A$18,0)),0),"""")</f>
        <v>41.3984</v>
      </c>
      <c r="H17" s="18" t="n">
        <f aca="false">IF(AND(D17&lt;&gt;"""",B17&lt;&gt;""""""),D17*EXP(0.35*LN(B17/C17)),"""")</f>
        <v>39.4693324144281</v>
      </c>
      <c r="I17" s="18" t="n">
        <f aca="false">IF(AND(D17&lt;&gt;"""",G17&lt;&gt;""""""),D17*EXP(0.35*LN(G17/C17)),"""")</f>
        <v>39.4693324144281</v>
      </c>
      <c r="J17" s="30" t="n">
        <f aca="false">IF(AND(H17&lt;&gt;"""",I17&lt;&gt;""""),I17-H17,"""")</f>
        <v>0</v>
      </c>
    </row>
    <row r="18" customFormat="false" ht="15" hidden="false" customHeight="true" outlineLevel="0" collapsed="false">
      <c r="A18" s="10" t="n">
        <v>2016</v>
      </c>
      <c r="B18" s="18" t="n">
        <f aca="false">IFERROR(INDEX(WEO_Data!$B$2:$B$45,MATCH(A18,WEO_Data!$A$2:$A$45,0))*2.72,"""")</f>
        <v>43.0304</v>
      </c>
      <c r="C18" s="29" t="n">
        <v>2.72</v>
      </c>
      <c r="D18" s="18" t="n">
        <f aca="false">IFERROR(INDEX(WEO_Data!$B$2:$B$45,MATCH(A18,WEO_Data!$A$2:$A$45,0)),"""")</f>
        <v>15.82</v>
      </c>
      <c r="E18" s="29" t="n">
        <f aca="false">IF(D18&lt;&gt;"""",LN(D18),"""")</f>
        <v>2.76127496233951</v>
      </c>
      <c r="F18" s="30" t="n">
        <f aca="false">IF(AND(B17&lt;&gt;"""",B18&lt;&gt;""""),B18-B17,"""")</f>
        <v>1.63200000000001</v>
      </c>
      <c r="G18" s="18" t="n">
        <f aca="false">IF(B18&lt;&gt;"""",B18+IFERROR(INDEX(Investment!$B$10:$B$18,MATCH(A18,Investment!$A$10:$A$18,0)),0),"""")</f>
        <v>43.0304</v>
      </c>
      <c r="H18" s="18" t="n">
        <f aca="false">IF(AND(D18&lt;&gt;"""",B18&lt;&gt;""""""),D18*EXP(0.35*LN(B18/C18)),"""")</f>
        <v>41.5842379135232</v>
      </c>
      <c r="I18" s="18" t="n">
        <f aca="false">IF(AND(D18&lt;&gt;"""",G18&lt;&gt;""""""),D18*EXP(0.35*LN(G18/C18)),"""")</f>
        <v>41.5842379135232</v>
      </c>
      <c r="J18" s="30" t="n">
        <f aca="false">IF(AND(H18&lt;&gt;"""",I18&lt;&gt;""""),I18-H18,"""")</f>
        <v>0</v>
      </c>
    </row>
    <row r="19" customFormat="false" ht="15" hidden="false" customHeight="true" outlineLevel="0" collapsed="false">
      <c r="A19" s="10" t="n">
        <v>2017</v>
      </c>
      <c r="B19" s="18" t="n">
        <f aca="false">IFERROR(INDEX(WEO_Data!$B$2:$B$45,MATCH(A19,WEO_Data!$A$2:$A$45,0))*2.72,"""")</f>
        <v>45.696</v>
      </c>
      <c r="C19" s="29" t="n">
        <v>2.72</v>
      </c>
      <c r="D19" s="18" t="n">
        <f aca="false">IFERROR(INDEX(WEO_Data!$B$2:$B$45,MATCH(A19,WEO_Data!$A$2:$A$45,0)),"""")</f>
        <v>16.8</v>
      </c>
      <c r="E19" s="29" t="n">
        <f aca="false">IF(D19&lt;&gt;"""",LN(D19),"""")</f>
        <v>2.82137888640921</v>
      </c>
      <c r="F19" s="30" t="n">
        <f aca="false">IF(AND(B18&lt;&gt;"""",B19&lt;&gt;""""),B19-B18,"""")</f>
        <v>2.6656</v>
      </c>
      <c r="G19" s="18" t="n">
        <f aca="false">IF(B19&lt;&gt;"""",B19+IFERROR(INDEX(Investment!$B$10:$B$18,MATCH(A19,Investment!$A$10:$A$18,0)),0),"""")</f>
        <v>45.696</v>
      </c>
      <c r="H19" s="18" t="n">
        <f aca="false">IF(AND(D19&lt;&gt;"""",B19&lt;&gt;""""""),D19*EXP(0.35*LN(B19/C19)),"""")</f>
        <v>45.0990641911946</v>
      </c>
      <c r="I19" s="18" t="n">
        <f aca="false">IF(AND(D19&lt;&gt;"""",G19&lt;&gt;""""""),D19*EXP(0.35*LN(G19/C19)),"""")</f>
        <v>45.0990641911946</v>
      </c>
      <c r="J19" s="30" t="n">
        <f aca="false">IF(AND(H19&lt;&gt;"""",I19&lt;&gt;""""),I19-H19,"""")</f>
        <v>0</v>
      </c>
    </row>
    <row r="20" customFormat="false" ht="15" hidden="false" customHeight="true" outlineLevel="0" collapsed="false">
      <c r="A20" s="10" t="n">
        <v>2018</v>
      </c>
      <c r="B20" s="18" t="n">
        <f aca="false">IFERROR(INDEX(WEO_Data!$B$2:$B$45,MATCH(A20,WEO_Data!$A$2:$A$45,0))*2.72,"""")</f>
        <v>49.3136</v>
      </c>
      <c r="C20" s="29" t="n">
        <v>2.72</v>
      </c>
      <c r="D20" s="18" t="n">
        <f aca="false">IFERROR(INDEX(WEO_Data!$B$2:$B$45,MATCH(A20,WEO_Data!$A$2:$A$45,0)),"""")</f>
        <v>18.13</v>
      </c>
      <c r="E20" s="29" t="n">
        <f aca="false">IF(D20&lt;&gt;"""",LN(D20),"""")</f>
        <v>2.89756802476676</v>
      </c>
      <c r="F20" s="30" t="n">
        <f aca="false">IF(AND(B19&lt;&gt;"""",B20&lt;&gt;""""),B20-B19,"""")</f>
        <v>3.6176</v>
      </c>
      <c r="G20" s="18" t="n">
        <f aca="false">IF(B20&lt;&gt;"""",B20+IFERROR(INDEX(Investment!$B$10:$B$18,MATCH(A20,Investment!$A$10:$A$18,0)),0),"""")</f>
        <v>49.3136</v>
      </c>
      <c r="H20" s="18" t="n">
        <f aca="false">IF(AND(D20&lt;&gt;"""",B20&lt;&gt;""""""),D20*EXP(0.35*LN(B20/C20)),"""")</f>
        <v>49.984693743642</v>
      </c>
      <c r="I20" s="18" t="n">
        <f aca="false">IF(AND(D20&lt;&gt;"""",G20&lt;&gt;""""""),D20*EXP(0.35*LN(G20/C20)),"""")</f>
        <v>49.984693743642</v>
      </c>
      <c r="J20" s="30" t="n">
        <f aca="false">IF(AND(H20&lt;&gt;"""",I20&lt;&gt;""""),I20-H20,"""")</f>
        <v>0</v>
      </c>
    </row>
    <row r="21" customFormat="false" ht="15" hidden="false" customHeight="true" outlineLevel="0" collapsed="false">
      <c r="A21" s="10" t="n">
        <v>2019</v>
      </c>
      <c r="B21" s="18" t="n">
        <f aca="false">IFERROR(INDEX(WEO_Data!$B$2:$B$45,MATCH(A21,WEO_Data!$A$2:$A$45,0))*2.72,"""")</f>
        <v>53.312</v>
      </c>
      <c r="C21" s="29" t="n">
        <v>2.72</v>
      </c>
      <c r="D21" s="18" t="n">
        <f aca="false">IFERROR(INDEX(WEO_Data!$B$2:$B$45,MATCH(A21,WEO_Data!$A$2:$A$45,0)),"""")</f>
        <v>19.6</v>
      </c>
      <c r="E21" s="29" t="n">
        <f aca="false">IF(D21&lt;&gt;"""",LN(D21),"""")</f>
        <v>2.97552956623647</v>
      </c>
      <c r="F21" s="30" t="n">
        <f aca="false">IF(AND(B20&lt;&gt;"""",B21&lt;&gt;""""),B21-B20,"""")</f>
        <v>3.9984</v>
      </c>
      <c r="G21" s="18" t="n">
        <f aca="false">IF(B21&lt;&gt;"""",B21+IFERROR(INDEX(Investment!$B$10:$B$18,MATCH(A21,Investment!$A$10:$A$18,0)),0),"""")</f>
        <v>53.312</v>
      </c>
      <c r="H21" s="18" t="n">
        <f aca="false">IF(AND(D21&lt;&gt;"""",B21&lt;&gt;""""""),D21*EXP(0.35*LN(B21/C21)),"""")</f>
        <v>55.5323044964895</v>
      </c>
      <c r="I21" s="18" t="n">
        <f aca="false">IF(AND(D21&lt;&gt;"""",G21&lt;&gt;""""""),D21*EXP(0.35*LN(G21/C21)),"""")</f>
        <v>55.5323044964895</v>
      </c>
      <c r="J21" s="30" t="n">
        <f aca="false">IF(AND(H21&lt;&gt;"""",I21&lt;&gt;""""),I21-H21,"""")</f>
        <v>0</v>
      </c>
    </row>
    <row r="22" customFormat="false" ht="15" hidden="false" customHeight="true" outlineLevel="0" collapsed="false">
      <c r="A22" s="10" t="n">
        <v>2020</v>
      </c>
      <c r="B22" s="18" t="n">
        <f aca="false">IFERROR(INDEX(WEO_Data!$B$2:$B$45,MATCH(A22,WEO_Data!$A$2:$A$45,0))*2.72,"""")</f>
        <v>43.5472</v>
      </c>
      <c r="C22" s="29" t="n">
        <v>2.72</v>
      </c>
      <c r="D22" s="18" t="n">
        <f aca="false">IFERROR(INDEX(WEO_Data!$B$2:$B$45,MATCH(A22,WEO_Data!$A$2:$A$45,0)),"""")</f>
        <v>16.01</v>
      </c>
      <c r="E22" s="29" t="n">
        <f aca="false">IF(D22&lt;&gt;"""",LN(D22),"""")</f>
        <v>2.77321352700862</v>
      </c>
      <c r="F22" s="30" t="n">
        <f aca="false">IF(AND(B21&lt;&gt;"""",B22&lt;&gt;""""),B22-B21,"""")</f>
        <v>-9.76479999999999</v>
      </c>
      <c r="G22" s="18" t="n">
        <f aca="false">IF(B22&lt;&gt;"""",B22+IFERROR(INDEX(Investment!$B$10:$B$18,MATCH(A22,Investment!$A$10:$A$18,0)),0),"""")</f>
        <v>43.5472</v>
      </c>
      <c r="H22" s="18" t="n">
        <f aca="false">IF(AND(D22&lt;&gt;"""",B22&lt;&gt;""""""),D22*EXP(0.35*LN(B22/C22)),"""")</f>
        <v>42.2598837544678</v>
      </c>
      <c r="I22" s="18" t="n">
        <f aca="false">IF(AND(D22&lt;&gt;"""",G22&lt;&gt;""""""),D22*EXP(0.35*LN(G22/C22)),"""")</f>
        <v>42.2598837544678</v>
      </c>
      <c r="J22" s="30" t="n">
        <f aca="false">IF(AND(H22&lt;&gt;"""",I22&lt;&gt;""""),I22-H22,"""")</f>
        <v>0</v>
      </c>
    </row>
    <row r="23" customFormat="false" ht="15" hidden="false" customHeight="true" outlineLevel="0" collapsed="false">
      <c r="A23" s="10" t="n">
        <v>2021</v>
      </c>
      <c r="B23" s="18" t="n">
        <f aca="false">IFERROR(INDEX(WEO_Data!$B$2:$B$45,MATCH(A23,WEO_Data!$A$2:$A$45,0))*2.72,"""")</f>
        <v>51.272</v>
      </c>
      <c r="C23" s="29" t="n">
        <v>2.72</v>
      </c>
      <c r="D23" s="18" t="n">
        <f aca="false">IFERROR(INDEX(WEO_Data!$B$2:$B$45,MATCH(A23,WEO_Data!$A$2:$A$45,0)),"""")</f>
        <v>18.85</v>
      </c>
      <c r="E23" s="29" t="n">
        <f aca="false">IF(D23&lt;&gt;"""",LN(D23),"""")</f>
        <v>2.93651291389402</v>
      </c>
      <c r="F23" s="30" t="n">
        <f aca="false">IF(AND(B22&lt;&gt;"""",B23&lt;&gt;""""),B23-B22,"""")</f>
        <v>7.7248</v>
      </c>
      <c r="G23" s="18" t="n">
        <f aca="false">IF(B23&lt;&gt;"""",B23+IFERROR(INDEX(Investment!$B$10:$B$18,MATCH(A23,Investment!$A$10:$A$18,0)),0),"""")</f>
        <v>51.272</v>
      </c>
      <c r="H23" s="18" t="n">
        <f aca="false">IF(AND(D23&lt;&gt;"""",B23&lt;&gt;""""""),D23*EXP(0.35*LN(B23/C23)),"""")</f>
        <v>52.6829795007905</v>
      </c>
      <c r="I23" s="18" t="n">
        <f aca="false">IF(AND(D23&lt;&gt;"""",G23&lt;&gt;""""""),D23*EXP(0.35*LN(G23/C23)),"""")</f>
        <v>52.6829795007905</v>
      </c>
      <c r="J23" s="30" t="n">
        <f aca="false">IF(AND(H23&lt;&gt;"""",I23&lt;&gt;""""),I23-H23,"""")</f>
        <v>0</v>
      </c>
    </row>
    <row r="24" customFormat="false" ht="15" hidden="false" customHeight="true" outlineLevel="0" collapsed="false">
      <c r="A24" s="10" t="n">
        <v>2022</v>
      </c>
      <c r="B24" s="18" t="n">
        <f aca="false">IFERROR(INDEX(WEO_Data!$B$2:$B$45,MATCH(A24,WEO_Data!$A$2:$A$45,0))*2.72,"""")</f>
        <v>67.9728</v>
      </c>
      <c r="C24" s="29" t="n">
        <v>2.72</v>
      </c>
      <c r="D24" s="18" t="n">
        <f aca="false">IFERROR(INDEX(WEO_Data!$B$2:$B$45,MATCH(A24,WEO_Data!$A$2:$A$45,0)),"""")</f>
        <v>24.99</v>
      </c>
      <c r="E24" s="29" t="n">
        <f aca="false">IF(D24&lt;&gt;"""",LN(D24),"""")</f>
        <v>3.21847574484686</v>
      </c>
      <c r="F24" s="30" t="n">
        <f aca="false">IF(AND(B23&lt;&gt;"""",B24&lt;&gt;""""),B24-B23,"""")</f>
        <v>16.7008</v>
      </c>
      <c r="G24" s="18" t="n">
        <f aca="false">IF(B24&lt;&gt;"""",B24+IFERROR(INDEX(Investment!$B$10:$B$18,MATCH(A24,Investment!$A$10:$A$18,0)),0),"""")</f>
        <v>67.9728</v>
      </c>
      <c r="H24" s="18" t="n">
        <f aca="false">IF(AND(D24&lt;&gt;"""",B24&lt;&gt;""""""),D24*EXP(0.35*LN(B24/C24)),"""")</f>
        <v>77.0875859700053</v>
      </c>
      <c r="I24" s="18" t="n">
        <f aca="false">IF(AND(D24&lt;&gt;"""",G24&lt;&gt;""""""),D24*EXP(0.35*LN(G24/C24)),"""")</f>
        <v>77.0875859700053</v>
      </c>
      <c r="J24" s="30" t="n">
        <f aca="false">IF(AND(H24&lt;&gt;"""",I24&lt;&gt;""""),I24-H24,"""")</f>
        <v>0</v>
      </c>
    </row>
    <row r="25" customFormat="false" ht="15" hidden="false" customHeight="true" outlineLevel="0" collapsed="false">
      <c r="A25" s="10" t="n">
        <v>2023</v>
      </c>
      <c r="B25" s="18" t="n">
        <f aca="false">IFERROR(INDEX(WEO_Data!$B$2:$B$45,MATCH(A25,WEO_Data!$A$2:$A$45,0))*2.72,"""")</f>
        <v>83.7216</v>
      </c>
      <c r="C25" s="29" t="n">
        <v>2.72</v>
      </c>
      <c r="D25" s="18" t="n">
        <f aca="false">IFERROR(INDEX(WEO_Data!$B$2:$B$45,MATCH(A25,WEO_Data!$A$2:$A$45,0)),"""")</f>
        <v>30.78</v>
      </c>
      <c r="E25" s="29" t="n">
        <f aca="false">IF(D25&lt;&gt;"""",LN(D25),"""")</f>
        <v>3.42686512841073</v>
      </c>
      <c r="F25" s="30" t="n">
        <f aca="false">IF(AND(B24&lt;&gt;"""",B25&lt;&gt;""""),B25-B24,"""")</f>
        <v>15.7488</v>
      </c>
      <c r="G25" s="18" t="n">
        <f aca="false">IF(B25&lt;&gt;"""",B25+IFERROR(INDEX(Investment!$B$10:$B$18,MATCH(A25,Investment!$A$10:$A$18,0)),0),"""")</f>
        <v>83.7216</v>
      </c>
      <c r="H25" s="18" t="n">
        <f aca="false">IF(AND(D25&lt;&gt;"""",B25&lt;&gt;""""""),D25*EXP(0.35*LN(B25/C25)),"""")</f>
        <v>102.132186806918</v>
      </c>
      <c r="I25" s="18" t="n">
        <f aca="false">IF(AND(D25&lt;&gt;"""",G25&lt;&gt;""""""),D25*EXP(0.35*LN(G25/C25)),"""")</f>
        <v>102.132186806918</v>
      </c>
      <c r="J25" s="30" t="n">
        <f aca="false">IF(AND(H25&lt;&gt;"""",I25&lt;&gt;""""),I25-H25,"""")</f>
        <v>0</v>
      </c>
    </row>
    <row r="26" customFormat="false" ht="15" hidden="false" customHeight="true" outlineLevel="0" collapsed="false">
      <c r="A26" s="10" t="n">
        <v>2024</v>
      </c>
      <c r="B26" s="18" t="n">
        <f aca="false">IFERROR(INDEX(WEO_Data!$B$2:$B$45,MATCH(A26,WEO_Data!$A$2:$A$45,0))*2.72,"""")</f>
        <v>91.4192</v>
      </c>
      <c r="C26" s="29" t="n">
        <v>2.72</v>
      </c>
      <c r="D26" s="18" t="n">
        <f aca="false">IFERROR(INDEX(WEO_Data!$B$2:$B$45,MATCH(A26,WEO_Data!$A$2:$A$45,0)),"""")</f>
        <v>33.61</v>
      </c>
      <c r="E26" s="29" t="n">
        <f aca="false">IF(D26&lt;&gt;"""",LN(D26),"""")</f>
        <v>3.51482364173701</v>
      </c>
      <c r="F26" s="30" t="n">
        <f aca="false">IF(AND(B25&lt;&gt;"""",B26&lt;&gt;""""),B26-B25,"""")</f>
        <v>7.69759999999999</v>
      </c>
      <c r="G26" s="18" t="n">
        <f aca="false">IF(B26&lt;&gt;"""",B26+IFERROR(INDEX(Investment!$B$10:$B$18,MATCH(A26,Investment!$A$10:$A$18,0)),0),"""")</f>
        <v>91.4192</v>
      </c>
      <c r="H26" s="18" t="n">
        <f aca="false">IF(AND(D26&lt;&gt;"""",B26&lt;&gt;""""""),D26*EXP(0.35*LN(B26/C26)),"""")</f>
        <v>115.009175983959</v>
      </c>
      <c r="I26" s="18" t="n">
        <f aca="false">IF(AND(D26&lt;&gt;"""",G26&lt;&gt;""""""),D26*EXP(0.35*LN(G26/C26)),"""")</f>
        <v>115.009175983959</v>
      </c>
      <c r="J26" s="30" t="n">
        <f aca="false">IF(AND(H26&lt;&gt;"""",I26&lt;&gt;""""),I26-H26,"""")</f>
        <v>0</v>
      </c>
    </row>
    <row r="27" customFormat="false" ht="15" hidden="false" customHeight="true" outlineLevel="0" collapsed="false">
      <c r="A27" s="10" t="n">
        <v>2025</v>
      </c>
      <c r="B27" s="18" t="n">
        <f aca="false">IFERROR(INDEX(WEO_Data!$B$2:$B$45,MATCH(A27,WEO_Data!$A$2:$A$45,0))*2.72,"""")</f>
        <v>97.9472</v>
      </c>
      <c r="C27" s="29" t="n">
        <v>2.72</v>
      </c>
      <c r="D27" s="18" t="n">
        <f aca="false">IFERROR(INDEX(WEO_Data!$B$2:$B$45,MATCH(A27,WEO_Data!$A$2:$A$45,0)),"""")</f>
        <v>36.01</v>
      </c>
      <c r="E27" s="29" t="n">
        <f aca="false">IF(D27&lt;&gt;"""",LN(D27),"""")</f>
        <v>3.58379667766078</v>
      </c>
      <c r="F27" s="30" t="n">
        <f aca="false">IF(AND(B26&lt;&gt;"""",B27&lt;&gt;""""),B27-B26,"""")</f>
        <v>6.52799999999999</v>
      </c>
      <c r="G27" s="18" t="n">
        <f aca="false">IF(B27&lt;&gt;"""",B27+IFERROR(INDEX(Investment!$B$10:$B$18,MATCH(A27,Investment!$A$10:$A$18,0)),0),"""")</f>
        <v>97.9472</v>
      </c>
      <c r="H27" s="18" t="n">
        <f aca="false">IF(AND(D27&lt;&gt;"""",B27&lt;&gt;""""""),D27*EXP(0.35*LN(B27/C27)),"""")</f>
        <v>126.232508855938</v>
      </c>
      <c r="I27" s="18" t="n">
        <f aca="false">IF(AND(D27&lt;&gt;"""",G27&lt;&gt;""""""),D27*EXP(0.35*LN(G27/C27)),"""")</f>
        <v>126.232508855938</v>
      </c>
      <c r="J27" s="30" t="n">
        <f aca="false">IF(AND(H27&lt;&gt;"""",I27&lt;&gt;""""),I27-H27,"""")</f>
        <v>0</v>
      </c>
    </row>
    <row r="28" customFormat="false" ht="15" hidden="false" customHeight="true" outlineLevel="0" collapsed="false">
      <c r="A28" s="10" t="n">
        <v>2026</v>
      </c>
      <c r="B28" s="18" t="n">
        <f aca="false">IFERROR(INDEX(WEO_Data!$B$2:$B$45,MATCH(A28,WEO_Data!$A$2:$A$45,0))*2.72,"""")</f>
        <v>105.0464</v>
      </c>
      <c r="C28" s="29" t="n">
        <v>2.72</v>
      </c>
      <c r="D28" s="18" t="n">
        <f aca="false">IFERROR(INDEX(WEO_Data!$B$2:$B$45,MATCH(A28,WEO_Data!$A$2:$A$45,0)),"""")</f>
        <v>38.62</v>
      </c>
      <c r="E28" s="29" t="n">
        <f aca="false">IF(D28&lt;&gt;"""",LN(D28),"""")</f>
        <v>3.65377027700037</v>
      </c>
      <c r="F28" s="30" t="n">
        <f aca="false">IF(AND(B27&lt;&gt;"""",B28&lt;&gt;""""),B28-B27,"""")</f>
        <v>7.09920000000001</v>
      </c>
      <c r="G28" s="18" t="n">
        <f aca="false">IF(B28&lt;&gt;"""",B28+IFERROR(INDEX(Investment!$B$10:$B$18,MATCH(A28,Investment!$A$10:$A$18,0)),0),"""")</f>
        <v>105.8589</v>
      </c>
      <c r="H28" s="18" t="n">
        <f aca="false">IF(AND(D28&lt;&gt;"""",B28&lt;&gt;""""""),D28*EXP(0.35*LN(B28/C28)),"""")</f>
        <v>138.738362321782</v>
      </c>
      <c r="I28" s="18" t="n">
        <f aca="false">IF(AND(D28&lt;&gt;"""",G28&lt;&gt;""""""),D28*EXP(0.35*LN(G28/C28)),"""")</f>
        <v>139.11300594553</v>
      </c>
      <c r="J28" s="30" t="n">
        <f aca="false">IF(AND(H28&lt;&gt;"""",I28&lt;&gt;""""),I28-H28,"""")</f>
        <v>0.374643623748284</v>
      </c>
    </row>
    <row r="29" customFormat="false" ht="15" hidden="false" customHeight="true" outlineLevel="0" collapsed="false">
      <c r="A29" s="10" t="n">
        <v>2027</v>
      </c>
      <c r="B29" s="18" t="n">
        <f aca="false">IFERROR(INDEX(WEO_Data!$B$2:$B$45,MATCH(A29,WEO_Data!$A$2:$A$45,0))*2.72,"""")</f>
        <v>115.3552</v>
      </c>
      <c r="C29" s="29" t="n">
        <v>2.72</v>
      </c>
      <c r="D29" s="18" t="n">
        <f aca="false">IFERROR(INDEX(WEO_Data!$B$2:$B$45,MATCH(A29,WEO_Data!$A$2:$A$45,0)),"""")</f>
        <v>42.41</v>
      </c>
      <c r="E29" s="29" t="n">
        <f aca="false">IF(D29&lt;&gt;"""",LN(D29),"""")</f>
        <v>3.7473841834865</v>
      </c>
      <c r="F29" s="30" t="n">
        <f aca="false">IF(AND(B28&lt;&gt;"""",B29&lt;&gt;""""),B29-B28,"""")</f>
        <v>10.3088</v>
      </c>
      <c r="G29" s="18" t="n">
        <f aca="false">IF(B29&lt;&gt;"""",B29+IFERROR(INDEX(Investment!$B$10:$B$18,MATCH(A29,Investment!$A$10:$A$18,0)),0),"""")</f>
        <v>116.1677</v>
      </c>
      <c r="H29" s="18" t="n">
        <f aca="false">IF(AND(D29&lt;&gt;"""",B29&lt;&gt;""""""),D29*EXP(0.35*LN(B29/C29)),"""")</f>
        <v>157.428068767695</v>
      </c>
      <c r="I29" s="18" t="n">
        <f aca="false">IF(AND(D29&lt;&gt;"""",G29&lt;&gt;""""""),D29*EXP(0.35*LN(G29/C29)),"""")</f>
        <v>157.815277331035</v>
      </c>
      <c r="J29" s="30" t="n">
        <f aca="false">IF(AND(H29&lt;&gt;"""",I29&lt;&gt;""""),I29-H29,"""")</f>
        <v>0.387208563339414</v>
      </c>
    </row>
    <row r="30" customFormat="false" ht="15" hidden="false" customHeight="true" outlineLevel="0" collapsed="false">
      <c r="A30" s="10" t="n">
        <v>2028</v>
      </c>
      <c r="B30" s="18" t="n">
        <f aca="false">IFERROR(INDEX(WEO_Data!$B$2:$B$45,MATCH(A30,WEO_Data!$A$2:$A$45,0))*2.72,"""")</f>
        <v>121.12296</v>
      </c>
      <c r="C30" s="29" t="n">
        <v>2.72</v>
      </c>
      <c r="D30" s="18" t="n">
        <f aca="false">IFERROR(INDEX(WEO_Data!$B$2:$B$45,MATCH(A30,WEO_Data!$A$2:$A$45,0)),"""")</f>
        <v>44.5305</v>
      </c>
      <c r="E30" s="29" t="n">
        <f aca="false">IF(D30&lt;&gt;"""",LN(D30),"""")</f>
        <v>3.79617434765593</v>
      </c>
      <c r="F30" s="30" t="n">
        <f aca="false">IF(AND(B29&lt;&gt;"""",B30&lt;&gt;""""),B30-B29,"""")</f>
        <v>5.76776</v>
      </c>
      <c r="G30" s="18" t="n">
        <f aca="false">IF(B30&lt;&gt;"""",B30+IFERROR(INDEX(Investment!$B$10:$B$18,MATCH(A30,Investment!$A$10:$A$18,0)),0),"""")</f>
        <v>121.93546</v>
      </c>
      <c r="H30" s="18" t="n">
        <f aca="false">IF(AND(D30&lt;&gt;"""",B30&lt;&gt;""""""),D30*EXP(0.35*LN(B30/C30)),"""")</f>
        <v>168.146457310063</v>
      </c>
      <c r="I30" s="18" t="n">
        <f aca="false">IF(AND(D30&lt;&gt;"""",G30&lt;&gt;""""""),D30*EXP(0.35*LN(G30/C30)),"""")</f>
        <v>168.540377552001</v>
      </c>
      <c r="J30" s="30" t="n">
        <f aca="false">IF(AND(H30&lt;&gt;"""",I30&lt;&gt;""""),I30-H30,"""")</f>
        <v>0.393920241937735</v>
      </c>
    </row>
    <row r="31" customFormat="false" ht="15" hidden="false" customHeight="true" outlineLevel="0" collapsed="false">
      <c r="A31" s="10" t="n">
        <v>2029</v>
      </c>
      <c r="B31" s="18" t="n">
        <f aca="false">IFERROR(INDEX(WEO_Data!$B$2:$B$45,MATCH(A31,WEO_Data!$A$2:$A$45,0))*2.72,"""")</f>
        <v>127.179108</v>
      </c>
      <c r="C31" s="29" t="n">
        <v>2.72</v>
      </c>
      <c r="D31" s="18" t="n">
        <f aca="false">IFERROR(INDEX(WEO_Data!$B$2:$B$45,MATCH(A31,WEO_Data!$A$2:$A$45,0)),"""")</f>
        <v>46.757025</v>
      </c>
      <c r="E31" s="29" t="n">
        <f aca="false">IF(D31&lt;&gt;"""",LN(D31),"""")</f>
        <v>3.84496451182536</v>
      </c>
      <c r="F31" s="30" t="n">
        <f aca="false">IF(AND(B30&lt;&gt;"""",B31&lt;&gt;""""),B31-B30,"""")</f>
        <v>6.05614800000001</v>
      </c>
      <c r="G31" s="18" t="n">
        <f aca="false">IF(B31&lt;&gt;"""",B31+IFERROR(INDEX(Investment!$B$10:$B$18,MATCH(A31,Investment!$A$10:$A$18,0)),0),"""")</f>
        <v>127.991608</v>
      </c>
      <c r="H31" s="18" t="n">
        <f aca="false">IF(AND(D31&lt;&gt;"""",B31&lt;&gt;""""""),D31*EXP(0.35*LN(B31/C31)),"""")</f>
        <v>179.594600424436</v>
      </c>
      <c r="I31" s="18" t="n">
        <f aca="false">IF(AND(D31&lt;&gt;"""",G31&lt;&gt;""""""),D31*EXP(0.35*LN(G31/C31)),"""")</f>
        <v>179.995346623109</v>
      </c>
      <c r="J31" s="30" t="n">
        <f aca="false">IF(AND(H31&lt;&gt;"""",I31&lt;&gt;""""),I31-H31,"""")</f>
        <v>0.400746198673062</v>
      </c>
    </row>
    <row r="32" customFormat="false" ht="15" hidden="false" customHeight="true" outlineLevel="0" collapsed="false">
      <c r="A32" s="10" t="n">
        <v>2030</v>
      </c>
      <c r="B32" s="18" t="n">
        <f aca="false">IFERROR(INDEX(WEO_Data!$B$2:$B$45,MATCH(A32,WEO_Data!$A$2:$A$45,0))*2.72,"""")</f>
        <v>133.5380634</v>
      </c>
      <c r="C32" s="29" t="n">
        <v>2.72</v>
      </c>
      <c r="D32" s="18" t="n">
        <f aca="false">IFERROR(INDEX(WEO_Data!$B$2:$B$45,MATCH(A32,WEO_Data!$A$2:$A$45,0)),"""")</f>
        <v>49.09487625</v>
      </c>
      <c r="E32" s="29" t="n">
        <f aca="false">IF(D32&lt;&gt;"""",LN(D32),"""")</f>
        <v>3.8937546759948</v>
      </c>
      <c r="F32" s="30" t="n">
        <f aca="false">IF(AND(B31&lt;&gt;"""",B32&lt;&gt;""""),B32-B31,"""")</f>
        <v>6.3589554</v>
      </c>
      <c r="G32" s="18" t="n">
        <f aca="false">IF(B32&lt;&gt;"""",B32+IFERROR(INDEX(Investment!$B$10:$B$18,MATCH(A32,Investment!$A$10:$A$18,0)),0),"""")</f>
        <v>134.3505634</v>
      </c>
      <c r="H32" s="18" t="n">
        <f aca="false">IF(AND(D32&lt;&gt;"""",B32&lt;&gt;""""""),D32*EXP(0.35*LN(B32/C32)),"""")</f>
        <v>191.822182980257</v>
      </c>
      <c r="I32" s="18" t="n">
        <f aca="false">IF(AND(D32&lt;&gt;"""",G32&lt;&gt;""""""),D32*EXP(0.35*LN(G32/C32)),"""")</f>
        <v>192.229871422055</v>
      </c>
      <c r="J32" s="30" t="n">
        <f aca="false">IF(AND(H32&lt;&gt;"""",I32&lt;&gt;""""),I32-H32,"""")</f>
        <v>0.407688441798342</v>
      </c>
    </row>
    <row r="33" customFormat="false" ht="15" hidden="false" customHeight="true" outlineLevel="0" collapsed="false">
      <c r="A33" s="10" t="n">
        <v>2031</v>
      </c>
      <c r="B33" s="18" t="n">
        <f aca="false">IFERROR(INDEX(WEO_Data!$B$2:$B$45,MATCH(A33,WEO_Data!$A$2:$A$45,0))*2.72,"""")</f>
        <v>140.21496657</v>
      </c>
      <c r="C33" s="29" t="n">
        <v>2.72</v>
      </c>
      <c r="D33" s="18" t="n">
        <f aca="false">IFERROR(INDEX(WEO_Data!$B$2:$B$45,MATCH(A33,WEO_Data!$A$2:$A$45,0)),"""")</f>
        <v>51.5496200625</v>
      </c>
      <c r="E33" s="29" t="n">
        <f aca="false">IF(D33&lt;&gt;"""",LN(D33),"""")</f>
        <v>3.94254484016423</v>
      </c>
      <c r="F33" s="30" t="n">
        <f aca="false">IF(AND(B32&lt;&gt;"""",B33&lt;&gt;""""),B33-B32,"""")</f>
        <v>6.67690317000003</v>
      </c>
      <c r="G33" s="18" t="n">
        <f aca="false">IF(B33&lt;&gt;"""",B33+IFERROR(INDEX(Investment!$B$10:$B$18,MATCH(A33,Investment!$A$10:$A$18,0)),0),"""")</f>
        <v>141.02746657</v>
      </c>
      <c r="H33" s="18" t="n">
        <f aca="false">IF(AND(D33&lt;&gt;"""",B33&lt;&gt;""""""),D33*EXP(0.35*LN(B33/C33)),"""")</f>
        <v>204.882272609264</v>
      </c>
      <c r="I33" s="18" t="n">
        <f aca="false">IF(AND(D33&lt;&gt;"""",G33&lt;&gt;""""""),D33*EXP(0.35*LN(G33/C33)),"""")</f>
        <v>205.297021622257</v>
      </c>
      <c r="J33" s="30" t="n">
        <f aca="false">IF(AND(H33&lt;&gt;"""",I33&lt;&gt;""""),I33-H33,"""")</f>
        <v>0.414749012992701</v>
      </c>
    </row>
    <row r="34" customFormat="false" ht="15" hidden="false" customHeight="true" outlineLevel="0" collapsed="false">
      <c r="A34" s="10" t="n">
        <v>2032</v>
      </c>
      <c r="B34" s="18" t="n">
        <f aca="false">IFERROR(INDEX(WEO_Data!$B$2:$B$45,MATCH(A34,WEO_Data!$A$2:$A$45,0))*2.72,"""")</f>
        <v>147.2257148985</v>
      </c>
      <c r="C34" s="29" t="n">
        <v>2.72</v>
      </c>
      <c r="D34" s="18" t="n">
        <f aca="false">IFERROR(INDEX(WEO_Data!$B$2:$B$45,MATCH(A34,WEO_Data!$A$2:$A$45,0)),"""")</f>
        <v>54.127101065625</v>
      </c>
      <c r="E34" s="29" t="n">
        <f aca="false">IF(D34&lt;&gt;"""",LN(D34),"""")</f>
        <v>3.99133500433366</v>
      </c>
      <c r="F34" s="30" t="n">
        <f aca="false">IF(AND(B33&lt;&gt;"""",B34&lt;&gt;""""),B34-B33,"""")</f>
        <v>7.0107483285</v>
      </c>
      <c r="G34" s="18" t="n">
        <f aca="false">IF(B34&lt;&gt;"""",B34+IFERROR(INDEX(Investment!$B$10:$B$18,MATCH(A34,Investment!$A$10:$A$18,0)),0),"""")</f>
        <v>148.0382148985</v>
      </c>
      <c r="H34" s="18" t="n">
        <f aca="false">IF(AND(D34&lt;&gt;"""",B34&lt;&gt;""""""),D34*EXP(0.35*LN(B34/C34)),"""")</f>
        <v>218.831550018682</v>
      </c>
      <c r="I34" s="18" t="n">
        <f aca="false">IF(AND(D34&lt;&gt;"""",G34&lt;&gt;""""""),D34*EXP(0.35*LN(G34/C34)),"""")</f>
        <v>219.253480006649</v>
      </c>
      <c r="J34" s="30" t="n">
        <f aca="false">IF(AND(H34&lt;&gt;"""",I34&lt;&gt;""""),I34-H34,"""")</f>
        <v>0.421929987967019</v>
      </c>
    </row>
    <row r="35" customFormat="false" ht="15" hidden="false" customHeight="true" outlineLevel="0" collapsed="false">
      <c r="A35" s="10" t="n">
        <v>2033</v>
      </c>
      <c r="B35" s="18" t="n">
        <f aca="false">IFERROR(INDEX(WEO_Data!$B$2:$B$45,MATCH(A35,WEO_Data!$A$2:$A$45,0))*2.72,"""")</f>
        <v>154.587000643425</v>
      </c>
      <c r="C35" s="29" t="n">
        <v>2.72</v>
      </c>
      <c r="D35" s="18" t="n">
        <f aca="false">IFERROR(INDEX(WEO_Data!$B$2:$B$45,MATCH(A35,WEO_Data!$A$2:$A$45,0)),"""")</f>
        <v>56.8334561189063</v>
      </c>
      <c r="E35" s="29" t="n">
        <f aca="false">IF(D35&lt;&gt;"""",LN(D35),"""")</f>
        <v>4.04012516850309</v>
      </c>
      <c r="F35" s="30" t="n">
        <f aca="false">IF(AND(B34&lt;&gt;"""",B35&lt;&gt;""""),B35-B34,"""")</f>
        <v>7.361285744925</v>
      </c>
      <c r="G35" s="18" t="n">
        <f aca="false">IF(B35&lt;&gt;"""",B35+IFERROR(INDEX(Investment!$B$10:$B$18,MATCH(A35,Investment!$A$10:$A$18,0)),0),"""")</f>
        <v>155.399500643425</v>
      </c>
      <c r="H35" s="18" t="n">
        <f aca="false">IF(AND(D35&lt;&gt;"""",B35&lt;&gt;""""""),D35*EXP(0.35*LN(B35/C35)),"""")</f>
        <v>233.730554985134</v>
      </c>
      <c r="I35" s="18" t="n">
        <f aca="false">IF(AND(D35&lt;&gt;"""",G35&lt;&gt;""""""),D35*EXP(0.35*LN(G35/C35)),"""")</f>
        <v>234.159788462213</v>
      </c>
      <c r="J35" s="30" t="n">
        <f aca="false">IF(AND(H35&lt;&gt;"""",I35&lt;&gt;""""),I35-H35,"""")</f>
        <v>0.429233477079038</v>
      </c>
    </row>
    <row r="36" customFormat="false" ht="15" hidden="false" customHeight="true" outlineLevel="0" collapsed="false">
      <c r="A36" s="10" t="n">
        <v>2034</v>
      </c>
      <c r="B36" s="18" t="n">
        <f aca="false">IFERROR(INDEX(WEO_Data!$B$2:$B$45,MATCH(A36,WEO_Data!$A$2:$A$45,0))*2.72,"""")</f>
        <v>162.316350675596</v>
      </c>
      <c r="C36" s="29" t="n">
        <v>2.72</v>
      </c>
      <c r="D36" s="18" t="n">
        <f aca="false">IFERROR(INDEX(WEO_Data!$B$2:$B$45,MATCH(A36,WEO_Data!$A$2:$A$45,0)),"""")</f>
        <v>59.6751289248516</v>
      </c>
      <c r="E36" s="29" t="n">
        <f aca="false">IF(D36&lt;&gt;"""",LN(D36),"""")</f>
        <v>4.08891533267252</v>
      </c>
      <c r="F36" s="30" t="n">
        <f aca="false">IF(AND(B35&lt;&gt;"""",B36&lt;&gt;""""),B36-B35,"""")</f>
        <v>7.72935003217125</v>
      </c>
      <c r="G36" s="18" t="n">
        <f aca="false">IF(B36&lt;&gt;"""",B36+IFERROR(INDEX(Investment!$B$10:$B$18,MATCH(A36,Investment!$A$10:$A$18,0)),0),"""")</f>
        <v>162.316350675596</v>
      </c>
      <c r="H36" s="18" t="n">
        <f aca="false">IF(AND(D36&lt;&gt;"""",B36&lt;&gt;""""""),D36*EXP(0.35*LN(B36/C36)),"""")</f>
        <v>249.643949096896</v>
      </c>
      <c r="I36" s="18" t="n">
        <f aca="false">IF(AND(D36&lt;&gt;"""",G36&lt;&gt;""""""),D36*EXP(0.35*LN(G36/C36)),"""")</f>
        <v>249.643949096896</v>
      </c>
      <c r="J36" s="30" t="n">
        <f aca="false">IF(AND(H36&lt;&gt;"""",I36&lt;&gt;""""),I36-H36,"""")</f>
        <v>0</v>
      </c>
    </row>
    <row r="37" customFormat="false" ht="15" hidden="false" customHeight="true" outlineLevel="0" collapsed="false">
      <c r="A37" s="10" t="n">
        <v>2035</v>
      </c>
      <c r="B37" s="18" t="n">
        <f aca="false">IFERROR(INDEX(WEO_Data!$B$2:$B$45,MATCH(A37,WEO_Data!$A$2:$A$45,0))*2.72,"""")</f>
        <v>170.432168209376</v>
      </c>
      <c r="C37" s="29" t="n">
        <v>2.72</v>
      </c>
      <c r="D37" s="18" t="n">
        <f aca="false">IFERROR(INDEX(WEO_Data!$B$2:$B$45,MATCH(A37,WEO_Data!$A$2:$A$45,0)),"""")</f>
        <v>62.6588853710942</v>
      </c>
      <c r="E37" s="29" t="n">
        <f aca="false">IF(D37&lt;&gt;"""",LN(D37),"""")</f>
        <v>4.13770549684196</v>
      </c>
      <c r="F37" s="30" t="n">
        <f aca="false">IF(AND(B36&lt;&gt;"""",B37&lt;&gt;""""),B37-B36,"""")</f>
        <v>8.11581753377982</v>
      </c>
      <c r="G37" s="18" t="n">
        <f aca="false">IF(B37&lt;&gt;"""",B37+IFERROR(INDEX(Investment!$B$10:$B$18,MATCH(A37,Investment!$A$10:$A$18,0)),0),"""")</f>
        <v>170.432168209376</v>
      </c>
      <c r="H37" s="18" t="n">
        <f aca="false">IF(AND(D37&lt;&gt;"""",B37&lt;&gt;""""""),D37*EXP(0.35*LN(B37/C37)),"""")</f>
        <v>266.640796384785</v>
      </c>
      <c r="I37" s="18" t="n">
        <f aca="false">IF(AND(D37&lt;&gt;"""",G37&lt;&gt;""""""),D37*EXP(0.35*LN(G37/C37)),"""")</f>
        <v>266.640796384785</v>
      </c>
      <c r="J37" s="30" t="n">
        <f aca="false">IF(AND(H37&lt;&gt;"""",I37&lt;&gt;""""),I37-H37,"""")</f>
        <v>0</v>
      </c>
    </row>
    <row r="38" customFormat="false" ht="15" hidden="false" customHeight="true" outlineLevel="0" collapsed="false">
      <c r="A38" s="10" t="n">
        <v>2036</v>
      </c>
      <c r="B38" s="18" t="n">
        <f aca="false">IFERROR(INDEX(WEO_Data!$B$2:$B$45,MATCH(A38,WEO_Data!$A$2:$A$45,0))*2.72,"""")</f>
        <v>178.953776619845</v>
      </c>
      <c r="C38" s="29" t="n">
        <v>2.72</v>
      </c>
      <c r="D38" s="18" t="n">
        <f aca="false">IFERROR(INDEX(WEO_Data!$B$2:$B$45,MATCH(A38,WEO_Data!$A$2:$A$45,0)),"""")</f>
        <v>65.7918296396489</v>
      </c>
      <c r="E38" s="29" t="n">
        <f aca="false">IF(D38&lt;&gt;"""",LN(D38),"""")</f>
        <v>4.18649566101139</v>
      </c>
      <c r="F38" s="30" t="n">
        <f aca="false">IF(AND(B37&lt;&gt;"""",B38&lt;&gt;""""),B38-B37,"""")</f>
        <v>8.52160841046884</v>
      </c>
      <c r="G38" s="18" t="n">
        <f aca="false">IF(B38&lt;&gt;"""",B38+IFERROR(INDEX(Investment!$B$10:$B$18,MATCH(A38,Investment!$A$10:$A$18,0)),0),"""")</f>
        <v>178.953776619845</v>
      </c>
      <c r="H38" s="18" t="n">
        <f aca="false">IF(AND(D38&lt;&gt;"""",B38&lt;&gt;""""""),D38*EXP(0.35*LN(B38/C38)),"""")</f>
        <v>284.794863059615</v>
      </c>
      <c r="I38" s="18" t="n">
        <f aca="false">IF(AND(D38&lt;&gt;"""",G38&lt;&gt;""""""),D38*EXP(0.35*LN(G38/C38)),"""")</f>
        <v>284.794863059615</v>
      </c>
      <c r="J38" s="30" t="n">
        <f aca="false">IF(AND(H38&lt;&gt;"""",I38&lt;&gt;""""),I38-H38,"""")</f>
        <v>0</v>
      </c>
    </row>
    <row r="39" customFormat="false" ht="15" hidden="false" customHeight="true" outlineLevel="0" collapsed="false">
      <c r="A39" s="10" t="n">
        <v>2037</v>
      </c>
      <c r="B39" s="18" t="n">
        <f aca="false">IFERROR(INDEX(WEO_Data!$B$2:$B$45,MATCH(A39,WEO_Data!$A$2:$A$45,0))*2.72,"""")</f>
        <v>187.901465450837</v>
      </c>
      <c r="C39" s="29" t="n">
        <v>2.72</v>
      </c>
      <c r="D39" s="18" t="n">
        <f aca="false">IFERROR(INDEX(WEO_Data!$B$2:$B$45,MATCH(A39,WEO_Data!$A$2:$A$45,0)),"""")</f>
        <v>69.0814211216313</v>
      </c>
      <c r="E39" s="29" t="n">
        <f aca="false">IF(D39&lt;&gt;"""",LN(D39),"""")</f>
        <v>4.23528582518082</v>
      </c>
      <c r="F39" s="30" t="n">
        <f aca="false">IF(AND(B38&lt;&gt;"""",B39&lt;&gt;""""),B39-B38,"""")</f>
        <v>8.94768883099223</v>
      </c>
      <c r="G39" s="18" t="n">
        <f aca="false">IF(B39&lt;&gt;"""",B39+IFERROR(INDEX(Investment!$B$10:$B$18,MATCH(A39,Investment!$A$10:$A$18,0)),0),"""")</f>
        <v>187.901465450837</v>
      </c>
      <c r="H39" s="18" t="n">
        <f aca="false">IF(AND(D39&lt;&gt;"""",B39&lt;&gt;""""""),D39*EXP(0.35*LN(B39/C39)),"""")</f>
        <v>304.184937657099</v>
      </c>
      <c r="I39" s="18" t="n">
        <f aca="false">IF(AND(D39&lt;&gt;"""",G39&lt;&gt;""""""),D39*EXP(0.35*LN(G39/C39)),"""")</f>
        <v>304.184937657099</v>
      </c>
      <c r="J39" s="30" t="n">
        <f aca="false">IF(AND(H39&lt;&gt;"""",I39&lt;&gt;""""),I39-H39,"""")</f>
        <v>0</v>
      </c>
    </row>
    <row r="40" customFormat="false" ht="15" hidden="false" customHeight="true" outlineLevel="0" collapsed="false">
      <c r="A40" s="10" t="n">
        <v>2038</v>
      </c>
      <c r="B40" s="18" t="n">
        <f aca="false">IFERROR(INDEX(WEO_Data!$B$2:$B$45,MATCH(A40,WEO_Data!$A$2:$A$45,0))*2.72,"""")</f>
        <v>197.296538723379</v>
      </c>
      <c r="C40" s="29" t="n">
        <v>2.72</v>
      </c>
      <c r="D40" s="18" t="n">
        <f aca="false">IFERROR(INDEX(WEO_Data!$B$2:$B$45,MATCH(A40,WEO_Data!$A$2:$A$45,0)),"""")</f>
        <v>72.5354921777129</v>
      </c>
      <c r="E40" s="29" t="n">
        <f aca="false">IF(D40&lt;&gt;"""",LN(D40),"""")</f>
        <v>4.28407598935025</v>
      </c>
      <c r="F40" s="30" t="n">
        <f aca="false">IF(AND(B39&lt;&gt;"""",B40&lt;&gt;""""),B40-B39,"""")</f>
        <v>9.39507327254188</v>
      </c>
      <c r="G40" s="18" t="n">
        <f aca="false">IF(B40&lt;&gt;"""",B40+IFERROR(INDEX(Investment!$B$10:$B$18,MATCH(A40,Investment!$A$10:$A$18,0)),0),"""")</f>
        <v>197.296538723379</v>
      </c>
      <c r="H40" s="18" t="n">
        <f aca="false">IF(AND(D40&lt;&gt;"""",B40&lt;&gt;""""""),D40*EXP(0.35*LN(B40/C40)),"""")</f>
        <v>324.895172979593</v>
      </c>
      <c r="I40" s="18" t="n">
        <f aca="false">IF(AND(D40&lt;&gt;"""",G40&lt;&gt;""""""),D40*EXP(0.35*LN(G40/C40)),"""")</f>
        <v>324.895172979593</v>
      </c>
      <c r="J40" s="30" t="n">
        <f aca="false">IF(AND(H40&lt;&gt;"""",I40&lt;&gt;""""),I40-H40,"""")</f>
        <v>0</v>
      </c>
    </row>
    <row r="41" customFormat="false" ht="15" hidden="false" customHeight="true" outlineLevel="0" collapsed="false">
      <c r="A41" s="10" t="n">
        <v>2039</v>
      </c>
      <c r="B41" s="18" t="n">
        <f aca="false">IFERROR(INDEX(WEO_Data!$B$2:$B$45,MATCH(A41,WEO_Data!$A$2:$A$45,0))*2.72,"""")</f>
        <v>207.161365659548</v>
      </c>
      <c r="C41" s="29" t="n">
        <v>2.72</v>
      </c>
      <c r="D41" s="18" t="n">
        <f aca="false">IFERROR(INDEX(WEO_Data!$B$2:$B$45,MATCH(A41,WEO_Data!$A$2:$A$45,0)),"""")</f>
        <v>76.1622667865985</v>
      </c>
      <c r="E41" s="29" t="n">
        <f aca="false">IF(D41&lt;&gt;"""",LN(D41),"""")</f>
        <v>4.33286615351968</v>
      </c>
      <c r="F41" s="30" t="n">
        <f aca="false">IF(AND(B40&lt;&gt;"""",B41&lt;&gt;""""),B41-B40,"""")</f>
        <v>9.86482693616898</v>
      </c>
      <c r="G41" s="18" t="n">
        <f aca="false">IF(B41&lt;&gt;"""",B41+IFERROR(INDEX(Investment!$B$10:$B$18,MATCH(A41,Investment!$A$10:$A$18,0)),0),"""")</f>
        <v>207.161365659548</v>
      </c>
      <c r="H41" s="18" t="n">
        <f aca="false">IF(AND(D41&lt;&gt;"""",B41&lt;&gt;""""""),D41*EXP(0.35*LN(B41/C41)),"""")</f>
        <v>347.015451318736</v>
      </c>
      <c r="I41" s="18" t="n">
        <f aca="false">IF(AND(D41&lt;&gt;"""",G41&lt;&gt;""""""),D41*EXP(0.35*LN(G41/C41)),"""")</f>
        <v>347.015451318736</v>
      </c>
      <c r="J41" s="30" t="n">
        <f aca="false">IF(AND(H41&lt;&gt;"""",I41&lt;&gt;""""),I41-H41,"""")</f>
        <v>0</v>
      </c>
    </row>
    <row r="42" customFormat="false" ht="15" hidden="false" customHeight="true" outlineLevel="0" collapsed="false">
      <c r="A42" s="10" t="n">
        <v>2040</v>
      </c>
      <c r="B42" s="18" t="n">
        <f aca="false">IFERROR(INDEX(WEO_Data!$B$2:$B$45,MATCH(A42,WEO_Data!$A$2:$A$45,0))*2.72,"""")</f>
        <v>217.519433942525</v>
      </c>
      <c r="C42" s="29" t="n">
        <v>2.72</v>
      </c>
      <c r="D42" s="18" t="n">
        <f aca="false">IFERROR(INDEX(WEO_Data!$B$2:$B$45,MATCH(A42,WEO_Data!$A$2:$A$45,0)),"""")</f>
        <v>79.9703801259285</v>
      </c>
      <c r="E42" s="29" t="n">
        <f aca="false">IF(D42&lt;&gt;"""",LN(D42),"""")</f>
        <v>4.38165631768912</v>
      </c>
      <c r="F42" s="30" t="n">
        <f aca="false">IF(AND(B41&lt;&gt;"""",B42&lt;&gt;""""),B42-B41,"""")</f>
        <v>10.3580682829774</v>
      </c>
      <c r="G42" s="18" t="n">
        <f aca="false">IF(B42&lt;&gt;"""",B42+IFERROR(INDEX(Investment!$B$10:$B$18,MATCH(A42,Investment!$A$10:$A$18,0)),0),"""")</f>
        <v>217.519433942525</v>
      </c>
      <c r="H42" s="18" t="n">
        <f aca="false">IF(AND(D42&lt;&gt;"""",B42&lt;&gt;""""""),D42*EXP(0.35*LN(B42/C42)),"""")</f>
        <v>370.64177454403</v>
      </c>
      <c r="I42" s="18" t="n">
        <f aca="false">IF(AND(D42&lt;&gt;"""",G42&lt;&gt;""""""),D42*EXP(0.35*LN(G42/C42)),"""")</f>
        <v>370.64177454403</v>
      </c>
      <c r="J42" s="30" t="n">
        <f aca="false">IF(AND(H42&lt;&gt;"""",I42&lt;&gt;""""),I42-H42,"""")</f>
        <v>0</v>
      </c>
    </row>
    <row r="43" customFormat="false" ht="15" hidden="false" customHeight="true" outlineLevel="0" collapsed="false">
      <c r="A43" s="10" t="n">
        <v>2041</v>
      </c>
      <c r="B43" s="18" t="n">
        <f aca="false">IFERROR(INDEX(WEO_Data!$B$2:$B$45,MATCH(A43,WEO_Data!$A$2:$A$45,0))*2.72,"""")</f>
        <v>228.395405639652</v>
      </c>
      <c r="C43" s="29" t="n">
        <v>2.72</v>
      </c>
      <c r="D43" s="18" t="n">
        <f aca="false">IFERROR(INDEX(WEO_Data!$B$2:$B$45,MATCH(A43,WEO_Data!$A$2:$A$45,0)),"""")</f>
        <v>83.9688991322249</v>
      </c>
      <c r="E43" s="29" t="n">
        <f aca="false">IF(D43&lt;&gt;"""",LN(D43),"""")</f>
        <v>4.43044648185855</v>
      </c>
      <c r="F43" s="30" t="n">
        <f aca="false">IF(AND(B42&lt;&gt;"""",B43&lt;&gt;""""),B43-B42,"""")</f>
        <v>10.8759716971263</v>
      </c>
      <c r="G43" s="18" t="n">
        <f aca="false">IF(B43&lt;&gt;"""",B43+IFERROR(INDEX(Investment!$B$10:$B$18,MATCH(A43,Investment!$A$10:$A$18,0)),0),"""")</f>
        <v>228.395405639652</v>
      </c>
      <c r="H43" s="18" t="n">
        <f aca="false">IF(AND(D43&lt;&gt;"""",B43&lt;&gt;""""""),D43*EXP(0.35*LN(B43/C43)),"""")</f>
        <v>395.876680750355</v>
      </c>
      <c r="I43" s="18" t="n">
        <f aca="false">IF(AND(D43&lt;&gt;"""",G43&lt;&gt;""""""),D43*EXP(0.35*LN(G43/C43)),"""")</f>
        <v>395.876680750355</v>
      </c>
      <c r="J43" s="30" t="n">
        <f aca="false">IF(AND(H43&lt;&gt;"""",I43&lt;&gt;""""),I43-H43,"""")</f>
        <v>0</v>
      </c>
    </row>
    <row r="44" customFormat="false" ht="15" hidden="false" customHeight="true" outlineLevel="0" collapsed="false">
      <c r="A44" s="10" t="n">
        <v>2042</v>
      </c>
      <c r="B44" s="18" t="n">
        <f aca="false">IFERROR(INDEX(WEO_Data!$B$2:$B$45,MATCH(A44,WEO_Data!$A$2:$A$45,0))*2.72,"""")</f>
        <v>239.815175921634</v>
      </c>
      <c r="C44" s="29" t="n">
        <v>2.72</v>
      </c>
      <c r="D44" s="18" t="n">
        <f aca="false">IFERROR(INDEX(WEO_Data!$B$2:$B$45,MATCH(A44,WEO_Data!$A$2:$A$45,0)),"""")</f>
        <v>88.1673440888362</v>
      </c>
      <c r="E44" s="29" t="n">
        <f aca="false">IF(D44&lt;&gt;"""",LN(D44),"""")</f>
        <v>4.47923664602798</v>
      </c>
      <c r="F44" s="30" t="n">
        <f aca="false">IF(AND(B43&lt;&gt;"""",B44&lt;&gt;""""),B44-B43,"""")</f>
        <v>11.4197702819826</v>
      </c>
      <c r="G44" s="18" t="n">
        <f aca="false">IF(B44&lt;&gt;"""",B44+IFERROR(INDEX(Investment!$B$10:$B$18,MATCH(A44,Investment!$A$10:$A$18,0)),0),"""")</f>
        <v>239.815175921634</v>
      </c>
      <c r="H44" s="18" t="n">
        <f aca="false">IF(AND(D44&lt;&gt;"""",B44&lt;&gt;""""""),D44*EXP(0.35*LN(B44/C44)),"""")</f>
        <v>422.829689272658</v>
      </c>
      <c r="I44" s="18" t="n">
        <f aca="false">IF(AND(D44&lt;&gt;"""",G44&lt;&gt;""""""),D44*EXP(0.35*LN(G44/C44)),"""")</f>
        <v>422.829689272658</v>
      </c>
      <c r="J44" s="30" t="n">
        <f aca="false">IF(AND(H44&lt;&gt;"""",I44&lt;&gt;""""),I44-H44,"""")</f>
        <v>0</v>
      </c>
    </row>
    <row r="45" customFormat="false" ht="15" hidden="false" customHeight="true" outlineLevel="0" collapsed="false">
      <c r="A45" s="10" t="n">
        <v>2043</v>
      </c>
      <c r="B45" s="18" t="n">
        <f aca="false">IFERROR(INDEX(WEO_Data!$B$2:$B$45,MATCH(A45,WEO_Data!$A$2:$A$45,0))*2.72,"""")</f>
        <v>251.805934717716</v>
      </c>
      <c r="C45" s="29" t="n">
        <v>2.72</v>
      </c>
      <c r="D45" s="18" t="n">
        <f aca="false">IFERROR(INDEX(WEO_Data!$B$2:$B$45,MATCH(A45,WEO_Data!$A$2:$A$45,0)),"""")</f>
        <v>92.575711293278</v>
      </c>
      <c r="E45" s="29" t="n">
        <f aca="false">IF(D45&lt;&gt;"""",LN(D45),"""")</f>
        <v>4.52802681019741</v>
      </c>
      <c r="F45" s="30" t="n">
        <f aca="false">IF(AND(B44&lt;&gt;"""",B45&lt;&gt;""""),B45-B44,"""")</f>
        <v>11.9907587960818</v>
      </c>
      <c r="G45" s="18" t="n">
        <f aca="false">IF(B45&lt;&gt;"""",B45+IFERROR(INDEX(Investment!$B$10:$B$18,MATCH(A45,Investment!$A$10:$A$18,0)),0),"""")</f>
        <v>251.805934717716</v>
      </c>
      <c r="H45" s="18" t="n">
        <f aca="false">IF(AND(D45&lt;&gt;"""",B45&lt;&gt;""""""),D45*EXP(0.35*LN(B45/C45)),"""")</f>
        <v>451.617775999178</v>
      </c>
      <c r="I45" s="18" t="n">
        <f aca="false">IF(AND(D45&lt;&gt;"""",G45&lt;&gt;""""""),D45*EXP(0.35*LN(G45/C45)),"""")</f>
        <v>451.617775999178</v>
      </c>
      <c r="J45" s="30" t="n">
        <f aca="false">IF(AND(H45&lt;&gt;"""",I45&lt;&gt;""""),I45-H45,"""")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2026-01-27T23:16:45Z</dcterms:created>
  <dc:creator>openpyxl</dc:creator>
  <dc:description/>
  <dc:language>en-US</dc:language>
  <cp:lastModifiedBy/>
  <dcterms:modified xsi:type="dcterms:W3CDTF">2026-01-27T23:19:16Z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