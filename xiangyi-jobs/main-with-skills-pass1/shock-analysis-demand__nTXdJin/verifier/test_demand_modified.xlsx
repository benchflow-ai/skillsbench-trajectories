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T Calc" sheetId="3" state="visible" r:id="rId3"/>
    <sheet name="SUPPLY" sheetId="4" state="visible" r:id="rId4"/>
    <sheet name="USE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>
        <v>46600000000</v>
      </c>
      <c r="D3" s="10" t="n"/>
      <c r="E3" s="10" t="n"/>
      <c r="F3" s="10" t="n"/>
      <c r="G3" s="10" t="n"/>
      <c r="H3" s="10" t="n"/>
      <c r="I3" s="10" t="n"/>
      <c r="J3" s="11" t="n"/>
      <c r="K3" s="12" t="n"/>
    </row>
    <row r="4">
      <c r="B4" s="13" t="n">
        <v>2021</v>
      </c>
      <c r="C4">
        <f>C3*(1+'WEO_Data'!B2/100)</f>
        <v/>
      </c>
      <c r="D4" t="n">
        <v>0</v>
      </c>
      <c r="E4">
        <f>(6500000000.0*D4*$D$30)/('WEO_Data'!D2/100)</f>
        <v/>
      </c>
      <c r="F4">
        <f>E4*$D$32</f>
        <v/>
      </c>
      <c r="G4">
        <f>E4-F4</f>
        <v/>
      </c>
      <c r="H4">
        <f>$D$31</f>
        <v/>
      </c>
      <c r="I4">
        <f>G4*H4</f>
        <v/>
      </c>
      <c r="J4">
        <f>'WEO_Data'!B2</f>
        <v/>
      </c>
      <c r="K4" s="15">
        <f>((C4+I4)/C3)-1</f>
        <v/>
      </c>
    </row>
    <row r="5">
      <c r="B5" s="13" t="n">
        <v>2022</v>
      </c>
      <c r="C5">
        <f>C4*(1+'WEO_Data'!B3/100)</f>
        <v/>
      </c>
      <c r="D5" t="n">
        <v>0</v>
      </c>
      <c r="E5">
        <f>(6500000000.0*D5*$D$30)/('WEO_Data'!D3/100)</f>
        <v/>
      </c>
      <c r="F5">
        <f>E5*$D$32</f>
        <v/>
      </c>
      <c r="G5">
        <f>E5-F5</f>
        <v/>
      </c>
      <c r="H5">
        <f>$D$31</f>
        <v/>
      </c>
      <c r="I5">
        <f>G5*H5</f>
        <v/>
      </c>
      <c r="J5">
        <f>'WEO_Data'!B3</f>
        <v/>
      </c>
      <c r="K5" s="15">
        <f>((C5+I5)/(C4+I4))-1</f>
        <v/>
      </c>
    </row>
    <row r="6">
      <c r="B6" s="13" t="n">
        <v>2023</v>
      </c>
      <c r="C6">
        <f>C5*(1+'WEO_Data'!B4/100)</f>
        <v/>
      </c>
      <c r="D6" t="n">
        <v>0</v>
      </c>
      <c r="E6">
        <f>(6500000000.0*D6*$D$30)/('WEO_Data'!D4/100)</f>
        <v/>
      </c>
      <c r="F6">
        <f>E6*$D$32</f>
        <v/>
      </c>
      <c r="G6">
        <f>E6-F6</f>
        <v/>
      </c>
      <c r="H6">
        <f>$D$31</f>
        <v/>
      </c>
      <c r="I6">
        <f>G6*H6</f>
        <v/>
      </c>
      <c r="J6">
        <f>'WEO_Data'!B4</f>
        <v/>
      </c>
      <c r="K6" s="15">
        <f>((C6+I6)/(C5+I5))-1</f>
        <v/>
      </c>
    </row>
    <row r="7">
      <c r="B7" s="13" t="n">
        <v>2024</v>
      </c>
      <c r="C7">
        <f>C6*(1+'WEO_Data'!B5/100)</f>
        <v/>
      </c>
      <c r="D7" t="n">
        <v>0</v>
      </c>
      <c r="E7">
        <f>(6500000000.0*D7*$D$30)/('WEO_Data'!D5/100)</f>
        <v/>
      </c>
      <c r="F7">
        <f>E7*$D$32</f>
        <v/>
      </c>
      <c r="G7">
        <f>E7-F7</f>
        <v/>
      </c>
      <c r="H7">
        <f>$D$31</f>
        <v/>
      </c>
      <c r="I7">
        <f>G7*H7</f>
        <v/>
      </c>
      <c r="J7">
        <f>'WEO_Data'!B5</f>
        <v/>
      </c>
      <c r="K7" s="15">
        <f>((C7+I7)/(C6+I6))-1</f>
        <v/>
      </c>
    </row>
    <row r="8">
      <c r="B8" s="13" t="n">
        <v>2025</v>
      </c>
      <c r="C8">
        <f>C7*(1+'WEO_Data'!B6/100)</f>
        <v/>
      </c>
      <c r="D8" t="n">
        <v>0</v>
      </c>
      <c r="E8">
        <f>(6500000000.0*D8*$D$30)/('WEO_Data'!D6/100)</f>
        <v/>
      </c>
      <c r="F8">
        <f>E8*$D$32</f>
        <v/>
      </c>
      <c r="G8">
        <f>E8-F8</f>
        <v/>
      </c>
      <c r="H8">
        <f>$D$31</f>
        <v/>
      </c>
      <c r="I8">
        <f>G8*H8</f>
        <v/>
      </c>
      <c r="J8">
        <f>'WEO_Data'!B6</f>
        <v/>
      </c>
      <c r="K8" s="15">
        <f>((C8+I8)/(C7+I7))-1</f>
        <v/>
      </c>
    </row>
    <row r="9">
      <c r="B9" s="13" t="n">
        <v>2026</v>
      </c>
      <c r="C9">
        <f>C8*(1+'WEO_Data'!B7/100)</f>
        <v/>
      </c>
      <c r="D9" t="n">
        <v>0.05</v>
      </c>
      <c r="E9">
        <f>(6500000000.0*D9*$D$30)/('WEO_Data'!D7/100)</f>
        <v/>
      </c>
      <c r="F9">
        <f>E9*$D$32</f>
        <v/>
      </c>
      <c r="G9">
        <f>E9-F9</f>
        <v/>
      </c>
      <c r="H9">
        <f>$D$31</f>
        <v/>
      </c>
      <c r="I9">
        <f>G9*H9</f>
        <v/>
      </c>
      <c r="J9" s="16">
        <f>'WEO_Data'!B7</f>
        <v/>
      </c>
      <c r="K9" s="15">
        <f>((C9+I9)/(C8+I8))-1</f>
        <v/>
      </c>
    </row>
    <row r="10">
      <c r="B10" s="13" t="n">
        <v>2027</v>
      </c>
      <c r="C10">
        <f>C9*(1+'WEO_Data'!B8/100)</f>
        <v/>
      </c>
      <c r="D10" t="n">
        <v>0.1</v>
      </c>
      <c r="E10">
        <f>(6500000000.0*D10*$D$30)/('WEO_Data'!D8/100)</f>
        <v/>
      </c>
      <c r="F10">
        <f>E10*$D$32</f>
        <v/>
      </c>
      <c r="G10">
        <f>E10-F10</f>
        <v/>
      </c>
      <c r="H10">
        <f>$D$31</f>
        <v/>
      </c>
      <c r="I10">
        <f>G10*H10</f>
        <v/>
      </c>
      <c r="J10">
        <f>'WEO_Data'!B8</f>
        <v/>
      </c>
      <c r="K10" s="15">
        <f>((C10+I10)/(C9+I9))-1</f>
        <v/>
      </c>
    </row>
    <row r="11">
      <c r="B11" s="13" t="n">
        <v>2028</v>
      </c>
      <c r="C11">
        <f>C10*(1+'WEO_Data'!B9/100)</f>
        <v/>
      </c>
      <c r="D11" t="n">
        <v>0.15</v>
      </c>
      <c r="E11">
        <f>(6500000000.0*D11*$D$30)/('WEO_Data'!D9/100)</f>
        <v/>
      </c>
      <c r="F11">
        <f>E11*$D$32</f>
        <v/>
      </c>
      <c r="G11">
        <f>E11-F11</f>
        <v/>
      </c>
      <c r="H11">
        <f>$D$31</f>
        <v/>
      </c>
      <c r="I11">
        <f>G11*H11</f>
        <v/>
      </c>
      <c r="J11">
        <f>'WEO_Data'!B9</f>
        <v/>
      </c>
      <c r="K11" s="15">
        <f>((C11+I11)/(C10+I10))-1</f>
        <v/>
      </c>
    </row>
    <row r="12">
      <c r="B12" s="13" t="n">
        <v>2029</v>
      </c>
      <c r="C12">
        <f>C11*(1+'WEO_Data'!B10/100)</f>
        <v/>
      </c>
      <c r="D12" t="n">
        <v>0.2</v>
      </c>
      <c r="E12">
        <f>(6500000000.0*D12*$D$30)/('WEO_Data'!D10/100)</f>
        <v/>
      </c>
      <c r="F12">
        <f>E12*$D$32</f>
        <v/>
      </c>
      <c r="G12">
        <f>E12-F12</f>
        <v/>
      </c>
      <c r="H12">
        <f>$D$31</f>
        <v/>
      </c>
      <c r="I12">
        <f>G12*H12</f>
        <v/>
      </c>
      <c r="J12">
        <f>'WEO_Data'!B10</f>
        <v/>
      </c>
      <c r="K12" s="15">
        <f>((C12+I12)/(C11+I11))-1</f>
        <v/>
      </c>
    </row>
    <row r="13">
      <c r="B13" s="13" t="n">
        <v>2030</v>
      </c>
      <c r="C13">
        <f>C12*(1+'WEO_Data'!B11/100)</f>
        <v/>
      </c>
      <c r="D13" t="n">
        <v>0.2</v>
      </c>
      <c r="E13">
        <f>(6500000000.0*D13*$D$30)/('WEO_Data'!D11/100)</f>
        <v/>
      </c>
      <c r="F13">
        <f>E13*$D$32</f>
        <v/>
      </c>
      <c r="G13">
        <f>E13-F13</f>
        <v/>
      </c>
      <c r="H13">
        <f>$D$31</f>
        <v/>
      </c>
      <c r="I13">
        <f>G13*H13</f>
        <v/>
      </c>
      <c r="J13" s="17">
        <f>'WEO_Data'!B11</f>
        <v/>
      </c>
      <c r="K13" s="15">
        <f>((C13+I13)/(C12+I12))-1</f>
        <v/>
      </c>
    </row>
    <row r="14">
      <c r="B14" s="13" t="n">
        <v>2031</v>
      </c>
      <c r="C14">
        <f>C13*(1+'WEO_Data'!B12/100)</f>
        <v/>
      </c>
      <c r="D14" t="n">
        <v>0.15</v>
      </c>
      <c r="E14">
        <f>(6500000000.0*D14*$D$30)/('WEO_Data'!D12/100)</f>
        <v/>
      </c>
      <c r="F14">
        <f>E14*$D$32</f>
        <v/>
      </c>
      <c r="G14">
        <f>E14-F14</f>
        <v/>
      </c>
      <c r="H14">
        <f>$D$31</f>
        <v/>
      </c>
      <c r="I14">
        <f>G14*H14</f>
        <v/>
      </c>
      <c r="J14" s="17">
        <f>'WEO_Data'!B12</f>
        <v/>
      </c>
      <c r="K14" s="15">
        <f>((C14+I14)/(C13+I13))-1</f>
        <v/>
      </c>
    </row>
    <row r="15">
      <c r="B15" s="13" t="n">
        <v>2032</v>
      </c>
      <c r="C15">
        <f>C14*(1+'WEO_Data'!B13/100)</f>
        <v/>
      </c>
      <c r="D15" t="n">
        <v>0.1</v>
      </c>
      <c r="E15">
        <f>(6500000000.0*D15*$D$30)/('WEO_Data'!D13/100)</f>
        <v/>
      </c>
      <c r="F15">
        <f>E15*$D$32</f>
        <v/>
      </c>
      <c r="G15">
        <f>E15-F15</f>
        <v/>
      </c>
      <c r="H15">
        <f>$D$31</f>
        <v/>
      </c>
      <c r="I15">
        <f>G15*H15</f>
        <v/>
      </c>
      <c r="J15" s="17">
        <f>'WEO_Data'!B13</f>
        <v/>
      </c>
      <c r="K15" s="15">
        <f>((C15+I15)/(C14+I14))-1</f>
        <v/>
      </c>
    </row>
    <row r="16">
      <c r="B16" s="13" t="n">
        <v>2033</v>
      </c>
      <c r="C16">
        <f>C15*(1+'WEO_Data'!B14/100)</f>
        <v/>
      </c>
      <c r="D16" t="n">
        <v>0.05</v>
      </c>
      <c r="E16">
        <f>(6500000000.0*D16*$D$30)/('WEO_Data'!D14/100)</f>
        <v/>
      </c>
      <c r="F16">
        <f>E16*$D$32</f>
        <v/>
      </c>
      <c r="G16">
        <f>E16-F16</f>
        <v/>
      </c>
      <c r="H16">
        <f>$D$31</f>
        <v/>
      </c>
      <c r="I16">
        <f>G16*H16</f>
        <v/>
      </c>
      <c r="J16" s="17">
        <f>'WEO_Data'!B14</f>
        <v/>
      </c>
      <c r="K16" s="15">
        <f>((C16+I16)/(C15+I15))-1</f>
        <v/>
      </c>
    </row>
    <row r="17">
      <c r="B17" s="13" t="n">
        <v>2034</v>
      </c>
      <c r="C17">
        <f>C16*(1+'WEO_Data'!B15/100)</f>
        <v/>
      </c>
      <c r="D17" t="n">
        <v>0</v>
      </c>
      <c r="E17">
        <f>(6500000000.0*D17*$D$30)/('WEO_Data'!D15/100)</f>
        <v/>
      </c>
      <c r="F17">
        <f>E17*$D$32</f>
        <v/>
      </c>
      <c r="G17">
        <f>E17-F17</f>
        <v/>
      </c>
      <c r="H17">
        <f>$D$31</f>
        <v/>
      </c>
      <c r="I17">
        <f>G17*H17</f>
        <v/>
      </c>
      <c r="J17" s="17">
        <f>'WEO_Data'!B15</f>
        <v/>
      </c>
      <c r="K17" s="15">
        <f>((C17+I17)/(C16+I16))-1</f>
        <v/>
      </c>
    </row>
    <row r="18">
      <c r="B18" s="13" t="n">
        <v>2035</v>
      </c>
      <c r="C18">
        <f>C17*(1+'WEO_Data'!B16/100)</f>
        <v/>
      </c>
      <c r="D18" t="n">
        <v>0</v>
      </c>
      <c r="E18">
        <f>(6500000000.0*D18*$D$30)/('WEO_Data'!D16/100)</f>
        <v/>
      </c>
      <c r="F18">
        <f>E18*$D$32</f>
        <v/>
      </c>
      <c r="G18">
        <f>E18-F18</f>
        <v/>
      </c>
      <c r="H18">
        <f>$D$31</f>
        <v/>
      </c>
      <c r="I18">
        <f>G18*H18</f>
        <v/>
      </c>
      <c r="J18" s="17">
        <f>'WEO_Data'!B16</f>
        <v/>
      </c>
      <c r="K18" s="15">
        <f>((C18+I18)/(C17+I17))-1</f>
        <v/>
      </c>
    </row>
    <row r="19">
      <c r="B19" s="13" t="n">
        <v>2036</v>
      </c>
      <c r="C19">
        <f>C18*(1+'WEO_Data'!B17/100)</f>
        <v/>
      </c>
      <c r="D19" t="n">
        <v>0</v>
      </c>
      <c r="E19">
        <f>(6500000000.0*D19*$D$30)/('WEO_Data'!D17/100)</f>
        <v/>
      </c>
      <c r="F19">
        <f>E19*$D$32</f>
        <v/>
      </c>
      <c r="G19">
        <f>E19-F19</f>
        <v/>
      </c>
      <c r="H19">
        <f>$D$31</f>
        <v/>
      </c>
      <c r="I19">
        <f>G19*H19</f>
        <v/>
      </c>
      <c r="J19" s="17">
        <f>'WEO_Data'!B17</f>
        <v/>
      </c>
      <c r="K19" s="15">
        <f>((C19+I19)/(C18+I18))-1</f>
        <v/>
      </c>
    </row>
    <row r="20">
      <c r="B20" s="13" t="n">
        <v>2037</v>
      </c>
      <c r="C20">
        <f>C19*(1+'WEO_Data'!B18/100)</f>
        <v/>
      </c>
      <c r="D20" t="n">
        <v>0</v>
      </c>
      <c r="E20">
        <f>(6500000000.0*D20*$D$30)/('WEO_Data'!D18/100)</f>
        <v/>
      </c>
      <c r="F20">
        <f>E20*$D$32</f>
        <v/>
      </c>
      <c r="G20">
        <f>E20-F20</f>
        <v/>
      </c>
      <c r="H20">
        <f>$D$31</f>
        <v/>
      </c>
      <c r="I20">
        <f>G20*H20</f>
        <v/>
      </c>
      <c r="J20" s="17">
        <f>'WEO_Data'!B18</f>
        <v/>
      </c>
      <c r="K20" s="15">
        <f>((C20+I20)/(C19+I19))-1</f>
        <v/>
      </c>
    </row>
    <row r="21">
      <c r="B21" s="13" t="n">
        <v>2038</v>
      </c>
      <c r="C21">
        <f>C20*(1+'WEO_Data'!B19/100)</f>
        <v/>
      </c>
      <c r="D21" t="n">
        <v>0</v>
      </c>
      <c r="E21">
        <f>(6500000000.0*D21*$D$30)/('WEO_Data'!D19/100)</f>
        <v/>
      </c>
      <c r="F21">
        <f>E21*$D$32</f>
        <v/>
      </c>
      <c r="G21">
        <f>E21-F21</f>
        <v/>
      </c>
      <c r="H21">
        <f>$D$31</f>
        <v/>
      </c>
      <c r="I21">
        <f>G21*H21</f>
        <v/>
      </c>
      <c r="J21" s="17">
        <f>'WEO_Data'!B19</f>
        <v/>
      </c>
      <c r="K21" s="15">
        <f>((C21+I21)/(C20+I20))-1</f>
        <v/>
      </c>
    </row>
    <row r="22">
      <c r="B22" s="13" t="n">
        <v>2039</v>
      </c>
      <c r="C22">
        <f>C21*(1+'WEO_Data'!B20/100)</f>
        <v/>
      </c>
      <c r="D22" t="n">
        <v>0</v>
      </c>
      <c r="E22">
        <f>(6500000000.0*D22*$D$30)/('WEO_Data'!D20/100)</f>
        <v/>
      </c>
      <c r="F22">
        <f>E22*$D$32</f>
        <v/>
      </c>
      <c r="G22">
        <f>E22-F22</f>
        <v/>
      </c>
      <c r="H22">
        <f>$D$31</f>
        <v/>
      </c>
      <c r="I22">
        <f>G22*H22</f>
        <v/>
      </c>
      <c r="J22" s="17">
        <f>'WEO_Data'!B20</f>
        <v/>
      </c>
      <c r="K22" s="15">
        <f>((C22+I22)/(C21+I21))-1</f>
        <v/>
      </c>
    </row>
    <row r="23">
      <c r="B23" s="13" t="n">
        <v>2040</v>
      </c>
      <c r="C23">
        <f>C22*(1+'WEO_Data'!B21/100)</f>
        <v/>
      </c>
      <c r="D23" t="n">
        <v>0</v>
      </c>
      <c r="E23">
        <f>(6500000000.0*D23*$D$30)/('WEO_Data'!D21/100)</f>
        <v/>
      </c>
      <c r="F23">
        <f>E23*$D$32</f>
        <v/>
      </c>
      <c r="G23">
        <f>E23-F23</f>
        <v/>
      </c>
      <c r="H23">
        <f>$D$31</f>
        <v/>
      </c>
      <c r="I23">
        <f>G23*H23</f>
        <v/>
      </c>
      <c r="J23" s="17">
        <f>'WEO_Data'!B21</f>
        <v/>
      </c>
      <c r="K23" s="15">
        <f>((C23+I23)/(C22+I22))-1</f>
        <v/>
      </c>
    </row>
    <row r="24">
      <c r="B24" s="13" t="n">
        <v>2041</v>
      </c>
      <c r="C24">
        <f>C23*(1+'WEO_Data'!B22/100)</f>
        <v/>
      </c>
      <c r="D24" t="n">
        <v>0</v>
      </c>
      <c r="E24">
        <f>(6500000000.0*D24*$D$30)/('WEO_Data'!D22/100)</f>
        <v/>
      </c>
      <c r="F24">
        <f>E24*$D$32</f>
        <v/>
      </c>
      <c r="G24">
        <f>E24-F24</f>
        <v/>
      </c>
      <c r="H24">
        <f>$D$31</f>
        <v/>
      </c>
      <c r="I24">
        <f>G24*H24</f>
        <v/>
      </c>
      <c r="J24" s="17">
        <f>'WEO_Data'!B22</f>
        <v/>
      </c>
      <c r="K24" s="15">
        <f>((C24+I24)/(C23+I23))-1</f>
        <v/>
      </c>
    </row>
    <row r="25">
      <c r="B25" s="18" t="n">
        <v>2042</v>
      </c>
      <c r="C25" s="19">
        <f>C24*(1+'WEO_Data'!B23/100)</f>
        <v/>
      </c>
      <c r="D25" s="19" t="n">
        <v>0</v>
      </c>
      <c r="E25" s="19">
        <f>(6500000000.0*D25*$D$30)/('WEO_Data'!D23/100)</f>
        <v/>
      </c>
      <c r="F25" s="19">
        <f>E25*$D$32</f>
        <v/>
      </c>
      <c r="G25" s="19">
        <f>E25-F25</f>
        <v/>
      </c>
      <c r="H25" s="19">
        <f>$D$31</f>
        <v/>
      </c>
      <c r="I25" s="19">
        <f>G25*H25</f>
        <v/>
      </c>
      <c r="J25" s="20">
        <f>'WEO_Data'!B23</f>
        <v/>
      </c>
      <c r="K25" s="21">
        <f>((C25+I25)/(C24+I24))-1</f>
        <v/>
      </c>
    </row>
    <row r="26">
      <c r="B26" t="n">
        <v>2043</v>
      </c>
      <c r="C26">
        <f>C25*(1+'WEO_Data'!B24/100)</f>
        <v/>
      </c>
      <c r="D26" t="n">
        <v>0</v>
      </c>
      <c r="E26">
        <f>(6500000000.0*D26*$D$30)/('WEO_Data'!D24/100)</f>
        <v/>
      </c>
      <c r="F26">
        <f>E26*$D$32</f>
        <v/>
      </c>
      <c r="G26">
        <f>E26-F26</f>
        <v/>
      </c>
      <c r="H26">
        <f>$D$31</f>
        <v/>
      </c>
      <c r="I26">
        <f>G26*H26</f>
        <v/>
      </c>
      <c r="J26">
        <f>'WEO_Data'!B24</f>
        <v/>
      </c>
      <c r="K26">
        <f>((C26+I26)/(C25+I25))-1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Exchange Rate</t>
        </is>
      </c>
      <c r="D30" t="n">
        <v>2.746</v>
      </c>
      <c r="K30" s="15" t="n"/>
    </row>
    <row r="31">
      <c r="C31" s="13" t="inlineStr">
        <is>
          <t>Multiplier</t>
        </is>
      </c>
      <c r="D31" s="28" t="n">
        <v>0.8</v>
      </c>
      <c r="K31" s="15" t="n"/>
    </row>
    <row r="32">
      <c r="C32" s="13" t="inlineStr">
        <is>
          <t>Import Share</t>
        </is>
      </c>
      <c r="D32" s="29">
        <f>'SUT Calc'!C46</f>
        <v/>
      </c>
      <c r="K32" s="15" t="n"/>
    </row>
    <row r="33">
      <c r="C33" s="18" t="inlineStr">
        <is>
          <t>Project allocation</t>
        </is>
      </c>
      <c r="D33" s="19" t="n"/>
      <c r="E33" s="19" t="n"/>
      <c r="F33" s="19" t="n"/>
      <c r="G33" s="19" t="n"/>
      <c r="H33" s="19" t="n"/>
      <c r="I33" s="19" t="n"/>
      <c r="J33" s="27" t="n"/>
      <c r="K33" s="21" t="n"/>
    </row>
    <row r="39">
      <c r="B39" t="inlineStr">
        <is>
          <t>Scenario 2: Multiplier = 1</t>
        </is>
      </c>
    </row>
    <row r="40">
      <c r="B40" t="n">
        <v>2020</v>
      </c>
      <c r="C40" t="n">
        <v>46600000000</v>
      </c>
      <c r="D40" t="n">
        <v>2.746</v>
      </c>
      <c r="I40" t="n">
        <v>0</v>
      </c>
    </row>
    <row r="41">
      <c r="B41" t="n">
        <v>2021</v>
      </c>
      <c r="C41">
        <f>C4</f>
        <v/>
      </c>
      <c r="D41">
        <f>D4</f>
        <v/>
      </c>
      <c r="E41">
        <f>(6500000000.0*D41*$D$40)/('WEO_Data'!D2/100)</f>
        <v/>
      </c>
      <c r="F41">
        <f>E41*$D$42</f>
        <v/>
      </c>
      <c r="G41">
        <f>E41-F41</f>
        <v/>
      </c>
      <c r="H41">
        <f>$D$41</f>
        <v/>
      </c>
      <c r="I41">
        <f>G41*H41</f>
        <v/>
      </c>
      <c r="J41">
        <f>J4</f>
        <v/>
      </c>
      <c r="K41">
        <f>((C41+I41)/(C40+I40))-1</f>
        <v/>
      </c>
    </row>
    <row r="42">
      <c r="B42" t="n">
        <v>2022</v>
      </c>
      <c r="C42">
        <f>C5</f>
        <v/>
      </c>
      <c r="D42">
        <f>D5</f>
        <v/>
      </c>
      <c r="E42">
        <f>(6500000000.0*D42*$D$40)/('WEO_Data'!D3/100)</f>
        <v/>
      </c>
      <c r="F42">
        <f>E42*$D$42</f>
        <v/>
      </c>
      <c r="G42">
        <f>E42-F42</f>
        <v/>
      </c>
      <c r="H42">
        <f>$D$41</f>
        <v/>
      </c>
      <c r="I42">
        <f>G42*H42</f>
        <v/>
      </c>
      <c r="J42">
        <f>J5</f>
        <v/>
      </c>
      <c r="K42">
        <f>((C42+I42)/(C41+I41))-1</f>
        <v/>
      </c>
    </row>
    <row r="43">
      <c r="B43" t="n">
        <v>2023</v>
      </c>
      <c r="C43">
        <f>C6</f>
        <v/>
      </c>
      <c r="D43">
        <f>D6</f>
        <v/>
      </c>
      <c r="E43">
        <f>(6500000000.0*D43*$D$40)/('WEO_Data'!D4/100)</f>
        <v/>
      </c>
      <c r="F43">
        <f>E43*$D$42</f>
        <v/>
      </c>
      <c r="G43">
        <f>E43-F43</f>
        <v/>
      </c>
      <c r="H43">
        <f>$D$41</f>
        <v/>
      </c>
      <c r="I43">
        <f>G43*H43</f>
        <v/>
      </c>
      <c r="J43">
        <f>J6</f>
        <v/>
      </c>
      <c r="K43">
        <f>((C43+I43)/(C42+I42))-1</f>
        <v/>
      </c>
    </row>
    <row r="44">
      <c r="B44" t="n">
        <v>2024</v>
      </c>
      <c r="C44">
        <f>C7</f>
        <v/>
      </c>
      <c r="D44">
        <f>D7</f>
        <v/>
      </c>
      <c r="E44">
        <f>(6500000000.0*D44*$D$40)/('WEO_Data'!D5/100)</f>
        <v/>
      </c>
      <c r="F44">
        <f>E44*$D$42</f>
        <v/>
      </c>
      <c r="G44">
        <f>E44-F44</f>
        <v/>
      </c>
      <c r="H44">
        <f>$D$41</f>
        <v/>
      </c>
      <c r="I44">
        <f>G44*H44</f>
        <v/>
      </c>
      <c r="J44">
        <f>J7</f>
        <v/>
      </c>
      <c r="K44">
        <f>((C44+I44)/(C43+I43))-1</f>
        <v/>
      </c>
    </row>
    <row r="45">
      <c r="B45" t="n">
        <v>2025</v>
      </c>
      <c r="C45">
        <f>C8</f>
        <v/>
      </c>
      <c r="D45">
        <f>D8</f>
        <v/>
      </c>
      <c r="E45">
        <f>(6500000000.0*D45*$D$40)/('WEO_Data'!D6/100)</f>
        <v/>
      </c>
      <c r="F45">
        <f>E45*$D$42</f>
        <v/>
      </c>
      <c r="G45">
        <f>E45-F45</f>
        <v/>
      </c>
      <c r="H45">
        <f>$D$41</f>
        <v/>
      </c>
      <c r="I45">
        <f>G45*H45</f>
        <v/>
      </c>
      <c r="J45">
        <f>J8</f>
        <v/>
      </c>
      <c r="K45">
        <f>((C45+I45)/(C44+I44))-1</f>
        <v/>
      </c>
    </row>
    <row r="46">
      <c r="B46" t="n">
        <v>2026</v>
      </c>
      <c r="C46">
        <f>C9</f>
        <v/>
      </c>
      <c r="D46">
        <f>D9</f>
        <v/>
      </c>
      <c r="E46">
        <f>(6500000000.0*D46*$D$40)/('WEO_Data'!D7/100)</f>
        <v/>
      </c>
      <c r="F46">
        <f>E46*$D$42</f>
        <v/>
      </c>
      <c r="G46">
        <f>E46-F46</f>
        <v/>
      </c>
      <c r="H46">
        <f>$D$41</f>
        <v/>
      </c>
      <c r="I46">
        <f>G46*H46</f>
        <v/>
      </c>
      <c r="J46">
        <f>J9</f>
        <v/>
      </c>
      <c r="K46">
        <f>((C46+I46)/(C45+I45))-1</f>
        <v/>
      </c>
    </row>
    <row r="47">
      <c r="B47" t="n">
        <v>2027</v>
      </c>
      <c r="C47">
        <f>C10</f>
        <v/>
      </c>
      <c r="D47">
        <f>D10</f>
        <v/>
      </c>
      <c r="E47">
        <f>(6500000000.0*D47*$D$40)/('WEO_Data'!D8/100)</f>
        <v/>
      </c>
      <c r="F47">
        <f>E47*$D$42</f>
        <v/>
      </c>
      <c r="G47">
        <f>E47-F47</f>
        <v/>
      </c>
      <c r="H47">
        <f>$D$41</f>
        <v/>
      </c>
      <c r="I47">
        <f>G47*H47</f>
        <v/>
      </c>
      <c r="J47">
        <f>J10</f>
        <v/>
      </c>
      <c r="K47">
        <f>((C47+I47)/(C46+I46))-1</f>
        <v/>
      </c>
    </row>
    <row r="48">
      <c r="B48" t="n">
        <v>2028</v>
      </c>
      <c r="C48">
        <f>C11</f>
        <v/>
      </c>
      <c r="D48">
        <f>D11</f>
        <v/>
      </c>
      <c r="E48">
        <f>(6500000000.0*D48*$D$40)/('WEO_Data'!D9/100)</f>
        <v/>
      </c>
      <c r="F48">
        <f>E48*$D$42</f>
        <v/>
      </c>
      <c r="G48">
        <f>E48-F48</f>
        <v/>
      </c>
      <c r="H48">
        <f>$D$41</f>
        <v/>
      </c>
      <c r="I48">
        <f>G48*H48</f>
        <v/>
      </c>
      <c r="J48">
        <f>J11</f>
        <v/>
      </c>
      <c r="K48">
        <f>((C48+I48)/(C47+I47))-1</f>
        <v/>
      </c>
    </row>
    <row r="49">
      <c r="B49" t="n">
        <v>2029</v>
      </c>
      <c r="C49">
        <f>C12</f>
        <v/>
      </c>
      <c r="D49">
        <f>D12</f>
        <v/>
      </c>
      <c r="E49">
        <f>(6500000000.0*D49*$D$40)/('WEO_Data'!D10/100)</f>
        <v/>
      </c>
      <c r="F49">
        <f>E49*$D$42</f>
        <v/>
      </c>
      <c r="G49">
        <f>E49-F49</f>
        <v/>
      </c>
      <c r="H49">
        <f>$D$41</f>
        <v/>
      </c>
      <c r="I49">
        <f>G49*H49</f>
        <v/>
      </c>
      <c r="J49">
        <f>J12</f>
        <v/>
      </c>
      <c r="K49">
        <f>((C49+I49)/(C48+I48))-1</f>
        <v/>
      </c>
    </row>
    <row r="50">
      <c r="B50" t="n">
        <v>2030</v>
      </c>
      <c r="C50">
        <f>C13</f>
        <v/>
      </c>
      <c r="D50">
        <f>D13</f>
        <v/>
      </c>
      <c r="E50">
        <f>(6500000000.0*D50*$D$40)/('WEO_Data'!D11/100)</f>
        <v/>
      </c>
      <c r="F50">
        <f>E50*$D$42</f>
        <v/>
      </c>
      <c r="G50">
        <f>E50-F50</f>
        <v/>
      </c>
      <c r="H50">
        <f>$D$41</f>
        <v/>
      </c>
      <c r="I50">
        <f>G50*H50</f>
        <v/>
      </c>
      <c r="J50">
        <f>J13</f>
        <v/>
      </c>
      <c r="K50">
        <f>((C50+I50)/(C49+I49))-1</f>
        <v/>
      </c>
    </row>
    <row r="51">
      <c r="B51" t="n">
        <v>2031</v>
      </c>
      <c r="C51">
        <f>C14</f>
        <v/>
      </c>
      <c r="D51">
        <f>D14</f>
        <v/>
      </c>
      <c r="E51">
        <f>(6500000000.0*D51*$D$40)/('WEO_Data'!D12/100)</f>
        <v/>
      </c>
      <c r="F51">
        <f>E51*$D$42</f>
        <v/>
      </c>
      <c r="G51">
        <f>E51-F51</f>
        <v/>
      </c>
      <c r="H51">
        <f>$D$41</f>
        <v/>
      </c>
      <c r="I51">
        <f>G51*H51</f>
        <v/>
      </c>
      <c r="J51">
        <f>J14</f>
        <v/>
      </c>
      <c r="K51">
        <f>((C51+I51)/(C50+I50))-1</f>
        <v/>
      </c>
    </row>
    <row r="52">
      <c r="B52" t="n">
        <v>2032</v>
      </c>
      <c r="C52">
        <f>C15</f>
        <v/>
      </c>
      <c r="D52">
        <f>D15</f>
        <v/>
      </c>
      <c r="E52">
        <f>(6500000000.0*D52*$D$40)/('WEO_Data'!D13/100)</f>
        <v/>
      </c>
      <c r="F52">
        <f>E52*$D$42</f>
        <v/>
      </c>
      <c r="G52">
        <f>E52-F52</f>
        <v/>
      </c>
      <c r="H52">
        <f>$D$41</f>
        <v/>
      </c>
      <c r="I52">
        <f>G52*H52</f>
        <v/>
      </c>
      <c r="J52">
        <f>J15</f>
        <v/>
      </c>
      <c r="K52">
        <f>((C52+I52)/(C51+I51))-1</f>
        <v/>
      </c>
    </row>
    <row r="53">
      <c r="B53" t="n">
        <v>2033</v>
      </c>
      <c r="C53">
        <f>C16</f>
        <v/>
      </c>
      <c r="D53">
        <f>D16</f>
        <v/>
      </c>
      <c r="E53">
        <f>(6500000000.0*D53*$D$40)/('WEO_Data'!D14/100)</f>
        <v/>
      </c>
      <c r="F53">
        <f>E53*$D$42</f>
        <v/>
      </c>
      <c r="G53">
        <f>E53-F53</f>
        <v/>
      </c>
      <c r="H53">
        <f>$D$41</f>
        <v/>
      </c>
      <c r="I53">
        <f>G53*H53</f>
        <v/>
      </c>
      <c r="J53">
        <f>J16</f>
        <v/>
      </c>
      <c r="K53">
        <f>((C53+I53)/(C52+I52))-1</f>
        <v/>
      </c>
    </row>
    <row r="54">
      <c r="B54" t="n">
        <v>2034</v>
      </c>
      <c r="C54">
        <f>C17</f>
        <v/>
      </c>
      <c r="D54">
        <f>D17</f>
        <v/>
      </c>
      <c r="E54">
        <f>(6500000000.0*D54*$D$40)/('WEO_Data'!D15/100)</f>
        <v/>
      </c>
      <c r="F54">
        <f>E54*$D$42</f>
        <v/>
      </c>
      <c r="G54">
        <f>E54-F54</f>
        <v/>
      </c>
      <c r="H54">
        <f>$D$41</f>
        <v/>
      </c>
      <c r="I54">
        <f>G54*H54</f>
        <v/>
      </c>
      <c r="J54">
        <f>J17</f>
        <v/>
      </c>
      <c r="K54">
        <f>((C54+I54)/(C53+I53))-1</f>
        <v/>
      </c>
    </row>
    <row r="55">
      <c r="B55" t="n">
        <v>2035</v>
      </c>
      <c r="C55">
        <f>C18</f>
        <v/>
      </c>
      <c r="D55">
        <f>D18</f>
        <v/>
      </c>
      <c r="E55">
        <f>(6500000000.0*D55*$D$40)/('WEO_Data'!D16/100)</f>
        <v/>
      </c>
      <c r="F55">
        <f>E55*$D$42</f>
        <v/>
      </c>
      <c r="G55">
        <f>E55-F55</f>
        <v/>
      </c>
      <c r="H55">
        <f>$D$41</f>
        <v/>
      </c>
      <c r="I55">
        <f>G55*H55</f>
        <v/>
      </c>
      <c r="J55">
        <f>J18</f>
        <v/>
      </c>
      <c r="K55">
        <f>((C55+I55)/(C54+I54))-1</f>
        <v/>
      </c>
    </row>
    <row r="56">
      <c r="B56" t="n">
        <v>2036</v>
      </c>
      <c r="C56">
        <f>C19</f>
        <v/>
      </c>
      <c r="D56">
        <f>D19</f>
        <v/>
      </c>
      <c r="E56">
        <f>(6500000000.0*D56*$D$40)/('WEO_Data'!D17/100)</f>
        <v/>
      </c>
      <c r="F56">
        <f>E56*$D$42</f>
        <v/>
      </c>
      <c r="G56">
        <f>E56-F56</f>
        <v/>
      </c>
      <c r="H56">
        <f>$D$41</f>
        <v/>
      </c>
      <c r="I56">
        <f>G56*H56</f>
        <v/>
      </c>
      <c r="J56">
        <f>J19</f>
        <v/>
      </c>
      <c r="K56">
        <f>((C56+I56)/(C55+I55))-1</f>
        <v/>
      </c>
    </row>
    <row r="57">
      <c r="B57" t="n">
        <v>2037</v>
      </c>
      <c r="C57">
        <f>C20</f>
        <v/>
      </c>
      <c r="D57">
        <f>D20</f>
        <v/>
      </c>
      <c r="E57">
        <f>(6500000000.0*D57*$D$40)/('WEO_Data'!D18/100)</f>
        <v/>
      </c>
      <c r="F57">
        <f>E57*$D$42</f>
        <v/>
      </c>
      <c r="G57">
        <f>E57-F57</f>
        <v/>
      </c>
      <c r="H57">
        <f>$D$41</f>
        <v/>
      </c>
      <c r="I57">
        <f>G57*H57</f>
        <v/>
      </c>
      <c r="J57">
        <f>J20</f>
        <v/>
      </c>
      <c r="K57">
        <f>((C57+I57)/(C56+I56))-1</f>
        <v/>
      </c>
    </row>
    <row r="58">
      <c r="B58" t="n">
        <v>2038</v>
      </c>
      <c r="C58">
        <f>C21</f>
        <v/>
      </c>
      <c r="D58">
        <f>D21</f>
        <v/>
      </c>
      <c r="E58">
        <f>(6500000000.0*D58*$D$40)/('WEO_Data'!D19/100)</f>
        <v/>
      </c>
      <c r="F58">
        <f>E58*$D$42</f>
        <v/>
      </c>
      <c r="G58">
        <f>E58-F58</f>
        <v/>
      </c>
      <c r="H58">
        <f>$D$41</f>
        <v/>
      </c>
      <c r="I58">
        <f>G58*H58</f>
        <v/>
      </c>
      <c r="J58">
        <f>J21</f>
        <v/>
      </c>
      <c r="K58">
        <f>((C58+I58)/(C57+I57))-1</f>
        <v/>
      </c>
    </row>
    <row r="59">
      <c r="B59" t="n">
        <v>2039</v>
      </c>
      <c r="C59">
        <f>C22</f>
        <v/>
      </c>
      <c r="D59">
        <f>D22</f>
        <v/>
      </c>
      <c r="E59">
        <f>(6500000000.0*D59*$D$40)/('WEO_Data'!D20/100)</f>
        <v/>
      </c>
      <c r="F59">
        <f>E59*$D$42</f>
        <v/>
      </c>
      <c r="G59">
        <f>E59-F59</f>
        <v/>
      </c>
      <c r="H59">
        <f>$D$41</f>
        <v/>
      </c>
      <c r="I59">
        <f>G59*H59</f>
        <v/>
      </c>
      <c r="J59">
        <f>J22</f>
        <v/>
      </c>
      <c r="K59">
        <f>((C59+I59)/(C58+I58))-1</f>
        <v/>
      </c>
    </row>
    <row r="60">
      <c r="B60" t="n">
        <v>2040</v>
      </c>
      <c r="C60">
        <f>C23</f>
        <v/>
      </c>
      <c r="D60">
        <f>D23</f>
        <v/>
      </c>
      <c r="E60">
        <f>(6500000000.0*D60*$D$40)/('WEO_Data'!D21/100)</f>
        <v/>
      </c>
      <c r="F60">
        <f>E60*$D$42</f>
        <v/>
      </c>
      <c r="G60">
        <f>E60-F60</f>
        <v/>
      </c>
      <c r="H60">
        <f>$D$41</f>
        <v/>
      </c>
      <c r="I60">
        <f>G60*H60</f>
        <v/>
      </c>
      <c r="J60">
        <f>J23</f>
        <v/>
      </c>
      <c r="K60">
        <f>((C60+I60)/(C59+I59))-1</f>
        <v/>
      </c>
    </row>
    <row r="61">
      <c r="B61" t="n">
        <v>2041</v>
      </c>
      <c r="C61">
        <f>C24</f>
        <v/>
      </c>
      <c r="D61">
        <f>D24</f>
        <v/>
      </c>
      <c r="E61">
        <f>(6500000000.0*D61*$D$40)/('WEO_Data'!D22/100)</f>
        <v/>
      </c>
      <c r="F61">
        <f>E61*$D$42</f>
        <v/>
      </c>
      <c r="G61">
        <f>E61-F61</f>
        <v/>
      </c>
      <c r="H61">
        <f>$D$41</f>
        <v/>
      </c>
      <c r="I61">
        <f>G61*H61</f>
        <v/>
      </c>
      <c r="J61">
        <f>J24</f>
        <v/>
      </c>
      <c r="K61">
        <f>((C61+I61)/(C60+I60))-1</f>
        <v/>
      </c>
    </row>
    <row r="62">
      <c r="B62" t="n">
        <v>2042</v>
      </c>
      <c r="C62">
        <f>C25</f>
        <v/>
      </c>
      <c r="D62">
        <f>D25</f>
        <v/>
      </c>
      <c r="E62">
        <f>(6500000000.0*D62*$D$40)/('WEO_Data'!D23/100)</f>
        <v/>
      </c>
      <c r="F62">
        <f>E62*$D$42</f>
        <v/>
      </c>
      <c r="G62">
        <f>E62-F62</f>
        <v/>
      </c>
      <c r="H62">
        <f>$D$41</f>
        <v/>
      </c>
      <c r="I62">
        <f>G62*H62</f>
        <v/>
      </c>
      <c r="J62">
        <f>J25</f>
        <v/>
      </c>
      <c r="K62">
        <f>((C62+I62)/(C61+I61))-1</f>
        <v/>
      </c>
    </row>
    <row r="63">
      <c r="B63" t="n">
        <v>2043</v>
      </c>
      <c r="C63">
        <f>C26</f>
        <v/>
      </c>
      <c r="D63">
        <f>D26</f>
        <v/>
      </c>
      <c r="E63">
        <f>(6500000000.0*D63*$D$40)/('WEO_Data'!D24/100)</f>
        <v/>
      </c>
      <c r="F63">
        <f>E63*$D$42</f>
        <v/>
      </c>
      <c r="G63">
        <f>E63-F63</f>
        <v/>
      </c>
      <c r="H63">
        <f>$D$41</f>
        <v/>
      </c>
      <c r="I63">
        <f>G63*H63</f>
        <v/>
      </c>
      <c r="J63">
        <f>J26</f>
        <v/>
      </c>
      <c r="K63">
        <f>((C63+I63)/(C62+I62))-1</f>
        <v/>
      </c>
    </row>
    <row r="79">
      <c r="B79" t="inlineStr">
        <is>
          <t>Scenario 3: Import Share = 0.5</t>
        </is>
      </c>
    </row>
    <row r="80">
      <c r="B80" t="n">
        <v>2020</v>
      </c>
      <c r="C80" t="n">
        <v>46600000000</v>
      </c>
      <c r="D80" t="n">
        <v>2.746</v>
      </c>
      <c r="I80" t="n">
        <v>0</v>
      </c>
    </row>
    <row r="81">
      <c r="B81" t="n">
        <v>2021</v>
      </c>
      <c r="C81">
        <f>C4</f>
        <v/>
      </c>
      <c r="D81">
        <f>D4</f>
        <v/>
      </c>
      <c r="E81">
        <f>(6500000000.0*D81*$D$80)/('WEO_Data'!D2/100)</f>
        <v/>
      </c>
      <c r="F81">
        <f>E81*$D$82</f>
        <v/>
      </c>
      <c r="G81">
        <f>E81-F81</f>
        <v/>
      </c>
      <c r="H81">
        <f>$D$81</f>
        <v/>
      </c>
      <c r="I81">
        <f>G81*H81</f>
        <v/>
      </c>
      <c r="J81">
        <f>J4</f>
        <v/>
      </c>
      <c r="K81">
        <f>((C81+I81)/(C80+I80))-1</f>
        <v/>
      </c>
    </row>
    <row r="82">
      <c r="B82" t="n">
        <v>2022</v>
      </c>
      <c r="C82">
        <f>C5</f>
        <v/>
      </c>
      <c r="D82">
        <f>D5</f>
        <v/>
      </c>
      <c r="E82">
        <f>(6500000000.0*D82*$D$80)/('WEO_Data'!D3/100)</f>
        <v/>
      </c>
      <c r="F82">
        <f>E82*$D$82</f>
        <v/>
      </c>
      <c r="G82">
        <f>E82-F82</f>
        <v/>
      </c>
      <c r="H82">
        <f>$D$81</f>
        <v/>
      </c>
      <c r="I82">
        <f>G82*H82</f>
        <v/>
      </c>
      <c r="J82">
        <f>J5</f>
        <v/>
      </c>
      <c r="K82">
        <f>((C82+I82)/(C81+I81))-1</f>
        <v/>
      </c>
    </row>
    <row r="83">
      <c r="B83" t="n">
        <v>2023</v>
      </c>
      <c r="C83">
        <f>C6</f>
        <v/>
      </c>
      <c r="D83">
        <f>D6</f>
        <v/>
      </c>
      <c r="E83">
        <f>(6500000000.0*D83*$D$80)/('WEO_Data'!D4/100)</f>
        <v/>
      </c>
      <c r="F83">
        <f>E83*$D$82</f>
        <v/>
      </c>
      <c r="G83">
        <f>E83-F83</f>
        <v/>
      </c>
      <c r="H83">
        <f>$D$81</f>
        <v/>
      </c>
      <c r="I83">
        <f>G83*H83</f>
        <v/>
      </c>
      <c r="J83">
        <f>J6</f>
        <v/>
      </c>
      <c r="K83">
        <f>((C83+I83)/(C82+I82))-1</f>
        <v/>
      </c>
    </row>
    <row r="84">
      <c r="B84" t="n">
        <v>2024</v>
      </c>
      <c r="C84">
        <f>C7</f>
        <v/>
      </c>
      <c r="D84">
        <f>D7</f>
        <v/>
      </c>
      <c r="E84">
        <f>(6500000000.0*D84*$D$80)/('WEO_Data'!D5/100)</f>
        <v/>
      </c>
      <c r="F84">
        <f>E84*$D$82</f>
        <v/>
      </c>
      <c r="G84">
        <f>E84-F84</f>
        <v/>
      </c>
      <c r="H84">
        <f>$D$81</f>
        <v/>
      </c>
      <c r="I84">
        <f>G84*H84</f>
        <v/>
      </c>
      <c r="J84">
        <f>J7</f>
        <v/>
      </c>
      <c r="K84">
        <f>((C84+I84)/(C83+I83))-1</f>
        <v/>
      </c>
    </row>
    <row r="85">
      <c r="B85" t="n">
        <v>2025</v>
      </c>
      <c r="C85">
        <f>C8</f>
        <v/>
      </c>
      <c r="D85">
        <f>D8</f>
        <v/>
      </c>
      <c r="E85">
        <f>(6500000000.0*D85*$D$80)/('WEO_Data'!D6/100)</f>
        <v/>
      </c>
      <c r="F85">
        <f>E85*$D$82</f>
        <v/>
      </c>
      <c r="G85">
        <f>E85-F85</f>
        <v/>
      </c>
      <c r="H85">
        <f>$D$81</f>
        <v/>
      </c>
      <c r="I85">
        <f>G85*H85</f>
        <v/>
      </c>
      <c r="J85">
        <f>J8</f>
        <v/>
      </c>
      <c r="K85">
        <f>((C85+I85)/(C84+I84))-1</f>
        <v/>
      </c>
    </row>
    <row r="86">
      <c r="B86" t="n">
        <v>2026</v>
      </c>
      <c r="C86">
        <f>C9</f>
        <v/>
      </c>
      <c r="D86">
        <f>D9</f>
        <v/>
      </c>
      <c r="E86">
        <f>(6500000000.0*D86*$D$80)/('WEO_Data'!D7/100)</f>
        <v/>
      </c>
      <c r="F86">
        <f>E86*$D$82</f>
        <v/>
      </c>
      <c r="G86">
        <f>E86-F86</f>
        <v/>
      </c>
      <c r="H86">
        <f>$D$81</f>
        <v/>
      </c>
      <c r="I86">
        <f>G86*H86</f>
        <v/>
      </c>
      <c r="J86">
        <f>J9</f>
        <v/>
      </c>
      <c r="K86">
        <f>((C86+I86)/(C85+I85))-1</f>
        <v/>
      </c>
    </row>
    <row r="87">
      <c r="B87" t="n">
        <v>2027</v>
      </c>
      <c r="C87">
        <f>C10</f>
        <v/>
      </c>
      <c r="D87">
        <f>D10</f>
        <v/>
      </c>
      <c r="E87">
        <f>(6500000000.0*D87*$D$80)/('WEO_Data'!D8/100)</f>
        <v/>
      </c>
      <c r="F87">
        <f>E87*$D$82</f>
        <v/>
      </c>
      <c r="G87">
        <f>E87-F87</f>
        <v/>
      </c>
      <c r="H87">
        <f>$D$81</f>
        <v/>
      </c>
      <c r="I87">
        <f>G87*H87</f>
        <v/>
      </c>
      <c r="J87">
        <f>J10</f>
        <v/>
      </c>
      <c r="K87">
        <f>((C87+I87)/(C86+I86))-1</f>
        <v/>
      </c>
    </row>
    <row r="88">
      <c r="B88" t="n">
        <v>2028</v>
      </c>
      <c r="C88">
        <f>C11</f>
        <v/>
      </c>
      <c r="D88">
        <f>D11</f>
        <v/>
      </c>
      <c r="E88">
        <f>(6500000000.0*D88*$D$80)/('WEO_Data'!D9/100)</f>
        <v/>
      </c>
      <c r="F88">
        <f>E88*$D$82</f>
        <v/>
      </c>
      <c r="G88">
        <f>E88-F88</f>
        <v/>
      </c>
      <c r="H88">
        <f>$D$81</f>
        <v/>
      </c>
      <c r="I88">
        <f>G88*H88</f>
        <v/>
      </c>
      <c r="J88">
        <f>J11</f>
        <v/>
      </c>
      <c r="K88">
        <f>((C88+I88)/(C87+I87))-1</f>
        <v/>
      </c>
    </row>
    <row r="89">
      <c r="B89" t="n">
        <v>2029</v>
      </c>
      <c r="C89">
        <f>C12</f>
        <v/>
      </c>
      <c r="D89">
        <f>D12</f>
        <v/>
      </c>
      <c r="E89">
        <f>(6500000000.0*D89*$D$80)/('WEO_Data'!D10/100)</f>
        <v/>
      </c>
      <c r="F89">
        <f>E89*$D$82</f>
        <v/>
      </c>
      <c r="G89">
        <f>E89-F89</f>
        <v/>
      </c>
      <c r="H89">
        <f>$D$81</f>
        <v/>
      </c>
      <c r="I89">
        <f>G89*H89</f>
        <v/>
      </c>
      <c r="J89">
        <f>J12</f>
        <v/>
      </c>
      <c r="K89">
        <f>((C89+I89)/(C88+I88))-1</f>
        <v/>
      </c>
    </row>
    <row r="90">
      <c r="B90" t="n">
        <v>2030</v>
      </c>
      <c r="C90">
        <f>C13</f>
        <v/>
      </c>
      <c r="D90">
        <f>D13</f>
        <v/>
      </c>
      <c r="E90">
        <f>(6500000000.0*D90*$D$80)/('WEO_Data'!D11/100)</f>
        <v/>
      </c>
      <c r="F90">
        <f>E90*$D$82</f>
        <v/>
      </c>
      <c r="G90">
        <f>E90-F90</f>
        <v/>
      </c>
      <c r="H90">
        <f>$D$81</f>
        <v/>
      </c>
      <c r="I90">
        <f>G90*H90</f>
        <v/>
      </c>
      <c r="J90">
        <f>J13</f>
        <v/>
      </c>
      <c r="K90">
        <f>((C90+I90)/(C89+I89))-1</f>
        <v/>
      </c>
    </row>
    <row r="91">
      <c r="B91" t="n">
        <v>2031</v>
      </c>
      <c r="C91">
        <f>C14</f>
        <v/>
      </c>
      <c r="D91">
        <f>D14</f>
        <v/>
      </c>
      <c r="E91">
        <f>(6500000000.0*D91*$D$80)/('WEO_Data'!D12/100)</f>
        <v/>
      </c>
      <c r="F91">
        <f>E91*$D$82</f>
        <v/>
      </c>
      <c r="G91">
        <f>E91-F91</f>
        <v/>
      </c>
      <c r="H91">
        <f>$D$81</f>
        <v/>
      </c>
      <c r="I91">
        <f>G91*H91</f>
        <v/>
      </c>
      <c r="J91">
        <f>J14</f>
        <v/>
      </c>
      <c r="K91">
        <f>((C91+I91)/(C90+I90))-1</f>
        <v/>
      </c>
    </row>
    <row r="92">
      <c r="B92" t="n">
        <v>2032</v>
      </c>
      <c r="C92">
        <f>C15</f>
        <v/>
      </c>
      <c r="D92">
        <f>D15</f>
        <v/>
      </c>
      <c r="E92">
        <f>(6500000000.0*D92*$D$80)/('WEO_Data'!D13/100)</f>
        <v/>
      </c>
      <c r="F92">
        <f>E92*$D$82</f>
        <v/>
      </c>
      <c r="G92">
        <f>E92-F92</f>
        <v/>
      </c>
      <c r="H92">
        <f>$D$81</f>
        <v/>
      </c>
      <c r="I92">
        <f>G92*H92</f>
        <v/>
      </c>
      <c r="J92">
        <f>J15</f>
        <v/>
      </c>
      <c r="K92">
        <f>((C92+I92)/(C91+I91))-1</f>
        <v/>
      </c>
    </row>
    <row r="93">
      <c r="B93" t="n">
        <v>2033</v>
      </c>
      <c r="C93">
        <f>C16</f>
        <v/>
      </c>
      <c r="D93">
        <f>D16</f>
        <v/>
      </c>
      <c r="E93">
        <f>(6500000000.0*D93*$D$80)/('WEO_Data'!D14/100)</f>
        <v/>
      </c>
      <c r="F93">
        <f>E93*$D$82</f>
        <v/>
      </c>
      <c r="G93">
        <f>E93-F93</f>
        <v/>
      </c>
      <c r="H93">
        <f>$D$81</f>
        <v/>
      </c>
      <c r="I93">
        <f>G93*H93</f>
        <v/>
      </c>
      <c r="J93">
        <f>J16</f>
        <v/>
      </c>
      <c r="K93">
        <f>((C93+I93)/(C92+I92))-1</f>
        <v/>
      </c>
    </row>
    <row r="94">
      <c r="B94" t="n">
        <v>2034</v>
      </c>
      <c r="C94">
        <f>C17</f>
        <v/>
      </c>
      <c r="D94">
        <f>D17</f>
        <v/>
      </c>
      <c r="E94">
        <f>(6500000000.0*D94*$D$80)/('WEO_Data'!D15/100)</f>
        <v/>
      </c>
      <c r="F94">
        <f>E94*$D$82</f>
        <v/>
      </c>
      <c r="G94">
        <f>E94-F94</f>
        <v/>
      </c>
      <c r="H94">
        <f>$D$81</f>
        <v/>
      </c>
      <c r="I94">
        <f>G94*H94</f>
        <v/>
      </c>
      <c r="J94">
        <f>J17</f>
        <v/>
      </c>
      <c r="K94">
        <f>((C94+I94)/(C93+I93))-1</f>
        <v/>
      </c>
    </row>
    <row r="95">
      <c r="B95" t="n">
        <v>2035</v>
      </c>
      <c r="C95">
        <f>C18</f>
        <v/>
      </c>
      <c r="D95">
        <f>D18</f>
        <v/>
      </c>
      <c r="E95">
        <f>(6500000000.0*D95*$D$80)/('WEO_Data'!D16/100)</f>
        <v/>
      </c>
      <c r="F95">
        <f>E95*$D$82</f>
        <v/>
      </c>
      <c r="G95">
        <f>E95-F95</f>
        <v/>
      </c>
      <c r="H95">
        <f>$D$81</f>
        <v/>
      </c>
      <c r="I95">
        <f>G95*H95</f>
        <v/>
      </c>
      <c r="J95">
        <f>J18</f>
        <v/>
      </c>
      <c r="K95">
        <f>((C95+I95)/(C94+I94))-1</f>
        <v/>
      </c>
    </row>
    <row r="96">
      <c r="B96" t="n">
        <v>2036</v>
      </c>
      <c r="C96">
        <f>C19</f>
        <v/>
      </c>
      <c r="D96">
        <f>D19</f>
        <v/>
      </c>
      <c r="E96">
        <f>(6500000000.0*D96*$D$80)/('WEO_Data'!D17/100)</f>
        <v/>
      </c>
      <c r="F96">
        <f>E96*$D$82</f>
        <v/>
      </c>
      <c r="G96">
        <f>E96-F96</f>
        <v/>
      </c>
      <c r="H96">
        <f>$D$81</f>
        <v/>
      </c>
      <c r="I96">
        <f>G96*H96</f>
        <v/>
      </c>
      <c r="J96">
        <f>J19</f>
        <v/>
      </c>
      <c r="K96">
        <f>((C96+I96)/(C95+I95))-1</f>
        <v/>
      </c>
    </row>
    <row r="97">
      <c r="B97" t="n">
        <v>2037</v>
      </c>
      <c r="C97">
        <f>C20</f>
        <v/>
      </c>
      <c r="D97">
        <f>D20</f>
        <v/>
      </c>
      <c r="E97">
        <f>(6500000000.0*D97*$D$80)/('WEO_Data'!D18/100)</f>
        <v/>
      </c>
      <c r="F97">
        <f>E97*$D$82</f>
        <v/>
      </c>
      <c r="G97">
        <f>E97-F97</f>
        <v/>
      </c>
      <c r="H97">
        <f>$D$81</f>
        <v/>
      </c>
      <c r="I97">
        <f>G97*H97</f>
        <v/>
      </c>
      <c r="J97">
        <f>J20</f>
        <v/>
      </c>
      <c r="K97">
        <f>((C97+I97)/(C96+I96))-1</f>
        <v/>
      </c>
    </row>
    <row r="98">
      <c r="B98" t="n">
        <v>2038</v>
      </c>
      <c r="C98">
        <f>C21</f>
        <v/>
      </c>
      <c r="D98">
        <f>D21</f>
        <v/>
      </c>
      <c r="E98">
        <f>(6500000000.0*D98*$D$80)/('WEO_Data'!D19/100)</f>
        <v/>
      </c>
      <c r="F98">
        <f>E98*$D$82</f>
        <v/>
      </c>
      <c r="G98">
        <f>E98-F98</f>
        <v/>
      </c>
      <c r="H98">
        <f>$D$81</f>
        <v/>
      </c>
      <c r="I98">
        <f>G98*H98</f>
        <v/>
      </c>
      <c r="J98">
        <f>J21</f>
        <v/>
      </c>
      <c r="K98">
        <f>((C98+I98)/(C97+I97))-1</f>
        <v/>
      </c>
    </row>
    <row r="99">
      <c r="B99" t="n">
        <v>2039</v>
      </c>
      <c r="C99">
        <f>C22</f>
        <v/>
      </c>
      <c r="D99">
        <f>D22</f>
        <v/>
      </c>
      <c r="E99">
        <f>(6500000000.0*D99*$D$80)/('WEO_Data'!D20/100)</f>
        <v/>
      </c>
      <c r="F99">
        <f>E99*$D$82</f>
        <v/>
      </c>
      <c r="G99">
        <f>E99-F99</f>
        <v/>
      </c>
      <c r="H99">
        <f>$D$81</f>
        <v/>
      </c>
      <c r="I99">
        <f>G99*H99</f>
        <v/>
      </c>
      <c r="J99">
        <f>J22</f>
        <v/>
      </c>
      <c r="K99">
        <f>((C99+I99)/(C98+I98))-1</f>
        <v/>
      </c>
    </row>
    <row r="100">
      <c r="B100" t="n">
        <v>2040</v>
      </c>
      <c r="C100">
        <f>C23</f>
        <v/>
      </c>
      <c r="D100">
        <f>D23</f>
        <v/>
      </c>
      <c r="E100">
        <f>(6500000000.0*D100*$D$80)/('WEO_Data'!D21/100)</f>
        <v/>
      </c>
      <c r="F100">
        <f>E100*$D$82</f>
        <v/>
      </c>
      <c r="G100">
        <f>E100-F100</f>
        <v/>
      </c>
      <c r="H100">
        <f>$D$81</f>
        <v/>
      </c>
      <c r="I100">
        <f>G100*H100</f>
        <v/>
      </c>
      <c r="J100">
        <f>J23</f>
        <v/>
      </c>
      <c r="K100">
        <f>((C100+I100)/(C99+I99))-1</f>
        <v/>
      </c>
    </row>
    <row r="101">
      <c r="B101" t="n">
        <v>2041</v>
      </c>
      <c r="C101">
        <f>C24</f>
        <v/>
      </c>
      <c r="D101">
        <f>D24</f>
        <v/>
      </c>
      <c r="E101">
        <f>(6500000000.0*D101*$D$80)/('WEO_Data'!D22/100)</f>
        <v/>
      </c>
      <c r="F101">
        <f>E101*$D$82</f>
        <v/>
      </c>
      <c r="G101">
        <f>E101-F101</f>
        <v/>
      </c>
      <c r="H101">
        <f>$D$81</f>
        <v/>
      </c>
      <c r="I101">
        <f>G101*H101</f>
        <v/>
      </c>
      <c r="J101">
        <f>J24</f>
        <v/>
      </c>
      <c r="K101">
        <f>((C101+I101)/(C100+I100))-1</f>
        <v/>
      </c>
    </row>
    <row r="102">
      <c r="B102" t="n">
        <v>2042</v>
      </c>
      <c r="C102">
        <f>C25</f>
        <v/>
      </c>
      <c r="D102">
        <f>D25</f>
        <v/>
      </c>
      <c r="E102">
        <f>(6500000000.0*D102*$D$80)/('WEO_Data'!D23/100)</f>
        <v/>
      </c>
      <c r="F102">
        <f>E102*$D$82</f>
        <v/>
      </c>
      <c r="G102">
        <f>E102-F102</f>
        <v/>
      </c>
      <c r="H102">
        <f>$D$81</f>
        <v/>
      </c>
      <c r="I102">
        <f>G102*H102</f>
        <v/>
      </c>
      <c r="J102">
        <f>J25</f>
        <v/>
      </c>
      <c r="K102">
        <f>((C102+I102)/(C101+I101))-1</f>
        <v/>
      </c>
    </row>
    <row r="103">
      <c r="B103" t="n">
        <v>2043</v>
      </c>
      <c r="C103">
        <f>C26</f>
        <v/>
      </c>
      <c r="D103">
        <f>D26</f>
        <v/>
      </c>
      <c r="E103">
        <f>(6500000000.0*D103*$D$80)/('WEO_Data'!D24/100)</f>
        <v/>
      </c>
      <c r="F103">
        <f>E103*$D$82</f>
        <v/>
      </c>
      <c r="G103">
        <f>E103-F103</f>
        <v/>
      </c>
      <c r="H103">
        <f>$D$81</f>
        <v/>
      </c>
      <c r="I103">
        <f>G103*H103</f>
        <v/>
      </c>
      <c r="J103">
        <f>J26</f>
        <v/>
      </c>
      <c r="K103">
        <f>((C103+I103)/(C102+I102))-1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Growth (%)</t>
        </is>
      </c>
      <c r="D1" t="inlineStr">
        <is>
          <t>GDP Deflator Index (2020=100)</t>
        </is>
      </c>
    </row>
    <row r="2">
      <c r="A2" t="n">
        <v>2021</v>
      </c>
      <c r="B2" t="n">
        <v>10.6</v>
      </c>
      <c r="C2" t="n">
        <v>10.3</v>
      </c>
      <c r="D2">
        <f>100*(1+C2/100)</f>
        <v/>
      </c>
    </row>
    <row r="3">
      <c r="A3" t="n">
        <v>2022</v>
      </c>
      <c r="B3" t="n">
        <v>11</v>
      </c>
      <c r="C3" t="n">
        <v>8.1</v>
      </c>
      <c r="D3">
        <f>D2*(1+C3/100)</f>
        <v/>
      </c>
    </row>
    <row r="4">
      <c r="A4" t="n">
        <v>2023</v>
      </c>
      <c r="B4" t="n">
        <v>7.8</v>
      </c>
      <c r="C4" t="n">
        <v>2.9</v>
      </c>
      <c r="D4">
        <f>D3*(1+C4/100)</f>
        <v/>
      </c>
    </row>
    <row r="5">
      <c r="A5" t="n">
        <v>2024</v>
      </c>
      <c r="B5" t="n">
        <v>7.6</v>
      </c>
      <c r="C5" t="n">
        <v>3.8</v>
      </c>
      <c r="D5">
        <f>D4*(1+C5/100)</f>
        <v/>
      </c>
    </row>
    <row r="6">
      <c r="A6" t="n">
        <v>2025</v>
      </c>
      <c r="B6" t="n">
        <v>6</v>
      </c>
      <c r="C6" t="n">
        <v>6.275</v>
      </c>
      <c r="D6">
        <f>D5*(1+C6/100)</f>
        <v/>
      </c>
    </row>
    <row r="7">
      <c r="A7" t="n">
        <v>2026</v>
      </c>
      <c r="B7" t="n">
        <v>5.3</v>
      </c>
      <c r="C7" t="n">
        <v>6.275</v>
      </c>
      <c r="D7">
        <f>D6*(1+C7/100)</f>
        <v/>
      </c>
    </row>
    <row r="8">
      <c r="A8" t="n">
        <v>2027</v>
      </c>
      <c r="B8" t="n">
        <v>5</v>
      </c>
      <c r="C8" t="n">
        <v>6.275</v>
      </c>
      <c r="D8">
        <f>D7*(1+C8/100)</f>
        <v/>
      </c>
    </row>
    <row r="9">
      <c r="A9" t="n">
        <v>2028</v>
      </c>
      <c r="B9" t="n">
        <v>5</v>
      </c>
      <c r="C9" t="n">
        <v>6.275</v>
      </c>
      <c r="D9">
        <f>D8*(1+C9/100)</f>
        <v/>
      </c>
    </row>
    <row r="10">
      <c r="A10" t="n">
        <v>2029</v>
      </c>
      <c r="B10" t="n">
        <v>5</v>
      </c>
      <c r="C10" t="n">
        <v>6.275</v>
      </c>
      <c r="D10">
        <f>D9*(1+C10/100)</f>
        <v/>
      </c>
    </row>
    <row r="11">
      <c r="A11" t="n">
        <v>2030</v>
      </c>
      <c r="B11" t="n">
        <v>5</v>
      </c>
      <c r="C11" t="n">
        <v>6.275</v>
      </c>
      <c r="D11">
        <f>D10*(1+C11/100)</f>
        <v/>
      </c>
    </row>
    <row r="12">
      <c r="A12" t="n">
        <v>2031</v>
      </c>
      <c r="B12" t="n">
        <v>5</v>
      </c>
      <c r="C12" t="n">
        <v>6.275</v>
      </c>
      <c r="D12">
        <f>D11*(1+C12/100)</f>
        <v/>
      </c>
    </row>
    <row r="13">
      <c r="A13" t="n">
        <v>2032</v>
      </c>
      <c r="B13" t="n">
        <v>5</v>
      </c>
      <c r="C13" t="n">
        <v>6.275</v>
      </c>
      <c r="D13">
        <f>D12*(1+C13/100)</f>
        <v/>
      </c>
    </row>
    <row r="14">
      <c r="A14" t="n">
        <v>2033</v>
      </c>
      <c r="B14" t="n">
        <v>5</v>
      </c>
      <c r="C14" t="n">
        <v>6.275</v>
      </c>
      <c r="D14">
        <f>D13*(1+C14/100)</f>
        <v/>
      </c>
    </row>
    <row r="15">
      <c r="A15" t="n">
        <v>2034</v>
      </c>
      <c r="B15" t="n">
        <v>5</v>
      </c>
      <c r="C15" t="n">
        <v>6.275</v>
      </c>
      <c r="D15">
        <f>D14*(1+C15/100)</f>
        <v/>
      </c>
    </row>
    <row r="16">
      <c r="A16" t="n">
        <v>2035</v>
      </c>
      <c r="B16" t="n">
        <v>5</v>
      </c>
      <c r="C16" t="n">
        <v>6.275</v>
      </c>
      <c r="D16">
        <f>D15*(1+C16/100)</f>
        <v/>
      </c>
    </row>
    <row r="17">
      <c r="A17" t="n">
        <v>2036</v>
      </c>
      <c r="B17" t="n">
        <v>5</v>
      </c>
      <c r="C17" t="n">
        <v>6.275</v>
      </c>
      <c r="D17">
        <f>D16*(1+C17/100)</f>
        <v/>
      </c>
    </row>
    <row r="18">
      <c r="A18" t="n">
        <v>2037</v>
      </c>
      <c r="B18" t="n">
        <v>5</v>
      </c>
      <c r="C18" t="n">
        <v>6.275</v>
      </c>
      <c r="D18">
        <f>D17*(1+C18/100)</f>
        <v/>
      </c>
    </row>
    <row r="19">
      <c r="A19" t="n">
        <v>2038</v>
      </c>
      <c r="B19" t="n">
        <v>5</v>
      </c>
      <c r="C19" t="n">
        <v>6.275</v>
      </c>
      <c r="D19">
        <f>D18*(1+C19/100)</f>
        <v/>
      </c>
    </row>
    <row r="20">
      <c r="A20" t="n">
        <v>2039</v>
      </c>
      <c r="B20" t="n">
        <v>5</v>
      </c>
      <c r="C20" t="n">
        <v>6.275</v>
      </c>
      <c r="D20">
        <f>D19*(1+C20/100)</f>
        <v/>
      </c>
    </row>
    <row r="21">
      <c r="A21" t="n">
        <v>2040</v>
      </c>
      <c r="B21" t="n">
        <v>5</v>
      </c>
      <c r="C21" t="n">
        <v>6.275</v>
      </c>
      <c r="D21">
        <f>D20*(1+C21/100)</f>
        <v/>
      </c>
    </row>
    <row r="22">
      <c r="A22" t="n">
        <v>2041</v>
      </c>
      <c r="B22" t="n">
        <v>5</v>
      </c>
      <c r="C22" t="n">
        <v>6.275</v>
      </c>
      <c r="D22">
        <f>D21*(1+C22/100)</f>
        <v/>
      </c>
    </row>
    <row r="23">
      <c r="A23" t="n">
        <v>2042</v>
      </c>
      <c r="B23" t="n">
        <v>5</v>
      </c>
      <c r="C23" t="n">
        <v>6.275</v>
      </c>
      <c r="D23">
        <f>D22*(1+C23/100)</f>
        <v/>
      </c>
    </row>
    <row r="24">
      <c r="A24" t="n">
        <v>2043</v>
      </c>
      <c r="B24" t="n">
        <v>5</v>
      </c>
      <c r="C24" t="n">
        <v>6.275</v>
      </c>
      <c r="D24">
        <f>D23*(1+C24/100)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6:C46"/>
  <sheetViews>
    <sheetView workbookViewId="0">
      <selection activeCell="A1" sqref="A1"/>
    </sheetView>
  </sheetViews>
  <sheetFormatPr baseColWidth="8" defaultRowHeight="15"/>
  <sheetData>
    <row r="46">
      <c r="B46" t="inlineStr">
        <is>
          <t>Estimated Import Content Share</t>
        </is>
      </c>
      <c r="C46" t="n">
        <v>0.3410600685129668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2026-01-27T22:31:10Z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