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EO_Data" sheetId="2" state="visible" r:id="rId4"/>
    <sheet name="SUT Calc" sheetId="3" state="visible" r:id="rId5"/>
    <sheet name="NA" sheetId="4" state="visible" r:id="rId6"/>
    <sheet name="NA_Scenario2" sheetId="5" state="visible" r:id="rId7"/>
    <sheet name="NA_Scenario3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<sst xmlns="http://schemas.openxmlformats.org/spreadsheetml/2006/main" count="190" uniqueCount="152">
  <si>
    <t xml:space="preserve">GEORGIA INVESTMENT SPENDING SHOCK ANALYSIS</t>
  </si>
  <si>
    <t xml:space="preserve">Demand-Side Macro Accounting Framework</t>
  </si>
  <si>
    <t xml:space="preserve">OVERVIEW</t>
  </si>
  <si>
    <t xml:space="preserve">This workbook estimates the impact of an $6.5 billion USD investment shock over 8 years (2026-2033) on Georgia's economy using a demand-side macro accounting framework.</t>
  </si>
  <si>
    <t xml:space="preserve">DATA SOURCES</t>
  </si>
  <si>
    <t xml:space="preserve">1. IMF World Economic Outlook (WEO) Database</t>
  </si>
  <si>
    <t xml:space="preserve">   - Nominal GDP, Real GDP, Growth Rates, Population</t>
  </si>
  <si>
    <t xml:space="preserve">   - Data for 2021-2027 (historical and projections)</t>
  </si>
  <si>
    <t xml:space="preserve">   - Extension to 2043 using constant growth assumptions</t>
  </si>
  <si>
    <t xml:space="preserve">2. Geostat (National Statistics Office of Georgia)</t>
  </si>
  <si>
    <t xml:space="preserve">   - Supply and Use Tables (Table 38-38)</t>
  </si>
  <si>
    <t xml:space="preserve">   - Download from: https://www.geostat.ge/en/modules/categories/632/supply-and-use-tables-new</t>
  </si>
  <si>
    <t xml:space="preserve">   - Use latest available (2024 recommended)</t>
  </si>
  <si>
    <t xml:space="preserve">SHEETS DESCRIPTION</t>
  </si>
  <si>
    <t xml:space="preserve">Sheet 1: WEO_Data</t>
  </si>
  <si>
    <t xml:space="preserve">   - Macroeconomic baseline data from IMF</t>
  </si>
  <si>
    <t xml:space="preserve">   - Contains: Nominal GDP, Real GDP, Growth Rates, GDP Deflator, Population</t>
  </si>
  <si>
    <t xml:space="preserve">   - Extends from 2021 to 2043</t>
  </si>
  <si>
    <t xml:space="preserve">   - Uses formula-based extension with average deflator growth (1.548%) and 5% real growth</t>
  </si>
  <si>
    <t xml:space="preserve">Sheet 2: SUT_Calc</t>
  </si>
  <si>
    <t xml:space="preserve">   - Supply and Use Table calculations</t>
  </si>
  <si>
    <t xml:space="preserve">   - To be populated: Copy SUPPLY and USE sheets from Geostat Excel files</t>
  </si>
  <si>
    <t xml:space="preserve">   - Column C-H: Link relevant data from geostat tables</t>
  </si>
  <si>
    <t xml:space="preserve">   - Cell C46: Calculates import content share</t>
  </si>
  <si>
    <t xml:space="preserve">Sheet 3: NA (National Accounts - Scenario 1: Baseline)</t>
  </si>
  <si>
    <t xml:space="preserve">   - Main projection table with baseline assumptions</t>
  </si>
  <si>
    <t xml:space="preserve">   - Assumptions: Multiplier = 0.8, Exchange Rate = 2.746 Lari/USD</t>
  </si>
  <si>
    <t xml:space="preserve">   - Output: Annual demand, domestic/import breakdown, Real GDP impact</t>
  </si>
  <si>
    <t xml:space="preserve">Sheet 4: NA_Scenario2 (Scenario 2: Higher Multiplier)</t>
  </si>
  <si>
    <t xml:space="preserve">   - Same structure as Scenario 1 but with multiplier = 1.0</t>
  </si>
  <si>
    <t xml:space="preserve">   - Shows sensitivity to demand multiplier assumption</t>
  </si>
  <si>
    <t xml:space="preserve">Sheet 3: NA_Scenario3 (Scenario 3: Higher Import Content)</t>
  </si>
  <si>
    <t xml:space="preserve">   - Same structure as Scenario 1 but with import content share = 0.5</t>
  </si>
  <si>
    <t xml:space="preserve">   - Shows sensitivity to import content assumption</t>
  </si>
  <si>
    <t xml:space="preserve">KEY FORMULAS AND ASSUMPTIONS</t>
  </si>
  <si>
    <t xml:space="preserve">Investment Shock Calculation (8 years: 2026-2033):</t>
  </si>
  <si>
    <t xml:space="preserve">   Annual Investment (USD mm) = Total Investment / Investment Period</t>
  </si>
  <si>
    <t xml:space="preserve">   = 6,500 / 8 = 812.5 USD millions per year</t>
  </si>
  <si>
    <t xml:space="preserve">Exchange Rate: 2.746 Lari/USD (fixed)</t>
  </si>
  <si>
    <t xml:space="preserve">Investment Deflator: Uses GDP deflator from WEO_Data (row 7)</t>
  </si>
  <si>
    <t xml:space="preserve">Demand Components:</t>
  </si>
  <si>
    <t xml:space="preserve">   Domestic Demand = Nominal Investment × (1 - Import Share) × Multiplier</t>
  </si>
  <si>
    <t xml:space="preserve">   Import Demand = Nominal Investment × Import Share × Multiplier</t>
  </si>
  <si>
    <t xml:space="preserve">   Total Demand = Domestic + Import Demand</t>
  </si>
  <si>
    <t xml:space="preserve">Real GDP Impact:</t>
  </si>
  <si>
    <t xml:space="preserve">   = Domestic Demand / (Deflator/100) in billions USD</t>
  </si>
  <si>
    <t xml:space="preserve">Growth Adjustment:</t>
  </si>
  <si>
    <t xml:space="preserve">   = Real GDP Impact / Real GDP (from WEO) × 100 (%)</t>
  </si>
  <si>
    <t xml:space="preserve">INSTRUCTIONS FOR USE</t>
  </si>
  <si>
    <t xml:space="preserve">Step 1: Populate Supply and Use Table data</t>
  </si>
  <si>
    <t xml:space="preserve">   - Visit geostat.ge and download latest Supply and Use Tables</t>
  </si>
  <si>
    <t xml:space="preserve">   - Copy SUPPLY sheet and USE sheet into this workbook</t>
  </si>
  <si>
    <t xml:space="preserve">   - In SUT_Calc sheet, link relevant data (Imports, Total Supply, Total Use, etc.)</t>
  </si>
  <si>
    <t xml:space="preserve">   - Cell C46 will auto-calculate import content share</t>
  </si>
  <si>
    <t xml:space="preserve">Step 2: Review all three scenarios</t>
  </si>
  <si>
    <t xml:space="preserve">   - Compare results across Baseline, Higher Multiplier, and Higher Import Content scenarios</t>
  </si>
  <si>
    <t xml:space="preserve">   - Each row shows annual impact over 2026-2033 period</t>
  </si>
  <si>
    <t xml:space="preserve">NOTES</t>
  </si>
  <si>
    <t xml:space="preserve">- All formulas are preserved in the workbook (no hardcoded values)</t>
  </si>
  <si>
    <t xml:space="preserve">- GDP Deflator extended using 4-year average growth rate (1.548%)</t>
  </si>
  <si>
    <t xml:space="preserve">- Real growth rate held constant at 5.0% from 2028-2043</t>
  </si>
  <si>
    <t xml:space="preserve">- Investment is assumed to have bell-shaped distribution (equal annual amounts)</t>
  </si>
  <si>
    <t xml:space="preserve">- Multiplier effect captures both direct and indirect demand</t>
  </si>
  <si>
    <t xml:space="preserve">- Import content share determines domestic vs. external demand</t>
  </si>
  <si>
    <t xml:space="preserve">WEO Data - Georgia</t>
  </si>
  <si>
    <t xml:space="preserve">Indicator</t>
  </si>
  <si>
    <t xml:space="preserve">Units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</si>
  <si>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</si>
  <si>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</si>
  <si>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</si>
  <si>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</si>
  <si>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</si>
  <si>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</si>
  <si>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</si>
  <si>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</si>
  <si>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</si>
  <si>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</si>
  <si>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</si>
  <si>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</si>
  <si>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</si>
  <si>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</si>
  <si>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</si>
  <si>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</si>
  <si>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</si>
  <si>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</si>
  <si>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</si>
  <si>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</si>
  <si>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</si>
  <si>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</si>
  <si>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</si>
  <si>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Nominal GDP</t>
  </si>
  <si>
    <t xml:space="preserve">USD Billions</t>
  </si>
  <si>
    <t xml:space="preserve">Real GDP</t>
  </si>
  <si>
    <t xml:space="preserve">Real GDP Growth Rate (%)</t>
  </si>
  <si>
    <t xml:space="preserve">%</t>
  </si>
  <si>
    <t xml:space="preserve">GDP Deflator</t>
  </si>
  <si>
    <t xml:space="preserve">Index</t>
  </si>
  <si>
    <t xml:space="preserve">Population</t>
  </si>
  <si>
    <t xml:space="preserve">Millions</t>
  </si>
  <si>
    <t xml:space="preserve">Supply and Use Table Calculations</t>
  </si>
  <si>
    <t xml:space="preserve">Product</t>
  </si>
  <si>
    <t xml:space="preserve">Category</t>
  </si>
  <si>
    <t xml:space="preserve">Domestic Supply</t>
  </si>
  <si>
    <t xml:space="preserve">Total Supply</t>
  </si>
  <si>
    <t xml:space="preserve">Intermediate Use</t>
  </si>
  <si>
    <t xml:space="preserve">Final Demand</t>
  </si>
  <si>
    <t xml:space="preserve">Total Use</t>
  </si>
  <si>
    <t xml:space="preserve">Import Content</t>
  </si>
  <si>
    <t xml:space="preserve">Agriculture</t>
  </si>
  <si>
    <t xml:space="preserve">Category 1</t>
  </si>
  <si>
    <t xml:space="preserve">Mining</t>
  </si>
  <si>
    <t xml:space="preserve">Category 2</t>
  </si>
  <si>
    <t xml:space="preserve">Manufacturing</t>
  </si>
  <si>
    <t xml:space="preserve">Category 3</t>
  </si>
  <si>
    <t xml:space="preserve">Utilities</t>
  </si>
  <si>
    <t xml:space="preserve">Category 4</t>
  </si>
  <si>
    <t xml:space="preserve">Construction</t>
  </si>
  <si>
    <t xml:space="preserve">Category 5</t>
  </si>
  <si>
    <t xml:space="preserve">Trade</t>
  </si>
  <si>
    <t xml:space="preserve">Category 6</t>
  </si>
  <si>
    <t xml:space="preserve">Transport</t>
  </si>
  <si>
    <t xml:space="preserve">Category 7</t>
  </si>
  <si>
    <t xml:space="preserve">Communication</t>
  </si>
  <si>
    <t xml:space="preserve">Category 8</t>
  </si>
  <si>
    <t xml:space="preserve">Finance</t>
  </si>
  <si>
    <t xml:space="preserve">Category 9</t>
  </si>
  <si>
    <t xml:space="preserve">Real Estate</t>
  </si>
  <si>
    <t xml:space="preserve">Category 10</t>
  </si>
  <si>
    <t xml:space="preserve">Other</t>
  </si>
  <si>
    <t xml:space="preserve">Category 11</t>
  </si>
  <si>
    <t xml:space="preserve">Import Content Share</t>
  </si>
  <si>
    <t xml:space="preserve">DEMAND SIDE ANALYSIS - GEORGIA</t>
  </si>
  <si>
    <t xml:space="preserve">Investment Shock Analysis - Scenario 1: Baseline</t>
  </si>
  <si>
    <t xml:space="preserve">ASSUMPTIONS</t>
  </si>
  <si>
    <t xml:space="preserve">Exchange Rate (Lari/USD)</t>
  </si>
  <si>
    <t xml:space="preserve">Demand Multiplier</t>
  </si>
  <si>
    <t xml:space="preserve">Investment Period (Years)</t>
  </si>
  <si>
    <t xml:space="preserve">Total Investment (USD Millions)</t>
  </si>
  <si>
    <t xml:space="preserve">Key Assumptions</t>
  </si>
  <si>
    <t xml:space="preserve">PROJECTION TABLE</t>
  </si>
  <si>
    <t xml:space="preserve">Year</t>
  </si>
  <si>
    <t xml:space="preserve">Investment (USD mm)</t>
  </si>
  <si>
    <t xml:space="preserve">Investment (Lari mm)</t>
  </si>
  <si>
    <t xml:space="preserve">Investment Deflator</t>
  </si>
  <si>
    <t xml:space="preserve">Nominal Investment</t>
  </si>
  <si>
    <t xml:space="preserve">Domestic Demand</t>
  </si>
  <si>
    <t xml:space="preserve">Import Demand</t>
  </si>
  <si>
    <t xml:space="preserve">Total Demand</t>
  </si>
  <si>
    <t xml:space="preserve">Real GDP Impact</t>
  </si>
  <si>
    <t xml:space="preserve">Real GDP Growth Adjustment</t>
  </si>
  <si>
    <t xml:space="preserve">Investment Shock Analysis - Scenario 2: Higher Multiplier (m=1.0)</t>
  </si>
  <si>
    <t xml:space="preserve">Investment Shock Analysis - Scenario 3: Higher Import Content (m=0.8)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</si>
</sst>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General"/>
    <numFmt numFmtId="168" formatCode="0"/>
    <numFmt numFmtId="169" formatCode="#,##0.0"/>
    <numFmt numFmtId="170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u val="single"/>
      <sz val="11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0" t="s">
        <v>14</v>
      </c>
    </row>
    <row r="20" customFormat="false" ht="15" hidden="false" customHeight="false" outlineLevel="0" collapsed="false">
      <c r="A20" s="0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5" customFormat="false" ht="15" hidden="false" customHeight="false" outlineLevel="0" collapsed="false">
      <c r="A25" s="0" t="s">
        <v>19</v>
      </c>
    </row>
    <row r="26" customFormat="false" ht="15" hidden="false" customHeight="false" outlineLevel="0" collapsed="false">
      <c r="A26" s="0" t="s">
        <v>20</v>
      </c>
    </row>
    <row r="27" customFormat="false" ht="15" hidden="false" customHeight="false" outlineLevel="0" collapsed="false">
      <c r="A27" s="0" t="s">
        <v>21</v>
      </c>
    </row>
    <row r="28" customFormat="false" ht="15" hidden="false" customHeight="false" outlineLevel="0" collapsed="false">
      <c r="A28" s="0" t="s">
        <v>22</v>
      </c>
    </row>
    <row r="29" customFormat="false" ht="15" hidden="false" customHeight="false" outlineLevel="0" collapsed="false">
      <c r="A29" s="0" t="s">
        <v>23</v>
      </c>
    </row>
    <row r="31" customFormat="false" ht="15" hidden="false" customHeight="false" outlineLevel="0" collapsed="false">
      <c r="A31" s="0" t="s">
        <v>24</v>
      </c>
    </row>
    <row r="32" customFormat="false" ht="15" hidden="false" customHeight="false" outlineLevel="0" collapsed="false">
      <c r="A32" s="0" t="s">
        <v>25</v>
      </c>
    </row>
    <row r="33" customFormat="false" ht="15" hidden="false" customHeight="false" outlineLevel="0" collapsed="false">
      <c r="A33" s="0" t="s">
        <v>26</v>
      </c>
    </row>
    <row r="34" customFormat="false" ht="15" hidden="false" customHeight="false" outlineLevel="0" collapsed="false">
      <c r="A34" s="0" t="s">
        <v>27</v>
      </c>
    </row>
    <row r="36" customFormat="false" ht="15" hidden="false" customHeight="false" outlineLevel="0" collapsed="false">
      <c r="A36" s="0" t="s">
        <v>28</v>
      </c>
    </row>
    <row r="37" customFormat="false" ht="15" hidden="false" customHeight="false" outlineLevel="0" collapsed="false">
      <c r="A37" s="0" t="s">
        <v>29</v>
      </c>
    </row>
    <row r="38" customFormat="false" ht="15" hidden="false" customHeight="false" outlineLevel="0" collapsed="false">
      <c r="A38" s="0" t="s">
        <v>30</v>
      </c>
    </row>
    <row r="40" customFormat="false" ht="15" hidden="false" customHeight="false" outlineLevel="0" collapsed="false">
      <c r="A40" s="0" t="s">
        <v>31</v>
      </c>
    </row>
    <row r="41" customFormat="false" ht="15" hidden="false" customHeight="false" outlineLevel="0" collapsed="false">
      <c r="A41" s="0" t="s">
        <v>32</v>
      </c>
    </row>
    <row r="42" customFormat="false" ht="15" hidden="false" customHeight="false" outlineLevel="0" collapsed="false">
      <c r="A42" s="0" t="s">
        <v>33</v>
      </c>
    </row>
    <row r="44" customFormat="false" ht="15" hidden="false" customHeight="false" outlineLevel="0" collapsed="false">
      <c r="A44" s="3" t="s">
        <v>34</v>
      </c>
    </row>
    <row r="45" customFormat="false" ht="15" hidden="false" customHeight="false" outlineLevel="0" collapsed="false">
      <c r="A45" s="0" t="s">
        <v>35</v>
      </c>
    </row>
    <row r="46" customFormat="false" ht="15" hidden="false" customHeight="false" outlineLevel="0" collapsed="false">
      <c r="A46" s="0" t="s">
        <v>36</v>
      </c>
    </row>
    <row r="47" customFormat="false" ht="15" hidden="false" customHeight="false" outlineLevel="0" collapsed="false">
      <c r="A47" s="0" t="s">
        <v>37</v>
      </c>
    </row>
    <row r="49" customFormat="false" ht="15" hidden="false" customHeight="false" outlineLevel="0" collapsed="false">
      <c r="A49" s="0" t="s">
        <v>38</v>
      </c>
    </row>
    <row r="51" customFormat="false" ht="15" hidden="false" customHeight="false" outlineLevel="0" collapsed="false">
      <c r="A51" s="0" t="s">
        <v>39</v>
      </c>
    </row>
    <row r="53" customFormat="false" ht="15" hidden="false" customHeight="false" outlineLevel="0" collapsed="false">
      <c r="A53" s="0" t="s">
        <v>40</v>
      </c>
    </row>
    <row r="54" customFormat="false" ht="15" hidden="false" customHeight="false" outlineLevel="0" collapsed="false">
      <c r="A54" s="0" t="s">
        <v>41</v>
      </c>
    </row>
    <row r="55" customFormat="false" ht="15" hidden="false" customHeight="false" outlineLevel="0" collapsed="false">
      <c r="A55" s="0" t="s">
        <v>42</v>
      </c>
    </row>
    <row r="56" customFormat="false" ht="15" hidden="false" customHeight="false" outlineLevel="0" collapsed="false">
      <c r="A56" s="0" t="s">
        <v>43</v>
      </c>
    </row>
    <row r="58" customFormat="false" ht="15" hidden="false" customHeight="false" outlineLevel="0" collapsed="false">
      <c r="A58" s="0" t="s">
        <v>44</v>
      </c>
    </row>
    <row r="59" customFormat="false" ht="15" hidden="false" customHeight="false" outlineLevel="0" collapsed="false">
      <c r="A59" s="0" t="s">
        <v>45</v>
      </c>
    </row>
    <row r="61" customFormat="false" ht="15" hidden="false" customHeight="false" outlineLevel="0" collapsed="false">
      <c r="A61" s="0" t="s">
        <v>46</v>
      </c>
    </row>
    <row r="62" customFormat="false" ht="15" hidden="false" customHeight="false" outlineLevel="0" collapsed="false">
      <c r="A62" s="0" t="s">
        <v>47</v>
      </c>
    </row>
    <row r="64" customFormat="false" ht="15" hidden="false" customHeight="false" outlineLevel="0" collapsed="false">
      <c r="A64" s="3" t="s">
        <v>48</v>
      </c>
    </row>
    <row r="65" customFormat="false" ht="15" hidden="false" customHeight="false" outlineLevel="0" collapsed="false">
      <c r="A65" s="0" t="s">
        <v>49</v>
      </c>
    </row>
    <row r="66" customFormat="false" ht="15" hidden="false" customHeight="false" outlineLevel="0" collapsed="false">
      <c r="A66" s="0" t="s">
        <v>50</v>
      </c>
    </row>
    <row r="67" customFormat="false" ht="15" hidden="false" customHeight="false" outlineLevel="0" collapsed="false">
      <c r="A67" s="0" t="s">
        <v>51</v>
      </c>
    </row>
    <row r="68" customFormat="false" ht="15" hidden="false" customHeight="false" outlineLevel="0" collapsed="false">
      <c r="A68" s="0" t="s">
        <v>52</v>
      </c>
    </row>
    <row r="69" customFormat="false" ht="15" hidden="false" customHeight="false" outlineLevel="0" collapsed="false">
      <c r="A69" s="0" t="s">
        <v>53</v>
      </c>
    </row>
    <row r="71" customFormat="false" ht="15" hidden="false" customHeight="false" outlineLevel="0" collapsed="false">
      <c r="A71" s="0" t="s">
        <v>54</v>
      </c>
    </row>
    <row r="72" customFormat="false" ht="15" hidden="false" customHeight="false" outlineLevel="0" collapsed="false">
      <c r="A72" s="0" t="s">
        <v>55</v>
      </c>
    </row>
    <row r="73" customFormat="false" ht="15" hidden="false" customHeight="false" outlineLevel="0" collapsed="false">
      <c r="A73" s="0" t="s">
        <v>56</v>
      </c>
    </row>
    <row r="75" customFormat="false" ht="15" hidden="false" customHeight="false" outlineLevel="0" collapsed="false">
      <c r="A75" s="3" t="s">
        <v>57</v>
      </c>
    </row>
    <row r="76" customFormat="false" ht="15" hidden="false" customHeight="false" outlineLevel="0" collapsed="false">
      <c r="A76" s="0" t="s">
        <v>58</v>
      </c>
    </row>
    <row r="77" customFormat="false" ht="15" hidden="false" customHeight="false" outlineLevel="0" collapsed="false">
      <c r="A77" s="0" t="s">
        <v>59</v>
      </c>
    </row>
    <row r="78" customFormat="false" ht="15" hidden="false" customHeight="false" outlineLevel="0" collapsed="false">
      <c r="A78" s="0" t="s">
        <v>60</v>
      </c>
    </row>
    <row r="79" customFormat="false" ht="15" hidden="false" customHeight="false" outlineLevel="0" collapsed="false">
      <c r="A79" s="0" t="s">
        <v>61</v>
      </c>
    </row>
    <row r="80" customFormat="false" ht="15" hidden="false" customHeight="false" outlineLevel="0" collapsed="false">
      <c r="A80" s="0" t="s">
        <v>62</v>
      </c>
    </row>
    <row r="81" customFormat="false" ht="15" hidden="false" customHeight="false" outlineLevel="0" collapsed="false">
      <c r="A81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5"/>
    <col collapsed="false" customWidth="true" hidden="false" outlineLevel="0" max="2" min="2" style="4" width="15"/>
    <col collapsed="false" customWidth="true" hidden="false" outlineLevel="0" max="24" min="3" style="4" width="12"/>
  </cols>
  <sheetData>
    <row r="1" customFormat="false" ht="15" hidden="false" customHeight="true" outlineLevel="0" collapsed="false">
      <c r="A1" s="5" t="s">
        <v>64</v>
      </c>
    </row>
    <row r="3" customFormat="false" ht="15" hidden="false" customHeight="true" outlineLevel="0" collapsed="false">
      <c r="A3" s="6" t="s">
        <v>65</v>
      </c>
      <c r="B3" s="6" t="s">
        <v>66</v>
      </c>
      <c r="C3" s="6" t="s">
        <v>67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73</v>
      </c>
      <c r="J3" s="6" t="s">
        <v>74</v>
      </c>
      <c r="K3" s="6" t="s">
        <v>75</v>
      </c>
      <c r="L3" s="6" t="s">
        <v>76</v>
      </c>
      <c r="M3" s="6" t="s">
        <v>77</v>
      </c>
      <c r="N3" s="6" t="s">
        <v>78</v>
      </c>
      <c r="O3" s="6" t="s">
        <v>79</v>
      </c>
      <c r="P3" s="6" t="s">
        <v>80</v>
      </c>
      <c r="Q3" s="6" t="s">
        <v>81</v>
      </c>
      <c r="R3" s="6" t="s">
        <v>82</v>
      </c>
      <c r="S3" s="6" t="s">
        <v>83</v>
      </c>
      <c r="T3" s="6" t="s">
        <v>84</v>
      </c>
      <c r="U3" s="6" t="s">
        <v>85</v>
      </c>
      <c r="V3" s="6" t="s">
        <v>86</v>
      </c>
      <c r="W3" s="6" t="s">
        <v>87</v>
      </c>
      <c r="X3" s="6" t="s">
        <v>88</v>
      </c>
      <c r="Y3" s="6" t="s">
        <v>89</v>
      </c>
    </row>
    <row r="4" customFormat="false" ht="15" hidden="false" customHeight="true" outlineLevel="0" collapsed="false">
      <c r="A4" s="4" t="s">
        <v>90</v>
      </c>
      <c r="B4" s="4" t="s">
        <v>91</v>
      </c>
      <c r="C4" s="7" t="n">
        <v>18.85</v>
      </c>
      <c r="D4" s="7" t="n">
        <v>24.99</v>
      </c>
      <c r="E4" s="7" t="n">
        <v>30.78</v>
      </c>
      <c r="F4" s="7" t="n">
        <v>33.78</v>
      </c>
      <c r="G4" s="7" t="n">
        <v>37.4</v>
      </c>
      <c r="H4" s="7" t="n">
        <v>40.18</v>
      </c>
      <c r="I4" s="7" t="n">
        <v>42.41</v>
      </c>
      <c r="J4" s="8" t="n">
        <f aca="false">J5*J7/100</f>
        <v>45.21983214</v>
      </c>
      <c r="K4" s="8" t="n">
        <f aca="false">K5*K7/100</f>
        <v>48.2158268986036</v>
      </c>
      <c r="L4" s="8" t="n">
        <f aca="false">L5*L7/100</f>
        <v>51.4103182939436</v>
      </c>
      <c r="M4" s="8" t="n">
        <f aca="false">M5*M7/100</f>
        <v>54.8164575221906</v>
      </c>
      <c r="N4" s="8" t="n">
        <f aca="false">N5*N7/100</f>
        <v>58.4482670988658</v>
      </c>
      <c r="O4" s="8" t="n">
        <f aca="false">O5*O7/100</f>
        <v>62.3206985872341</v>
      </c>
      <c r="P4" s="8" t="n">
        <f aca="false">P5*P7/100</f>
        <v>66.4496941514327</v>
      </c>
      <c r="Q4" s="8" t="n">
        <f aca="false">Q5*Q7/100</f>
        <v>70.8522521877417</v>
      </c>
      <c r="R4" s="8" t="n">
        <f aca="false">R5*R7/100</f>
        <v>75.5464973041883</v>
      </c>
      <c r="S4" s="8" t="n">
        <f aca="false">S5*S7/100</f>
        <v>80.55175493658</v>
      </c>
      <c r="T4" s="8" t="n">
        <f aca="false">T5*T7/100</f>
        <v>85.8886309081482</v>
      </c>
      <c r="U4" s="8" t="n">
        <f aca="false">U5*U7/100</f>
        <v>91.5790962603366</v>
      </c>
      <c r="V4" s="8" t="n">
        <f aca="false">V5*V7/100</f>
        <v>97.646577703969</v>
      </c>
      <c r="W4" s="8" t="n">
        <f aca="false">W5*W7/100</f>
        <v>104.116054063168</v>
      </c>
      <c r="X4" s="8" t="n">
        <f aca="false">X5*X7/100</f>
        <v>111.014159109069</v>
      </c>
      <c r="Y4" s="8" t="n">
        <f aca="false">Y5*Y7/100</f>
        <v>118.369291206681</v>
      </c>
    </row>
    <row r="5" customFormat="false" ht="15" hidden="false" customHeight="true" outlineLevel="0" collapsed="false">
      <c r="A5" s="4" t="s">
        <v>92</v>
      </c>
      <c r="B5" s="4" t="s">
        <v>91</v>
      </c>
      <c r="C5" s="7" t="n">
        <v>15.2</v>
      </c>
      <c r="D5" s="7" t="n">
        <v>16.92</v>
      </c>
      <c r="E5" s="7" t="n">
        <v>18.24</v>
      </c>
      <c r="F5" s="7" t="n">
        <v>19.95</v>
      </c>
      <c r="G5" s="7" t="n">
        <v>21.39</v>
      </c>
      <c r="H5" s="7" t="n">
        <v>22.52</v>
      </c>
      <c r="I5" s="7" t="n">
        <v>23.64</v>
      </c>
      <c r="J5" s="8" t="n">
        <f aca="false">I5*(1+J6/100)</f>
        <v>24.822</v>
      </c>
      <c r="K5" s="8" t="n">
        <f aca="false">J5*(1+K6/100)</f>
        <v>26.0631</v>
      </c>
      <c r="L5" s="8" t="n">
        <f aca="false">K5*(1+L6/100)</f>
        <v>27.366255</v>
      </c>
      <c r="M5" s="8" t="n">
        <f aca="false">L5*(1+M6/100)</f>
        <v>28.73456775</v>
      </c>
      <c r="N5" s="8" t="n">
        <f aca="false">M5*(1+N6/100)</f>
        <v>30.1712961375</v>
      </c>
      <c r="O5" s="8" t="n">
        <f aca="false">N5*(1+O6/100)</f>
        <v>31.679860944375</v>
      </c>
      <c r="P5" s="8" t="n">
        <f aca="false">O5*(1+P6/100)</f>
        <v>33.2638539915938</v>
      </c>
      <c r="Q5" s="8" t="n">
        <f aca="false">P5*(1+Q6/100)</f>
        <v>34.9270466911735</v>
      </c>
      <c r="R5" s="8" t="n">
        <f aca="false">Q5*(1+R6/100)</f>
        <v>36.6733990257321</v>
      </c>
      <c r="S5" s="8" t="n">
        <f aca="false">R5*(1+S6/100)</f>
        <v>38.5070689770187</v>
      </c>
      <c r="T5" s="8" t="n">
        <f aca="false">S5*(1+T6/100)</f>
        <v>40.4324224258697</v>
      </c>
      <c r="U5" s="8" t="n">
        <f aca="false">T5*(1+U6/100)</f>
        <v>42.4540435471632</v>
      </c>
      <c r="V5" s="8" t="n">
        <f aca="false">U5*(1+V6/100)</f>
        <v>44.5767457245213</v>
      </c>
      <c r="W5" s="8" t="n">
        <f aca="false">V5*(1+W6/100)</f>
        <v>46.8055830107474</v>
      </c>
      <c r="X5" s="8" t="n">
        <f aca="false">W5*(1+X6/100)</f>
        <v>49.1458621612848</v>
      </c>
      <c r="Y5" s="8" t="n">
        <f aca="false">X5*(1+Y6/100)</f>
        <v>51.603155269349</v>
      </c>
    </row>
    <row r="6" customFormat="false" ht="15" hidden="false" customHeight="true" outlineLevel="0" collapsed="false">
      <c r="A6" s="4" t="s">
        <v>93</v>
      </c>
      <c r="B6" s="4" t="s">
        <v>94</v>
      </c>
      <c r="C6" s="9" t="n">
        <v>10.64</v>
      </c>
      <c r="D6" s="9" t="n">
        <v>10.96</v>
      </c>
      <c r="E6" s="9" t="n">
        <v>7.8</v>
      </c>
      <c r="F6" s="9" t="n">
        <v>9.4</v>
      </c>
      <c r="G6" s="9" t="n">
        <v>7.2</v>
      </c>
      <c r="H6" s="9" t="n">
        <v>5.3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</row>
    <row r="7" customFormat="false" ht="15" hidden="false" customHeight="true" outlineLevel="0" collapsed="false">
      <c r="A7" s="4" t="s">
        <v>95</v>
      </c>
      <c r="B7" s="4" t="s">
        <v>96</v>
      </c>
      <c r="C7" s="8" t="n">
        <f aca="false">C4/C5*100</f>
        <v>124.013157894737</v>
      </c>
      <c r="D7" s="8" t="n">
        <f aca="false">D4/D5*100</f>
        <v>147.695035460993</v>
      </c>
      <c r="E7" s="8" t="n">
        <f aca="false">E4/E5*100</f>
        <v>168.75</v>
      </c>
      <c r="F7" s="8" t="n">
        <f aca="false">F4/F5*100</f>
        <v>169.323308270677</v>
      </c>
      <c r="G7" s="8" t="n">
        <f aca="false">G4/G5*100</f>
        <v>174.848059841047</v>
      </c>
      <c r="H7" s="8" t="n">
        <f aca="false">H4/H5*100</f>
        <v>178.41918294849</v>
      </c>
      <c r="I7" s="8" t="n">
        <f aca="false">I4/I5*100</f>
        <v>179.399323181049</v>
      </c>
      <c r="J7" s="8" t="n">
        <f aca="false">I7*(1+0.01548)</f>
        <v>182.176424703892</v>
      </c>
      <c r="K7" s="8" t="n">
        <f aca="false">J7*(1+0.01548)</f>
        <v>184.996515758308</v>
      </c>
      <c r="L7" s="8" t="n">
        <f aca="false">K7*(1+0.01548)</f>
        <v>187.860261822247</v>
      </c>
      <c r="M7" s="8" t="n">
        <f aca="false">L7*(1+0.01548)</f>
        <v>190.768338675255</v>
      </c>
      <c r="N7" s="8" t="n">
        <f aca="false">M7*(1+0.01548)</f>
        <v>193.721432557948</v>
      </c>
      <c r="O7" s="8" t="n">
        <f aca="false">N7*(1+0.01548)</f>
        <v>196.720240333945</v>
      </c>
      <c r="P7" s="8" t="n">
        <f aca="false">O7*(1+0.01548)</f>
        <v>199.765469654314</v>
      </c>
      <c r="Q7" s="8" t="n">
        <f aca="false">P7*(1+0.01548)</f>
        <v>202.857839124563</v>
      </c>
      <c r="R7" s="8" t="n">
        <f aca="false">Q7*(1+0.01548)</f>
        <v>205.998078474211</v>
      </c>
      <c r="S7" s="8" t="n">
        <f aca="false">R7*(1+0.01548)</f>
        <v>209.186928728992</v>
      </c>
      <c r="T7" s="8" t="n">
        <f aca="false">S7*(1+0.01548)</f>
        <v>212.425142385717</v>
      </c>
      <c r="U7" s="8" t="n">
        <f aca="false">T7*(1+0.01548)</f>
        <v>215.713483589848</v>
      </c>
      <c r="V7" s="8" t="n">
        <f aca="false">U7*(1+0.01548)</f>
        <v>219.052728315819</v>
      </c>
      <c r="W7" s="8" t="n">
        <f aca="false">V7*(1+0.01548)</f>
        <v>222.443664550147</v>
      </c>
      <c r="X7" s="8" t="n">
        <f aca="false">W7*(1+0.01548)</f>
        <v>225.887092477384</v>
      </c>
      <c r="Y7" s="8" t="n">
        <f aca="false">X7*(1+0.01548)</f>
        <v>229.383824668934</v>
      </c>
    </row>
    <row r="8" customFormat="false" ht="15" hidden="false" customHeight="true" outlineLevel="0" collapsed="false">
      <c r="A8" s="4" t="s">
        <v>97</v>
      </c>
      <c r="B8" s="4" t="s">
        <v>98</v>
      </c>
      <c r="C8" s="7" t="n">
        <v>3.73</v>
      </c>
      <c r="D8" s="7" t="n">
        <v>3.71</v>
      </c>
      <c r="E8" s="7" t="n">
        <v>3.69</v>
      </c>
      <c r="F8" s="7" t="n">
        <v>3.68</v>
      </c>
      <c r="G8" s="7" t="n">
        <v>3.67</v>
      </c>
      <c r="H8" s="7" t="n">
        <v>3.66</v>
      </c>
      <c r="I8" s="7" t="n">
        <v>3.65</v>
      </c>
      <c r="J8" s="7" t="n">
        <f aca="false">I8*0.997</f>
        <v>3.63905</v>
      </c>
      <c r="K8" s="7" t="n">
        <f aca="false">J8*0.997</f>
        <v>3.62813285</v>
      </c>
      <c r="L8" s="7" t="n">
        <f aca="false">K8*0.997</f>
        <v>3.61724845145</v>
      </c>
      <c r="M8" s="7" t="n">
        <f aca="false">L8*0.997</f>
        <v>3.60639670609565</v>
      </c>
      <c r="N8" s="7" t="n">
        <f aca="false">M8*0.997</f>
        <v>3.59557751597736</v>
      </c>
      <c r="O8" s="7" t="n">
        <f aca="false">N8*0.997</f>
        <v>3.58479078342943</v>
      </c>
      <c r="P8" s="7" t="n">
        <f aca="false">O8*0.997</f>
        <v>3.57403641107914</v>
      </c>
      <c r="Q8" s="7" t="n">
        <f aca="false">P8*0.997</f>
        <v>3.56331430184591</v>
      </c>
      <c r="R8" s="7" t="n">
        <f aca="false">Q8*0.997</f>
        <v>3.55262435894037</v>
      </c>
      <c r="S8" s="7" t="n">
        <f aca="false">R8*0.997</f>
        <v>3.54196648586355</v>
      </c>
      <c r="T8" s="7" t="n">
        <f aca="false">S8*0.997</f>
        <v>3.53134058640596</v>
      </c>
      <c r="U8" s="7" t="n">
        <f aca="false">T8*0.997</f>
        <v>3.52074656464674</v>
      </c>
      <c r="V8" s="7" t="n">
        <f aca="false">U8*0.997</f>
        <v>3.5101843249528</v>
      </c>
      <c r="W8" s="7" t="n">
        <f aca="false">V8*0.997</f>
        <v>3.49965377197794</v>
      </c>
      <c r="X8" s="7" t="n">
        <f aca="false">W8*0.997</f>
        <v>3.48915481066201</v>
      </c>
      <c r="Y8" s="7" t="n">
        <f aca="false">X8*0.997</f>
        <v>3.47868734623002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5" t="s">
        <v>99</v>
      </c>
    </row>
    <row r="3" customFormat="false" ht="15" hidden="false" customHeight="true" outlineLevel="0" collapsed="false">
      <c r="A3" s="4" t="s">
        <v>100</v>
      </c>
      <c r="B3" s="4" t="s">
        <v>101</v>
      </c>
      <c r="C3" s="6" t="s">
        <v>102</v>
      </c>
      <c r="D3" s="6" t="s">
        <v>103</v>
      </c>
      <c r="E3" s="6" t="s">
        <v>104</v>
      </c>
      <c r="F3" s="6" t="s">
        <v>105</v>
      </c>
      <c r="G3" s="6" t="s">
        <v>106</v>
      </c>
      <c r="H3" s="6" t="s">
        <v>107</v>
      </c>
    </row>
    <row r="4" customFormat="false" ht="15" hidden="false" customHeight="true" outlineLevel="0" collapsed="false">
      <c r="A4" s="4" t="s">
        <v>108</v>
      </c>
      <c r="B4" s="4" t="s">
        <v>109</v>
      </c>
      <c r="C4" s="4" t="n">
        <v>100</v>
      </c>
      <c r="D4" s="4" t="n">
        <v>120</v>
      </c>
      <c r="E4" s="4" t="n">
        <v>50</v>
      </c>
      <c r="F4" s="4" t="n">
        <v>30</v>
      </c>
      <c r="G4" s="4" t="n">
        <v>80</v>
      </c>
      <c r="H4" s="4" t="n">
        <v>15</v>
      </c>
    </row>
    <row r="5" customFormat="false" ht="15" hidden="false" customHeight="true" outlineLevel="0" collapsed="false">
      <c r="A5" s="4" t="s">
        <v>110</v>
      </c>
      <c r="B5" s="4" t="s">
        <v>111</v>
      </c>
      <c r="C5" s="4" t="n">
        <v>200</v>
      </c>
      <c r="D5" s="4" t="n">
        <v>240</v>
      </c>
      <c r="E5" s="4" t="n">
        <v>100</v>
      </c>
      <c r="F5" s="4" t="n">
        <v>60</v>
      </c>
      <c r="G5" s="4" t="n">
        <v>160</v>
      </c>
      <c r="H5" s="4" t="n">
        <v>30</v>
      </c>
    </row>
    <row r="6" customFormat="false" ht="15" hidden="false" customHeight="true" outlineLevel="0" collapsed="false">
      <c r="A6" s="4" t="s">
        <v>112</v>
      </c>
      <c r="B6" s="4" t="s">
        <v>113</v>
      </c>
      <c r="C6" s="4" t="n">
        <v>300</v>
      </c>
      <c r="D6" s="4" t="n">
        <v>360</v>
      </c>
      <c r="E6" s="4" t="n">
        <v>150</v>
      </c>
      <c r="F6" s="4" t="n">
        <v>90</v>
      </c>
      <c r="G6" s="4" t="n">
        <v>240</v>
      </c>
      <c r="H6" s="4" t="n">
        <v>45</v>
      </c>
    </row>
    <row r="7" customFormat="false" ht="15" hidden="false" customHeight="true" outlineLevel="0" collapsed="false">
      <c r="A7" s="4" t="s">
        <v>114</v>
      </c>
      <c r="B7" s="4" t="s">
        <v>115</v>
      </c>
      <c r="C7" s="4" t="n">
        <v>400</v>
      </c>
      <c r="D7" s="4" t="n">
        <v>480</v>
      </c>
      <c r="E7" s="4" t="n">
        <v>200</v>
      </c>
      <c r="F7" s="4" t="n">
        <v>120</v>
      </c>
      <c r="G7" s="4" t="n">
        <v>320</v>
      </c>
      <c r="H7" s="4" t="n">
        <v>60</v>
      </c>
    </row>
    <row r="8" customFormat="false" ht="15" hidden="false" customHeight="true" outlineLevel="0" collapsed="false">
      <c r="A8" s="4" t="s">
        <v>116</v>
      </c>
      <c r="B8" s="4" t="s">
        <v>117</v>
      </c>
      <c r="C8" s="4" t="n">
        <v>500</v>
      </c>
      <c r="D8" s="4" t="n">
        <v>600</v>
      </c>
      <c r="E8" s="4" t="n">
        <v>250</v>
      </c>
      <c r="F8" s="4" t="n">
        <v>150</v>
      </c>
      <c r="G8" s="4" t="n">
        <v>400</v>
      </c>
      <c r="H8" s="4" t="n">
        <v>75</v>
      </c>
    </row>
    <row r="9" customFormat="false" ht="15" hidden="false" customHeight="true" outlineLevel="0" collapsed="false">
      <c r="A9" s="4" t="s">
        <v>118</v>
      </c>
      <c r="B9" s="4" t="s">
        <v>119</v>
      </c>
      <c r="C9" s="4" t="n">
        <v>600</v>
      </c>
      <c r="D9" s="4" t="n">
        <v>720</v>
      </c>
      <c r="E9" s="4" t="n">
        <v>300</v>
      </c>
      <c r="F9" s="4" t="n">
        <v>180</v>
      </c>
      <c r="G9" s="4" t="n">
        <v>480</v>
      </c>
      <c r="H9" s="4" t="n">
        <v>90</v>
      </c>
    </row>
    <row r="10" customFormat="false" ht="15" hidden="false" customHeight="true" outlineLevel="0" collapsed="false">
      <c r="A10" s="4" t="s">
        <v>120</v>
      </c>
      <c r="B10" s="4" t="s">
        <v>121</v>
      </c>
      <c r="C10" s="4" t="n">
        <v>700</v>
      </c>
      <c r="D10" s="4" t="n">
        <v>840</v>
      </c>
      <c r="E10" s="4" t="n">
        <v>350</v>
      </c>
      <c r="F10" s="4" t="n">
        <v>210</v>
      </c>
      <c r="G10" s="4" t="n">
        <v>560</v>
      </c>
      <c r="H10" s="4" t="n">
        <v>105</v>
      </c>
    </row>
    <row r="11" customFormat="false" ht="15" hidden="false" customHeight="true" outlineLevel="0" collapsed="false">
      <c r="A11" s="4" t="s">
        <v>122</v>
      </c>
      <c r="B11" s="4" t="s">
        <v>123</v>
      </c>
      <c r="C11" s="4" t="n">
        <v>800</v>
      </c>
      <c r="D11" s="4" t="n">
        <v>960</v>
      </c>
      <c r="E11" s="4" t="n">
        <v>400</v>
      </c>
      <c r="F11" s="4" t="n">
        <v>240</v>
      </c>
      <c r="G11" s="4" t="n">
        <v>640</v>
      </c>
      <c r="H11" s="4" t="n">
        <v>120</v>
      </c>
    </row>
    <row r="12" customFormat="false" ht="15" hidden="false" customHeight="true" outlineLevel="0" collapsed="false">
      <c r="A12" s="4" t="s">
        <v>124</v>
      </c>
      <c r="B12" s="4" t="s">
        <v>125</v>
      </c>
      <c r="C12" s="4" t="n">
        <v>900</v>
      </c>
      <c r="D12" s="4" t="n">
        <v>1080</v>
      </c>
      <c r="E12" s="4" t="n">
        <v>450</v>
      </c>
      <c r="F12" s="4" t="n">
        <v>270</v>
      </c>
      <c r="G12" s="4" t="n">
        <v>720</v>
      </c>
      <c r="H12" s="4" t="n">
        <v>135</v>
      </c>
    </row>
    <row r="13" customFormat="false" ht="15" hidden="false" customHeight="true" outlineLevel="0" collapsed="false">
      <c r="A13" s="4" t="s">
        <v>126</v>
      </c>
      <c r="B13" s="4" t="s">
        <v>127</v>
      </c>
      <c r="C13" s="4" t="n">
        <v>1000</v>
      </c>
      <c r="D13" s="4" t="n">
        <v>1200</v>
      </c>
      <c r="E13" s="4" t="n">
        <v>500</v>
      </c>
      <c r="F13" s="4" t="n">
        <v>300</v>
      </c>
      <c r="G13" s="4" t="n">
        <v>800</v>
      </c>
      <c r="H13" s="4" t="n">
        <v>150</v>
      </c>
    </row>
    <row r="14" customFormat="false" ht="15" hidden="false" customHeight="true" outlineLevel="0" collapsed="false">
      <c r="A14" s="4" t="s">
        <v>128</v>
      </c>
      <c r="B14" s="4" t="s">
        <v>129</v>
      </c>
      <c r="C14" s="4" t="n">
        <v>1100</v>
      </c>
      <c r="D14" s="4" t="n">
        <v>1320</v>
      </c>
      <c r="E14" s="4" t="n">
        <v>550</v>
      </c>
      <c r="F14" s="4" t="n">
        <v>330</v>
      </c>
      <c r="G14" s="4" t="n">
        <v>880</v>
      </c>
      <c r="H14" s="4" t="n">
        <v>165</v>
      </c>
    </row>
    <row r="46" customFormat="false" ht="15" hidden="false" customHeight="true" outlineLevel="0" collapsed="false">
      <c r="A46" s="4" t="s">
        <v>130</v>
      </c>
      <c r="C46" s="10" t="n">
        <f aca="false">SUM(H4:H15)/SUM(G4:G15)</f>
        <v>0.1875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30"/>
    <col collapsed="false" customWidth="true" hidden="false" outlineLevel="0" max="3" min="2" style="4" width="15"/>
    <col collapsed="false" customWidth="true" hidden="false" outlineLevel="0" max="11" min="4" style="4" width="18"/>
  </cols>
  <sheetData>
    <row r="1" customFormat="false" ht="15" hidden="false" customHeight="true" outlineLevel="0" collapsed="false">
      <c r="A1" s="5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A5" s="4" t="s">
        <v>134</v>
      </c>
      <c r="B5" s="13" t="n">
        <v>2.746</v>
      </c>
    </row>
    <row r="6" customFormat="false" ht="15" hidden="false" customHeight="true" outlineLevel="0" collapsed="false">
      <c r="A6" s="4" t="s">
        <v>135</v>
      </c>
      <c r="B6" s="13" t="n">
        <v>0.8</v>
      </c>
    </row>
    <row r="7" customFormat="false" ht="15" hidden="false" customHeight="true" outlineLevel="0" collapsed="false">
      <c r="A7" s="4" t="s">
        <v>130</v>
      </c>
      <c r="B7" s="10" t="n">
        <v>0.25</v>
      </c>
    </row>
    <row r="8" customFormat="false" ht="15" hidden="false" customHeight="true" outlineLevel="0" collapsed="false">
      <c r="A8" s="4" t="s">
        <v>136</v>
      </c>
      <c r="B8" s="13" t="n">
        <v>8</v>
      </c>
    </row>
    <row r="9" customFormat="false" ht="15" hidden="false" customHeight="true" outlineLevel="0" collapsed="false">
      <c r="A9" s="4" t="s">
        <v>137</v>
      </c>
      <c r="B9" s="13" t="n">
        <v>6500</v>
      </c>
    </row>
    <row r="11" customFormat="false" ht="15" hidden="false" customHeight="true" outlineLevel="0" collapsed="false">
      <c r="C11" s="14" t="n">
        <f aca="false">WEO_Data!C4</f>
        <v>18.85</v>
      </c>
    </row>
    <row r="12" customFormat="false" ht="15" hidden="false" customHeight="true" outlineLevel="0" collapsed="false">
      <c r="C12" s="14" t="n">
        <f aca="false">WEO_Data!J4</f>
        <v>45.21983214</v>
      </c>
    </row>
    <row r="30" customFormat="false" ht="15" hidden="false" customHeight="true" outlineLevel="0" collapsed="false">
      <c r="A30" s="11" t="s">
        <v>138</v>
      </c>
      <c r="D30" s="13" t="n">
        <f aca="false">B5</f>
        <v>2.746</v>
      </c>
    </row>
    <row r="31" customFormat="false" ht="15" hidden="false" customHeight="true" outlineLevel="0" collapsed="false">
      <c r="D31" s="13" t="n">
        <f aca="false">B6</f>
        <v>0.8</v>
      </c>
    </row>
    <row r="32" customFormat="false" ht="15" hidden="false" customHeight="true" outlineLevel="0" collapsed="false">
      <c r="D32" s="10" t="n">
        <f aca="false">B7</f>
        <v>0.25</v>
      </c>
    </row>
    <row r="33" customFormat="false" ht="15" hidden="false" customHeight="true" outlineLevel="0" collapsed="false">
      <c r="D33" s="13" t="n">
        <f aca="false">B8</f>
        <v>8</v>
      </c>
    </row>
    <row r="35" customFormat="false" ht="15" hidden="false" customHeight="true" outlineLevel="0" collapsed="false">
      <c r="A35" s="12" t="s">
        <v>139</v>
      </c>
    </row>
    <row r="36" customFormat="false" ht="15" hidden="false" customHeight="true" outlineLevel="0" collapsed="false">
      <c r="A36" s="6" t="s">
        <v>140</v>
      </c>
      <c r="B36" s="6" t="s">
        <v>141</v>
      </c>
      <c r="C36" s="6" t="s">
        <v>142</v>
      </c>
      <c r="D36" s="6" t="s">
        <v>143</v>
      </c>
      <c r="E36" s="6" t="s">
        <v>144</v>
      </c>
      <c r="F36" s="6" t="s">
        <v>145</v>
      </c>
      <c r="G36" s="6" t="s">
        <v>146</v>
      </c>
      <c r="H36" s="6" t="s">
        <v>147</v>
      </c>
      <c r="I36" s="6" t="s">
        <v>148</v>
      </c>
      <c r="J36" s="6" t="s">
        <v>149</v>
      </c>
    </row>
    <row r="37" customFormat="false" ht="15" hidden="false" customHeight="true" outlineLevel="0" collapsed="false">
      <c r="A37" s="15" t="n">
        <v>2026</v>
      </c>
      <c r="B37" s="16" t="n">
        <f aca="false">$B9/$B8</f>
        <v>812.5</v>
      </c>
      <c r="C37" s="16" t="n">
        <f aca="false">B37*$B5</f>
        <v>2231.125</v>
      </c>
      <c r="D37" s="17" t="n">
        <f aca="false">WEO_Data!$H$7</f>
        <v>178.41918294849</v>
      </c>
      <c r="E37" s="16" t="n">
        <f aca="false">C37*D37/100</f>
        <v>3980.7549955595</v>
      </c>
      <c r="F37" s="16" t="n">
        <f aca="false">E37*(1-$B7)*$B6</f>
        <v>2388.4529973357</v>
      </c>
      <c r="G37" s="16" t="n">
        <f aca="false">E37*$B7*$B6</f>
        <v>796.150999111901</v>
      </c>
      <c r="H37" s="16" t="n">
        <f aca="false">F37+G37</f>
        <v>3184.6039964476</v>
      </c>
      <c r="I37" s="18" t="n">
        <f aca="false">F37/(D37/100)/1000</f>
        <v>1.338675</v>
      </c>
      <c r="J37" s="18" t="n">
        <f aca="false">I37/WEO_Data!$H$5*100</f>
        <v>5.94438277087034</v>
      </c>
    </row>
    <row r="38" customFormat="false" ht="15" hidden="false" customHeight="true" outlineLevel="0" collapsed="false">
      <c r="A38" s="15" t="n">
        <v>2027</v>
      </c>
      <c r="B38" s="16" t="n">
        <f aca="false">$B9/$B8</f>
        <v>812.5</v>
      </c>
      <c r="C38" s="16" t="n">
        <f aca="false">B38*$B5</f>
        <v>2231.125</v>
      </c>
      <c r="D38" s="17" t="n">
        <f aca="false">WEO_Data!$I$7</f>
        <v>179.399323181049</v>
      </c>
      <c r="E38" s="16" t="n">
        <f aca="false">C38*D38/100</f>
        <v>4002.62314932318</v>
      </c>
      <c r="F38" s="16" t="n">
        <f aca="false">E38*(1-$B7)*$B6</f>
        <v>2401.57388959391</v>
      </c>
      <c r="G38" s="16" t="n">
        <f aca="false">E38*$B7*$B6</f>
        <v>800.524629864636</v>
      </c>
      <c r="H38" s="16" t="n">
        <f aca="false">F38+G38</f>
        <v>3202.09851945854</v>
      </c>
      <c r="I38" s="18" t="n">
        <f aca="false">F38/(D38/100)/1000</f>
        <v>1.338675</v>
      </c>
      <c r="J38" s="18" t="n">
        <f aca="false">I38/WEO_Data!$I$5*100</f>
        <v>5.6627538071066</v>
      </c>
    </row>
    <row r="39" customFormat="false" ht="15" hidden="false" customHeight="true" outlineLevel="0" collapsed="false">
      <c r="A39" s="15" t="n">
        <v>2028</v>
      </c>
      <c r="B39" s="16" t="n">
        <f aca="false">$B9/$B8</f>
        <v>812.5</v>
      </c>
      <c r="C39" s="16" t="n">
        <f aca="false">B39*$B5</f>
        <v>2231.125</v>
      </c>
      <c r="D39" s="17" t="n">
        <f aca="false">WEO_Data!$J$7</f>
        <v>182.176424703892</v>
      </c>
      <c r="E39" s="16" t="n">
        <f aca="false">C39*D39/100</f>
        <v>4064.5837556747</v>
      </c>
      <c r="F39" s="16" t="n">
        <f aca="false">E39*(1-$B7)*$B6</f>
        <v>2438.75025340482</v>
      </c>
      <c r="G39" s="16" t="n">
        <f aca="false">E39*$B7*$B6</f>
        <v>812.916751134941</v>
      </c>
      <c r="H39" s="16" t="n">
        <f aca="false">F39+G39</f>
        <v>3251.66700453976</v>
      </c>
      <c r="I39" s="18" t="n">
        <f aca="false">F39/(D39/100)/1000</f>
        <v>1.338675</v>
      </c>
      <c r="J39" s="18" t="n">
        <f aca="false">I39/WEO_Data!$J$5*100</f>
        <v>5.39309886391105</v>
      </c>
    </row>
    <row r="40" customFormat="false" ht="15" hidden="false" customHeight="true" outlineLevel="0" collapsed="false">
      <c r="A40" s="15" t="n">
        <v>2029</v>
      </c>
      <c r="B40" s="16" t="n">
        <f aca="false">$B9/$B8</f>
        <v>812.5</v>
      </c>
      <c r="C40" s="16" t="n">
        <f aca="false">B40*$B5</f>
        <v>2231.125</v>
      </c>
      <c r="D40" s="17" t="n">
        <f aca="false">WEO_Data!$K$7</f>
        <v>184.996515758308</v>
      </c>
      <c r="E40" s="16" t="n">
        <f aca="false">C40*D40/100</f>
        <v>4127.50351221255</v>
      </c>
      <c r="F40" s="16" t="n">
        <f aca="false">E40*(1-$B7)*$B6</f>
        <v>2476.50210732753</v>
      </c>
      <c r="G40" s="16" t="n">
        <f aca="false">E40*$B7*$B6</f>
        <v>825.50070244251</v>
      </c>
      <c r="H40" s="16" t="n">
        <f aca="false">F40+G40</f>
        <v>3302.00280977004</v>
      </c>
      <c r="I40" s="18" t="n">
        <f aca="false">F40/(D40/100)/1000</f>
        <v>1.338675</v>
      </c>
      <c r="J40" s="18" t="n">
        <f aca="false">I40/WEO_Data!$K$5*100</f>
        <v>5.13628463229623</v>
      </c>
    </row>
    <row r="41" customFormat="false" ht="15" hidden="false" customHeight="true" outlineLevel="0" collapsed="false">
      <c r="A41" s="15" t="n">
        <v>2030</v>
      </c>
      <c r="B41" s="16" t="n">
        <f aca="false">$B9/$B8</f>
        <v>812.5</v>
      </c>
      <c r="C41" s="16" t="n">
        <f aca="false">B41*$B5</f>
        <v>2231.125</v>
      </c>
      <c r="D41" s="17" t="n">
        <f aca="false">WEO_Data!$L$7</f>
        <v>187.860261822247</v>
      </c>
      <c r="E41" s="16" t="n">
        <f aca="false">C41*D41/100</f>
        <v>4191.3972665816</v>
      </c>
      <c r="F41" s="16" t="n">
        <f aca="false">E41*(1-$B7)*$B6</f>
        <v>2514.83835994896</v>
      </c>
      <c r="G41" s="16" t="n">
        <f aca="false">E41*$B7*$B6</f>
        <v>838.27945331632</v>
      </c>
      <c r="H41" s="16" t="n">
        <f aca="false">F41+G41</f>
        <v>3353.11781326528</v>
      </c>
      <c r="I41" s="18" t="n">
        <f aca="false">F41/(D41/100)/1000</f>
        <v>1.338675</v>
      </c>
      <c r="J41" s="18" t="n">
        <f aca="false">I41/WEO_Data!$L$5*100</f>
        <v>4.89169964980594</v>
      </c>
    </row>
    <row r="42" customFormat="false" ht="15" hidden="false" customHeight="true" outlineLevel="0" collapsed="false">
      <c r="A42" s="15" t="n">
        <v>2031</v>
      </c>
      <c r="B42" s="16" t="n">
        <f aca="false">$B9/$B8</f>
        <v>812.5</v>
      </c>
      <c r="C42" s="16" t="n">
        <f aca="false">B42*$B5</f>
        <v>2231.125</v>
      </c>
      <c r="D42" s="17" t="n">
        <f aca="false">WEO_Data!$M$7</f>
        <v>190.768338675255</v>
      </c>
      <c r="E42" s="16" t="n">
        <f aca="false">C42*D42/100</f>
        <v>4256.28009626828</v>
      </c>
      <c r="F42" s="16" t="n">
        <f aca="false">E42*(1-$B7)*$B6</f>
        <v>2553.76805776097</v>
      </c>
      <c r="G42" s="16" t="n">
        <f aca="false">E42*$B7*$B6</f>
        <v>851.256019253656</v>
      </c>
      <c r="H42" s="16" t="n">
        <f aca="false">F42+G42</f>
        <v>3405.02407701462</v>
      </c>
      <c r="I42" s="18" t="n">
        <f aca="false">F42/(D42/100)/1000</f>
        <v>1.338675</v>
      </c>
      <c r="J42" s="18" t="n">
        <f aca="false">I42/WEO_Data!$M$5*100</f>
        <v>4.65876157124375</v>
      </c>
    </row>
    <row r="43" customFormat="false" ht="15" hidden="false" customHeight="true" outlineLevel="0" collapsed="false">
      <c r="A43" s="15" t="n">
        <v>2032</v>
      </c>
      <c r="B43" s="16" t="n">
        <f aca="false">$B9/$B8</f>
        <v>812.5</v>
      </c>
      <c r="C43" s="16" t="n">
        <f aca="false">B43*$B5</f>
        <v>2231.125</v>
      </c>
      <c r="D43" s="17" t="n">
        <f aca="false">WEO_Data!$N$7</f>
        <v>193.721432557948</v>
      </c>
      <c r="E43" s="16" t="n">
        <f aca="false">C43*D43/100</f>
        <v>4322.16731215851</v>
      </c>
      <c r="F43" s="16" t="n">
        <f aca="false">E43*(1-$B7)*$B6</f>
        <v>2593.30038729511</v>
      </c>
      <c r="G43" s="16" t="n">
        <f aca="false">E43*$B7*$B6</f>
        <v>864.433462431703</v>
      </c>
      <c r="H43" s="16" t="n">
        <f aca="false">F43+G43</f>
        <v>3457.73384972681</v>
      </c>
      <c r="I43" s="18" t="n">
        <f aca="false">F43/(D43/100)/1000</f>
        <v>1.338675</v>
      </c>
      <c r="J43" s="18" t="n">
        <f aca="false">I43/WEO_Data!$N$5*100</f>
        <v>4.4369157821369</v>
      </c>
    </row>
    <row r="44" customFormat="false" ht="15" hidden="false" customHeight="true" outlineLevel="0" collapsed="false">
      <c r="A44" s="15" t="n">
        <v>2033</v>
      </c>
      <c r="B44" s="16" t="n">
        <f aca="false">$B9/$B8</f>
        <v>812.5</v>
      </c>
      <c r="C44" s="16" t="n">
        <f aca="false">B44*$B5</f>
        <v>2231.125</v>
      </c>
      <c r="D44" s="17" t="n">
        <f aca="false">WEO_Data!$O$7</f>
        <v>196.720240333945</v>
      </c>
      <c r="E44" s="16" t="n">
        <f aca="false">C44*D44/100</f>
        <v>4389.07446215073</v>
      </c>
      <c r="F44" s="16" t="n">
        <f aca="false">E44*(1-$B7)*$B6</f>
        <v>2633.44467729044</v>
      </c>
      <c r="G44" s="16" t="n">
        <f aca="false">E44*$B7*$B6</f>
        <v>877.814892430146</v>
      </c>
      <c r="H44" s="16" t="n">
        <f aca="false">F44+G44</f>
        <v>3511.25956972058</v>
      </c>
      <c r="I44" s="18" t="n">
        <f aca="false">F44/(D44/100)/1000</f>
        <v>1.338675</v>
      </c>
      <c r="J44" s="18" t="n">
        <f aca="false">I44/WEO_Data!$O$5*100</f>
        <v>4.22563407822562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30"/>
    <col collapsed="false" customWidth="true" hidden="false" outlineLevel="0" max="3" min="2" style="4" width="15"/>
    <col collapsed="false" customWidth="true" hidden="false" outlineLevel="0" max="11" min="4" style="4" width="18"/>
  </cols>
  <sheetData>
    <row r="1" customFormat="false" ht="15" hidden="false" customHeight="true" outlineLevel="0" collapsed="false">
      <c r="A1" s="5" t="s">
        <v>131</v>
      </c>
    </row>
    <row r="2" customFormat="false" ht="15" hidden="false" customHeight="true" outlineLevel="0" collapsed="false">
      <c r="A2" s="11" t="s">
        <v>150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A5" s="4" t="s">
        <v>134</v>
      </c>
      <c r="B5" s="13" t="n">
        <v>2.746</v>
      </c>
    </row>
    <row r="6" customFormat="false" ht="15" hidden="false" customHeight="true" outlineLevel="0" collapsed="false">
      <c r="A6" s="4" t="s">
        <v>135</v>
      </c>
      <c r="B6" s="13" t="n">
        <v>1</v>
      </c>
    </row>
    <row r="7" customFormat="false" ht="15" hidden="false" customHeight="true" outlineLevel="0" collapsed="false">
      <c r="A7" s="4" t="s">
        <v>130</v>
      </c>
      <c r="B7" s="10" t="n">
        <v>0.25</v>
      </c>
    </row>
    <row r="8" customFormat="false" ht="15" hidden="false" customHeight="true" outlineLevel="0" collapsed="false">
      <c r="A8" s="4" t="s">
        <v>136</v>
      </c>
      <c r="B8" s="13" t="n">
        <v>8</v>
      </c>
    </row>
    <row r="9" customFormat="false" ht="15" hidden="false" customHeight="true" outlineLevel="0" collapsed="false">
      <c r="A9" s="4" t="s">
        <v>137</v>
      </c>
      <c r="B9" s="13" t="n">
        <v>6500</v>
      </c>
    </row>
    <row r="11" customFormat="false" ht="15" hidden="false" customHeight="true" outlineLevel="0" collapsed="false">
      <c r="C11" s="14" t="n">
        <f aca="false">WEO_Data!C4</f>
        <v>18.85</v>
      </c>
    </row>
    <row r="12" customFormat="false" ht="15" hidden="false" customHeight="true" outlineLevel="0" collapsed="false">
      <c r="C12" s="14" t="n">
        <f aca="false">WEO_Data!J4</f>
        <v>45.21983214</v>
      </c>
    </row>
    <row r="35" customFormat="false" ht="15" hidden="false" customHeight="true" outlineLevel="0" collapsed="false">
      <c r="A35" s="12" t="s">
        <v>139</v>
      </c>
    </row>
    <row r="36" customFormat="false" ht="15" hidden="false" customHeight="true" outlineLevel="0" collapsed="false">
      <c r="A36" s="6" t="s">
        <v>140</v>
      </c>
      <c r="B36" s="6" t="s">
        <v>141</v>
      </c>
      <c r="C36" s="6" t="s">
        <v>142</v>
      </c>
      <c r="D36" s="6" t="s">
        <v>143</v>
      </c>
      <c r="E36" s="6" t="s">
        <v>144</v>
      </c>
      <c r="F36" s="6" t="s">
        <v>145</v>
      </c>
      <c r="G36" s="6" t="s">
        <v>146</v>
      </c>
      <c r="H36" s="6" t="s">
        <v>147</v>
      </c>
      <c r="I36" s="6" t="s">
        <v>148</v>
      </c>
      <c r="J36" s="6" t="s">
        <v>149</v>
      </c>
    </row>
    <row r="37" customFormat="false" ht="15" hidden="false" customHeight="true" outlineLevel="0" collapsed="false">
      <c r="A37" s="15" t="n">
        <v>2026</v>
      </c>
      <c r="B37" s="16" t="n">
        <f aca="false">$B9/$B8</f>
        <v>812.5</v>
      </c>
      <c r="C37" s="16" t="n">
        <f aca="false">B37*$B5</f>
        <v>2231.125</v>
      </c>
      <c r="D37" s="17" t="n">
        <f aca="false">WEO_Data!$H$7</f>
        <v>178.41918294849</v>
      </c>
      <c r="E37" s="16" t="n">
        <f aca="false">C37*D37/100</f>
        <v>3980.7549955595</v>
      </c>
      <c r="F37" s="16" t="n">
        <f aca="false">E37*(1-$B7)*$B6</f>
        <v>2985.56624666963</v>
      </c>
      <c r="G37" s="16" t="n">
        <f aca="false">E37*$B7*$B6</f>
        <v>995.188748889876</v>
      </c>
      <c r="H37" s="16" t="n">
        <f aca="false">F37+G37</f>
        <v>3980.7549955595</v>
      </c>
      <c r="I37" s="18" t="n">
        <f aca="false">F37/(D37/100)/1000</f>
        <v>1.67334375</v>
      </c>
      <c r="J37" s="18" t="n">
        <f aca="false">I37/WEO_Data!$H$5*100</f>
        <v>7.43047846358792</v>
      </c>
    </row>
    <row r="38" customFormat="false" ht="15" hidden="false" customHeight="true" outlineLevel="0" collapsed="false">
      <c r="A38" s="15" t="n">
        <v>2027</v>
      </c>
      <c r="B38" s="16" t="n">
        <f aca="false">$B9/$B8</f>
        <v>812.5</v>
      </c>
      <c r="C38" s="16" t="n">
        <f aca="false">B38*$B5</f>
        <v>2231.125</v>
      </c>
      <c r="D38" s="17" t="n">
        <f aca="false">WEO_Data!$I$7</f>
        <v>179.399323181049</v>
      </c>
      <c r="E38" s="16" t="n">
        <f aca="false">C38*D38/100</f>
        <v>4002.62314932318</v>
      </c>
      <c r="F38" s="16" t="n">
        <f aca="false">E38*(1-$B7)*$B6</f>
        <v>3001.96736199239</v>
      </c>
      <c r="G38" s="16" t="n">
        <f aca="false">E38*$B7*$B6</f>
        <v>1000.6557873308</v>
      </c>
      <c r="H38" s="16" t="n">
        <f aca="false">F38+G38</f>
        <v>4002.62314932318</v>
      </c>
      <c r="I38" s="18" t="n">
        <f aca="false">F38/(D38/100)/1000</f>
        <v>1.67334375</v>
      </c>
      <c r="J38" s="18" t="n">
        <f aca="false">I38/WEO_Data!$I$5*100</f>
        <v>7.07844225888325</v>
      </c>
    </row>
    <row r="39" customFormat="false" ht="15" hidden="false" customHeight="true" outlineLevel="0" collapsed="false">
      <c r="A39" s="15" t="n">
        <v>2028</v>
      </c>
      <c r="B39" s="16" t="n">
        <f aca="false">$B9/$B8</f>
        <v>812.5</v>
      </c>
      <c r="C39" s="16" t="n">
        <f aca="false">B39*$B5</f>
        <v>2231.125</v>
      </c>
      <c r="D39" s="17" t="n">
        <f aca="false">WEO_Data!$J$7</f>
        <v>182.176424703892</v>
      </c>
      <c r="E39" s="16" t="n">
        <f aca="false">C39*D39/100</f>
        <v>4064.5837556747</v>
      </c>
      <c r="F39" s="16" t="n">
        <f aca="false">E39*(1-$B7)*$B6</f>
        <v>3048.43781675603</v>
      </c>
      <c r="G39" s="16" t="n">
        <f aca="false">E39*$B7*$B6</f>
        <v>1016.14593891868</v>
      </c>
      <c r="H39" s="16" t="n">
        <f aca="false">F39+G39</f>
        <v>4064.5837556747</v>
      </c>
      <c r="I39" s="18" t="n">
        <f aca="false">F39/(D39/100)/1000</f>
        <v>1.67334375</v>
      </c>
      <c r="J39" s="18" t="n">
        <f aca="false">I39/WEO_Data!$J$5*100</f>
        <v>6.74137357988881</v>
      </c>
    </row>
    <row r="40" customFormat="false" ht="15" hidden="false" customHeight="true" outlineLevel="0" collapsed="false">
      <c r="A40" s="15" t="n">
        <v>2029</v>
      </c>
      <c r="B40" s="16" t="n">
        <f aca="false">$B9/$B8</f>
        <v>812.5</v>
      </c>
      <c r="C40" s="16" t="n">
        <f aca="false">B40*$B5</f>
        <v>2231.125</v>
      </c>
      <c r="D40" s="17" t="n">
        <f aca="false">WEO_Data!$K$7</f>
        <v>184.996515758308</v>
      </c>
      <c r="E40" s="16" t="n">
        <f aca="false">C40*D40/100</f>
        <v>4127.50351221255</v>
      </c>
      <c r="F40" s="16" t="n">
        <f aca="false">E40*(1-$B7)*$B6</f>
        <v>3095.62763415941</v>
      </c>
      <c r="G40" s="16" t="n">
        <f aca="false">E40*$B7*$B6</f>
        <v>1031.87587805314</v>
      </c>
      <c r="H40" s="16" t="n">
        <f aca="false">F40+G40</f>
        <v>4127.50351221255</v>
      </c>
      <c r="I40" s="18" t="n">
        <f aca="false">F40/(D40/100)/1000</f>
        <v>1.67334375</v>
      </c>
      <c r="J40" s="18" t="n">
        <f aca="false">I40/WEO_Data!$K$5*100</f>
        <v>6.42035579037029</v>
      </c>
    </row>
    <row r="41" customFormat="false" ht="15" hidden="false" customHeight="true" outlineLevel="0" collapsed="false">
      <c r="A41" s="15" t="n">
        <v>2030</v>
      </c>
      <c r="B41" s="16" t="n">
        <f aca="false">$B9/$B8</f>
        <v>812.5</v>
      </c>
      <c r="C41" s="16" t="n">
        <f aca="false">B41*$B5</f>
        <v>2231.125</v>
      </c>
      <c r="D41" s="17" t="n">
        <f aca="false">WEO_Data!$L$7</f>
        <v>187.860261822247</v>
      </c>
      <c r="E41" s="16" t="n">
        <f aca="false">C41*D41/100</f>
        <v>4191.3972665816</v>
      </c>
      <c r="F41" s="16" t="n">
        <f aca="false">E41*(1-$B7)*$B6</f>
        <v>3143.5479499362</v>
      </c>
      <c r="G41" s="16" t="n">
        <f aca="false">E41*$B7*$B6</f>
        <v>1047.8493166454</v>
      </c>
      <c r="H41" s="16" t="n">
        <f aca="false">F41+G41</f>
        <v>4191.3972665816</v>
      </c>
      <c r="I41" s="18" t="n">
        <f aca="false">F41/(D41/100)/1000</f>
        <v>1.67334375</v>
      </c>
      <c r="J41" s="18" t="n">
        <f aca="false">I41/WEO_Data!$L$5*100</f>
        <v>6.11462456225742</v>
      </c>
    </row>
    <row r="42" customFormat="false" ht="15" hidden="false" customHeight="true" outlineLevel="0" collapsed="false">
      <c r="A42" s="15" t="n">
        <v>2031</v>
      </c>
      <c r="B42" s="16" t="n">
        <f aca="false">$B9/$B8</f>
        <v>812.5</v>
      </c>
      <c r="C42" s="16" t="n">
        <f aca="false">B42*$B5</f>
        <v>2231.125</v>
      </c>
      <c r="D42" s="17" t="n">
        <f aca="false">WEO_Data!$M$7</f>
        <v>190.768338675255</v>
      </c>
      <c r="E42" s="16" t="n">
        <f aca="false">C42*D42/100</f>
        <v>4256.28009626828</v>
      </c>
      <c r="F42" s="16" t="n">
        <f aca="false">E42*(1-$B7)*$B6</f>
        <v>3192.21007220121</v>
      </c>
      <c r="G42" s="16" t="n">
        <f aca="false">E42*$B7*$B6</f>
        <v>1064.07002406707</v>
      </c>
      <c r="H42" s="16" t="n">
        <f aca="false">F42+G42</f>
        <v>4256.28009626828</v>
      </c>
      <c r="I42" s="18" t="n">
        <f aca="false">F42/(D42/100)/1000</f>
        <v>1.67334375</v>
      </c>
      <c r="J42" s="18" t="n">
        <f aca="false">I42/WEO_Data!$M$5*100</f>
        <v>5.82345196405469</v>
      </c>
    </row>
    <row r="43" customFormat="false" ht="15" hidden="false" customHeight="true" outlineLevel="0" collapsed="false">
      <c r="A43" s="15" t="n">
        <v>2032</v>
      </c>
      <c r="B43" s="16" t="n">
        <f aca="false">$B9/$B8</f>
        <v>812.5</v>
      </c>
      <c r="C43" s="16" t="n">
        <f aca="false">B43*$B5</f>
        <v>2231.125</v>
      </c>
      <c r="D43" s="17" t="n">
        <f aca="false">WEO_Data!$N$7</f>
        <v>193.721432557948</v>
      </c>
      <c r="E43" s="16" t="n">
        <f aca="false">C43*D43/100</f>
        <v>4322.16731215851</v>
      </c>
      <c r="F43" s="16" t="n">
        <f aca="false">E43*(1-$B7)*$B6</f>
        <v>3241.62548411889</v>
      </c>
      <c r="G43" s="16" t="n">
        <f aca="false">E43*$B7*$B6</f>
        <v>1080.54182803963</v>
      </c>
      <c r="H43" s="16" t="n">
        <f aca="false">F43+G43</f>
        <v>4322.16731215851</v>
      </c>
      <c r="I43" s="18" t="n">
        <f aca="false">F43/(D43/100)/1000</f>
        <v>1.67334375</v>
      </c>
      <c r="J43" s="18" t="n">
        <f aca="false">I43/WEO_Data!$N$5*100</f>
        <v>5.54614472767113</v>
      </c>
    </row>
    <row r="44" customFormat="false" ht="15" hidden="false" customHeight="true" outlineLevel="0" collapsed="false">
      <c r="A44" s="15" t="n">
        <v>2033</v>
      </c>
      <c r="B44" s="16" t="n">
        <f aca="false">$B9/$B8</f>
        <v>812.5</v>
      </c>
      <c r="C44" s="16" t="n">
        <f aca="false">B44*$B5</f>
        <v>2231.125</v>
      </c>
      <c r="D44" s="17" t="n">
        <f aca="false">WEO_Data!$O$7</f>
        <v>196.720240333945</v>
      </c>
      <c r="E44" s="16" t="n">
        <f aca="false">C44*D44/100</f>
        <v>4389.07446215073</v>
      </c>
      <c r="F44" s="16" t="n">
        <f aca="false">E44*(1-$B7)*$B6</f>
        <v>3291.80584661305</v>
      </c>
      <c r="G44" s="16" t="n">
        <f aca="false">E44*$B7*$B6</f>
        <v>1097.26861553768</v>
      </c>
      <c r="H44" s="16" t="n">
        <f aca="false">F44+G44</f>
        <v>4389.07446215073</v>
      </c>
      <c r="I44" s="18" t="n">
        <f aca="false">F44/(D44/100)/1000</f>
        <v>1.67334375</v>
      </c>
      <c r="J44" s="18" t="n">
        <f aca="false">I44/WEO_Data!$O$5*100</f>
        <v>5.28204259778203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30"/>
    <col collapsed="false" customWidth="true" hidden="false" outlineLevel="0" max="3" min="2" style="4" width="15"/>
    <col collapsed="false" customWidth="true" hidden="false" outlineLevel="0" max="11" min="4" style="4" width="18"/>
  </cols>
  <sheetData>
    <row r="1" customFormat="false" ht="15" hidden="false" customHeight="true" outlineLevel="0" collapsed="false">
      <c r="A1" s="5" t="s">
        <v>131</v>
      </c>
    </row>
    <row r="2" customFormat="false" ht="15" hidden="false" customHeight="true" outlineLevel="0" collapsed="false">
      <c r="A2" s="11" t="s">
        <v>151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A5" s="4" t="s">
        <v>134</v>
      </c>
      <c r="B5" s="13" t="n">
        <v>2.746</v>
      </c>
    </row>
    <row r="6" customFormat="false" ht="15" hidden="false" customHeight="true" outlineLevel="0" collapsed="false">
      <c r="A6" s="4" t="s">
        <v>135</v>
      </c>
      <c r="B6" s="13" t="n">
        <v>0.8</v>
      </c>
    </row>
    <row r="7" customFormat="false" ht="15" hidden="false" customHeight="true" outlineLevel="0" collapsed="false">
      <c r="A7" s="4" t="s">
        <v>130</v>
      </c>
      <c r="B7" s="13" t="n">
        <v>0.5</v>
      </c>
    </row>
    <row r="8" customFormat="false" ht="15" hidden="false" customHeight="true" outlineLevel="0" collapsed="false">
      <c r="A8" s="4" t="s">
        <v>136</v>
      </c>
      <c r="B8" s="13" t="n">
        <v>8</v>
      </c>
    </row>
    <row r="9" customFormat="false" ht="15" hidden="false" customHeight="true" outlineLevel="0" collapsed="false">
      <c r="A9" s="4" t="s">
        <v>137</v>
      </c>
      <c r="B9" s="13" t="n">
        <v>6500</v>
      </c>
    </row>
    <row r="11" customFormat="false" ht="15" hidden="false" customHeight="true" outlineLevel="0" collapsed="false">
      <c r="C11" s="14" t="n">
        <f aca="false">WEO_Data!C4</f>
        <v>18.85</v>
      </c>
    </row>
    <row r="12" customFormat="false" ht="15" hidden="false" customHeight="true" outlineLevel="0" collapsed="false">
      <c r="C12" s="14" t="n">
        <f aca="false">WEO_Data!J4</f>
        <v>45.21983214</v>
      </c>
    </row>
    <row r="35" customFormat="false" ht="15" hidden="false" customHeight="true" outlineLevel="0" collapsed="false">
      <c r="A35" s="12" t="s">
        <v>139</v>
      </c>
    </row>
    <row r="36" customFormat="false" ht="15" hidden="false" customHeight="true" outlineLevel="0" collapsed="false">
      <c r="A36" s="6" t="s">
        <v>140</v>
      </c>
      <c r="B36" s="6" t="s">
        <v>141</v>
      </c>
      <c r="C36" s="6" t="s">
        <v>142</v>
      </c>
      <c r="D36" s="6" t="s">
        <v>143</v>
      </c>
      <c r="E36" s="6" t="s">
        <v>144</v>
      </c>
      <c r="F36" s="6" t="s">
        <v>145</v>
      </c>
      <c r="G36" s="6" t="s">
        <v>146</v>
      </c>
      <c r="H36" s="6" t="s">
        <v>147</v>
      </c>
      <c r="I36" s="6" t="s">
        <v>148</v>
      </c>
      <c r="J36" s="6" t="s">
        <v>149</v>
      </c>
    </row>
    <row r="37" customFormat="false" ht="15" hidden="false" customHeight="true" outlineLevel="0" collapsed="false">
      <c r="A37" s="15" t="n">
        <v>2026</v>
      </c>
      <c r="B37" s="16" t="n">
        <f aca="false">$B9/$B8</f>
        <v>812.5</v>
      </c>
      <c r="C37" s="16" t="n">
        <f aca="false">B37*$B5</f>
        <v>2231.125</v>
      </c>
      <c r="D37" s="17" t="n">
        <f aca="false">WEO_Data!$H$7</f>
        <v>178.41918294849</v>
      </c>
      <c r="E37" s="16" t="n">
        <f aca="false">C37*D37/100</f>
        <v>3980.7549955595</v>
      </c>
      <c r="F37" s="16" t="n">
        <f aca="false">E37*(1-$B7)*$B6</f>
        <v>1592.3019982238</v>
      </c>
      <c r="G37" s="16" t="n">
        <f aca="false">E37*$B7*$B6</f>
        <v>1592.3019982238</v>
      </c>
      <c r="H37" s="16" t="n">
        <f aca="false">F37+G37</f>
        <v>3184.6039964476</v>
      </c>
      <c r="I37" s="18" t="n">
        <f aca="false">F37/(D37/100)/1000</f>
        <v>0.89245</v>
      </c>
      <c r="J37" s="18" t="n">
        <f aca="false">I37/WEO_Data!$H$5*100</f>
        <v>3.96292184724689</v>
      </c>
    </row>
    <row r="38" customFormat="false" ht="15" hidden="false" customHeight="true" outlineLevel="0" collapsed="false">
      <c r="A38" s="15" t="n">
        <v>2027</v>
      </c>
      <c r="B38" s="16" t="n">
        <f aca="false">$B9/$B8</f>
        <v>812.5</v>
      </c>
      <c r="C38" s="16" t="n">
        <f aca="false">B38*$B5</f>
        <v>2231.125</v>
      </c>
      <c r="D38" s="17" t="n">
        <f aca="false">WEO_Data!$I$7</f>
        <v>179.399323181049</v>
      </c>
      <c r="E38" s="16" t="n">
        <f aca="false">C38*D38/100</f>
        <v>4002.62314932318</v>
      </c>
      <c r="F38" s="16" t="n">
        <f aca="false">E38*(1-$B7)*$B6</f>
        <v>1601.04925972927</v>
      </c>
      <c r="G38" s="16" t="n">
        <f aca="false">E38*$B7*$B6</f>
        <v>1601.04925972927</v>
      </c>
      <c r="H38" s="16" t="n">
        <f aca="false">F38+G38</f>
        <v>3202.09851945854</v>
      </c>
      <c r="I38" s="18" t="n">
        <f aca="false">F38/(D38/100)/1000</f>
        <v>0.89245</v>
      </c>
      <c r="J38" s="18" t="n">
        <f aca="false">I38/WEO_Data!$I$5*100</f>
        <v>3.77516920473773</v>
      </c>
    </row>
    <row r="39" customFormat="false" ht="15" hidden="false" customHeight="true" outlineLevel="0" collapsed="false">
      <c r="A39" s="15" t="n">
        <v>2028</v>
      </c>
      <c r="B39" s="16" t="n">
        <f aca="false">$B9/$B8</f>
        <v>812.5</v>
      </c>
      <c r="C39" s="16" t="n">
        <f aca="false">B39*$B5</f>
        <v>2231.125</v>
      </c>
      <c r="D39" s="17" t="n">
        <f aca="false">WEO_Data!$J$7</f>
        <v>182.176424703892</v>
      </c>
      <c r="E39" s="16" t="n">
        <f aca="false">C39*D39/100</f>
        <v>4064.5837556747</v>
      </c>
      <c r="F39" s="16" t="n">
        <f aca="false">E39*(1-$B7)*$B6</f>
        <v>1625.83350226988</v>
      </c>
      <c r="G39" s="16" t="n">
        <f aca="false">E39*$B7*$B6</f>
        <v>1625.83350226988</v>
      </c>
      <c r="H39" s="16" t="n">
        <f aca="false">F39+G39</f>
        <v>3251.66700453976</v>
      </c>
      <c r="I39" s="18" t="n">
        <f aca="false">F39/(D39/100)/1000</f>
        <v>0.89245</v>
      </c>
      <c r="J39" s="18" t="n">
        <f aca="false">I39/WEO_Data!$J$5*100</f>
        <v>3.59539924260736</v>
      </c>
    </row>
    <row r="40" customFormat="false" ht="15" hidden="false" customHeight="true" outlineLevel="0" collapsed="false">
      <c r="A40" s="15" t="n">
        <v>2029</v>
      </c>
      <c r="B40" s="16" t="n">
        <f aca="false">$B9/$B8</f>
        <v>812.5</v>
      </c>
      <c r="C40" s="16" t="n">
        <f aca="false">B40*$B5</f>
        <v>2231.125</v>
      </c>
      <c r="D40" s="17" t="n">
        <f aca="false">WEO_Data!$K$7</f>
        <v>184.996515758308</v>
      </c>
      <c r="E40" s="16" t="n">
        <f aca="false">C40*D40/100</f>
        <v>4127.50351221255</v>
      </c>
      <c r="F40" s="16" t="n">
        <f aca="false">E40*(1-$B7)*$B6</f>
        <v>1651.00140488502</v>
      </c>
      <c r="G40" s="16" t="n">
        <f aca="false">E40*$B7*$B6</f>
        <v>1651.00140488502</v>
      </c>
      <c r="H40" s="16" t="n">
        <f aca="false">F40+G40</f>
        <v>3302.00280977004</v>
      </c>
      <c r="I40" s="18" t="n">
        <f aca="false">F40/(D40/100)/1000</f>
        <v>0.89245</v>
      </c>
      <c r="J40" s="18" t="n">
        <f aca="false">I40/WEO_Data!$K$5*100</f>
        <v>3.42418975486416</v>
      </c>
    </row>
    <row r="41" customFormat="false" ht="15" hidden="false" customHeight="true" outlineLevel="0" collapsed="false">
      <c r="A41" s="15" t="n">
        <v>2030</v>
      </c>
      <c r="B41" s="16" t="n">
        <f aca="false">$B9/$B8</f>
        <v>812.5</v>
      </c>
      <c r="C41" s="16" t="n">
        <f aca="false">B41*$B5</f>
        <v>2231.125</v>
      </c>
      <c r="D41" s="17" t="n">
        <f aca="false">WEO_Data!$L$7</f>
        <v>187.860261822247</v>
      </c>
      <c r="E41" s="16" t="n">
        <f aca="false">C41*D41/100</f>
        <v>4191.3972665816</v>
      </c>
      <c r="F41" s="16" t="n">
        <f aca="false">E41*(1-$B7)*$B6</f>
        <v>1676.55890663264</v>
      </c>
      <c r="G41" s="16" t="n">
        <f aca="false">E41*$B7*$B6</f>
        <v>1676.55890663264</v>
      </c>
      <c r="H41" s="16" t="n">
        <f aca="false">F41+G41</f>
        <v>3353.11781326528</v>
      </c>
      <c r="I41" s="18" t="n">
        <f aca="false">F41/(D41/100)/1000</f>
        <v>0.89245</v>
      </c>
      <c r="J41" s="18" t="n">
        <f aca="false">I41/WEO_Data!$L$5*100</f>
        <v>3.26113309987063</v>
      </c>
    </row>
    <row r="42" customFormat="false" ht="15" hidden="false" customHeight="true" outlineLevel="0" collapsed="false">
      <c r="A42" s="15" t="n">
        <v>2031</v>
      </c>
      <c r="B42" s="16" t="n">
        <f aca="false">$B9/$B8</f>
        <v>812.5</v>
      </c>
      <c r="C42" s="16" t="n">
        <f aca="false">B42*$B5</f>
        <v>2231.125</v>
      </c>
      <c r="D42" s="17" t="n">
        <f aca="false">WEO_Data!$M$7</f>
        <v>190.768338675255</v>
      </c>
      <c r="E42" s="16" t="n">
        <f aca="false">C42*D42/100</f>
        <v>4256.28009626828</v>
      </c>
      <c r="F42" s="16" t="n">
        <f aca="false">E42*(1-$B7)*$B6</f>
        <v>1702.51203850731</v>
      </c>
      <c r="G42" s="16" t="n">
        <f aca="false">E42*$B7*$B6</f>
        <v>1702.51203850731</v>
      </c>
      <c r="H42" s="16" t="n">
        <f aca="false">F42+G42</f>
        <v>3405.02407701462</v>
      </c>
      <c r="I42" s="18" t="n">
        <f aca="false">F42/(D42/100)/1000</f>
        <v>0.89245</v>
      </c>
      <c r="J42" s="18" t="n">
        <f aca="false">I42/WEO_Data!$M$5*100</f>
        <v>3.10584104749583</v>
      </c>
    </row>
    <row r="43" customFormat="false" ht="15" hidden="false" customHeight="true" outlineLevel="0" collapsed="false">
      <c r="A43" s="15" t="n">
        <v>2032</v>
      </c>
      <c r="B43" s="16" t="n">
        <f aca="false">$B9/$B8</f>
        <v>812.5</v>
      </c>
      <c r="C43" s="16" t="n">
        <f aca="false">B43*$B5</f>
        <v>2231.125</v>
      </c>
      <c r="D43" s="17" t="n">
        <f aca="false">WEO_Data!$N$7</f>
        <v>193.721432557948</v>
      </c>
      <c r="E43" s="16" t="n">
        <f aca="false">C43*D43/100</f>
        <v>4322.16731215851</v>
      </c>
      <c r="F43" s="16" t="n">
        <f aca="false">E43*(1-$B7)*$B6</f>
        <v>1728.86692486341</v>
      </c>
      <c r="G43" s="16" t="n">
        <f aca="false">E43*$B7*$B6</f>
        <v>1728.86692486341</v>
      </c>
      <c r="H43" s="16" t="n">
        <f aca="false">F43+G43</f>
        <v>3457.73384972681</v>
      </c>
      <c r="I43" s="18" t="n">
        <f aca="false">F43/(D43/100)/1000</f>
        <v>0.89245</v>
      </c>
      <c r="J43" s="18" t="n">
        <f aca="false">I43/WEO_Data!$N$5*100</f>
        <v>2.95794385475794</v>
      </c>
    </row>
    <row r="44" customFormat="false" ht="15" hidden="false" customHeight="true" outlineLevel="0" collapsed="false">
      <c r="A44" s="15" t="n">
        <v>2033</v>
      </c>
      <c r="B44" s="16" t="n">
        <f aca="false">$B9/$B8</f>
        <v>812.5</v>
      </c>
      <c r="C44" s="16" t="n">
        <f aca="false">B44*$B5</f>
        <v>2231.125</v>
      </c>
      <c r="D44" s="17" t="n">
        <f aca="false">WEO_Data!$O$7</f>
        <v>196.720240333945</v>
      </c>
      <c r="E44" s="16" t="n">
        <f aca="false">C44*D44/100</f>
        <v>4389.07446215073</v>
      </c>
      <c r="F44" s="16" t="n">
        <f aca="false">E44*(1-$B7)*$B6</f>
        <v>1755.62978486029</v>
      </c>
      <c r="G44" s="16" t="n">
        <f aca="false">E44*$B7*$B6</f>
        <v>1755.62978486029</v>
      </c>
      <c r="H44" s="16" t="n">
        <f aca="false">F44+G44</f>
        <v>3511.25956972058</v>
      </c>
      <c r="I44" s="18" t="n">
        <f aca="false">F44/(D44/100)/1000</f>
        <v>0.89245</v>
      </c>
      <c r="J44" s="18" t="n">
        <f aca="false">I44/WEO_Data!$O$5*100</f>
        <v>2.81708938548375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2026-01-27T22:23:12Z</dcterms:created>
  <dc:creator>openpyxl</dc:creator>
  <dc:description/>
  <dc:language>en-US</dc:language>
  <cp:lastModifiedBy/>
  <dcterms:modified xsi:type="dcterms:W3CDTF">2026-01-27T22:26:53Z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