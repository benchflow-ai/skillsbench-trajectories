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<sst xmlns="http://schemas.openxmlformats.org/spreadsheetml/2006/main" count="1326" uniqueCount="63">
  <si>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</si>
  <si>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</si>
  <si>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</si>
  <si>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</si>
  <si>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Solver Setup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</si>
  <si>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</si>
  <si>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</si>
  <si>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</si>
  <si>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</si>
  <si>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</si>
  <si>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</si>
  <si>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</si>
  <si>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</si>
  <si>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</si>
  <si>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Objective: MIN P5</t>
  </si>
  <si>
    <t xml:space="preserve">By Changing: L6:L27</t>
  </si>
  <si>
    <t xml:space="preserve">Lambda: 100 (in O column)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</si>
  <si>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</si>
  <si>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</si>
  <si>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</si>
  <si>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</si>
  <si>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</si>
  <si>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</si>
  <si>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</si>
  <si>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</si>
  <si>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</si>
  <si>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</si>
  <si>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</si>
  <si>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</si>
  <si>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</si>
  <si>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</si>
  <si>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</si>
  <si>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</si>
  <si>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</si>
  <si>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</si>
  <si>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</si>
  <si>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CFC Source: ECB Data Portal</t>
  </si>
  <si>
    <t xml:space="preserve">Depreciation rate from PWT 11.0 delta</t>
  </si>
  <si>
    <t xml:space="preserve">year</t>
  </si>
  <si>
    <t xml:space="preserve">rnna</t>
  </si>
  <si>
    <t xml:space="preserve">rgdpna</t>
  </si>
  <si>
    <t xml:space="preserve">delta</t>
  </si>
  <si>
    <t xml:space="preserve">Source: Penn World Table 11.0</t>
  </si>
  <si>
    <t xml:space="preserve">https://www.rug.nl/ggdc/productivity/pwt/</t>
  </si>
  <si>
    <t xml:space="preserve">WEO Country Code</t>
  </si>
  <si>
    <t xml:space="preserve">Source: IMF WEO April 2025</t>
  </si>
  <si>
    <t xml:space="preserve">WEO Subject Code</t>
  </si>
  <si>
    <t xml:space="preserve">NGDP_R</t>
  </si>
  <si>
    <t xml:space="preserve">NGDP_RPCH</t>
  </si>
  <si>
    <t xml:space="preserve">https://www.imf.org/en/Publications/WEO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</si>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</sst>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2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1"/>
      <name val="Cambria"/>
      <family val="0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i val="true"/>
      <sz val="9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AVERAGE(PWT!D28:D35)</f>
        <v>0.0421838187612593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  <c r="R4" s="13" t="s">
        <v>4</v>
      </c>
    </row>
    <row r="5" customFormat="false" ht="12" hidden="false" customHeight="true" outlineLevel="0" collapsed="false">
      <c r="D5" s="1" t="s">
        <v>5</v>
      </c>
      <c r="E5" s="1" t="s">
        <v>6</v>
      </c>
      <c r="F5" s="1" t="s">
        <v>7</v>
      </c>
      <c r="G5" s="1" t="s">
        <v>8</v>
      </c>
      <c r="K5" s="5" t="s">
        <v>9</v>
      </c>
      <c r="L5" s="1" t="s">
        <v>10</v>
      </c>
      <c r="M5" s="1" t="s">
        <v>11</v>
      </c>
      <c r="N5" s="6" t="s">
        <v>12</v>
      </c>
      <c r="O5" s="14" t="s">
        <v>13</v>
      </c>
      <c r="P5" s="15" t="n">
        <f aca="false">SUM(O6:O27)</f>
        <v>0.0351497920803057</v>
      </c>
      <c r="R5" s="16" t="s">
        <v>14</v>
      </c>
    </row>
    <row r="6" customFormat="false" ht="12" hidden="false" customHeight="true" outlineLevel="0" collapsed="false">
      <c r="C6" s="1" t="n">
        <v>2002</v>
      </c>
      <c r="D6" s="17" t="n">
        <f aca="false">PWT!B14</f>
        <v>303592.625</v>
      </c>
      <c r="E6" s="1" t="n">
        <f aca="false">PWT!C14</f>
        <v>28105.572265625</v>
      </c>
      <c r="F6" s="1" t="n">
        <f aca="false">LN(D6)</f>
        <v>12.6234420323772</v>
      </c>
      <c r="G6" s="1" t="n">
        <f aca="false">LN(E6)</f>
        <v>10.2437231369305</v>
      </c>
      <c r="K6" s="5" t="n">
        <f aca="false">G6-$B$2*F6</f>
        <v>5.82551842559851</v>
      </c>
      <c r="L6" s="1" t="n">
        <v>5.87494033506919</v>
      </c>
      <c r="N6" s="6" t="n">
        <f aca="false">K6-L6</f>
        <v>-0.0494219094706772</v>
      </c>
      <c r="O6" s="1" t="n">
        <f aca="false">N6^2</f>
        <v>0.00244252513572781</v>
      </c>
      <c r="R6" s="16" t="s">
        <v>15</v>
      </c>
    </row>
    <row r="7" customFormat="false" ht="12" hidden="false" customHeight="true" outlineLevel="0" collapsed="false">
      <c r="C7" s="1" t="n">
        <v>2003</v>
      </c>
      <c r="D7" s="17" t="n">
        <f aca="false">PWT!B15</f>
        <v>307310.28125</v>
      </c>
      <c r="E7" s="1" t="n">
        <f aca="false">PWT!C15</f>
        <v>31213.515625</v>
      </c>
      <c r="F7" s="1" t="n">
        <f aca="false">LN(D7)</f>
        <v>12.6356132042787</v>
      </c>
      <c r="G7" s="1" t="n">
        <f aca="false">LN(E7)</f>
        <v>10.3486064731055</v>
      </c>
      <c r="K7" s="5" t="n">
        <f aca="false">G7-$B$2*F7</f>
        <v>5.92614185160795</v>
      </c>
      <c r="L7" s="1" t="n">
        <v>5.93797631220449</v>
      </c>
      <c r="M7" s="1" t="n">
        <f aca="false">(L8-L7)-(L7-L6)</f>
        <v>-0.000494219094699488</v>
      </c>
      <c r="N7" s="6" t="n">
        <f aca="false">K7-L7</f>
        <v>-0.0118344605965435</v>
      </c>
      <c r="O7" s="1" t="n">
        <f aca="false">N7^2 + 100*M7^2</f>
        <v>0.000164479708967698</v>
      </c>
      <c r="R7" s="16" t="s">
        <v>16</v>
      </c>
    </row>
    <row r="8" customFormat="false" ht="12" hidden="false" customHeight="true" outlineLevel="0" collapsed="false">
      <c r="C8" s="1" t="n">
        <v>2004</v>
      </c>
      <c r="D8" s="17" t="n">
        <f aca="false">PWT!B16</f>
        <v>311984.28125</v>
      </c>
      <c r="E8" s="1" t="n">
        <f aca="false">PWT!C16</f>
        <v>33022.64453125</v>
      </c>
      <c r="F8" s="1" t="n">
        <f aca="false">LN(D8)</f>
        <v>12.6507080849135</v>
      </c>
      <c r="G8" s="1" t="n">
        <f aca="false">LN(E8)</f>
        <v>10.4049488030391</v>
      </c>
      <c r="K8" s="5" t="n">
        <f aca="false">G8-$B$2*F8</f>
        <v>5.97720097331942</v>
      </c>
      <c r="L8" s="1" t="n">
        <v>6.00051807024509</v>
      </c>
      <c r="M8" s="1" t="n">
        <f aca="false">(L9-L8)-(L8-L7)</f>
        <v>-0.0011067827953708</v>
      </c>
      <c r="N8" s="6" t="n">
        <f aca="false">K8-L8</f>
        <v>-0.0233170969256751</v>
      </c>
      <c r="O8" s="1" t="n">
        <f aca="false">N8^2 + 100*M8^2</f>
        <v>0.000666183824654206</v>
      </c>
    </row>
    <row r="9" customFormat="false" ht="12" hidden="false" customHeight="true" outlineLevel="0" collapsed="false">
      <c r="C9" s="1" t="n">
        <v>2005</v>
      </c>
      <c r="D9" s="17" t="n">
        <f aca="false">PWT!B17</f>
        <v>317837.8125</v>
      </c>
      <c r="E9" s="1" t="n">
        <f aca="false">PWT!C17</f>
        <v>36188.953125</v>
      </c>
      <c r="F9" s="1" t="n">
        <f aca="false">LN(D9)</f>
        <v>12.6692965080711</v>
      </c>
      <c r="G9" s="1" t="n">
        <f aca="false">LN(E9)</f>
        <v>10.4965091889496</v>
      </c>
      <c r="K9" s="5" t="n">
        <f aca="false">G9-$B$2*F9</f>
        <v>6.06225541112466</v>
      </c>
      <c r="L9" s="1" t="n">
        <v>6.06195304549032</v>
      </c>
      <c r="M9" s="1" t="n">
        <f aca="false">(L10-L9)-(L9-L8)</f>
        <v>-0.00195251746529923</v>
      </c>
      <c r="N9" s="6" t="n">
        <f aca="false">K9-L9</f>
        <v>0.000302365634339274</v>
      </c>
      <c r="O9" s="1" t="n">
        <f aca="false">N9^2 + 100*M9^2</f>
        <v>0.000381323870206683</v>
      </c>
    </row>
    <row r="10" customFormat="false" ht="12" hidden="false" customHeight="true" outlineLevel="0" collapsed="false">
      <c r="C10" s="1" t="n">
        <v>2006</v>
      </c>
      <c r="D10" s="17" t="n">
        <f aca="false">PWT!B18</f>
        <v>322943.65625</v>
      </c>
      <c r="E10" s="1" t="n">
        <f aca="false">PWT!C18</f>
        <v>39598.22265625</v>
      </c>
      <c r="F10" s="1" t="n">
        <f aca="false">LN(D10)</f>
        <v>12.6852331481341</v>
      </c>
      <c r="G10" s="1" t="n">
        <f aca="false">LN(E10)</f>
        <v>10.5865395138174</v>
      </c>
      <c r="K10" s="5" t="n">
        <f aca="false">G10-$B$2*F10</f>
        <v>6.14670791197047</v>
      </c>
      <c r="L10" s="1" t="n">
        <v>6.12143550327025</v>
      </c>
      <c r="M10" s="1" t="n">
        <f aca="false">(L11-L10)-(L10-L9)</f>
        <v>-0.0027952284788606</v>
      </c>
      <c r="N10" s="6" t="n">
        <f aca="false">K10-L10</f>
        <v>0.0252724087002187</v>
      </c>
      <c r="O10" s="1" t="n">
        <f aca="false">N10^2 + 100*M10^2</f>
        <v>0.00142002486641423</v>
      </c>
    </row>
    <row r="11" customFormat="false" ht="12" hidden="false" customHeight="true" outlineLevel="0" collapsed="false">
      <c r="C11" s="1" t="n">
        <v>2007</v>
      </c>
      <c r="D11" s="17" t="n">
        <f aca="false">PWT!B19</f>
        <v>329445.875</v>
      </c>
      <c r="E11" s="1" t="n">
        <f aca="false">PWT!C19</f>
        <v>44579.19140625</v>
      </c>
      <c r="F11" s="1" t="n">
        <f aca="false">LN(D11)</f>
        <v>12.7051673553955</v>
      </c>
      <c r="G11" s="1" t="n">
        <f aca="false">LN(E11)</f>
        <v>10.705022468737</v>
      </c>
      <c r="K11" s="5" t="n">
        <f aca="false">G11-$B$2*F11</f>
        <v>6.25821389434859</v>
      </c>
      <c r="L11" s="1" t="n">
        <v>6.17812273257132</v>
      </c>
      <c r="M11" s="1" t="n">
        <f aca="false">(L12-L11)-(L11-L10)</f>
        <v>-0.00338521540546033</v>
      </c>
      <c r="N11" s="6" t="n">
        <f aca="false">K11-L11</f>
        <v>0.0800911617772737</v>
      </c>
      <c r="O11" s="1" t="n">
        <f aca="false">N11^2 + 100*M11^2</f>
        <v>0.00756056252897002</v>
      </c>
    </row>
    <row r="12" customFormat="false" ht="12" hidden="false" customHeight="true" outlineLevel="0" collapsed="false">
      <c r="C12" s="1" t="n">
        <v>2008</v>
      </c>
      <c r="D12" s="17" t="n">
        <f aca="false">PWT!B20</f>
        <v>332604.46875</v>
      </c>
      <c r="E12" s="1" t="n">
        <f aca="false">PWT!C20</f>
        <v>45657.16015625</v>
      </c>
      <c r="F12" s="1" t="n">
        <f aca="false">LN(D12)</f>
        <v>12.7147092814595</v>
      </c>
      <c r="G12" s="1" t="n">
        <f aca="false">LN(E12)</f>
        <v>10.7289157227105</v>
      </c>
      <c r="K12" s="5" t="n">
        <f aca="false">G12-$B$2*F12</f>
        <v>6.27876747419964</v>
      </c>
      <c r="L12" s="1" t="n">
        <v>6.23142474646693</v>
      </c>
      <c r="M12" s="1" t="n">
        <f aca="false">(L13-L12)-(L12-L11)</f>
        <v>-0.00317429071423891</v>
      </c>
      <c r="N12" s="6" t="n">
        <f aca="false">K12-L12</f>
        <v>0.0473427277327065</v>
      </c>
      <c r="O12" s="1" t="n">
        <f aca="false">N12^2 + 100*M12^2</f>
        <v>0.00324894602302352</v>
      </c>
    </row>
    <row r="13" customFormat="false" ht="12" hidden="false" customHeight="true" outlineLevel="0" collapsed="false">
      <c r="C13" s="1" t="n">
        <v>2009</v>
      </c>
      <c r="D13" s="17" t="n">
        <f aca="false">PWT!B21</f>
        <v>330608.28125</v>
      </c>
      <c r="E13" s="1" t="n">
        <f aca="false">PWT!C21</f>
        <v>43990.6328125</v>
      </c>
      <c r="F13" s="1" t="n">
        <f aca="false">LN(D13)</f>
        <v>12.7086895132084</v>
      </c>
      <c r="G13" s="1" t="n">
        <f aca="false">LN(E13)</f>
        <v>10.691731999611</v>
      </c>
      <c r="K13" s="5" t="n">
        <f aca="false">G13-$B$2*F13</f>
        <v>6.24369066998804</v>
      </c>
      <c r="L13" s="1" t="n">
        <v>6.2815524696483</v>
      </c>
      <c r="M13" s="1" t="n">
        <f aca="false">(L14-L13)-(L13-L12)</f>
        <v>-0.0024899387457209</v>
      </c>
      <c r="N13" s="6" t="n">
        <f aca="false">K13-L13</f>
        <v>-0.0378617996602646</v>
      </c>
      <c r="O13" s="1" t="n">
        <f aca="false">N13^2 + 100*M13^2</f>
        <v>0.00205349536925823</v>
      </c>
    </row>
    <row r="14" customFormat="false" ht="12" hidden="false" customHeight="true" outlineLevel="0" collapsed="false">
      <c r="C14" s="1" t="n">
        <v>2010</v>
      </c>
      <c r="D14" s="17" t="n">
        <f aca="false">PWT!B22</f>
        <v>332551.53125</v>
      </c>
      <c r="E14" s="1" t="n">
        <f aca="false">PWT!C22</f>
        <v>46739.7890625</v>
      </c>
      <c r="F14" s="1" t="n">
        <f aca="false">LN(D14)</f>
        <v>12.7145501082727</v>
      </c>
      <c r="G14" s="1" t="n">
        <f aca="false">LN(E14)</f>
        <v>10.7523510950852</v>
      </c>
      <c r="K14" s="5" t="n">
        <f aca="false">G14-$B$2*F14</f>
        <v>6.30225855718979</v>
      </c>
      <c r="L14" s="1" t="n">
        <v>6.32919025408395</v>
      </c>
      <c r="M14" s="1" t="n">
        <f aca="false">(L15-L14)-(L14-L13)</f>
        <v>-0.00218420477378967</v>
      </c>
      <c r="N14" s="6" t="n">
        <f aca="false">K14-L14</f>
        <v>-0.026931696894164</v>
      </c>
      <c r="O14" s="1" t="n">
        <f aca="false">N14^2 + 100*M14^2</f>
        <v>0.00120239134698368</v>
      </c>
    </row>
    <row r="15" customFormat="false" ht="12" hidden="false" customHeight="true" outlineLevel="0" collapsed="false">
      <c r="C15" s="1" t="n">
        <v>2011</v>
      </c>
      <c r="D15" s="17" t="n">
        <f aca="false">PWT!B23</f>
        <v>336560.28125</v>
      </c>
      <c r="E15" s="1" t="n">
        <f aca="false">PWT!C23</f>
        <v>50455.2109375</v>
      </c>
      <c r="F15" s="1" t="n">
        <f aca="false">LN(D15)</f>
        <v>12.7265325539249</v>
      </c>
      <c r="G15" s="1" t="n">
        <f aca="false">LN(E15)</f>
        <v>10.8288413095955</v>
      </c>
      <c r="K15" s="5" t="n">
        <f aca="false">G15-$B$2*F15</f>
        <v>6.37455491572177</v>
      </c>
      <c r="L15" s="1" t="n">
        <v>6.37464383374581</v>
      </c>
      <c r="M15" s="1" t="n">
        <f aca="false">(L16-L15)-(L15-L14)</f>
        <v>-0.0021477877707996</v>
      </c>
      <c r="N15" s="6" t="n">
        <f aca="false">K15-L15</f>
        <v>-8.89180240397636E-005</v>
      </c>
      <c r="O15" s="1" t="n">
        <f aca="false">N15^2 + 100*M15^2</f>
        <v>0.000461307137254632</v>
      </c>
    </row>
    <row r="16" customFormat="false" ht="12" hidden="false" customHeight="true" outlineLevel="0" collapsed="false">
      <c r="C16" s="1" t="n">
        <v>2012</v>
      </c>
      <c r="D16" s="17" t="n">
        <f aca="false">PWT!B24</f>
        <v>341471.1875</v>
      </c>
      <c r="E16" s="1" t="n">
        <f aca="false">PWT!C24</f>
        <v>53774.6796875</v>
      </c>
      <c r="F16" s="1" t="n">
        <f aca="false">LN(D16)</f>
        <v>12.741018584009</v>
      </c>
      <c r="G16" s="1" t="n">
        <f aca="false">LN(E16)</f>
        <v>10.8925579975863</v>
      </c>
      <c r="K16" s="5" t="n">
        <f aca="false">G16-$B$2*F16</f>
        <v>6.43320149318319</v>
      </c>
      <c r="L16" s="1" t="n">
        <v>6.41794962563687</v>
      </c>
      <c r="M16" s="1" t="n">
        <f aca="false">(L17-L16)-(L16-L15)</f>
        <v>-0.00211225994806075</v>
      </c>
      <c r="N16" s="6" t="n">
        <f aca="false">K16-L16</f>
        <v>0.0152518675463238</v>
      </c>
      <c r="O16" s="1" t="n">
        <f aca="false">N16^2 + 100*M16^2</f>
        <v>0.000678783672468764</v>
      </c>
    </row>
    <row r="17" customFormat="false" ht="12" hidden="false" customHeight="true" outlineLevel="0" collapsed="false">
      <c r="C17" s="1" t="n">
        <v>2013</v>
      </c>
      <c r="D17" s="17" t="n">
        <f aca="false">PWT!B25</f>
        <v>344239.03125</v>
      </c>
      <c r="E17" s="1" t="n">
        <f aca="false">PWT!C25</f>
        <v>56535.23046875</v>
      </c>
      <c r="F17" s="1" t="n">
        <f aca="false">LN(D17)</f>
        <v>12.7490915533382</v>
      </c>
      <c r="G17" s="1" t="n">
        <f aca="false">LN(E17)</f>
        <v>10.9426192709286</v>
      </c>
      <c r="K17" s="5" t="n">
        <f aca="false">G17-$B$2*F17</f>
        <v>6.48043722726029</v>
      </c>
      <c r="L17" s="1" t="n">
        <v>6.45914315757987</v>
      </c>
      <c r="M17" s="1" t="n">
        <f aca="false">(L18-L17)-(L17-L16)</f>
        <v>-0.00192421344984961</v>
      </c>
      <c r="N17" s="6" t="n">
        <f aca="false">K17-L17</f>
        <v>0.021294069680418</v>
      </c>
      <c r="O17" s="1" t="n">
        <f aca="false">N17^2 + 100*M17^2</f>
        <v>0.000823697143612712</v>
      </c>
    </row>
    <row r="18" customFormat="false" ht="12" hidden="false" customHeight="true" outlineLevel="0" collapsed="false">
      <c r="C18" s="1" t="n">
        <v>2014</v>
      </c>
      <c r="D18" s="17" t="n">
        <f aca="false">PWT!B26</f>
        <v>350962.15625</v>
      </c>
      <c r="E18" s="1" t="n">
        <f aca="false">PWT!C26</f>
        <v>58847.86328125</v>
      </c>
      <c r="F18" s="1" t="n">
        <f aca="false">LN(D18)</f>
        <v>12.7684336796838</v>
      </c>
      <c r="G18" s="1" t="n">
        <f aca="false">LN(E18)</f>
        <v>10.9827108041491</v>
      </c>
      <c r="K18" s="5" t="n">
        <f aca="false">G18-$B$2*F18</f>
        <v>6.51375901625975</v>
      </c>
      <c r="L18" s="1" t="n">
        <v>6.49841247607302</v>
      </c>
      <c r="M18" s="1" t="n">
        <f aca="false">(L19-L18)-(L18-L17)</f>
        <v>-0.00152322625481993</v>
      </c>
      <c r="N18" s="6" t="n">
        <f aca="false">K18-L18</f>
        <v>0.0153465401867319</v>
      </c>
      <c r="O18" s="1" t="n">
        <f aca="false">N18^2 + 100*M18^2</f>
        <v>0.000467538118040252</v>
      </c>
    </row>
    <row r="19" customFormat="false" ht="12" hidden="false" customHeight="true" outlineLevel="0" collapsed="false">
      <c r="C19" s="1" t="n">
        <v>2015</v>
      </c>
      <c r="D19" s="17" t="n">
        <f aca="false">PWT!B27</f>
        <v>360259.8125</v>
      </c>
      <c r="E19" s="1" t="n">
        <f aca="false">PWT!C27</f>
        <v>60819.7421875</v>
      </c>
      <c r="F19" s="1" t="n">
        <f aca="false">LN(D19)</f>
        <v>12.79458075152</v>
      </c>
      <c r="G19" s="1" t="n">
        <f aca="false">LN(E19)</f>
        <v>11.0156697222796</v>
      </c>
      <c r="K19" s="5" t="n">
        <f aca="false">G19-$B$2*F19</f>
        <v>6.5375664592476</v>
      </c>
      <c r="L19" s="1" t="n">
        <v>6.53615856831135</v>
      </c>
      <c r="M19" s="1" t="n">
        <f aca="false">(L20-L19)-(L19-L18)</f>
        <v>-0.00096877365794068</v>
      </c>
      <c r="N19" s="6" t="n">
        <f aca="false">K19-L19</f>
        <v>0.00140789093625138</v>
      </c>
      <c r="O19" s="1" t="n">
        <f aca="false">N19^2 + 100*M19^2</f>
        <v>9.58343969203554E-005</v>
      </c>
    </row>
    <row r="20" customFormat="false" ht="12" hidden="false" customHeight="true" outlineLevel="0" collapsed="false">
      <c r="C20" s="1" t="n">
        <v>2016</v>
      </c>
      <c r="D20" s="17" t="n">
        <f aca="false">PWT!B28</f>
        <v>370547.65625</v>
      </c>
      <c r="E20" s="1" t="n">
        <f aca="false">PWT!C28</f>
        <v>62917.9765625</v>
      </c>
      <c r="F20" s="1" t="n">
        <f aca="false">LN(D20)</f>
        <v>12.8227373423022</v>
      </c>
      <c r="G20" s="1" t="n">
        <f aca="false">LN(E20)</f>
        <v>11.0495871977629</v>
      </c>
      <c r="K20" s="5" t="n">
        <f aca="false">G20-$B$2*F20</f>
        <v>6.56162912795711</v>
      </c>
      <c r="L20" s="1" t="n">
        <v>6.57293588689174</v>
      </c>
      <c r="M20" s="1" t="n">
        <f aca="false">(L21-L20)-(L20-L19)</f>
        <v>-0.000400242151688879</v>
      </c>
      <c r="N20" s="6" t="n">
        <f aca="false">K20-L20</f>
        <v>-0.0113067589346327</v>
      </c>
      <c r="O20" s="1" t="n">
        <f aca="false">N20^2 + 100*M20^2</f>
        <v>0.000143862175604751</v>
      </c>
    </row>
    <row r="21" customFormat="false" ht="12" hidden="false" customHeight="true" outlineLevel="0" collapsed="false">
      <c r="C21" s="1" t="n">
        <v>2017</v>
      </c>
      <c r="D21" s="17" t="n">
        <f aca="false">PWT!B29</f>
        <v>380655.78125</v>
      </c>
      <c r="E21" s="1" t="n">
        <f aca="false">PWT!C29</f>
        <v>66165.234375</v>
      </c>
      <c r="F21" s="1" t="n">
        <f aca="false">LN(D21)</f>
        <v>12.8496507844556</v>
      </c>
      <c r="G21" s="1" t="n">
        <f aca="false">LN(E21)</f>
        <v>11.0999104434815</v>
      </c>
      <c r="K21" s="5" t="n">
        <f aca="false">G21-$B$2*F21</f>
        <v>6.60253266892207</v>
      </c>
      <c r="L21" s="1" t="n">
        <v>6.60931296332044</v>
      </c>
      <c r="M21" s="1" t="n">
        <f aca="false">(L22-L21)-(L21-L20)</f>
        <v>5.52217651987874E-005</v>
      </c>
      <c r="N21" s="6" t="n">
        <f aca="false">K21-L21</f>
        <v>-0.00678029439836969</v>
      </c>
      <c r="O21" s="1" t="n">
        <f aca="false">N21^2 + 100*M21^2</f>
        <v>4.62773364637304E-005</v>
      </c>
    </row>
    <row r="22" customFormat="false" ht="12" hidden="false" customHeight="true" outlineLevel="0" collapsed="false">
      <c r="C22" s="1" t="n">
        <v>2018</v>
      </c>
      <c r="D22" s="17" t="n">
        <f aca="false">PWT!B30</f>
        <v>390625.1875</v>
      </c>
      <c r="E22" s="1" t="n">
        <f aca="false">PWT!C30</f>
        <v>70176.296875</v>
      </c>
      <c r="F22" s="1" t="n">
        <f aca="false">LN(D22)</f>
        <v>12.8755037794727</v>
      </c>
      <c r="G22" s="1" t="n">
        <f aca="false">LN(E22)</f>
        <v>11.1587658816436</v>
      </c>
      <c r="K22" s="5" t="n">
        <f aca="false">G22-$B$2*F22</f>
        <v>6.65233955882813</v>
      </c>
      <c r="L22" s="1" t="n">
        <v>6.64574526151434</v>
      </c>
      <c r="M22" s="1" t="n">
        <f aca="false">(L23-L22)-(L22-L21)</f>
        <v>0.00044288273814086</v>
      </c>
      <c r="N22" s="6" t="n">
        <f aca="false">K22-L22</f>
        <v>0.00659429731379291</v>
      </c>
      <c r="O22" s="1" t="n">
        <f aca="false">N22^2 + 100*M22^2</f>
        <v>6.30992690370109E-005</v>
      </c>
    </row>
    <row r="23" customFormat="false" ht="12" hidden="false" customHeight="true" outlineLevel="0" collapsed="false">
      <c r="C23" s="1" t="n">
        <v>2019</v>
      </c>
      <c r="D23" s="17" t="n">
        <f aca="false">PWT!B31</f>
        <v>399934.28125</v>
      </c>
      <c r="E23" s="1" t="n">
        <f aca="false">PWT!C31</f>
        <v>73951.9765625</v>
      </c>
      <c r="F23" s="1" t="n">
        <f aca="false">LN(D23)</f>
        <v>12.8990555157169</v>
      </c>
      <c r="G23" s="1" t="n">
        <f aca="false">LN(E23)</f>
        <v>11.2111711961455</v>
      </c>
      <c r="K23" s="5" t="n">
        <f aca="false">G23-$B$2*F23</f>
        <v>6.69650176564459</v>
      </c>
      <c r="L23" s="1" t="n">
        <v>6.68262044244638</v>
      </c>
      <c r="M23" s="1" t="n">
        <f aca="false">(L24-L23)-(L23-L22)</f>
        <v>0.000896486684159648</v>
      </c>
      <c r="N23" s="6" t="n">
        <f aca="false">K23-L23</f>
        <v>0.0138813231982109</v>
      </c>
      <c r="O23" s="1" t="n">
        <f aca="false">N23^2 + 100*M23^2</f>
        <v>0.000273059971220744</v>
      </c>
    </row>
    <row r="24" customFormat="false" ht="12" hidden="false" customHeight="true" outlineLevel="0" collapsed="false">
      <c r="C24" s="1" t="n">
        <v>2020</v>
      </c>
      <c r="D24" s="17" t="n">
        <f aca="false">PWT!B32</f>
        <v>405156.15625</v>
      </c>
      <c r="E24" s="1" t="n">
        <f aca="false">PWT!C32</f>
        <v>69299.46875</v>
      </c>
      <c r="F24" s="1" t="n">
        <f aca="false">LN(D24)</f>
        <v>12.9120278427629</v>
      </c>
      <c r="G24" s="1" t="n">
        <f aca="false">LN(E24)</f>
        <v>11.1461925192034</v>
      </c>
      <c r="K24" s="5" t="n">
        <f aca="false">G24-$B$2*F24</f>
        <v>6.62698277423642</v>
      </c>
      <c r="L24" s="1" t="n">
        <v>6.72039211006258</v>
      </c>
      <c r="M24" s="1" t="n">
        <f aca="false">(L25-L24)-(L24-L23)</f>
        <v>0.00148890386223055</v>
      </c>
      <c r="N24" s="6" t="n">
        <f aca="false">K24-L24</f>
        <v>-0.0934093358261627</v>
      </c>
      <c r="O24" s="1" t="n">
        <f aca="false">N24^2 + 100*M24^2</f>
        <v>0.00894698749058136</v>
      </c>
    </row>
    <row r="25" customFormat="false" ht="12" hidden="false" customHeight="true" outlineLevel="0" collapsed="false">
      <c r="C25" s="1" t="n">
        <v>2021</v>
      </c>
      <c r="D25" s="17" t="n">
        <f aca="false">PWT!B33</f>
        <v>409189.75</v>
      </c>
      <c r="E25" s="1" t="n">
        <f aca="false">PWT!C33</f>
        <v>76675.71875</v>
      </c>
      <c r="F25" s="1" t="n">
        <f aca="false">LN(D25)</f>
        <v>12.92193426387</v>
      </c>
      <c r="G25" s="1" t="n">
        <f aca="false">LN(E25)</f>
        <v>11.2473403629196</v>
      </c>
      <c r="K25" s="5" t="n">
        <f aca="false">G25-$B$2*F25</f>
        <v>6.7246633705651</v>
      </c>
      <c r="L25" s="1" t="n">
        <v>6.75965268154101</v>
      </c>
      <c r="M25" s="1" t="n">
        <f aca="false">(L26-L25)-(L25-L24)</f>
        <v>0.00114722768196884</v>
      </c>
      <c r="N25" s="6" t="n">
        <f aca="false">K25-L25</f>
        <v>-0.0349893109759138</v>
      </c>
      <c r="O25" s="1" t="n">
        <f aca="false">N25^2 + 100*M25^2</f>
        <v>0.00135586501799677</v>
      </c>
    </row>
    <row r="26" customFormat="false" ht="12" hidden="false" customHeight="true" outlineLevel="0" collapsed="false">
      <c r="C26" s="1" t="n">
        <v>2022</v>
      </c>
      <c r="D26" s="17" t="n">
        <f aca="false">PWT!B34</f>
        <v>415085.84375</v>
      </c>
      <c r="E26" s="1" t="n">
        <f aca="false">PWT!C34</f>
        <v>85079.0234375</v>
      </c>
      <c r="F26" s="1" t="n">
        <f aca="false">LN(D26)</f>
        <v>12.9362406302315</v>
      </c>
      <c r="G26" s="1" t="n">
        <f aca="false">LN(E26)</f>
        <v>11.3513357910807</v>
      </c>
      <c r="K26" s="5" t="n">
        <f aca="false">G26-$B$2*F26</f>
        <v>6.82365157049968</v>
      </c>
      <c r="L26" s="1" t="n">
        <v>6.80006048070141</v>
      </c>
      <c r="M26" s="1" t="n">
        <f aca="false">(L27-L26)-(L26-L25)</f>
        <v>0.000455658392001013</v>
      </c>
      <c r="N26" s="6" t="n">
        <f aca="false">K26-L26</f>
        <v>0.0235910897982699</v>
      </c>
      <c r="O26" s="1" t="n">
        <f aca="false">N26^2 + 100*M26^2</f>
        <v>0.000577301974890127</v>
      </c>
    </row>
    <row r="27" customFormat="false" ht="12" hidden="false" customHeight="true" outlineLevel="0" collapsed="false">
      <c r="C27" s="1" t="n">
        <v>2023</v>
      </c>
      <c r="D27" s="17" t="n">
        <f aca="false">PWT!B35</f>
        <v>426190.5</v>
      </c>
      <c r="E27" s="1" t="n">
        <f aca="false">PWT!C35</f>
        <v>91437.8125</v>
      </c>
      <c r="F27" s="1" t="n">
        <f aca="false">LN(D27)</f>
        <v>12.9626417083935</v>
      </c>
      <c r="G27" s="1" t="n">
        <f aca="false">LN(E27)</f>
        <v>11.4234143753916</v>
      </c>
      <c r="K27" s="7" t="n">
        <f aca="false">G27-$B$2*F27</f>
        <v>6.8864897774539</v>
      </c>
      <c r="L27" s="8" t="n">
        <v>6.84092393825381</v>
      </c>
      <c r="M27" s="8"/>
      <c r="N27" s="9" t="n">
        <f aca="false">K27-L27</f>
        <v>0.0455658392000897</v>
      </c>
      <c r="O27" s="1" t="n">
        <f aca="false">N27^2</f>
        <v>0.00207624570200843</v>
      </c>
    </row>
    <row r="35" customFormat="false" ht="12" hidden="false" customHeight="true" outlineLevel="0" collapsed="false">
      <c r="D35" s="1" t="s">
        <v>17</v>
      </c>
      <c r="E35" s="1" t="s">
        <v>5</v>
      </c>
      <c r="F35" s="1" t="s">
        <v>18</v>
      </c>
      <c r="G35" s="1" t="s">
        <v>19</v>
      </c>
      <c r="H35" s="1" t="s">
        <v>20</v>
      </c>
      <c r="I35" s="1" t="s">
        <v>21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27</v>
      </c>
      <c r="P35" s="1" t="s">
        <v>28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10.8018659833984</v>
      </c>
      <c r="E36" s="17" t="n">
        <f aca="false">PWT!B14</f>
        <v>303592.625</v>
      </c>
      <c r="F36" s="1" t="n">
        <f aca="false">PWT!C14</f>
        <v>28105.572265625</v>
      </c>
      <c r="G36" s="1" t="n">
        <f aca="false">L6</f>
        <v>5.87494033506919</v>
      </c>
      <c r="H36" s="1" t="n">
        <f aca="false">EXP(G36+$B$2*LN(E36))</f>
        <v>29529.5001104467</v>
      </c>
      <c r="I36" s="1" t="n">
        <v>0</v>
      </c>
      <c r="J36" s="1" t="n">
        <f aca="false">I36</f>
        <v>0</v>
      </c>
      <c r="K36" s="17" t="n">
        <f aca="false">E36</f>
        <v>303592.625</v>
      </c>
      <c r="L36" s="1" t="n">
        <f aca="false">EXP(G36+$B$2*LN(K36))</f>
        <v>29529.5001104467</v>
      </c>
      <c r="M36" s="1" t="n">
        <f aca="false">L36-H36</f>
        <v>0</v>
      </c>
      <c r="N36" s="1" t="n">
        <f aca="false">F36+M36</f>
        <v>28105.572265625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9.84542353197358</v>
      </c>
      <c r="E37" s="17" t="n">
        <f aca="false">PWT!B15</f>
        <v>307310.28125</v>
      </c>
      <c r="F37" s="1" t="n">
        <f aca="false">PWT!C15</f>
        <v>31213.515625</v>
      </c>
      <c r="G37" s="1" t="n">
        <f aca="false">L7</f>
        <v>5.93797631220449</v>
      </c>
      <c r="H37" s="1" t="n">
        <f aca="false">EXP(G37+$B$2*LN(E37))</f>
        <v>31585.1051898877</v>
      </c>
      <c r="I37" s="1" t="n">
        <v>0</v>
      </c>
      <c r="J37" s="1" t="n">
        <f aca="false">I37</f>
        <v>0</v>
      </c>
      <c r="K37" s="17" t="n">
        <f aca="false">E37+(K36-E36)*(1-$B$3)+I37</f>
        <v>307310.28125</v>
      </c>
      <c r="L37" s="1" t="n">
        <f aca="false">EXP(G37+$B$2*LN(K37))</f>
        <v>31585.1051898877</v>
      </c>
      <c r="M37" s="1" t="n">
        <f aca="false">L37-H37</f>
        <v>0</v>
      </c>
      <c r="N37" s="1" t="n">
        <f aca="false">F37+M37</f>
        <v>31213.515625</v>
      </c>
      <c r="O37" s="1" t="n">
        <f aca="false">(N37-N36)/N36</f>
        <v>0.110581038165739</v>
      </c>
      <c r="P37" s="1" t="n">
        <f aca="false">(F37-F36)/F36</f>
        <v>0.110581038165739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9.44758621480975</v>
      </c>
      <c r="E38" s="17" t="n">
        <f aca="false">PWT!B16</f>
        <v>311984.28125</v>
      </c>
      <c r="F38" s="1" t="n">
        <f aca="false">PWT!C16</f>
        <v>33022.64453125</v>
      </c>
      <c r="G38" s="1" t="n">
        <f aca="false">L8</f>
        <v>6.00051807024509</v>
      </c>
      <c r="H38" s="1" t="n">
        <f aca="false">EXP(G38+$B$2*LN(E38))</f>
        <v>33801.6839070317</v>
      </c>
      <c r="I38" s="1" t="n">
        <v>0</v>
      </c>
      <c r="J38" s="1" t="n">
        <f aca="false">I38</f>
        <v>0</v>
      </c>
      <c r="K38" s="17" t="n">
        <f aca="false">E38+(K37-E37)*(1-$B$3)+I38</f>
        <v>311984.28125</v>
      </c>
      <c r="L38" s="1" t="n">
        <f aca="false">EXP(G38+$B$2*LN(K38))</f>
        <v>33801.6839070317</v>
      </c>
      <c r="M38" s="1" t="n">
        <f aca="false">L38-H38</f>
        <v>0</v>
      </c>
      <c r="N38" s="1" t="n">
        <f aca="false">F38+M38</f>
        <v>33022.64453125</v>
      </c>
      <c r="O38" s="1" t="n">
        <f aca="false">(N38-N37)/N37</f>
        <v>0.0579597930583957</v>
      </c>
      <c r="P38" s="1" t="n">
        <f aca="false">(F38-F37)/F37</f>
        <v>0.0579597930583957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8.78273022715409</v>
      </c>
      <c r="E39" s="17" t="n">
        <f aca="false">PWT!B17</f>
        <v>317837.8125</v>
      </c>
      <c r="F39" s="1" t="n">
        <f aca="false">PWT!C17</f>
        <v>36188.953125</v>
      </c>
      <c r="G39" s="1" t="n">
        <f aca="false">L9</f>
        <v>6.06195304549032</v>
      </c>
      <c r="H39" s="1" t="n">
        <f aca="false">EXP(G39+$B$2*LN(E39))</f>
        <v>36178.0124833527</v>
      </c>
      <c r="I39" s="1" t="n">
        <v>0</v>
      </c>
      <c r="J39" s="1" t="n">
        <f aca="false">I39</f>
        <v>0</v>
      </c>
      <c r="K39" s="17" t="n">
        <f aca="false">E39+(K38-E38)*(1-$B$3)+I39</f>
        <v>317837.8125</v>
      </c>
      <c r="L39" s="1" t="n">
        <f aca="false">EXP(G39+$B$2*LN(K39))</f>
        <v>36178.0124833527</v>
      </c>
      <c r="M39" s="1" t="n">
        <f aca="false">L39-H39</f>
        <v>0</v>
      </c>
      <c r="N39" s="1" t="n">
        <f aca="false">F39+M39</f>
        <v>36188.953125</v>
      </c>
      <c r="O39" s="1" t="n">
        <f aca="false">(N39-N38)/N38</f>
        <v>0.0958829505842168</v>
      </c>
      <c r="P39" s="1" t="n">
        <f aca="false">(F39-F38)/F38</f>
        <v>0.0958829505842168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8.15550887355365</v>
      </c>
      <c r="E40" s="17" t="n">
        <f aca="false">PWT!B18</f>
        <v>322943.65625</v>
      </c>
      <c r="F40" s="1" t="n">
        <f aca="false">PWT!C18</f>
        <v>39598.22265625</v>
      </c>
      <c r="G40" s="1" t="n">
        <f aca="false">L10</f>
        <v>6.12143550327025</v>
      </c>
      <c r="H40" s="1" t="n">
        <f aca="false">EXP(G40+$B$2*LN(E40))</f>
        <v>38610.0199173171</v>
      </c>
      <c r="I40" s="1" t="n">
        <v>0</v>
      </c>
      <c r="J40" s="1" t="n">
        <f aca="false">I40</f>
        <v>0</v>
      </c>
      <c r="K40" s="17" t="n">
        <f aca="false">E40+(K39-E39)*(1-$B$3)+I40</f>
        <v>322943.65625</v>
      </c>
      <c r="L40" s="1" t="n">
        <f aca="false">EXP(G40+$B$2*LN(K40))</f>
        <v>38610.0199173171</v>
      </c>
      <c r="M40" s="1" t="n">
        <f aca="false">L40-H40</f>
        <v>0</v>
      </c>
      <c r="N40" s="1" t="n">
        <f aca="false">F40+M40</f>
        <v>39598.22265625</v>
      </c>
      <c r="O40" s="1" t="n">
        <f aca="false">(N40-N39)/N39</f>
        <v>0.094207464898862</v>
      </c>
      <c r="P40" s="1" t="n">
        <f aca="false">(F40-F39)/F39</f>
        <v>0.094207464898862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7.39012675213781</v>
      </c>
      <c r="E41" s="17" t="n">
        <f aca="false">PWT!B19</f>
        <v>329445.875</v>
      </c>
      <c r="F41" s="1" t="n">
        <f aca="false">PWT!C19</f>
        <v>44579.19140625</v>
      </c>
      <c r="G41" s="1" t="n">
        <f aca="false">L11</f>
        <v>6.17812273257132</v>
      </c>
      <c r="H41" s="1" t="n">
        <f aca="false">EXP(G41+$B$2*LN(E41))</f>
        <v>41148.0289973684</v>
      </c>
      <c r="I41" s="1" t="n">
        <v>0</v>
      </c>
      <c r="J41" s="1" t="n">
        <f aca="false">I41</f>
        <v>0</v>
      </c>
      <c r="K41" s="17" t="n">
        <f aca="false">E41+(K40-E40)*(1-$B$3)+I41</f>
        <v>329445.875</v>
      </c>
      <c r="L41" s="1" t="n">
        <f aca="false">EXP(G41+$B$2*LN(K41))</f>
        <v>41148.0289973684</v>
      </c>
      <c r="M41" s="1" t="n">
        <f aca="false">L41-H41</f>
        <v>0</v>
      </c>
      <c r="N41" s="1" t="n">
        <f aca="false">F41+M41</f>
        <v>44579.19140625</v>
      </c>
      <c r="O41" s="1" t="n">
        <f aca="false">(N41-N40)/N40</f>
        <v>0.125787684796854</v>
      </c>
      <c r="P41" s="1" t="n">
        <f aca="false">(F41-F40)/F40</f>
        <v>0.125787684796854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7.28482602973435</v>
      </c>
      <c r="E42" s="17" t="n">
        <f aca="false">PWT!B20</f>
        <v>332604.46875</v>
      </c>
      <c r="F42" s="1" t="n">
        <f aca="false">PWT!C20</f>
        <v>45657.16015625</v>
      </c>
      <c r="G42" s="1" t="n">
        <f aca="false">L12</f>
        <v>6.23142474646693</v>
      </c>
      <c r="H42" s="1" t="n">
        <f aca="false">EXP(G42+$B$2*LN(E42))</f>
        <v>43545.9941372058</v>
      </c>
      <c r="I42" s="1" t="n">
        <v>0</v>
      </c>
      <c r="J42" s="1" t="n">
        <f aca="false">I42</f>
        <v>0</v>
      </c>
      <c r="K42" s="17" t="n">
        <f aca="false">E42+(K41-E41)*(1-$B$3)+I42</f>
        <v>332604.46875</v>
      </c>
      <c r="L42" s="1" t="n">
        <f aca="false">EXP(G42+$B$2*LN(K42))</f>
        <v>43545.9941372058</v>
      </c>
      <c r="M42" s="1" t="n">
        <f aca="false">L42-H42</f>
        <v>0</v>
      </c>
      <c r="N42" s="1" t="n">
        <f aca="false">F42+M42</f>
        <v>45657.16015625</v>
      </c>
      <c r="O42" s="1" t="n">
        <f aca="false">(N42-N41)/N41</f>
        <v>0.0241809848046923</v>
      </c>
      <c r="P42" s="1" t="n">
        <f aca="false">(F42-F41)/F41</f>
        <v>0.0241809848046923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7.51542453729052</v>
      </c>
      <c r="E43" s="17" t="n">
        <f aca="false">PWT!B21</f>
        <v>330608.28125</v>
      </c>
      <c r="F43" s="1" t="n">
        <f aca="false">PWT!C21</f>
        <v>43990.6328125</v>
      </c>
      <c r="G43" s="1" t="n">
        <f aca="false">L13</f>
        <v>6.2815524696483</v>
      </c>
      <c r="H43" s="1" t="n">
        <f aca="false">EXP(G43+$B$2*LN(E43))</f>
        <v>45688.1297050598</v>
      </c>
      <c r="I43" s="1" t="n">
        <v>0</v>
      </c>
      <c r="J43" s="1" t="n">
        <f aca="false">I43</f>
        <v>0</v>
      </c>
      <c r="K43" s="17" t="n">
        <f aca="false">E43+(K42-E42)*(1-$B$3)+I43</f>
        <v>330608.28125</v>
      </c>
      <c r="L43" s="1" t="n">
        <f aca="false">EXP(G43+$B$2*LN(K43))</f>
        <v>45688.1297050598</v>
      </c>
      <c r="M43" s="1" t="n">
        <f aca="false">L43-H43</f>
        <v>0</v>
      </c>
      <c r="N43" s="1" t="n">
        <f aca="false">F43+M43</f>
        <v>43990.6328125</v>
      </c>
      <c r="O43" s="1" t="n">
        <f aca="false">(N43-N42)/N42</f>
        <v>-0.0365008979543786</v>
      </c>
      <c r="P43" s="1" t="n">
        <f aca="false">(F43-F42)/F42</f>
        <v>-0.0365008979543786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7.11495575654643</v>
      </c>
      <c r="E44" s="17" t="n">
        <f aca="false">PWT!B22</f>
        <v>332551.53125</v>
      </c>
      <c r="F44" s="1" t="n">
        <f aca="false">PWT!C22</f>
        <v>46739.7890625</v>
      </c>
      <c r="G44" s="1" t="n">
        <f aca="false">L14</f>
        <v>6.32919025408395</v>
      </c>
      <c r="H44" s="1" t="n">
        <f aca="false">EXP(G44+$B$2*LN(E44))</f>
        <v>48015.674659055</v>
      </c>
      <c r="I44" s="1" t="n">
        <v>0</v>
      </c>
      <c r="J44" s="1" t="n">
        <f aca="false">I44</f>
        <v>0</v>
      </c>
      <c r="K44" s="17" t="n">
        <f aca="false">E44+(K43-E43)*(1-$B$3)+I44</f>
        <v>332551.53125</v>
      </c>
      <c r="L44" s="1" t="n">
        <f aca="false">EXP(G44+$B$2*LN(K44))</f>
        <v>48015.674659055</v>
      </c>
      <c r="M44" s="1" t="n">
        <f aca="false">L44-H44</f>
        <v>0</v>
      </c>
      <c r="N44" s="1" t="n">
        <f aca="false">F44+M44</f>
        <v>46739.7890625</v>
      </c>
      <c r="O44" s="1" t="n">
        <f aca="false">(N44-N43)/N43</f>
        <v>0.0624941282776642</v>
      </c>
      <c r="P44" s="1" t="n">
        <f aca="false">(F44-F43)/F43</f>
        <v>0.0624941282776642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6.67047615095505</v>
      </c>
      <c r="E45" s="17" t="n">
        <f aca="false">PWT!B23</f>
        <v>336560.28125</v>
      </c>
      <c r="F45" s="1" t="n">
        <f aca="false">PWT!C23</f>
        <v>50455.2109375</v>
      </c>
      <c r="G45" s="1" t="n">
        <f aca="false">L15</f>
        <v>6.37464383374581</v>
      </c>
      <c r="H45" s="1" t="n">
        <f aca="false">EXP(G45+$B$2*LN(E45))</f>
        <v>50459.6975146249</v>
      </c>
      <c r="I45" s="1" t="n">
        <v>0</v>
      </c>
      <c r="J45" s="1" t="n">
        <f aca="false">I45</f>
        <v>0</v>
      </c>
      <c r="K45" s="17" t="n">
        <f aca="false">E45+(K44-E44)*(1-$B$3)+I45</f>
        <v>336560.28125</v>
      </c>
      <c r="L45" s="1" t="n">
        <f aca="false">EXP(G45+$B$2*LN(K45))</f>
        <v>50459.6975146249</v>
      </c>
      <c r="M45" s="1" t="n">
        <f aca="false">L45-H45</f>
        <v>0</v>
      </c>
      <c r="N45" s="1" t="n">
        <f aca="false">F45+M45</f>
        <v>50455.2109375</v>
      </c>
      <c r="O45" s="1" t="n">
        <f aca="false">(N45-N44)/N44</f>
        <v>0.0794916269312164</v>
      </c>
      <c r="P45" s="1" t="n">
        <f aca="false">(F45-F44)/F44</f>
        <v>0.0794916269312164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6.35003666194548</v>
      </c>
      <c r="E46" s="17" t="n">
        <f aca="false">PWT!B24</f>
        <v>341471.1875</v>
      </c>
      <c r="F46" s="1" t="n">
        <f aca="false">PWT!C24</f>
        <v>53774.6796875</v>
      </c>
      <c r="G46" s="1" t="n">
        <f aca="false">L16</f>
        <v>6.41794962563687</v>
      </c>
      <c r="H46" s="1" t="n">
        <f aca="false">EXP(G46+$B$2*LN(E46))</f>
        <v>52960.7382373121</v>
      </c>
      <c r="I46" s="1" t="n">
        <v>0</v>
      </c>
      <c r="J46" s="1" t="n">
        <f aca="false">I46</f>
        <v>0</v>
      </c>
      <c r="K46" s="17" t="n">
        <f aca="false">E46+(K45-E45)*(1-$B$3)+I46</f>
        <v>341471.1875</v>
      </c>
      <c r="L46" s="1" t="n">
        <f aca="false">EXP(G46+$B$2*LN(K46))</f>
        <v>52960.7382373121</v>
      </c>
      <c r="M46" s="1" t="n">
        <f aca="false">L46-H46</f>
        <v>0</v>
      </c>
      <c r="N46" s="1" t="n">
        <f aca="false">F46+M46</f>
        <v>53774.6796875</v>
      </c>
      <c r="O46" s="1" t="n">
        <f aca="false">(N46-N45)/N45</f>
        <v>0.0657904047633831</v>
      </c>
      <c r="P46" s="1" t="n">
        <f aca="false">(F46-F45)/F45</f>
        <v>0.0657904047633831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6.08892947628964</v>
      </c>
      <c r="E47" s="17" t="n">
        <f aca="false">PWT!B25</f>
        <v>344239.03125</v>
      </c>
      <c r="F47" s="1" t="n">
        <f aca="false">PWT!C25</f>
        <v>56535.23046875</v>
      </c>
      <c r="G47" s="1" t="n">
        <f aca="false">L17</f>
        <v>6.45914315757987</v>
      </c>
      <c r="H47" s="1" t="n">
        <f aca="false">EXP(G47+$B$2*LN(E47))</f>
        <v>55344.0924285021</v>
      </c>
      <c r="I47" s="1" t="n">
        <v>0</v>
      </c>
      <c r="J47" s="1" t="n">
        <f aca="false">I47</f>
        <v>0</v>
      </c>
      <c r="K47" s="17" t="n">
        <f aca="false">E47+(K46-E46)*(1-$B$3)+I47</f>
        <v>344239.03125</v>
      </c>
      <c r="L47" s="1" t="n">
        <f aca="false">EXP(G47+$B$2*LN(K47))</f>
        <v>55344.0924285021</v>
      </c>
      <c r="M47" s="1" t="n">
        <f aca="false">L47-H47</f>
        <v>0</v>
      </c>
      <c r="N47" s="1" t="n">
        <f aca="false">F47+M47</f>
        <v>56535.23046875</v>
      </c>
      <c r="O47" s="1" t="n">
        <f aca="false">(N47-N46)/N46</f>
        <v>0.0513355132432652</v>
      </c>
      <c r="P47" s="1" t="n">
        <f aca="false">(F47-F46)/F46</f>
        <v>0.0513355132432652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5.96388953958542</v>
      </c>
      <c r="E48" s="17" t="n">
        <f aca="false">PWT!B26</f>
        <v>350962.15625</v>
      </c>
      <c r="F48" s="1" t="n">
        <f aca="false">PWT!C26</f>
        <v>58847.86328125</v>
      </c>
      <c r="G48" s="1" t="n">
        <f aca="false">L18</f>
        <v>6.49841247607302</v>
      </c>
      <c r="H48" s="1" t="n">
        <f aca="false">EXP(G48+$B$2*LN(E48))</f>
        <v>57951.6466839132</v>
      </c>
      <c r="I48" s="1" t="n">
        <v>0</v>
      </c>
      <c r="J48" s="1" t="n">
        <f aca="false">I48</f>
        <v>0</v>
      </c>
      <c r="K48" s="17" t="n">
        <f aca="false">E48+(K47-E47)*(1-$B$3)+I48</f>
        <v>350962.15625</v>
      </c>
      <c r="L48" s="1" t="n">
        <f aca="false">EXP(G48+$B$2*LN(K48))</f>
        <v>57951.6466839132</v>
      </c>
      <c r="M48" s="1" t="n">
        <f aca="false">L48-H48</f>
        <v>0</v>
      </c>
      <c r="N48" s="1" t="n">
        <f aca="false">F48+M48</f>
        <v>58847.86328125</v>
      </c>
      <c r="O48" s="1" t="n">
        <f aca="false">(N48-N47)/N47</f>
        <v>0.0409060473146619</v>
      </c>
      <c r="P48" s="1" t="n">
        <f aca="false">(F48-F47)/F47</f>
        <v>0.0409060473146619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5.92340249304843</v>
      </c>
      <c r="E49" s="17" t="n">
        <f aca="false">PWT!B27</f>
        <v>360259.8125</v>
      </c>
      <c r="F49" s="1" t="n">
        <f aca="false">PWT!C27</f>
        <v>60819.7421875</v>
      </c>
      <c r="G49" s="1" t="n">
        <f aca="false">L19</f>
        <v>6.53615856831135</v>
      </c>
      <c r="H49" s="1" t="n">
        <f aca="false">EXP(G49+$B$2*LN(E49))</f>
        <v>60734.1748725866</v>
      </c>
      <c r="I49" s="1" t="n">
        <v>0</v>
      </c>
      <c r="J49" s="1" t="n">
        <f aca="false">I49</f>
        <v>0</v>
      </c>
      <c r="K49" s="17" t="n">
        <f aca="false">E49+(K48-E48)*(1-$B$3)+I49</f>
        <v>360259.8125</v>
      </c>
      <c r="L49" s="1" t="n">
        <f aca="false">EXP(G49+$B$2*LN(K49))</f>
        <v>60734.1748725866</v>
      </c>
      <c r="M49" s="1" t="n">
        <f aca="false">L49-H49</f>
        <v>0</v>
      </c>
      <c r="N49" s="1" t="n">
        <f aca="false">F49+M49</f>
        <v>60819.7421875</v>
      </c>
      <c r="O49" s="1" t="n">
        <f aca="false">(N49-N48)/N48</f>
        <v>0.0335080799251088</v>
      </c>
      <c r="P49" s="1" t="n">
        <f aca="false">(F49-F48)/F48</f>
        <v>0.0335080799251088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5.88937655809567</v>
      </c>
      <c r="E50" s="17" t="n">
        <f aca="false">PWT!B28</f>
        <v>370547.65625</v>
      </c>
      <c r="F50" s="1" t="n">
        <f aca="false">PWT!C28</f>
        <v>62917.9765625</v>
      </c>
      <c r="G50" s="1" t="n">
        <f aca="false">L20</f>
        <v>6.57293588689174</v>
      </c>
      <c r="H50" s="1" t="n">
        <f aca="false">EXP(G50+$B$2*LN(E50))</f>
        <v>63633.4119620226</v>
      </c>
      <c r="I50" s="1" t="n">
        <v>0</v>
      </c>
      <c r="J50" s="1" t="n">
        <f aca="false">I50</f>
        <v>0</v>
      </c>
      <c r="K50" s="17" t="n">
        <f aca="false">E50+(K49-E49)*(1-$B$3)+I50</f>
        <v>370547.65625</v>
      </c>
      <c r="L50" s="1" t="n">
        <f aca="false">EXP(G50+$B$2*LN(K50))</f>
        <v>63633.4119620226</v>
      </c>
      <c r="M50" s="1" t="n">
        <f aca="false">L50-H50</f>
        <v>0</v>
      </c>
      <c r="N50" s="1" t="n">
        <f aca="false">F50+M50</f>
        <v>62917.9765625</v>
      </c>
      <c r="O50" s="1" t="n">
        <f aca="false">(N50-N49)/N49</f>
        <v>0.0344992316562506</v>
      </c>
      <c r="P50" s="1" t="n">
        <f aca="false">(F50-F49)/F49</f>
        <v>0.0344992316562506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5.75310863545928</v>
      </c>
      <c r="E51" s="17" t="n">
        <f aca="false">PWT!B29</f>
        <v>380655.78125</v>
      </c>
      <c r="F51" s="1" t="n">
        <f aca="false">PWT!C29</f>
        <v>66165.234375</v>
      </c>
      <c r="G51" s="1" t="n">
        <f aca="false">L21</f>
        <v>6.60931296332044</v>
      </c>
      <c r="H51" s="1" t="n">
        <f aca="false">EXP(G51+$B$2*LN(E51))</f>
        <v>66615.378473238</v>
      </c>
      <c r="I51" s="1" t="n">
        <v>0</v>
      </c>
      <c r="J51" s="1" t="n">
        <f aca="false">I51</f>
        <v>0</v>
      </c>
      <c r="K51" s="17" t="n">
        <f aca="false">E51+(K50-E50)*(1-$B$3)+I51</f>
        <v>380655.78125</v>
      </c>
      <c r="L51" s="1" t="n">
        <f aca="false">EXP(G51+$B$2*LN(K51))</f>
        <v>66615.378473238</v>
      </c>
      <c r="M51" s="1" t="n">
        <f aca="false">L51-H51</f>
        <v>0</v>
      </c>
      <c r="N51" s="1" t="n">
        <f aca="false">F51+M51</f>
        <v>66165.234375</v>
      </c>
      <c r="O51" s="1" t="n">
        <f aca="false">(N51-N50)/N50</f>
        <v>0.0516109701855131</v>
      </c>
      <c r="P51" s="1" t="n">
        <f aca="false">(F51-F50)/F50</f>
        <v>0.0516109701855131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5.56634084291727</v>
      </c>
      <c r="E52" s="17" t="n">
        <f aca="false">PWT!B30</f>
        <v>390625.1875</v>
      </c>
      <c r="F52" s="1" t="n">
        <f aca="false">PWT!C30</f>
        <v>70176.296875</v>
      </c>
      <c r="G52" s="1" t="n">
        <f aca="false">L22</f>
        <v>6.64574526151434</v>
      </c>
      <c r="H52" s="1" t="n">
        <f aca="false">EXP(G52+$B$2*LN(E52))</f>
        <v>69715.0559602989</v>
      </c>
      <c r="I52" s="1" t="n">
        <v>0</v>
      </c>
      <c r="J52" s="1" t="n">
        <f aca="false">I52</f>
        <v>0</v>
      </c>
      <c r="K52" s="17" t="n">
        <f aca="false">E52+(K51-E51)*(1-$B$3)+I52</f>
        <v>390625.1875</v>
      </c>
      <c r="L52" s="1" t="n">
        <f aca="false">EXP(G52+$B$2*LN(K52))</f>
        <v>69715.0559602989</v>
      </c>
      <c r="M52" s="1" t="n">
        <f aca="false">L52-H52</f>
        <v>0</v>
      </c>
      <c r="N52" s="1" t="n">
        <f aca="false">F52+M52</f>
        <v>70176.296875</v>
      </c>
      <c r="O52" s="1" t="n">
        <f aca="false">(N52-N51)/N51</f>
        <v>0.0606219042052626</v>
      </c>
      <c r="P52" s="1" t="n">
        <f aca="false">(F52-F51)/F51</f>
        <v>0.0606219042052626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5.40802693639971</v>
      </c>
      <c r="E53" s="17" t="n">
        <f aca="false">PWT!B31</f>
        <v>399934.28125</v>
      </c>
      <c r="F53" s="1" t="n">
        <f aca="false">PWT!C31</f>
        <v>73951.9765625</v>
      </c>
      <c r="G53" s="1" t="n">
        <f aca="false">L23</f>
        <v>6.68262044244638</v>
      </c>
      <c r="H53" s="1" t="n">
        <f aca="false">EXP(G53+$B$2*LN(E53))</f>
        <v>72932.5173659963</v>
      </c>
      <c r="I53" s="1" t="n">
        <v>0</v>
      </c>
      <c r="J53" s="1" t="n">
        <f aca="false">I53</f>
        <v>0</v>
      </c>
      <c r="K53" s="17" t="n">
        <f aca="false">E53+(K52-E52)*(1-$B$3)+I53</f>
        <v>399934.28125</v>
      </c>
      <c r="L53" s="1" t="n">
        <f aca="false">EXP(G53+$B$2*LN(K53))</f>
        <v>72932.5173659963</v>
      </c>
      <c r="M53" s="1" t="n">
        <f aca="false">L53-H53</f>
        <v>0</v>
      </c>
      <c r="N53" s="1" t="n">
        <f aca="false">F53+M53</f>
        <v>73951.9765625</v>
      </c>
      <c r="O53" s="1" t="n">
        <f aca="false">(N53-N52)/N52</f>
        <v>0.053802777513686</v>
      </c>
      <c r="P53" s="1" t="n">
        <f aca="false">(F53-F52)/F52</f>
        <v>0.053802777513686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5.84645399969246</v>
      </c>
      <c r="E54" s="17" t="n">
        <f aca="false">PWT!B32</f>
        <v>405156.15625</v>
      </c>
      <c r="F54" s="1" t="n">
        <f aca="false">PWT!C32</f>
        <v>69299.46875</v>
      </c>
      <c r="G54" s="1" t="n">
        <f aca="false">L24</f>
        <v>6.72039211006258</v>
      </c>
      <c r="H54" s="1" t="n">
        <f aca="false">EXP(G54+$B$2*LN(E54))</f>
        <v>76084.6530284935</v>
      </c>
      <c r="I54" s="1" t="n">
        <v>0</v>
      </c>
      <c r="J54" s="1" t="n">
        <f aca="false">I54</f>
        <v>0</v>
      </c>
      <c r="K54" s="17" t="n">
        <f aca="false">E54+(K53-E53)*(1-$B$3)+I54</f>
        <v>405156.15625</v>
      </c>
      <c r="L54" s="1" t="n">
        <f aca="false">EXP(G54+$B$2*LN(K54))</f>
        <v>76084.6530284935</v>
      </c>
      <c r="M54" s="1" t="n">
        <f aca="false">L54-H54</f>
        <v>0</v>
      </c>
      <c r="N54" s="1" t="n">
        <f aca="false">F54+M54</f>
        <v>69299.46875</v>
      </c>
      <c r="O54" s="1" t="n">
        <f aca="false">(N54-N53)/N53</f>
        <v>-0.0629125552657537</v>
      </c>
      <c r="P54" s="1" t="n">
        <f aca="false">(F54-F53)/F53</f>
        <v>-0.0629125552657537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5.33662750960518</v>
      </c>
      <c r="E55" s="17" t="n">
        <f aca="false">PWT!B33</f>
        <v>409189.75</v>
      </c>
      <c r="F55" s="1" t="n">
        <f aca="false">PWT!C33</f>
        <v>76675.71875</v>
      </c>
      <c r="G55" s="1" t="n">
        <f aca="false">L25</f>
        <v>6.75965268154101</v>
      </c>
      <c r="H55" s="1" t="n">
        <f aca="false">EXP(G55+$B$2*LN(E55))</f>
        <v>79406.036746301</v>
      </c>
      <c r="I55" s="1" t="n">
        <v>0</v>
      </c>
      <c r="J55" s="1" t="n">
        <f aca="false">I55</f>
        <v>0</v>
      </c>
      <c r="K55" s="17" t="n">
        <f aca="false">E55+(K54-E54)*(1-$B$3)+I55</f>
        <v>409189.75</v>
      </c>
      <c r="L55" s="1" t="n">
        <f aca="false">EXP(G55+$B$2*LN(K55))</f>
        <v>79406.036746301</v>
      </c>
      <c r="M55" s="1" t="n">
        <f aca="false">L55-H55</f>
        <v>0</v>
      </c>
      <c r="N55" s="1" t="n">
        <f aca="false">F55+M55</f>
        <v>76675.71875</v>
      </c>
      <c r="O55" s="1" t="n">
        <f aca="false">(N55-N54)/N54</f>
        <v>0.106440209904207</v>
      </c>
      <c r="P55" s="1" t="n">
        <f aca="false">(F55-F54)/F54</f>
        <v>0.106440209904207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4.87882708309325</v>
      </c>
      <c r="E56" s="17" t="n">
        <f aca="false">PWT!B34</f>
        <v>415085.84375</v>
      </c>
      <c r="F56" s="1" t="n">
        <f aca="false">PWT!C34</f>
        <v>85079.0234375</v>
      </c>
      <c r="G56" s="1" t="n">
        <f aca="false">L26</f>
        <v>6.80006048070141</v>
      </c>
      <c r="H56" s="1" t="n">
        <f aca="false">EXP(G56+$B$2*LN(E56))</f>
        <v>83095.4063954385</v>
      </c>
      <c r="I56" s="1" t="n">
        <v>0</v>
      </c>
      <c r="J56" s="1" t="n">
        <f aca="false">I56</f>
        <v>0</v>
      </c>
      <c r="K56" s="17" t="n">
        <f aca="false">E56+(K55-E55)*(1-$B$3)+I56</f>
        <v>415085.84375</v>
      </c>
      <c r="L56" s="1" t="n">
        <f aca="false">EXP(G56+$B$2*LN(K56))</f>
        <v>83095.4063954385</v>
      </c>
      <c r="M56" s="1" t="n">
        <f aca="false">L56-H56</f>
        <v>0</v>
      </c>
      <c r="N56" s="1" t="n">
        <f aca="false">F56+M56</f>
        <v>85079.0234375</v>
      </c>
      <c r="O56" s="1" t="n">
        <f aca="false">(N56-N55)/N55</f>
        <v>0.10959538201264</v>
      </c>
      <c r="P56" s="1" t="n">
        <f aca="false">(F56-F55)/F55</f>
        <v>0.10959538201264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4.66098748808104</v>
      </c>
      <c r="E57" s="17" t="n">
        <f aca="false">PWT!B35</f>
        <v>426190.5</v>
      </c>
      <c r="F57" s="1" t="n">
        <f aca="false">PWT!C35</f>
        <v>91437.8125</v>
      </c>
      <c r="G57" s="1" t="n">
        <f aca="false">L27</f>
        <v>6.84092393825381</v>
      </c>
      <c r="H57" s="1" t="n">
        <f aca="false">EXP(G57+$B$2*LN(E57))</f>
        <v>87364.8700375309</v>
      </c>
      <c r="I57" s="1" t="n">
        <v>0</v>
      </c>
      <c r="J57" s="1" t="n">
        <f aca="false">I57</f>
        <v>0</v>
      </c>
      <c r="K57" s="17" t="n">
        <f aca="false">E57+(K56-E56)*(1-$B$3)+I57</f>
        <v>426190.5</v>
      </c>
      <c r="L57" s="1" t="n">
        <f aca="false">EXP(G57+$B$2*LN(K57))</f>
        <v>87364.8700375309</v>
      </c>
      <c r="M57" s="1" t="n">
        <f aca="false">L57-H57</f>
        <v>0</v>
      </c>
      <c r="N57" s="1" t="n">
        <f aca="false">F57+M57</f>
        <v>91437.8125</v>
      </c>
      <c r="O57" s="1" t="n">
        <f aca="false">(N57-N56)/N56</f>
        <v>0.0747397984318807</v>
      </c>
      <c r="P57" s="1" t="n">
        <f aca="false">(F57-F56)/F56</f>
        <v>0.0747397984318807</v>
      </c>
    </row>
    <row r="58" customFormat="false" ht="12" hidden="false" customHeight="true" outlineLevel="0" collapsed="false">
      <c r="C58" s="1" t="n">
        <v>2024</v>
      </c>
      <c r="D58" s="1" t="n">
        <f aca="false">E58/F58</f>
        <v>5.4736835051547</v>
      </c>
      <c r="E58" s="18" t="n">
        <f aca="false">AVERAGE($D$49:$D$57)*F58</f>
        <v>547693.946232722</v>
      </c>
      <c r="F58" s="1" t="n">
        <f aca="false">F57*(1+WEO_Data!D32/100)</f>
        <v>100059.483840625</v>
      </c>
      <c r="G58" s="19" t="n">
        <f aca="false">TREND($L$6:$L$27,$C$36:$C$57,C58)</f>
        <v>6.91766139236975</v>
      </c>
      <c r="H58" s="1" t="n">
        <f aca="false">EXP(G58+$B$2*LN(E58))</f>
        <v>102988.907119548</v>
      </c>
      <c r="I58" s="1" t="n">
        <v>0</v>
      </c>
      <c r="J58" s="1" t="n">
        <f aca="false">I58</f>
        <v>0</v>
      </c>
      <c r="K58" s="17" t="n">
        <f aca="false">E58+(K57-E57)*(1-$B$3)+I58</f>
        <v>547693.946232722</v>
      </c>
      <c r="L58" s="1" t="n">
        <f aca="false">EXP(G58+$B$2*LN(K58))</f>
        <v>102988.907119548</v>
      </c>
      <c r="M58" s="1" t="n">
        <f aca="false">L58-H58</f>
        <v>0</v>
      </c>
      <c r="N58" s="1" t="n">
        <f aca="false">F58+M58</f>
        <v>100059.483840625</v>
      </c>
      <c r="O58" s="1" t="n">
        <f aca="false">(N58-N57)/N57</f>
        <v>0.0942900000000001</v>
      </c>
      <c r="P58" s="1" t="n">
        <f aca="false">(F58-F57)/F57</f>
        <v>0.0942900000000001</v>
      </c>
    </row>
    <row r="59" customFormat="false" ht="12" hidden="false" customHeight="true" outlineLevel="0" collapsed="false">
      <c r="C59" s="1" t="n">
        <v>2025</v>
      </c>
      <c r="D59" s="1" t="n">
        <f aca="false">E59/F59</f>
        <v>5.4736835051547</v>
      </c>
      <c r="E59" s="18" t="n">
        <f aca="false">AVERAGE($D$49:$D$57)*F59</f>
        <v>580429.613399052</v>
      </c>
      <c r="F59" s="1" t="n">
        <f aca="false">F58*(1+WEO_Data!D33/100)</f>
        <v>106040.039189779</v>
      </c>
      <c r="G59" s="19" t="n">
        <f aca="false">TREND($L$6:$L$27,$C$36:$C$57,C59)</f>
        <v>6.96214157314843</v>
      </c>
      <c r="H59" s="1" t="n">
        <f aca="false">EXP(G59+$B$2*LN(E59))</f>
        <v>109883.381094755</v>
      </c>
      <c r="I59" s="1" t="n">
        <v>0</v>
      </c>
      <c r="J59" s="1" t="n">
        <f aca="false">I59</f>
        <v>0</v>
      </c>
      <c r="K59" s="17" t="n">
        <f aca="false">E59+(K58-E58)*(1-$B$3)+I59</f>
        <v>580429.613399052</v>
      </c>
      <c r="L59" s="1" t="n">
        <f aca="false">EXP(G59+$B$2*LN(K59))</f>
        <v>109883.381094755</v>
      </c>
      <c r="M59" s="1" t="n">
        <f aca="false">L59-H59</f>
        <v>0</v>
      </c>
      <c r="N59" s="1" t="n">
        <f aca="false">F59+M59</f>
        <v>106040.039189779</v>
      </c>
      <c r="O59" s="1" t="n">
        <f aca="false">(N59-N58)/N58</f>
        <v>0.0597700000000001</v>
      </c>
      <c r="P59" s="1" t="n">
        <f aca="false">(F59-F58)/F58</f>
        <v>0.0597700000000001</v>
      </c>
    </row>
    <row r="60" customFormat="false" ht="12" hidden="false" customHeight="true" outlineLevel="0" collapsed="false">
      <c r="C60" s="1" t="n">
        <v>2026</v>
      </c>
      <c r="D60" s="1" t="n">
        <f aca="false">E60/F60</f>
        <v>5.4736835051547</v>
      </c>
      <c r="E60" s="18" t="n">
        <f aca="false">AVERAGE($D$49:$D$57)*F60</f>
        <v>609451.094069005</v>
      </c>
      <c r="F60" s="19" t="n">
        <f aca="false">F59*(1+WEO_Data!D34/100)</f>
        <v>111342.041149268</v>
      </c>
      <c r="G60" s="19" t="n">
        <f aca="false">TREND($L$6:$L$27,$C$36:$C$57,C60)</f>
        <v>7.00662175392711</v>
      </c>
      <c r="H60" s="1" t="n">
        <f aca="false">EXP(G60+$B$2*LN(E60))</f>
        <v>116859.96875848</v>
      </c>
      <c r="I60" s="20" t="n">
        <f aca="false">Investment!C2</f>
        <v>648.589313756442</v>
      </c>
      <c r="J60" s="1" t="n">
        <f aca="false">I60</f>
        <v>648.589313756442</v>
      </c>
      <c r="K60" s="17" t="n">
        <f aca="false">E60+(K59-E59)*(1-$B$3)+I60</f>
        <v>610099.683382761</v>
      </c>
      <c r="L60" s="1" t="n">
        <f aca="false">EXP(G60+$B$2*LN(K60))</f>
        <v>116903.481313966</v>
      </c>
      <c r="M60" s="1" t="n">
        <f aca="false">L60-H60</f>
        <v>43.5125554865081</v>
      </c>
      <c r="N60" s="1" t="n">
        <f aca="false">F60+M60</f>
        <v>111385.553704755</v>
      </c>
      <c r="O60" s="1" t="n">
        <f aca="false">(N60-N59)/N59</f>
        <v>0.050410340809179</v>
      </c>
      <c r="P60" s="1" t="n">
        <f aca="false">(F60-F59)/F59</f>
        <v>0.05</v>
      </c>
    </row>
    <row r="61" customFormat="false" ht="12" hidden="false" customHeight="true" outlineLevel="0" collapsed="false">
      <c r="C61" s="1" t="n">
        <v>2027</v>
      </c>
      <c r="D61" s="1" t="n">
        <f aca="false">E61/F61</f>
        <v>5.4736835051547</v>
      </c>
      <c r="E61" s="18" t="n">
        <f aca="false">AVERAGE($D$49:$D$57)*F61</f>
        <v>639923.648772455</v>
      </c>
      <c r="F61" s="19" t="n">
        <f aca="false">F60*(1+WEO_Data!D35/100)</f>
        <v>116909.143206732</v>
      </c>
      <c r="G61" s="19" t="n">
        <f aca="false">TREND($L$6:$L$27,$C$36:$C$57,C61)</f>
        <v>7.05110193470578</v>
      </c>
      <c r="H61" s="1" t="n">
        <f aca="false">EXP(G61+$B$2*LN(E61))</f>
        <v>124279.505801308</v>
      </c>
      <c r="I61" s="20" t="n">
        <f aca="false">Investment!C3</f>
        <v>1220.08019689654</v>
      </c>
      <c r="J61" s="1" t="n">
        <f aca="false">I61</f>
        <v>1220.08019689654</v>
      </c>
      <c r="K61" s="17" t="n">
        <f aca="false">E61+(K60-E60)*(1-$B$3)+I61</f>
        <v>641764.958309046</v>
      </c>
      <c r="L61" s="1" t="n">
        <f aca="false">EXP(G61+$B$2*LN(K61))</f>
        <v>124404.549129731</v>
      </c>
      <c r="M61" s="1" t="n">
        <f aca="false">L61-H61</f>
        <v>125.043328423009</v>
      </c>
      <c r="N61" s="1" t="n">
        <f aca="false">F61+M61</f>
        <v>117034.186535155</v>
      </c>
      <c r="O61" s="1" t="n">
        <f aca="false">(N61-N60)/N60</f>
        <v>0.0507124365999251</v>
      </c>
      <c r="P61" s="1" t="n">
        <f aca="false">(F61-F60)/F60</f>
        <v>0.0500000000000001</v>
      </c>
    </row>
    <row r="62" customFormat="false" ht="12" hidden="false" customHeight="true" outlineLevel="0" collapsed="false">
      <c r="C62" s="1" t="n">
        <v>2028</v>
      </c>
      <c r="D62" s="1" t="n">
        <f aca="false">E62/F62</f>
        <v>5.4736835051547</v>
      </c>
      <c r="E62" s="18" t="n">
        <f aca="false">AVERAGE($D$49:$D$57)*F62</f>
        <v>671919.831211078</v>
      </c>
      <c r="F62" s="19" t="n">
        <f aca="false">F61*(1+WEO_Data!D36/100)</f>
        <v>122754.600367068</v>
      </c>
      <c r="G62" s="19" t="n">
        <f aca="false">TREND($L$6:$L$27,$C$36:$C$57,C62)</f>
        <v>7.09558211548448</v>
      </c>
      <c r="H62" s="1" t="n">
        <f aca="false">EXP(G62+$B$2*LN(E62))</f>
        <v>132170.115449366</v>
      </c>
      <c r="I62" s="20" t="n">
        <f aca="false">Investment!C4</f>
        <v>1756.17368014315</v>
      </c>
      <c r="J62" s="1" t="n">
        <f aca="false">I62</f>
        <v>1756.17368014315</v>
      </c>
      <c r="K62" s="17" t="n">
        <f aca="false">E62+(K61-E61)*(1-$B$3)+I62</f>
        <v>675439.640960037</v>
      </c>
      <c r="L62" s="1" t="n">
        <f aca="false">EXP(G62+$B$2*LN(K62))</f>
        <v>132412.031764045</v>
      </c>
      <c r="M62" s="1" t="n">
        <f aca="false">L62-H62</f>
        <v>241.916314679023</v>
      </c>
      <c r="N62" s="1" t="n">
        <f aca="false">F62+M62</f>
        <v>122996.516681747</v>
      </c>
      <c r="O62" s="1" t="n">
        <f aca="false">(N62-N61)/N61</f>
        <v>0.050945200911886</v>
      </c>
      <c r="P62" s="1" t="n">
        <f aca="false">(F62-F61)/F61</f>
        <v>0.05</v>
      </c>
    </row>
    <row r="63" customFormat="false" ht="12" hidden="false" customHeight="true" outlineLevel="0" collapsed="false">
      <c r="C63" s="1" t="n">
        <v>2029</v>
      </c>
      <c r="D63" s="1" t="n">
        <f aca="false">E63/F63</f>
        <v>5.4736835051547</v>
      </c>
      <c r="E63" s="18" t="n">
        <f aca="false">AVERAGE($D$49:$D$57)*F63</f>
        <v>705515.822771632</v>
      </c>
      <c r="F63" s="19" t="n">
        <f aca="false">F62*(1+WEO_Data!D37/100)</f>
        <v>128892.330385422</v>
      </c>
      <c r="G63" s="19" t="n">
        <f aca="false">TREND($L$6:$L$27,$C$36:$C$57,C63)</f>
        <v>7.14006229626315</v>
      </c>
      <c r="H63" s="1" t="n">
        <f aca="false">EXP(G63+$B$2*LN(E63))</f>
        <v>140561.706495896</v>
      </c>
      <c r="I63" s="20" t="n">
        <f aca="false">Investment!C5</f>
        <v>2221.19470098522</v>
      </c>
      <c r="J63" s="1" t="n">
        <f aca="false">I63</f>
        <v>2221.19470098522</v>
      </c>
      <c r="K63" s="17" t="n">
        <f aca="false">E63+(K62-E62)*(1-$B$3)+I63</f>
        <v>711108.348205052</v>
      </c>
      <c r="L63" s="1" t="n">
        <f aca="false">EXP(G63+$B$2*LN(K63))</f>
        <v>140950.680747607</v>
      </c>
      <c r="M63" s="1" t="n">
        <f aca="false">L63-H63</f>
        <v>388.97425171113</v>
      </c>
      <c r="N63" s="1" t="n">
        <f aca="false">F63+M63</f>
        <v>129281.304637133</v>
      </c>
      <c r="O63" s="1" t="n">
        <f aca="false">(N63-N62)/N62</f>
        <v>0.0510972840933973</v>
      </c>
      <c r="P63" s="1" t="n">
        <f aca="false">(F63-F62)/F62</f>
        <v>0.05</v>
      </c>
    </row>
    <row r="64" customFormat="false" ht="12" hidden="false" customHeight="true" outlineLevel="0" collapsed="false">
      <c r="C64" s="1" t="n">
        <v>2030</v>
      </c>
      <c r="D64" s="1" t="n">
        <f aca="false">E64/F64</f>
        <v>5.4736835051547</v>
      </c>
      <c r="E64" s="18" t="n">
        <f aca="false">AVERAGE($D$49:$D$57)*F64</f>
        <v>740791.613910213</v>
      </c>
      <c r="F64" s="19" t="n">
        <f aca="false">F63*(1+WEO_Data!D38/100)</f>
        <v>135336.946904693</v>
      </c>
      <c r="G64" s="19" t="n">
        <f aca="false">TREND($L$6:$L$27,$C$36:$C$57,C64)</f>
        <v>7.18454247704183</v>
      </c>
      <c r="H64" s="1" t="n">
        <f aca="false">EXP(G64+$B$2*LN(E64))</f>
        <v>149486.086668416</v>
      </c>
      <c r="I64" s="20" t="n">
        <f aca="false">Investment!C6</f>
        <v>2122.46787645573</v>
      </c>
      <c r="J64" s="1" t="n">
        <f aca="false">I64</f>
        <v>2122.46787645573</v>
      </c>
      <c r="K64" s="17" t="n">
        <f aca="false">E64+(K63-E63)*(1-$B$3)+I64</f>
        <v>748270.693140788</v>
      </c>
      <c r="L64" s="1" t="n">
        <f aca="false">EXP(G64+$B$2*LN(K64))</f>
        <v>150012.590360475</v>
      </c>
      <c r="M64" s="1" t="n">
        <f aca="false">L64-H64</f>
        <v>526.503692058759</v>
      </c>
      <c r="N64" s="1" t="n">
        <f aca="false">F64+M64</f>
        <v>135863.450596751</v>
      </c>
      <c r="O64" s="1" t="n">
        <f aca="false">(N64-N63)/N63</f>
        <v>0.0509133627487247</v>
      </c>
      <c r="P64" s="1" t="n">
        <f aca="false">(F64-F63)/F63</f>
        <v>0.0500000000000001</v>
      </c>
    </row>
    <row r="65" customFormat="false" ht="12" hidden="false" customHeight="true" outlineLevel="0" collapsed="false">
      <c r="C65" s="1" t="n">
        <v>2031</v>
      </c>
      <c r="D65" s="1" t="n">
        <f aca="false">E65/F65</f>
        <v>5.4736835051547</v>
      </c>
      <c r="E65" s="18" t="n">
        <f aca="false">AVERAGE($D$49:$D$57)*F65</f>
        <v>777831.194605724</v>
      </c>
      <c r="F65" s="19" t="n">
        <f aca="false">F64*(1+WEO_Data!D39/100)</f>
        <v>142103.794249927</v>
      </c>
      <c r="G65" s="19" t="n">
        <f aca="false">TREND($L$6:$L$27,$C$36:$C$57,C65)</f>
        <v>7.22902265782051</v>
      </c>
      <c r="H65" s="1" t="n">
        <f aca="false">EXP(G65+$B$2*LN(E65))</f>
        <v>158977.083193633</v>
      </c>
      <c r="I65" s="20" t="n">
        <f aca="false">Investment!C7</f>
        <v>1524.52458527675</v>
      </c>
      <c r="J65" s="1" t="n">
        <f aca="false">I65</f>
        <v>1524.52458527675</v>
      </c>
      <c r="K65" s="17" t="n">
        <f aca="false">E65+(K64-E64)*(1-$B$3)+I65</f>
        <v>786519.302298812</v>
      </c>
      <c r="L65" s="1" t="n">
        <f aca="false">EXP(G65+$B$2*LN(K65))</f>
        <v>159596.342639123</v>
      </c>
      <c r="M65" s="1" t="n">
        <f aca="false">L65-H65</f>
        <v>619.259445489937</v>
      </c>
      <c r="N65" s="1" t="n">
        <f aca="false">F65+M65</f>
        <v>142723.053695417</v>
      </c>
      <c r="O65" s="1" t="n">
        <f aca="false">(N65-N64)/N64</f>
        <v>0.0504889509911347</v>
      </c>
      <c r="P65" s="1" t="n">
        <f aca="false">(F65-F64)/F64</f>
        <v>0.0500000000000002</v>
      </c>
    </row>
    <row r="66" customFormat="false" ht="12" hidden="false" customHeight="true" outlineLevel="0" collapsed="false">
      <c r="C66" s="1" t="n">
        <v>2032</v>
      </c>
      <c r="D66" s="1" t="n">
        <f aca="false">E66/F66</f>
        <v>5.4736835051547</v>
      </c>
      <c r="E66" s="18" t="n">
        <f aca="false">AVERAGE($D$49:$D$57)*F66</f>
        <v>816722.75433601</v>
      </c>
      <c r="F66" s="19" t="n">
        <f aca="false">F65*(1+WEO_Data!D40/100)</f>
        <v>149208.983962424</v>
      </c>
      <c r="G66" s="19" t="n">
        <f aca="false">TREND($L$6:$L$27,$C$36:$C$57,C66)</f>
        <v>7.27350283859919</v>
      </c>
      <c r="H66" s="1" t="n">
        <f aca="false">EXP(G66+$B$2*LN(E66))</f>
        <v>169070.67101714</v>
      </c>
      <c r="I66" s="20" t="n">
        <f aca="false">Investment!C8</f>
        <v>738.176310559893</v>
      </c>
      <c r="J66" s="1" t="n">
        <f aca="false">I66</f>
        <v>738.176310559893</v>
      </c>
      <c r="K66" s="17" t="n">
        <f aca="false">E66+(K65-E65)*(1-$B$3)+I66</f>
        <v>825782.540779354</v>
      </c>
      <c r="L66" s="1" t="n">
        <f aca="false">EXP(G66+$B$2*LN(K66))</f>
        <v>169724.735557878</v>
      </c>
      <c r="M66" s="1" t="n">
        <f aca="false">L66-H66</f>
        <v>654.06454073792</v>
      </c>
      <c r="N66" s="1" t="n">
        <f aca="false">F66+M66</f>
        <v>149863.048503162</v>
      </c>
      <c r="O66" s="1" t="n">
        <f aca="false">(N66-N65)/N65</f>
        <v>0.0500269201286968</v>
      </c>
      <c r="P66" s="1" t="n">
        <f aca="false">(F66-F65)/F65</f>
        <v>0.05</v>
      </c>
    </row>
    <row r="67" customFormat="false" ht="12" hidden="false" customHeight="true" outlineLevel="0" collapsed="false">
      <c r="C67" s="1" t="n">
        <v>2033</v>
      </c>
      <c r="D67" s="1" t="n">
        <f aca="false">E67/F67</f>
        <v>5.4736835051547</v>
      </c>
      <c r="E67" s="18" t="n">
        <f aca="false">AVERAGE($D$49:$D$57)*F67</f>
        <v>857558.892052811</v>
      </c>
      <c r="F67" s="19" t="n">
        <f aca="false">F66*(1+WEO_Data!D41/100)</f>
        <v>156669.433160545</v>
      </c>
      <c r="G67" s="19" t="n">
        <f aca="false">TREND($L$6:$L$27,$C$36:$C$57,C67)</f>
        <v>7.31798301937788</v>
      </c>
      <c r="H67" s="1" t="n">
        <f aca="false">EXP(G67+$B$2*LN(E67))</f>
        <v>179805.109163879</v>
      </c>
      <c r="I67" s="20" t="n">
        <f aca="false">Investment!C9</f>
        <v>352.605976897002</v>
      </c>
      <c r="J67" s="1" t="n">
        <f aca="false">I67</f>
        <v>352.605976897002</v>
      </c>
      <c r="K67" s="17" t="n">
        <f aca="false">E67+(K66-E66)*(1-$B$3)+I67</f>
        <v>866589.10808371</v>
      </c>
      <c r="L67" s="1" t="n">
        <f aca="false">EXP(G67+$B$2*LN(K67))</f>
        <v>180465.534920419</v>
      </c>
      <c r="M67" s="1" t="n">
        <f aca="false">L67-H67</f>
        <v>660.425756539626</v>
      </c>
      <c r="N67" s="1" t="n">
        <f aca="false">F67+M67</f>
        <v>157329.858917084</v>
      </c>
      <c r="O67" s="1" t="n">
        <f aca="false">(N67-N66)/N66</f>
        <v>0.0498242261084483</v>
      </c>
      <c r="P67" s="1" t="n">
        <f aca="false">(F67-F66)/F66</f>
        <v>0.05</v>
      </c>
    </row>
    <row r="68" customFormat="false" ht="12" hidden="false" customHeight="true" outlineLevel="0" collapsed="false">
      <c r="C68" s="1" t="n">
        <v>2034</v>
      </c>
      <c r="D68" s="1" t="n">
        <f aca="false">E68/F68</f>
        <v>5.4736835051547</v>
      </c>
      <c r="E68" s="18" t="n">
        <f aca="false">AVERAGE($D$49:$D$57)*F68</f>
        <v>900436.836655451</v>
      </c>
      <c r="F68" s="19" t="n">
        <f aca="false">F67*(1+WEO_Data!D42/100)</f>
        <v>164502.904818572</v>
      </c>
      <c r="G68" s="19" t="n">
        <f aca="false">TREND($L$6:$L$27,$C$36:$C$57,C68)</f>
        <v>7.36246320015655</v>
      </c>
      <c r="H68" s="1" t="n">
        <f aca="false">EXP(G68+$B$2*LN(E68))</f>
        <v>191221.085756243</v>
      </c>
      <c r="I68" s="1" t="n">
        <v>0</v>
      </c>
      <c r="J68" s="1" t="n">
        <f aca="false">I68</f>
        <v>0</v>
      </c>
      <c r="K68" s="17" t="n">
        <f aca="false">E68+(K67-E67)*(1-$B$3)+I68</f>
        <v>909086.123689928</v>
      </c>
      <c r="L68" s="1" t="n">
        <f aca="false">EXP(G68+$B$2*LN(K68))</f>
        <v>191861.970749299</v>
      </c>
      <c r="M68" s="1" t="n">
        <f aca="false">L68-H68</f>
        <v>640.884993056185</v>
      </c>
      <c r="N68" s="1" t="n">
        <f aca="false">F68+M68</f>
        <v>165143.789811628</v>
      </c>
      <c r="O68" s="1" t="n">
        <f aca="false">(N68-N67)/N67</f>
        <v>0.0496659117876783</v>
      </c>
      <c r="P68" s="1" t="n">
        <f aca="false">(F68-F67)/F67</f>
        <v>0.05</v>
      </c>
    </row>
    <row r="69" customFormat="false" ht="12" hidden="false" customHeight="true" outlineLevel="0" collapsed="false">
      <c r="C69" s="1" t="n">
        <v>2035</v>
      </c>
      <c r="D69" s="1" t="n">
        <f aca="false">E69/F69</f>
        <v>5.4736835051547</v>
      </c>
      <c r="E69" s="18" t="n">
        <f aca="false">AVERAGE($D$49:$D$57)*F69</f>
        <v>945458.678488224</v>
      </c>
      <c r="F69" s="19" t="n">
        <f aca="false">F68*(1+WEO_Data!D43/100)</f>
        <v>172728.050059501</v>
      </c>
      <c r="G69" s="19" t="n">
        <f aca="false">TREND($L$6:$L$27,$C$36:$C$57,C69)</f>
        <v>7.40694338093523</v>
      </c>
      <c r="H69" s="1" t="n">
        <f aca="false">EXP(G69+$B$2*LN(E69))</f>
        <v>203361.872239512</v>
      </c>
      <c r="I69" s="1" t="n">
        <v>0</v>
      </c>
      <c r="J69" s="1" t="n">
        <f aca="false">I69</f>
        <v>0</v>
      </c>
      <c r="K69" s="17" t="n">
        <f aca="false">E69+(K68-E68)*(1-$B$3)+I69</f>
        <v>953743.105566024</v>
      </c>
      <c r="L69" s="1" t="n">
        <f aca="false">EXP(G69+$B$2*LN(K69))</f>
        <v>203983.778480422</v>
      </c>
      <c r="M69" s="1" t="n">
        <f aca="false">L69-H69</f>
        <v>621.906240909535</v>
      </c>
      <c r="N69" s="1" t="n">
        <f aca="false">F69+M69</f>
        <v>173349.95630041</v>
      </c>
      <c r="O69" s="1" t="n">
        <f aca="false">(N69-N68)/N68</f>
        <v>0.0496910389312389</v>
      </c>
      <c r="P69" s="1" t="n">
        <f aca="false">(F69-F68)/F68</f>
        <v>0.05</v>
      </c>
    </row>
    <row r="70" customFormat="false" ht="12" hidden="false" customHeight="true" outlineLevel="0" collapsed="false">
      <c r="C70" s="1" t="n">
        <v>2036</v>
      </c>
      <c r="D70" s="1" t="n">
        <f aca="false">E70/F70</f>
        <v>5.4736835051547</v>
      </c>
      <c r="E70" s="18" t="n">
        <f aca="false">AVERAGE($D$49:$D$57)*F70</f>
        <v>992731.612412635</v>
      </c>
      <c r="F70" s="19" t="n">
        <f aca="false">F69*(1+WEO_Data!D44/100)</f>
        <v>181364.452562476</v>
      </c>
      <c r="G70" s="19" t="n">
        <f aca="false">TREND($L$6:$L$27,$C$36:$C$57,C70)</f>
        <v>7.45142356171391</v>
      </c>
      <c r="H70" s="1" t="n">
        <f aca="false">EXP(G70+$B$2*LN(E70))</f>
        <v>216273.487399177</v>
      </c>
      <c r="I70" s="1" t="n">
        <v>0</v>
      </c>
      <c r="J70" s="1" t="n">
        <f aca="false">I70</f>
        <v>0</v>
      </c>
      <c r="K70" s="17" t="n">
        <f aca="false">E70+(K69-E69)*(1-$B$3)+I70</f>
        <v>1000666.57072004</v>
      </c>
      <c r="L70" s="1" t="n">
        <f aca="false">EXP(G70+$B$2*LN(K70))</f>
        <v>216876.96258651</v>
      </c>
      <c r="M70" s="1" t="n">
        <f aca="false">L70-H70</f>
        <v>603.475187332952</v>
      </c>
      <c r="N70" s="1" t="n">
        <f aca="false">F70+M70</f>
        <v>181967.927749809</v>
      </c>
      <c r="O70" s="1" t="n">
        <f aca="false">(N70-N69)/N69</f>
        <v>0.0497142983668469</v>
      </c>
      <c r="P70" s="1" t="n">
        <f aca="false">(F70-F69)/F69</f>
        <v>0.0500000000000001</v>
      </c>
    </row>
    <row r="71" customFormat="false" ht="12" hidden="false" customHeight="true" outlineLevel="0" collapsed="false">
      <c r="C71" s="1" t="n">
        <v>2037</v>
      </c>
      <c r="D71" s="1" t="n">
        <f aca="false">E71/F71</f>
        <v>5.4736835051547</v>
      </c>
      <c r="E71" s="18" t="n">
        <f aca="false">AVERAGE($D$49:$D$57)*F71</f>
        <v>1042368.19303327</v>
      </c>
      <c r="F71" s="19" t="n">
        <f aca="false">F70*(1+WEO_Data!D45/100)</f>
        <v>190432.6751906</v>
      </c>
      <c r="G71" s="19" t="n">
        <f aca="false">TREND($L$6:$L$27,$C$36:$C$57,C71)</f>
        <v>7.4959037424926</v>
      </c>
      <c r="H71" s="1" t="n">
        <f aca="false">EXP(G71+$B$2*LN(E71))</f>
        <v>230004.871791865</v>
      </c>
      <c r="I71" s="1" t="n">
        <v>0</v>
      </c>
      <c r="J71" s="1" t="n">
        <f aca="false">I71</f>
        <v>0</v>
      </c>
      <c r="K71" s="17" t="n">
        <f aca="false">E71+(K70-E70)*(1-$B$3)+I71</f>
        <v>1049968.42449756</v>
      </c>
      <c r="L71" s="1" t="n">
        <f aca="false">EXP(G71+$B$2*LN(K71))</f>
        <v>230590.449459845</v>
      </c>
      <c r="M71" s="1" t="n">
        <f aca="false">L71-H71</f>
        <v>585.577667980484</v>
      </c>
      <c r="N71" s="1" t="n">
        <f aca="false">F71+M71</f>
        <v>191018.25285858</v>
      </c>
      <c r="O71" s="1" t="n">
        <f aca="false">(N71-N70)/N70</f>
        <v>0.0497358255418219</v>
      </c>
      <c r="P71" s="1" t="n">
        <f aca="false">(F71-F70)/F70</f>
        <v>0.0500000000000001</v>
      </c>
    </row>
    <row r="72" customFormat="false" ht="12" hidden="false" customHeight="true" outlineLevel="0" collapsed="false">
      <c r="C72" s="1" t="n">
        <v>2038</v>
      </c>
      <c r="D72" s="1" t="n">
        <f aca="false">E72/F72</f>
        <v>5.4736835051547</v>
      </c>
      <c r="E72" s="18" t="n">
        <f aca="false">AVERAGE($D$49:$D$57)*F72</f>
        <v>1094486.60268493</v>
      </c>
      <c r="F72" s="19" t="n">
        <f aca="false">F71*(1+WEO_Data!D46/100)</f>
        <v>199954.308950129</v>
      </c>
      <c r="G72" s="19" t="n">
        <f aca="false">TREND($L$6:$L$27,$C$36:$C$57,C72)</f>
        <v>7.54038392327128</v>
      </c>
      <c r="H72" s="1" t="n">
        <f aca="false">EXP(G72+$B$2*LN(E72))</f>
        <v>244608.07325102</v>
      </c>
      <c r="I72" s="1" t="n">
        <v>0</v>
      </c>
      <c r="J72" s="1" t="n">
        <f aca="false">I72</f>
        <v>0</v>
      </c>
      <c r="K72" s="17" t="n">
        <f aca="false">E72+(K71-E71)*(1-$B$3)+I72</f>
        <v>1101766.22736259</v>
      </c>
      <c r="L72" s="1" t="n">
        <f aca="false">EXP(G72+$B$2*LN(K72))</f>
        <v>245176.272944498</v>
      </c>
      <c r="M72" s="1" t="n">
        <f aca="false">L72-H72</f>
        <v>568.199693477625</v>
      </c>
      <c r="N72" s="1" t="n">
        <f aca="false">F72+M72</f>
        <v>200522.508643607</v>
      </c>
      <c r="O72" s="1" t="n">
        <f aca="false">(N72-N71)/N71</f>
        <v>0.0497557465990623</v>
      </c>
      <c r="P72" s="1" t="n">
        <f aca="false">(F72-F71)/F71</f>
        <v>0.05</v>
      </c>
    </row>
    <row r="73" customFormat="false" ht="12" hidden="false" customHeight="true" outlineLevel="0" collapsed="false">
      <c r="C73" s="1" t="n">
        <v>2039</v>
      </c>
      <c r="D73" s="1" t="n">
        <f aca="false">E73/F73</f>
        <v>5.4736835051547</v>
      </c>
      <c r="E73" s="18" t="n">
        <f aca="false">AVERAGE($D$49:$D$57)*F73</f>
        <v>1149210.93281918</v>
      </c>
      <c r="F73" s="19" t="n">
        <f aca="false">F72*(1+WEO_Data!D47/100)</f>
        <v>209952.024397636</v>
      </c>
      <c r="G73" s="19" t="n">
        <f aca="false">TREND($L$6:$L$27,$C$36:$C$57,C73)</f>
        <v>7.58486410404996</v>
      </c>
      <c r="H73" s="1" t="n">
        <f aca="false">EXP(G73+$B$2*LN(E73))</f>
        <v>260138.444170524</v>
      </c>
      <c r="I73" s="1" t="n">
        <v>0</v>
      </c>
      <c r="J73" s="1" t="n">
        <f aca="false">I73</f>
        <v>0</v>
      </c>
      <c r="K73" s="17" t="n">
        <f aca="false">E73+(K72-E72)*(1-$B$3)+I73</f>
        <v>1156183.47512878</v>
      </c>
      <c r="L73" s="1" t="n">
        <f aca="false">EXP(G73+$B$2*LN(K73))</f>
        <v>260689.77164236</v>
      </c>
      <c r="M73" s="1" t="n">
        <f aca="false">L73-H73</f>
        <v>551.327471835743</v>
      </c>
      <c r="N73" s="1" t="n">
        <f aca="false">F73+M73</f>
        <v>210503.351869472</v>
      </c>
      <c r="O73" s="1" t="n">
        <f aca="false">(N73-N72)/N72</f>
        <v>0.0497741789357113</v>
      </c>
      <c r="P73" s="1" t="n">
        <f aca="false">(F73-F72)/F72</f>
        <v>0.0500000000000001</v>
      </c>
    </row>
    <row r="74" customFormat="false" ht="12" hidden="false" customHeight="true" outlineLevel="0" collapsed="false">
      <c r="C74" s="1" t="n">
        <v>2040</v>
      </c>
      <c r="D74" s="1" t="n">
        <f aca="false">E74/F74</f>
        <v>5.4736835051547</v>
      </c>
      <c r="E74" s="18" t="n">
        <f aca="false">AVERAGE($D$49:$D$57)*F74</f>
        <v>1206671.47946014</v>
      </c>
      <c r="F74" s="19" t="n">
        <f aca="false">F73*(1+WEO_Data!D48/100)</f>
        <v>220449.625617518</v>
      </c>
      <c r="G74" s="19" t="n">
        <f aca="false">TREND($L$6:$L$27,$C$36:$C$57,C74)</f>
        <v>7.62934428482863</v>
      </c>
      <c r="H74" s="1" t="n">
        <f aca="false">EXP(G74+$B$2*LN(E74))</f>
        <v>276654.851313982</v>
      </c>
      <c r="I74" s="1" t="n">
        <v>0</v>
      </c>
      <c r="J74" s="1" t="n">
        <f aca="false">I74</f>
        <v>0</v>
      </c>
      <c r="K74" s="17" t="n">
        <f aca="false">E74+(K73-E73)*(1-$B$3)+I74</f>
        <v>1213349.89330865</v>
      </c>
      <c r="L74" s="1" t="n">
        <f aca="false">EXP(G74+$B$2*LN(K74))</f>
        <v>277189.798741169</v>
      </c>
      <c r="M74" s="1" t="n">
        <f aca="false">L74-H74</f>
        <v>534.947427186708</v>
      </c>
      <c r="N74" s="1" t="n">
        <f aca="false">F74+M74</f>
        <v>220984.573044704</v>
      </c>
      <c r="O74" s="1" t="n">
        <f aca="false">(N74-N73)/N73</f>
        <v>0.0497912317412026</v>
      </c>
      <c r="P74" s="1" t="n">
        <f aca="false">(F74-F73)/F73</f>
        <v>0.0500000000000001</v>
      </c>
    </row>
    <row r="75" customFormat="false" ht="12" hidden="false" customHeight="true" outlineLevel="0" collapsed="false">
      <c r="C75" s="1" t="n">
        <v>2041</v>
      </c>
      <c r="D75" s="1" t="n">
        <f aca="false">E75/F75</f>
        <v>5.4736835051547</v>
      </c>
      <c r="E75" s="18" t="n">
        <f aca="false">AVERAGE($D$49:$D$57)*F75</f>
        <v>1267005.05343314</v>
      </c>
      <c r="F75" s="19" t="n">
        <f aca="false">F74*(1+WEO_Data!D49/100)</f>
        <v>231472.106898394</v>
      </c>
      <c r="G75" s="19" t="n">
        <f aca="false">TREND($L$6:$L$27,$C$36:$C$57,C75)</f>
        <v>7.67382446560731</v>
      </c>
      <c r="H75" s="1" t="n">
        <f aca="false">EXP(G75+$B$2*LN(E75))</f>
        <v>294219.898945002</v>
      </c>
      <c r="I75" s="1" t="n">
        <v>0</v>
      </c>
      <c r="J75" s="1" t="n">
        <f aca="false">I75</f>
        <v>0</v>
      </c>
      <c r="K75" s="17" t="n">
        <f aca="false">E75+(K74-E74)*(1-$B$3)+I75</f>
        <v>1273401.74628226</v>
      </c>
      <c r="L75" s="1" t="n">
        <f aca="false">EXP(G75+$B$2*LN(K75))</f>
        <v>294738.945160268</v>
      </c>
      <c r="M75" s="1" t="n">
        <f aca="false">L75-H75</f>
        <v>519.046215265058</v>
      </c>
      <c r="N75" s="1" t="n">
        <f aca="false">F75+M75</f>
        <v>231991.153113659</v>
      </c>
      <c r="O75" s="1" t="n">
        <f aca="false">(N75-N74)/N74</f>
        <v>0.0498070065131996</v>
      </c>
      <c r="P75" s="1" t="n">
        <f aca="false">(F75-F74)/F74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21" customFormat="true" ht="36.75" hidden="false" customHeight="true" outlineLevel="0" collapsed="false">
      <c r="B1" s="22" t="s">
        <v>29</v>
      </c>
      <c r="C1" s="22" t="s">
        <v>30</v>
      </c>
    </row>
    <row r="2" customFormat="false" ht="12" hidden="false" customHeight="true" outlineLevel="0" collapsed="false">
      <c r="B2" s="23" t="n">
        <v>2026</v>
      </c>
      <c r="C2" s="1" t="n">
        <v>648.589313756442</v>
      </c>
    </row>
    <row r="3" customFormat="false" ht="12" hidden="false" customHeight="true" outlineLevel="0" collapsed="false">
      <c r="B3" s="23" t="n">
        <v>2027</v>
      </c>
      <c r="C3" s="1" t="n">
        <v>1220.08019689654</v>
      </c>
    </row>
    <row r="4" customFormat="false" ht="12" hidden="false" customHeight="true" outlineLevel="0" collapsed="false">
      <c r="B4" s="23" t="n">
        <v>2028</v>
      </c>
      <c r="C4" s="1" t="n">
        <v>1756.17368014315</v>
      </c>
    </row>
    <row r="5" customFormat="false" ht="12" hidden="false" customHeight="true" outlineLevel="0" collapsed="false">
      <c r="B5" s="23" t="n">
        <v>2029</v>
      </c>
      <c r="C5" s="1" t="n">
        <v>2221.19470098522</v>
      </c>
    </row>
    <row r="6" customFormat="false" ht="12" hidden="false" customHeight="true" outlineLevel="0" collapsed="false">
      <c r="B6" s="23" t="n">
        <v>2030</v>
      </c>
      <c r="C6" s="1" t="n">
        <v>2122.46787645573</v>
      </c>
    </row>
    <row r="7" customFormat="false" ht="12" hidden="false" customHeight="true" outlineLevel="0" collapsed="false">
      <c r="B7" s="23" t="n">
        <v>2031</v>
      </c>
      <c r="C7" s="1" t="n">
        <v>1524.52458527675</v>
      </c>
    </row>
    <row r="8" customFormat="false" ht="12" hidden="false" customHeight="true" outlineLevel="0" collapsed="false">
      <c r="B8" s="23" t="n">
        <v>2032</v>
      </c>
      <c r="C8" s="1" t="n">
        <v>738.176310559893</v>
      </c>
    </row>
    <row r="9" customFormat="false" ht="12" hidden="false" customHeight="true" outlineLevel="0" collapsed="false">
      <c r="B9" s="23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G1" s="24" t="s">
        <v>36</v>
      </c>
    </row>
    <row r="2" customFormat="false" ht="12" hidden="false" customHeight="true" outlineLevel="0" collapsed="false">
      <c r="A2" s="25" t="n">
        <v>35430</v>
      </c>
      <c r="B2" s="1" t="n">
        <v>1996</v>
      </c>
      <c r="C2" s="1" t="n">
        <v>304515091.76</v>
      </c>
      <c r="D2" s="17" t="n">
        <f aca="false">PWT!B8</f>
        <v>301706.46875</v>
      </c>
      <c r="E2" s="1" t="n">
        <f aca="false">PWT!D8</f>
        <v>0.0332826301455498</v>
      </c>
      <c r="G2" s="24" t="s">
        <v>37</v>
      </c>
    </row>
    <row r="3" customFormat="false" ht="12" hidden="false" customHeight="true" outlineLevel="0" collapsed="false">
      <c r="A3" s="25" t="n">
        <v>35795</v>
      </c>
      <c r="B3" s="1" t="n">
        <v>1997</v>
      </c>
      <c r="C3" s="1" t="n">
        <v>383641663.61</v>
      </c>
      <c r="D3" s="17" t="n">
        <f aca="false">PWT!B9</f>
        <v>298764.625</v>
      </c>
      <c r="E3" s="1" t="n">
        <f aca="false">PWT!D9</f>
        <v>0.0324222669005394</v>
      </c>
    </row>
    <row r="4" customFormat="false" ht="12" hidden="false" customHeight="true" outlineLevel="0" collapsed="false">
      <c r="A4" s="25" t="n">
        <v>36160</v>
      </c>
      <c r="B4" s="1" t="n">
        <v>1998</v>
      </c>
      <c r="C4" s="1" t="n">
        <v>516397121.22</v>
      </c>
      <c r="D4" s="17" t="n">
        <f aca="false">PWT!B10</f>
        <v>298990.5</v>
      </c>
      <c r="E4" s="1" t="n">
        <f aca="false">PWT!D10</f>
        <v>0.0320810526609421</v>
      </c>
    </row>
    <row r="5" customFormat="false" ht="12" hidden="false" customHeight="true" outlineLevel="0" collapsed="false">
      <c r="A5" s="25" t="n">
        <v>36525</v>
      </c>
      <c r="B5" s="1" t="n">
        <v>1999</v>
      </c>
      <c r="C5" s="1" t="n">
        <v>661603834.43</v>
      </c>
      <c r="D5" s="17" t="n">
        <f aca="false">PWT!B11</f>
        <v>299754.78125</v>
      </c>
      <c r="E5" s="1" t="n">
        <f aca="false">PWT!D11</f>
        <v>0.0320445038378239</v>
      </c>
    </row>
    <row r="6" customFormat="false" ht="12" hidden="false" customHeight="true" outlineLevel="0" collapsed="false">
      <c r="A6" s="25" t="n">
        <v>36891</v>
      </c>
      <c r="B6" s="1" t="n">
        <v>2000</v>
      </c>
      <c r="C6" s="1" t="n">
        <v>631701000.89</v>
      </c>
      <c r="D6" s="17" t="n">
        <f aca="false">PWT!B12</f>
        <v>300383.3125</v>
      </c>
      <c r="E6" s="1" t="n">
        <f aca="false">PWT!D12</f>
        <v>0.031913548707962</v>
      </c>
    </row>
    <row r="7" customFormat="false" ht="12" hidden="false" customHeight="true" outlineLevel="0" collapsed="false">
      <c r="A7" s="25" t="n">
        <v>37256</v>
      </c>
      <c r="B7" s="1" t="n">
        <v>2001</v>
      </c>
      <c r="C7" s="1" t="n">
        <v>706983726.79</v>
      </c>
      <c r="D7" s="17" t="n">
        <f aca="false">PWT!B13</f>
        <v>302284.0625</v>
      </c>
      <c r="E7" s="1" t="n">
        <f aca="false">PWT!D13</f>
        <v>0.0318191163241863</v>
      </c>
    </row>
    <row r="8" customFormat="false" ht="12" hidden="false" customHeight="true" outlineLevel="0" collapsed="false">
      <c r="A8" s="25" t="n">
        <v>37621</v>
      </c>
      <c r="B8" s="1" t="n">
        <v>2002</v>
      </c>
      <c r="C8" s="1" t="n">
        <v>790112565.2</v>
      </c>
      <c r="D8" s="17" t="n">
        <f aca="false">PWT!B14</f>
        <v>303592.625</v>
      </c>
      <c r="E8" s="1" t="n">
        <f aca="false">PWT!D14</f>
        <v>0.0315976105630398</v>
      </c>
    </row>
    <row r="9" customFormat="false" ht="12" hidden="false" customHeight="true" outlineLevel="0" collapsed="false">
      <c r="A9" s="25" t="n">
        <v>37986</v>
      </c>
      <c r="B9" s="1" t="n">
        <v>2003</v>
      </c>
      <c r="C9" s="1" t="n">
        <v>932916219.67</v>
      </c>
      <c r="D9" s="17" t="n">
        <f aca="false">PWT!B15</f>
        <v>307310.28125</v>
      </c>
      <c r="E9" s="1" t="n">
        <f aca="false">PWT!D15</f>
        <v>0.0312637500464916</v>
      </c>
    </row>
    <row r="10" customFormat="false" ht="12" hidden="false" customHeight="true" outlineLevel="0" collapsed="false">
      <c r="A10" s="25" t="n">
        <v>38352</v>
      </c>
      <c r="B10" s="1" t="n">
        <v>2004</v>
      </c>
      <c r="C10" s="1" t="n">
        <v>976818537.8</v>
      </c>
      <c r="D10" s="17" t="n">
        <f aca="false">PWT!B16</f>
        <v>311984.28125</v>
      </c>
      <c r="E10" s="1" t="n">
        <f aca="false">PWT!D16</f>
        <v>0.0316877923905849</v>
      </c>
    </row>
    <row r="11" customFormat="false" ht="12" hidden="false" customHeight="true" outlineLevel="0" collapsed="false">
      <c r="A11" s="25" t="n">
        <v>38717</v>
      </c>
      <c r="B11" s="1" t="n">
        <v>2005</v>
      </c>
      <c r="C11" s="1" t="n">
        <v>1113450058.59</v>
      </c>
      <c r="D11" s="17" t="n">
        <f aca="false">PWT!B17</f>
        <v>317837.8125</v>
      </c>
      <c r="E11" s="1" t="n">
        <f aca="false">PWT!D17</f>
        <v>0.0329389497637749</v>
      </c>
    </row>
    <row r="12" customFormat="false" ht="12" hidden="false" customHeight="true" outlineLevel="0" collapsed="false">
      <c r="A12" s="25" t="n">
        <v>39082</v>
      </c>
      <c r="B12" s="1" t="n">
        <v>2006</v>
      </c>
      <c r="C12" s="1" t="n">
        <v>1306373084.13</v>
      </c>
      <c r="D12" s="17" t="n">
        <f aca="false">PWT!B18</f>
        <v>322943.65625</v>
      </c>
      <c r="E12" s="1" t="n">
        <f aca="false">PWT!D18</f>
        <v>0.0344443172216415</v>
      </c>
    </row>
    <row r="13" customFormat="false" ht="12" hidden="false" customHeight="true" outlineLevel="0" collapsed="false">
      <c r="A13" s="25" t="n">
        <v>39447</v>
      </c>
      <c r="B13" s="1" t="n">
        <v>2007</v>
      </c>
      <c r="C13" s="1" t="n">
        <v>1617029966.26</v>
      </c>
      <c r="D13" s="17" t="n">
        <f aca="false">PWT!B19</f>
        <v>329445.875</v>
      </c>
      <c r="E13" s="1" t="n">
        <f aca="false">PWT!D19</f>
        <v>0.0360632352530956</v>
      </c>
    </row>
    <row r="14" customFormat="false" ht="12" hidden="false" customHeight="true" outlineLevel="0" collapsed="false">
      <c r="A14" s="25" t="n">
        <v>39813</v>
      </c>
      <c r="B14" s="1" t="n">
        <v>2008</v>
      </c>
      <c r="C14" s="1" t="n">
        <v>1758049267.67</v>
      </c>
      <c r="D14" s="17" t="n">
        <f aca="false">PWT!B20</f>
        <v>332604.46875</v>
      </c>
      <c r="E14" s="1" t="n">
        <f aca="false">PWT!D20</f>
        <v>0.0373382940888405</v>
      </c>
    </row>
    <row r="15" customFormat="false" ht="12" hidden="false" customHeight="true" outlineLevel="0" collapsed="false">
      <c r="A15" s="25" t="n">
        <v>40178</v>
      </c>
      <c r="B15" s="1" t="n">
        <v>2009</v>
      </c>
      <c r="C15" s="1" t="n">
        <v>1751366684.88</v>
      </c>
      <c r="D15" s="17" t="n">
        <f aca="false">PWT!B21</f>
        <v>330608.28125</v>
      </c>
      <c r="E15" s="1" t="n">
        <f aca="false">PWT!D21</f>
        <v>0.0375244617462158</v>
      </c>
    </row>
    <row r="16" customFormat="false" ht="12" hidden="false" customHeight="true" outlineLevel="0" collapsed="false">
      <c r="A16" s="25" t="n">
        <v>40543</v>
      </c>
      <c r="B16" s="1" t="n">
        <v>2010</v>
      </c>
      <c r="C16" s="1" t="n">
        <v>2046413234.67</v>
      </c>
      <c r="D16" s="17" t="n">
        <f aca="false">PWT!B22</f>
        <v>332551.53125</v>
      </c>
      <c r="E16" s="1" t="n">
        <f aca="false">PWT!D22</f>
        <v>0.0372243337333202</v>
      </c>
    </row>
    <row r="17" customFormat="false" ht="12" hidden="false" customHeight="true" outlineLevel="0" collapsed="false">
      <c r="A17" s="25" t="n">
        <v>40908</v>
      </c>
      <c r="B17" s="1" t="n">
        <v>2011</v>
      </c>
      <c r="C17" s="1" t="n">
        <v>2350512405.91</v>
      </c>
      <c r="D17" s="17" t="n">
        <f aca="false">PWT!B23</f>
        <v>336560.28125</v>
      </c>
      <c r="E17" s="1" t="n">
        <f aca="false">PWT!D23</f>
        <v>0.037186823785305</v>
      </c>
    </row>
    <row r="18" customFormat="false" ht="12" hidden="false" customHeight="true" outlineLevel="0" collapsed="false">
      <c r="A18" s="25" t="n">
        <v>41274</v>
      </c>
      <c r="B18" s="1" t="n">
        <v>2012</v>
      </c>
      <c r="C18" s="1" t="n">
        <v>2643602887.97</v>
      </c>
      <c r="D18" s="17" t="n">
        <f aca="false">PWT!B24</f>
        <v>341471.1875</v>
      </c>
      <c r="E18" s="1" t="n">
        <f aca="false">PWT!D24</f>
        <v>0.0371892042458057</v>
      </c>
    </row>
    <row r="19" customFormat="false" ht="12" hidden="false" customHeight="true" outlineLevel="0" collapsed="false">
      <c r="A19" s="25" t="n">
        <v>41639</v>
      </c>
      <c r="B19" s="1" t="n">
        <v>2013</v>
      </c>
      <c r="C19" s="1" t="n">
        <v>1555932152.32</v>
      </c>
      <c r="D19" s="17" t="n">
        <f aca="false">PWT!B25</f>
        <v>344239.03125</v>
      </c>
      <c r="E19" s="1" t="n">
        <f aca="false">PWT!D25</f>
        <v>0.0372365638613701</v>
      </c>
    </row>
    <row r="20" customFormat="false" ht="12" hidden="false" customHeight="true" outlineLevel="0" collapsed="false">
      <c r="A20" s="25" t="n">
        <v>42004</v>
      </c>
      <c r="B20" s="1" t="n">
        <v>2014</v>
      </c>
      <c r="C20" s="1" t="n">
        <v>2984890468.69</v>
      </c>
      <c r="D20" s="17" t="n">
        <f aca="false">PWT!B26</f>
        <v>350962.15625</v>
      </c>
      <c r="E20" s="1" t="n">
        <f aca="false">PWT!D26</f>
        <v>0.03755883872509</v>
      </c>
    </row>
    <row r="21" customFormat="false" ht="12" hidden="false" customHeight="true" outlineLevel="0" collapsed="false">
      <c r="A21" s="25" t="n">
        <v>42369</v>
      </c>
      <c r="B21" s="1" t="n">
        <v>2015</v>
      </c>
      <c r="C21" s="1" t="n">
        <v>3657280672.54</v>
      </c>
      <c r="D21" s="17" t="n">
        <f aca="false">PWT!B27</f>
        <v>360259.8125</v>
      </c>
      <c r="E21" s="1" t="n">
        <f aca="false">PWT!D27</f>
        <v>0.0383267849683762</v>
      </c>
    </row>
    <row r="22" customFormat="false" ht="12" hidden="false" customHeight="true" outlineLevel="0" collapsed="false">
      <c r="A22" s="25" t="n">
        <v>42735</v>
      </c>
      <c r="B22" s="1" t="n">
        <v>2016</v>
      </c>
      <c r="C22" s="1" t="n">
        <v>4004828719.85</v>
      </c>
      <c r="D22" s="17" t="n">
        <f aca="false">PWT!B28</f>
        <v>370547.65625</v>
      </c>
      <c r="E22" s="1" t="n">
        <f aca="false">PWT!D28</f>
        <v>0.0393099114298821</v>
      </c>
    </row>
    <row r="23" customFormat="false" ht="12" hidden="false" customHeight="true" outlineLevel="0" collapsed="false">
      <c r="A23" s="25" t="n">
        <v>43100</v>
      </c>
      <c r="B23" s="1" t="n">
        <v>2017</v>
      </c>
      <c r="C23" s="1" t="n">
        <v>4492921334.91</v>
      </c>
      <c r="D23" s="17" t="n">
        <f aca="false">PWT!B29</f>
        <v>380655.78125</v>
      </c>
      <c r="E23" s="1" t="n">
        <f aca="false">PWT!D29</f>
        <v>0.0404252856969833</v>
      </c>
    </row>
    <row r="24" customFormat="false" ht="12" hidden="false" customHeight="true" outlineLevel="0" collapsed="false">
      <c r="A24" s="25" t="n">
        <v>43465</v>
      </c>
      <c r="B24" s="1" t="n">
        <v>2018</v>
      </c>
      <c r="C24" s="1" t="n">
        <v>4843616440.29</v>
      </c>
      <c r="D24" s="17" t="n">
        <f aca="false">PWT!B30</f>
        <v>390625.1875</v>
      </c>
      <c r="E24" s="1" t="n">
        <f aca="false">PWT!D30</f>
        <v>0.0412590205669403</v>
      </c>
    </row>
    <row r="25" customFormat="false" ht="12" hidden="false" customHeight="true" outlineLevel="0" collapsed="false">
      <c r="A25" s="25" t="n">
        <v>43830</v>
      </c>
      <c r="B25" s="1" t="n">
        <v>2019</v>
      </c>
      <c r="C25" s="1" t="n">
        <v>5452957379.35</v>
      </c>
      <c r="D25" s="17" t="n">
        <f aca="false">PWT!B31</f>
        <v>399934.28125</v>
      </c>
      <c r="E25" s="1" t="n">
        <f aca="false">PWT!D31</f>
        <v>0.0420626476407051</v>
      </c>
    </row>
    <row r="26" customFormat="false" ht="12" hidden="false" customHeight="true" outlineLevel="0" collapsed="false">
      <c r="A26" s="25" t="n">
        <v>44196</v>
      </c>
      <c r="B26" s="1" t="n">
        <v>2020</v>
      </c>
      <c r="C26" s="1" t="n">
        <v>6152769261.62</v>
      </c>
      <c r="D26" s="17" t="n">
        <f aca="false">PWT!B32</f>
        <v>405156.15625</v>
      </c>
      <c r="E26" s="1" t="n">
        <f aca="false">PWT!D32</f>
        <v>0.0429592169821262</v>
      </c>
    </row>
    <row r="27" customFormat="false" ht="12" hidden="false" customHeight="true" outlineLevel="0" collapsed="false">
      <c r="A27" s="25" t="n">
        <v>44561</v>
      </c>
      <c r="B27" s="1" t="n">
        <v>2021</v>
      </c>
      <c r="C27" s="1" t="n">
        <v>7072625348.9</v>
      </c>
      <c r="D27" s="17" t="n">
        <f aca="false">PWT!B33</f>
        <v>409189.75</v>
      </c>
      <c r="E27" s="1" t="n">
        <f aca="false">PWT!D33</f>
        <v>0.0433573126792908</v>
      </c>
    </row>
    <row r="28" customFormat="false" ht="12" hidden="false" customHeight="true" outlineLevel="0" collapsed="false">
      <c r="A28" s="25" t="n">
        <v>44926</v>
      </c>
      <c r="B28" s="1" t="n">
        <v>2022</v>
      </c>
      <c r="C28" s="1" t="n">
        <v>7661448474.88</v>
      </c>
      <c r="D28" s="17" t="n">
        <f aca="false">PWT!B34</f>
        <v>415085.84375</v>
      </c>
      <c r="E28" s="1" t="n">
        <f aca="false">PWT!D34</f>
        <v>0.0436077080667019</v>
      </c>
    </row>
    <row r="29" customFormat="false" ht="12" hidden="false" customHeight="true" outlineLevel="0" collapsed="false">
      <c r="A29" s="25" t="n">
        <v>45291</v>
      </c>
      <c r="B29" s="1" t="n">
        <v>2023</v>
      </c>
      <c r="C29" s="1" t="n">
        <v>9410657843.71</v>
      </c>
      <c r="D29" s="17" t="n">
        <f aca="false">PWT!B35</f>
        <v>426190.5</v>
      </c>
      <c r="E29" s="1" t="n">
        <f aca="false">PWT!D35</f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F1" s="24" t="s">
        <v>42</v>
      </c>
    </row>
    <row r="2" customFormat="false" ht="12" hidden="false" customHeight="true" outlineLevel="0" collapsed="false">
      <c r="A2" s="17" t="n">
        <v>1990</v>
      </c>
      <c r="B2" s="17" t="n">
        <v>333953.90625</v>
      </c>
      <c r="C2" s="1" t="n">
        <v>67440.0546875</v>
      </c>
      <c r="D2" s="1" t="n">
        <v>0.0409929528832436</v>
      </c>
      <c r="F2" s="24" t="s">
        <v>43</v>
      </c>
    </row>
    <row r="3" customFormat="false" ht="12" hidden="false" customHeight="true" outlineLevel="0" collapsed="false">
      <c r="A3" s="17" t="n">
        <v>1991</v>
      </c>
      <c r="B3" s="17" t="n">
        <v>336800.125</v>
      </c>
      <c r="C3" s="1" t="n">
        <v>53052.83984375</v>
      </c>
      <c r="D3" s="1" t="n">
        <v>0.0411235168576241</v>
      </c>
    </row>
    <row r="4" customFormat="false" ht="12" hidden="false" customHeight="true" outlineLevel="0" collapsed="false">
      <c r="A4" s="17" t="n">
        <v>1992</v>
      </c>
      <c r="B4" s="17" t="n">
        <v>331575.34375</v>
      </c>
      <c r="C4" s="1" t="n">
        <v>29442.9375</v>
      </c>
      <c r="D4" s="1" t="n">
        <v>0.0402376800775528</v>
      </c>
    </row>
    <row r="5" customFormat="false" ht="12" hidden="false" customHeight="true" outlineLevel="0" collapsed="false">
      <c r="A5" s="17" t="n">
        <v>1993</v>
      </c>
      <c r="B5" s="17" t="n">
        <v>318977.5625</v>
      </c>
      <c r="C5" s="1" t="n">
        <v>20818.90234375</v>
      </c>
      <c r="D5" s="1" t="n">
        <v>0.0383953675627708</v>
      </c>
    </row>
    <row r="6" customFormat="false" ht="12" hidden="false" customHeight="true" outlineLevel="0" collapsed="false">
      <c r="A6" s="17" t="n">
        <v>1994</v>
      </c>
      <c r="B6" s="17" t="n">
        <v>310557.21875</v>
      </c>
      <c r="C6" s="1" t="n">
        <v>18657.6640625</v>
      </c>
      <c r="D6" s="1" t="n">
        <v>0.0363418571650982</v>
      </c>
    </row>
    <row r="7" customFormat="false" ht="12" hidden="false" customHeight="true" outlineLevel="0" collapsed="false">
      <c r="A7" s="17" t="n">
        <v>1995</v>
      </c>
      <c r="B7" s="17" t="n">
        <v>305633.28125</v>
      </c>
      <c r="C7" s="1" t="n">
        <v>19138.576171875</v>
      </c>
      <c r="D7" s="1" t="n">
        <v>0.0346032343804836</v>
      </c>
    </row>
    <row r="8" customFormat="false" ht="12" hidden="false" customHeight="true" outlineLevel="0" collapsed="false">
      <c r="A8" s="17" t="n">
        <v>1996</v>
      </c>
      <c r="B8" s="17" t="n">
        <v>301706.46875</v>
      </c>
      <c r="C8" s="1" t="n">
        <v>21298.572265625</v>
      </c>
      <c r="D8" s="1" t="n">
        <v>0.0332826301455498</v>
      </c>
    </row>
    <row r="9" customFormat="false" ht="12" hidden="false" customHeight="true" outlineLevel="0" collapsed="false">
      <c r="A9" s="17" t="n">
        <v>1997</v>
      </c>
      <c r="B9" s="17" t="n">
        <v>298764.625</v>
      </c>
      <c r="C9" s="1" t="n">
        <v>23538.966796875</v>
      </c>
      <c r="D9" s="1" t="n">
        <v>0.0324222669005394</v>
      </c>
    </row>
    <row r="10" customFormat="false" ht="12" hidden="false" customHeight="true" outlineLevel="0" collapsed="false">
      <c r="A10" s="17" t="n">
        <v>1998</v>
      </c>
      <c r="B10" s="17" t="n">
        <v>298990.5</v>
      </c>
      <c r="C10" s="1" t="n">
        <v>24269.841796875</v>
      </c>
      <c r="D10" s="1" t="n">
        <v>0.0320810526609421</v>
      </c>
    </row>
    <row r="11" customFormat="false" ht="12" hidden="false" customHeight="true" outlineLevel="0" collapsed="false">
      <c r="A11" s="17" t="n">
        <v>1999</v>
      </c>
      <c r="B11" s="17" t="n">
        <v>299754.78125</v>
      </c>
      <c r="C11" s="1" t="n">
        <v>24966.201171875</v>
      </c>
      <c r="D11" s="1" t="n">
        <v>0.0320445038378239</v>
      </c>
    </row>
    <row r="12" customFormat="false" ht="12" hidden="false" customHeight="true" outlineLevel="0" collapsed="false">
      <c r="A12" s="17" t="n">
        <v>2000</v>
      </c>
      <c r="B12" s="17" t="n">
        <v>300383.3125</v>
      </c>
      <c r="C12" s="1" t="n">
        <v>25425.16796875</v>
      </c>
      <c r="D12" s="1" t="n">
        <v>0.031913548707962</v>
      </c>
    </row>
    <row r="13" customFormat="false" ht="12" hidden="false" customHeight="true" outlineLevel="0" collapsed="false">
      <c r="A13" s="17" t="n">
        <v>2001</v>
      </c>
      <c r="B13" s="17" t="n">
        <v>302284.0625</v>
      </c>
      <c r="C13" s="1" t="n">
        <v>26646.9609375</v>
      </c>
      <c r="D13" s="1" t="n">
        <v>0.0318191163241863</v>
      </c>
    </row>
    <row r="14" customFormat="false" ht="12" hidden="false" customHeight="true" outlineLevel="0" collapsed="false">
      <c r="A14" s="17" t="n">
        <v>2002</v>
      </c>
      <c r="B14" s="17" t="n">
        <v>303592.625</v>
      </c>
      <c r="C14" s="1" t="n">
        <v>28105.572265625</v>
      </c>
      <c r="D14" s="1" t="n">
        <v>0.0315976105630398</v>
      </c>
    </row>
    <row r="15" customFormat="false" ht="12" hidden="false" customHeight="true" outlineLevel="0" collapsed="false">
      <c r="A15" s="17" t="n">
        <v>2003</v>
      </c>
      <c r="B15" s="17" t="n">
        <v>307310.28125</v>
      </c>
      <c r="C15" s="1" t="n">
        <v>31213.515625</v>
      </c>
      <c r="D15" s="1" t="n">
        <v>0.0312637500464916</v>
      </c>
    </row>
    <row r="16" customFormat="false" ht="12" hidden="false" customHeight="true" outlineLevel="0" collapsed="false">
      <c r="A16" s="17" t="n">
        <v>2004</v>
      </c>
      <c r="B16" s="17" t="n">
        <v>311984.28125</v>
      </c>
      <c r="C16" s="1" t="n">
        <v>33022.64453125</v>
      </c>
      <c r="D16" s="1" t="n">
        <v>0.0316877923905849</v>
      </c>
    </row>
    <row r="17" customFormat="false" ht="12" hidden="false" customHeight="true" outlineLevel="0" collapsed="false">
      <c r="A17" s="17" t="n">
        <v>2005</v>
      </c>
      <c r="B17" s="17" t="n">
        <v>317837.8125</v>
      </c>
      <c r="C17" s="1" t="n">
        <v>36188.953125</v>
      </c>
      <c r="D17" s="1" t="n">
        <v>0.0329389497637749</v>
      </c>
    </row>
    <row r="18" customFormat="false" ht="12" hidden="false" customHeight="true" outlineLevel="0" collapsed="false">
      <c r="A18" s="17" t="n">
        <v>2006</v>
      </c>
      <c r="B18" s="17" t="n">
        <v>322943.65625</v>
      </c>
      <c r="C18" s="1" t="n">
        <v>39598.22265625</v>
      </c>
      <c r="D18" s="1" t="n">
        <v>0.0344443172216415</v>
      </c>
    </row>
    <row r="19" customFormat="false" ht="12" hidden="false" customHeight="true" outlineLevel="0" collapsed="false">
      <c r="A19" s="17" t="n">
        <v>2007</v>
      </c>
      <c r="B19" s="17" t="n">
        <v>329445.875</v>
      </c>
      <c r="C19" s="1" t="n">
        <v>44579.19140625</v>
      </c>
      <c r="D19" s="1" t="n">
        <v>0.0360632352530956</v>
      </c>
    </row>
    <row r="20" customFormat="false" ht="12" hidden="false" customHeight="true" outlineLevel="0" collapsed="false">
      <c r="A20" s="17" t="n">
        <v>2008</v>
      </c>
      <c r="B20" s="17" t="n">
        <v>332604.46875</v>
      </c>
      <c r="C20" s="1" t="n">
        <v>45657.16015625</v>
      </c>
      <c r="D20" s="1" t="n">
        <v>0.0373382940888405</v>
      </c>
    </row>
    <row r="21" customFormat="false" ht="12" hidden="false" customHeight="true" outlineLevel="0" collapsed="false">
      <c r="A21" s="17" t="n">
        <v>2009</v>
      </c>
      <c r="B21" s="17" t="n">
        <v>330608.28125</v>
      </c>
      <c r="C21" s="1" t="n">
        <v>43990.6328125</v>
      </c>
      <c r="D21" s="1" t="n">
        <v>0.0375244617462158</v>
      </c>
    </row>
    <row r="22" customFormat="false" ht="12" hidden="false" customHeight="true" outlineLevel="0" collapsed="false">
      <c r="A22" s="17" t="n">
        <v>2010</v>
      </c>
      <c r="B22" s="17" t="n">
        <v>332551.53125</v>
      </c>
      <c r="C22" s="1" t="n">
        <v>46739.7890625</v>
      </c>
      <c r="D22" s="1" t="n">
        <v>0.0372243337333202</v>
      </c>
    </row>
    <row r="23" customFormat="false" ht="12" hidden="false" customHeight="true" outlineLevel="0" collapsed="false">
      <c r="A23" s="17" t="n">
        <v>2011</v>
      </c>
      <c r="B23" s="17" t="n">
        <v>336560.28125</v>
      </c>
      <c r="C23" s="1" t="n">
        <v>50455.2109375</v>
      </c>
      <c r="D23" s="1" t="n">
        <v>0.037186823785305</v>
      </c>
    </row>
    <row r="24" customFormat="false" ht="12" hidden="false" customHeight="true" outlineLevel="0" collapsed="false">
      <c r="A24" s="17" t="n">
        <v>2012</v>
      </c>
      <c r="B24" s="17" t="n">
        <v>341471.1875</v>
      </c>
      <c r="C24" s="1" t="n">
        <v>53774.6796875</v>
      </c>
      <c r="D24" s="1" t="n">
        <v>0.0371892042458057</v>
      </c>
    </row>
    <row r="25" customFormat="false" ht="12" hidden="false" customHeight="true" outlineLevel="0" collapsed="false">
      <c r="A25" s="17" t="n">
        <v>2013</v>
      </c>
      <c r="B25" s="17" t="n">
        <v>344239.03125</v>
      </c>
      <c r="C25" s="1" t="n">
        <v>56535.23046875</v>
      </c>
      <c r="D25" s="1" t="n">
        <v>0.0372365638613701</v>
      </c>
    </row>
    <row r="26" customFormat="false" ht="12" hidden="false" customHeight="true" outlineLevel="0" collapsed="false">
      <c r="A26" s="17" t="n">
        <v>2014</v>
      </c>
      <c r="B26" s="17" t="n">
        <v>350962.15625</v>
      </c>
      <c r="C26" s="1" t="n">
        <v>58847.86328125</v>
      </c>
      <c r="D26" s="1" t="n">
        <v>0.03755883872509</v>
      </c>
    </row>
    <row r="27" customFormat="false" ht="12" hidden="false" customHeight="true" outlineLevel="0" collapsed="false">
      <c r="A27" s="17" t="n">
        <v>2015</v>
      </c>
      <c r="B27" s="17" t="n">
        <v>360259.8125</v>
      </c>
      <c r="C27" s="1" t="n">
        <v>60819.7421875</v>
      </c>
      <c r="D27" s="1" t="n">
        <v>0.0383267849683762</v>
      </c>
    </row>
    <row r="28" customFormat="false" ht="12" hidden="false" customHeight="true" outlineLevel="0" collapsed="false">
      <c r="A28" s="17" t="n">
        <v>2016</v>
      </c>
      <c r="B28" s="17" t="n">
        <v>370547.65625</v>
      </c>
      <c r="C28" s="1" t="n">
        <v>62917.9765625</v>
      </c>
      <c r="D28" s="1" t="n">
        <v>0.0393099114298821</v>
      </c>
    </row>
    <row r="29" customFormat="false" ht="12" hidden="false" customHeight="true" outlineLevel="0" collapsed="false">
      <c r="A29" s="17" t="n">
        <v>2017</v>
      </c>
      <c r="B29" s="17" t="n">
        <v>380655.78125</v>
      </c>
      <c r="C29" s="1" t="n">
        <v>66165.234375</v>
      </c>
      <c r="D29" s="1" t="n">
        <v>0.0404252856969833</v>
      </c>
    </row>
    <row r="30" customFormat="false" ht="12" hidden="false" customHeight="true" outlineLevel="0" collapsed="false">
      <c r="A30" s="17" t="n">
        <v>2018</v>
      </c>
      <c r="B30" s="17" t="n">
        <v>390625.1875</v>
      </c>
      <c r="C30" s="1" t="n">
        <v>70176.296875</v>
      </c>
      <c r="D30" s="1" t="n">
        <v>0.0412590205669403</v>
      </c>
    </row>
    <row r="31" customFormat="false" ht="12" hidden="false" customHeight="true" outlineLevel="0" collapsed="false">
      <c r="A31" s="17" t="n">
        <v>2019</v>
      </c>
      <c r="B31" s="17" t="n">
        <v>399934.28125</v>
      </c>
      <c r="C31" s="1" t="n">
        <v>73951.9765625</v>
      </c>
      <c r="D31" s="1" t="n">
        <v>0.0420626476407051</v>
      </c>
    </row>
    <row r="32" customFormat="false" ht="12" hidden="false" customHeight="true" outlineLevel="0" collapsed="false">
      <c r="A32" s="17" t="n">
        <v>2020</v>
      </c>
      <c r="B32" s="17" t="n">
        <v>405156.15625</v>
      </c>
      <c r="C32" s="1" t="n">
        <v>69299.46875</v>
      </c>
      <c r="D32" s="1" t="n">
        <v>0.0429592169821262</v>
      </c>
    </row>
    <row r="33" customFormat="false" ht="12" hidden="false" customHeight="true" outlineLevel="0" collapsed="false">
      <c r="A33" s="17" t="n">
        <v>2021</v>
      </c>
      <c r="B33" s="17" t="n">
        <v>409189.75</v>
      </c>
      <c r="C33" s="1" t="n">
        <v>76675.71875</v>
      </c>
      <c r="D33" s="1" t="n">
        <v>0.0433573126792908</v>
      </c>
    </row>
    <row r="34" customFormat="false" ht="12" hidden="false" customHeight="true" outlineLevel="0" collapsed="false">
      <c r="A34" s="17" t="n">
        <v>2022</v>
      </c>
      <c r="B34" s="17" t="n">
        <v>415085.84375</v>
      </c>
      <c r="C34" s="1" t="n">
        <v>85079.0234375</v>
      </c>
      <c r="D34" s="1" t="n">
        <v>0.0436077080667019</v>
      </c>
    </row>
    <row r="35" customFormat="false" ht="12" hidden="false" customHeight="true" outlineLevel="0" collapsed="false">
      <c r="A35" s="17" t="n">
        <v>2023</v>
      </c>
      <c r="B35" s="17" t="n">
        <v>426190.5</v>
      </c>
      <c r="C35" s="1" t="n">
        <v>91437.8125</v>
      </c>
      <c r="D35" s="1" t="n"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44</v>
      </c>
      <c r="C1" s="1" t="n">
        <v>915</v>
      </c>
      <c r="D1" s="1" t="n">
        <v>915</v>
      </c>
      <c r="F1" s="24" t="s">
        <v>45</v>
      </c>
    </row>
    <row r="2" customFormat="false" ht="12" hidden="false" customHeight="true" outlineLevel="0" collapsed="false">
      <c r="B2" s="1" t="s">
        <v>46</v>
      </c>
      <c r="C2" s="1" t="s">
        <v>47</v>
      </c>
      <c r="D2" s="1" t="s">
        <v>48</v>
      </c>
      <c r="F2" s="24" t="s">
        <v>49</v>
      </c>
    </row>
    <row r="3" customFormat="false" ht="12" hidden="false" customHeight="true" outlineLevel="0" collapsed="false">
      <c r="B3" s="1" t="s">
        <v>50</v>
      </c>
      <c r="C3" s="1" t="s">
        <v>51</v>
      </c>
      <c r="D3" s="1" t="s">
        <v>51</v>
      </c>
    </row>
    <row r="4" customFormat="false" ht="12" hidden="false" customHeight="true" outlineLevel="0" collapsed="false">
      <c r="B4" s="1" t="s">
        <v>52</v>
      </c>
      <c r="C4" s="1" t="s">
        <v>53</v>
      </c>
      <c r="D4" s="1" t="s">
        <v>53</v>
      </c>
    </row>
    <row r="5" customFormat="false" ht="12" hidden="false" customHeight="true" outlineLevel="0" collapsed="false">
      <c r="B5" s="1" t="s">
        <v>54</v>
      </c>
      <c r="C5" s="1" t="s">
        <v>55</v>
      </c>
      <c r="D5" s="1" t="s">
        <v>56</v>
      </c>
    </row>
    <row r="6" customFormat="false" ht="12" hidden="false" customHeight="true" outlineLevel="0" collapsed="false">
      <c r="B6" s="1" t="s">
        <v>57</v>
      </c>
      <c r="C6" s="1" t="s">
        <v>58</v>
      </c>
      <c r="D6" s="1" t="s">
        <v>54</v>
      </c>
    </row>
    <row r="7" customFormat="false" ht="12" hidden="false" customHeight="true" outlineLevel="0" collapsed="false">
      <c r="B7" s="1" t="s">
        <v>59</v>
      </c>
      <c r="C7" s="1" t="s">
        <v>60</v>
      </c>
      <c r="D7" s="1" t="s">
        <v>61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v>5</v>
      </c>
    </row>
    <row r="16385" customFormat="false" ht="12" hidden="false" customHeight="true" outlineLevel="0" collapsed="false">
      <c r="B16385" s="1" t="s">
        <v>44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46</v>
      </c>
      <c r="C16386" s="1" t="s">
        <v>47</v>
      </c>
      <c r="D16386" s="1" t="s">
        <v>48</v>
      </c>
    </row>
    <row r="16387" customFormat="false" ht="12" hidden="false" customHeight="true" outlineLevel="0" collapsed="false">
      <c r="B16387" s="1" t="s">
        <v>50</v>
      </c>
      <c r="C16387" s="1" t="s">
        <v>51</v>
      </c>
      <c r="D16387" s="1" t="s">
        <v>51</v>
      </c>
    </row>
    <row r="16388" customFormat="false" ht="12" hidden="false" customHeight="true" outlineLevel="0" collapsed="false">
      <c r="B16388" s="1" t="s">
        <v>52</v>
      </c>
      <c r="C16388" s="1" t="s">
        <v>53</v>
      </c>
      <c r="D16388" s="1" t="s">
        <v>53</v>
      </c>
    </row>
    <row r="16389" customFormat="false" ht="12" hidden="false" customHeight="true" outlineLevel="0" collapsed="false">
      <c r="B16389" s="1" t="s">
        <v>54</v>
      </c>
      <c r="C16389" s="1" t="s">
        <v>55</v>
      </c>
      <c r="D16389" s="1" t="s">
        <v>56</v>
      </c>
    </row>
    <row r="16390" customFormat="false" ht="12" hidden="false" customHeight="true" outlineLevel="0" collapsed="false">
      <c r="B16390" s="1" t="s">
        <v>57</v>
      </c>
      <c r="C16390" s="1" t="s">
        <v>58</v>
      </c>
      <c r="D16390" s="1" t="s">
        <v>54</v>
      </c>
    </row>
    <row r="16391" customFormat="false" ht="12" hidden="false" customHeight="true" outlineLevel="0" collapsed="false">
      <c r="B16391" s="1" t="s">
        <v>59</v>
      </c>
      <c r="C16391" s="1" t="s">
        <v>60</v>
      </c>
      <c r="D16391" s="1" t="s">
        <v>61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62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44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46</v>
      </c>
      <c r="C32770" s="1" t="s">
        <v>47</v>
      </c>
      <c r="D32770" s="1" t="s">
        <v>48</v>
      </c>
    </row>
    <row r="32771" customFormat="false" ht="12" hidden="false" customHeight="true" outlineLevel="0" collapsed="false">
      <c r="B32771" s="1" t="s">
        <v>50</v>
      </c>
      <c r="C32771" s="1" t="s">
        <v>51</v>
      </c>
      <c r="D32771" s="1" t="s">
        <v>51</v>
      </c>
    </row>
    <row r="32772" customFormat="false" ht="12" hidden="false" customHeight="true" outlineLevel="0" collapsed="false">
      <c r="B32772" s="1" t="s">
        <v>52</v>
      </c>
      <c r="C32772" s="1" t="s">
        <v>53</v>
      </c>
      <c r="D32772" s="1" t="s">
        <v>53</v>
      </c>
    </row>
    <row r="32773" customFormat="false" ht="12" hidden="false" customHeight="true" outlineLevel="0" collapsed="false">
      <c r="B32773" s="1" t="s">
        <v>54</v>
      </c>
      <c r="C32773" s="1" t="s">
        <v>55</v>
      </c>
      <c r="D32773" s="1" t="s">
        <v>56</v>
      </c>
    </row>
    <row r="32774" customFormat="false" ht="12" hidden="false" customHeight="true" outlineLevel="0" collapsed="false">
      <c r="B32774" s="1" t="s">
        <v>57</v>
      </c>
      <c r="C32774" s="1" t="s">
        <v>58</v>
      </c>
      <c r="D32774" s="1" t="s">
        <v>54</v>
      </c>
    </row>
    <row r="32775" customFormat="false" ht="12" hidden="false" customHeight="true" outlineLevel="0" collapsed="false">
      <c r="B32775" s="1" t="s">
        <v>59</v>
      </c>
      <c r="C32775" s="1" t="s">
        <v>60</v>
      </c>
      <c r="D32775" s="1" t="s">
        <v>61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62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44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46</v>
      </c>
      <c r="C49154" s="1" t="s">
        <v>47</v>
      </c>
      <c r="D49154" s="1" t="s">
        <v>48</v>
      </c>
    </row>
    <row r="49155" customFormat="false" ht="12" hidden="false" customHeight="true" outlineLevel="0" collapsed="false">
      <c r="B49155" s="1" t="s">
        <v>50</v>
      </c>
      <c r="C49155" s="1" t="s">
        <v>51</v>
      </c>
      <c r="D49155" s="1" t="s">
        <v>51</v>
      </c>
    </row>
    <row r="49156" customFormat="false" ht="12" hidden="false" customHeight="true" outlineLevel="0" collapsed="false">
      <c r="B49156" s="1" t="s">
        <v>52</v>
      </c>
      <c r="C49156" s="1" t="s">
        <v>53</v>
      </c>
      <c r="D49156" s="1" t="s">
        <v>53</v>
      </c>
    </row>
    <row r="49157" customFormat="false" ht="12" hidden="false" customHeight="true" outlineLevel="0" collapsed="false">
      <c r="B49157" s="1" t="s">
        <v>54</v>
      </c>
      <c r="C49157" s="1" t="s">
        <v>55</v>
      </c>
      <c r="D49157" s="1" t="s">
        <v>56</v>
      </c>
    </row>
    <row r="49158" customFormat="false" ht="12" hidden="false" customHeight="true" outlineLevel="0" collapsed="false">
      <c r="B49158" s="1" t="s">
        <v>57</v>
      </c>
      <c r="C49158" s="1" t="s">
        <v>58</v>
      </c>
      <c r="D49158" s="1" t="s">
        <v>54</v>
      </c>
    </row>
    <row r="49159" customFormat="false" ht="12" hidden="false" customHeight="true" outlineLevel="0" collapsed="false">
      <c r="B49159" s="1" t="s">
        <v>59</v>
      </c>
      <c r="C49159" s="1" t="s">
        <v>60</v>
      </c>
      <c r="D49159" s="1" t="s">
        <v>61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62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44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46</v>
      </c>
      <c r="C65538" s="1" t="s">
        <v>47</v>
      </c>
      <c r="D65538" s="1" t="s">
        <v>48</v>
      </c>
    </row>
    <row r="65539" customFormat="false" ht="12" hidden="false" customHeight="true" outlineLevel="0" collapsed="false">
      <c r="B65539" s="1" t="s">
        <v>50</v>
      </c>
      <c r="C65539" s="1" t="s">
        <v>51</v>
      </c>
      <c r="D65539" s="1" t="s">
        <v>51</v>
      </c>
    </row>
    <row r="65540" customFormat="false" ht="12" hidden="false" customHeight="true" outlineLevel="0" collapsed="false">
      <c r="B65540" s="1" t="s">
        <v>52</v>
      </c>
      <c r="C65540" s="1" t="s">
        <v>53</v>
      </c>
      <c r="D65540" s="1" t="s">
        <v>53</v>
      </c>
    </row>
    <row r="65541" customFormat="false" ht="12" hidden="false" customHeight="true" outlineLevel="0" collapsed="false">
      <c r="B65541" s="1" t="s">
        <v>54</v>
      </c>
      <c r="C65541" s="1" t="s">
        <v>55</v>
      </c>
      <c r="D65541" s="1" t="s">
        <v>56</v>
      </c>
    </row>
    <row r="65542" customFormat="false" ht="12" hidden="false" customHeight="true" outlineLevel="0" collapsed="false">
      <c r="B65542" s="1" t="s">
        <v>57</v>
      </c>
      <c r="C65542" s="1" t="s">
        <v>58</v>
      </c>
      <c r="D65542" s="1" t="s">
        <v>54</v>
      </c>
    </row>
    <row r="65543" customFormat="false" ht="12" hidden="false" customHeight="true" outlineLevel="0" collapsed="false">
      <c r="B65543" s="1" t="s">
        <v>59</v>
      </c>
      <c r="C65543" s="1" t="s">
        <v>60</v>
      </c>
      <c r="D65543" s="1" t="s">
        <v>61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62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44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46</v>
      </c>
      <c r="C81922" s="1" t="s">
        <v>47</v>
      </c>
      <c r="D81922" s="1" t="s">
        <v>48</v>
      </c>
    </row>
    <row r="81923" customFormat="false" ht="12" hidden="false" customHeight="true" outlineLevel="0" collapsed="false">
      <c r="B81923" s="1" t="s">
        <v>50</v>
      </c>
      <c r="C81923" s="1" t="s">
        <v>51</v>
      </c>
      <c r="D81923" s="1" t="s">
        <v>51</v>
      </c>
    </row>
    <row r="81924" customFormat="false" ht="12" hidden="false" customHeight="true" outlineLevel="0" collapsed="false">
      <c r="B81924" s="1" t="s">
        <v>52</v>
      </c>
      <c r="C81924" s="1" t="s">
        <v>53</v>
      </c>
      <c r="D81924" s="1" t="s">
        <v>53</v>
      </c>
    </row>
    <row r="81925" customFormat="false" ht="12" hidden="false" customHeight="true" outlineLevel="0" collapsed="false">
      <c r="B81925" s="1" t="s">
        <v>54</v>
      </c>
      <c r="C81925" s="1" t="s">
        <v>55</v>
      </c>
      <c r="D81925" s="1" t="s">
        <v>56</v>
      </c>
    </row>
    <row r="81926" customFormat="false" ht="12" hidden="false" customHeight="true" outlineLevel="0" collapsed="false">
      <c r="B81926" s="1" t="s">
        <v>57</v>
      </c>
      <c r="C81926" s="1" t="s">
        <v>58</v>
      </c>
      <c r="D81926" s="1" t="s">
        <v>54</v>
      </c>
    </row>
    <row r="81927" customFormat="false" ht="12" hidden="false" customHeight="true" outlineLevel="0" collapsed="false">
      <c r="B81927" s="1" t="s">
        <v>59</v>
      </c>
      <c r="C81927" s="1" t="s">
        <v>60</v>
      </c>
      <c r="D81927" s="1" t="s">
        <v>61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62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44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46</v>
      </c>
      <c r="C98306" s="1" t="s">
        <v>47</v>
      </c>
      <c r="D98306" s="1" t="s">
        <v>48</v>
      </c>
    </row>
    <row r="98307" customFormat="false" ht="12" hidden="false" customHeight="true" outlineLevel="0" collapsed="false">
      <c r="B98307" s="1" t="s">
        <v>50</v>
      </c>
      <c r="C98307" s="1" t="s">
        <v>51</v>
      </c>
      <c r="D98307" s="1" t="s">
        <v>51</v>
      </c>
    </row>
    <row r="98308" customFormat="false" ht="12" hidden="false" customHeight="true" outlineLevel="0" collapsed="false">
      <c r="B98308" s="1" t="s">
        <v>52</v>
      </c>
      <c r="C98308" s="1" t="s">
        <v>53</v>
      </c>
      <c r="D98308" s="1" t="s">
        <v>53</v>
      </c>
    </row>
    <row r="98309" customFormat="false" ht="12" hidden="false" customHeight="true" outlineLevel="0" collapsed="false">
      <c r="B98309" s="1" t="s">
        <v>54</v>
      </c>
      <c r="C98309" s="1" t="s">
        <v>55</v>
      </c>
      <c r="D98309" s="1" t="s">
        <v>56</v>
      </c>
    </row>
    <row r="98310" customFormat="false" ht="12" hidden="false" customHeight="true" outlineLevel="0" collapsed="false">
      <c r="B98310" s="1" t="s">
        <v>57</v>
      </c>
      <c r="C98310" s="1" t="s">
        <v>58</v>
      </c>
      <c r="D98310" s="1" t="s">
        <v>54</v>
      </c>
    </row>
    <row r="98311" customFormat="false" ht="12" hidden="false" customHeight="true" outlineLevel="0" collapsed="false">
      <c r="B98311" s="1" t="s">
        <v>59</v>
      </c>
      <c r="C98311" s="1" t="s">
        <v>60</v>
      </c>
      <c r="D98311" s="1" t="s">
        <v>61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62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44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46</v>
      </c>
      <c r="C114690" s="1" t="s">
        <v>47</v>
      </c>
      <c r="D114690" s="1" t="s">
        <v>48</v>
      </c>
    </row>
    <row r="114691" customFormat="false" ht="12" hidden="false" customHeight="true" outlineLevel="0" collapsed="false">
      <c r="B114691" s="1" t="s">
        <v>50</v>
      </c>
      <c r="C114691" s="1" t="s">
        <v>51</v>
      </c>
      <c r="D114691" s="1" t="s">
        <v>51</v>
      </c>
    </row>
    <row r="114692" customFormat="false" ht="12" hidden="false" customHeight="true" outlineLevel="0" collapsed="false">
      <c r="B114692" s="1" t="s">
        <v>52</v>
      </c>
      <c r="C114692" s="1" t="s">
        <v>53</v>
      </c>
      <c r="D114692" s="1" t="s">
        <v>53</v>
      </c>
    </row>
    <row r="114693" customFormat="false" ht="12" hidden="false" customHeight="true" outlineLevel="0" collapsed="false">
      <c r="B114693" s="1" t="s">
        <v>54</v>
      </c>
      <c r="C114693" s="1" t="s">
        <v>55</v>
      </c>
      <c r="D114693" s="1" t="s">
        <v>56</v>
      </c>
    </row>
    <row r="114694" customFormat="false" ht="12" hidden="false" customHeight="true" outlineLevel="0" collapsed="false">
      <c r="B114694" s="1" t="s">
        <v>57</v>
      </c>
      <c r="C114694" s="1" t="s">
        <v>58</v>
      </c>
      <c r="D114694" s="1" t="s">
        <v>54</v>
      </c>
    </row>
    <row r="114695" customFormat="false" ht="12" hidden="false" customHeight="true" outlineLevel="0" collapsed="false">
      <c r="B114695" s="1" t="s">
        <v>59</v>
      </c>
      <c r="C114695" s="1" t="s">
        <v>60</v>
      </c>
      <c r="D114695" s="1" t="s">
        <v>61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62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44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46</v>
      </c>
      <c r="C131074" s="1" t="s">
        <v>47</v>
      </c>
      <c r="D131074" s="1" t="s">
        <v>48</v>
      </c>
    </row>
    <row r="131075" customFormat="false" ht="12" hidden="false" customHeight="true" outlineLevel="0" collapsed="false">
      <c r="B131075" s="1" t="s">
        <v>50</v>
      </c>
      <c r="C131075" s="1" t="s">
        <v>51</v>
      </c>
      <c r="D131075" s="1" t="s">
        <v>51</v>
      </c>
    </row>
    <row r="131076" customFormat="false" ht="12" hidden="false" customHeight="true" outlineLevel="0" collapsed="false">
      <c r="B131076" s="1" t="s">
        <v>52</v>
      </c>
      <c r="C131076" s="1" t="s">
        <v>53</v>
      </c>
      <c r="D131076" s="1" t="s">
        <v>53</v>
      </c>
    </row>
    <row r="131077" customFormat="false" ht="12" hidden="false" customHeight="true" outlineLevel="0" collapsed="false">
      <c r="B131077" s="1" t="s">
        <v>54</v>
      </c>
      <c r="C131077" s="1" t="s">
        <v>55</v>
      </c>
      <c r="D131077" s="1" t="s">
        <v>56</v>
      </c>
    </row>
    <row r="131078" customFormat="false" ht="12" hidden="false" customHeight="true" outlineLevel="0" collapsed="false">
      <c r="B131078" s="1" t="s">
        <v>57</v>
      </c>
      <c r="C131078" s="1" t="s">
        <v>58</v>
      </c>
      <c r="D131078" s="1" t="s">
        <v>54</v>
      </c>
    </row>
    <row r="131079" customFormat="false" ht="12" hidden="false" customHeight="true" outlineLevel="0" collapsed="false">
      <c r="B131079" s="1" t="s">
        <v>59</v>
      </c>
      <c r="C131079" s="1" t="s">
        <v>60</v>
      </c>
      <c r="D131079" s="1" t="s">
        <v>61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62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44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46</v>
      </c>
      <c r="C147458" s="1" t="s">
        <v>47</v>
      </c>
      <c r="D147458" s="1" t="s">
        <v>48</v>
      </c>
    </row>
    <row r="147459" customFormat="false" ht="12" hidden="false" customHeight="true" outlineLevel="0" collapsed="false">
      <c r="B147459" s="1" t="s">
        <v>50</v>
      </c>
      <c r="C147459" s="1" t="s">
        <v>51</v>
      </c>
      <c r="D147459" s="1" t="s">
        <v>51</v>
      </c>
    </row>
    <row r="147460" customFormat="false" ht="12" hidden="false" customHeight="true" outlineLevel="0" collapsed="false">
      <c r="B147460" s="1" t="s">
        <v>52</v>
      </c>
      <c r="C147460" s="1" t="s">
        <v>53</v>
      </c>
      <c r="D147460" s="1" t="s">
        <v>53</v>
      </c>
    </row>
    <row r="147461" customFormat="false" ht="12" hidden="false" customHeight="true" outlineLevel="0" collapsed="false">
      <c r="B147461" s="1" t="s">
        <v>54</v>
      </c>
      <c r="C147461" s="1" t="s">
        <v>55</v>
      </c>
      <c r="D147461" s="1" t="s">
        <v>56</v>
      </c>
    </row>
    <row r="147462" customFormat="false" ht="12" hidden="false" customHeight="true" outlineLevel="0" collapsed="false">
      <c r="B147462" s="1" t="s">
        <v>57</v>
      </c>
      <c r="C147462" s="1" t="s">
        <v>58</v>
      </c>
      <c r="D147462" s="1" t="s">
        <v>54</v>
      </c>
    </row>
    <row r="147463" customFormat="false" ht="12" hidden="false" customHeight="true" outlineLevel="0" collapsed="false">
      <c r="B147463" s="1" t="s">
        <v>59</v>
      </c>
      <c r="C147463" s="1" t="s">
        <v>60</v>
      </c>
      <c r="D147463" s="1" t="s">
        <v>61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62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44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46</v>
      </c>
      <c r="C163842" s="1" t="s">
        <v>47</v>
      </c>
      <c r="D163842" s="1" t="s">
        <v>48</v>
      </c>
    </row>
    <row r="163843" customFormat="false" ht="12" hidden="false" customHeight="true" outlineLevel="0" collapsed="false">
      <c r="B163843" s="1" t="s">
        <v>50</v>
      </c>
      <c r="C163843" s="1" t="s">
        <v>51</v>
      </c>
      <c r="D163843" s="1" t="s">
        <v>51</v>
      </c>
    </row>
    <row r="163844" customFormat="false" ht="12" hidden="false" customHeight="true" outlineLevel="0" collapsed="false">
      <c r="B163844" s="1" t="s">
        <v>52</v>
      </c>
      <c r="C163844" s="1" t="s">
        <v>53</v>
      </c>
      <c r="D163844" s="1" t="s">
        <v>53</v>
      </c>
    </row>
    <row r="163845" customFormat="false" ht="12" hidden="false" customHeight="true" outlineLevel="0" collapsed="false">
      <c r="B163845" s="1" t="s">
        <v>54</v>
      </c>
      <c r="C163845" s="1" t="s">
        <v>55</v>
      </c>
      <c r="D163845" s="1" t="s">
        <v>56</v>
      </c>
    </row>
    <row r="163846" customFormat="false" ht="12" hidden="false" customHeight="true" outlineLevel="0" collapsed="false">
      <c r="B163846" s="1" t="s">
        <v>57</v>
      </c>
      <c r="C163846" s="1" t="s">
        <v>58</v>
      </c>
      <c r="D163846" s="1" t="s">
        <v>54</v>
      </c>
    </row>
    <row r="163847" customFormat="false" ht="12" hidden="false" customHeight="true" outlineLevel="0" collapsed="false">
      <c r="B163847" s="1" t="s">
        <v>59</v>
      </c>
      <c r="C163847" s="1" t="s">
        <v>60</v>
      </c>
      <c r="D163847" s="1" t="s">
        <v>61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62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44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46</v>
      </c>
      <c r="C180226" s="1" t="s">
        <v>47</v>
      </c>
      <c r="D180226" s="1" t="s">
        <v>48</v>
      </c>
    </row>
    <row r="180227" customFormat="false" ht="12" hidden="false" customHeight="true" outlineLevel="0" collapsed="false">
      <c r="B180227" s="1" t="s">
        <v>50</v>
      </c>
      <c r="C180227" s="1" t="s">
        <v>51</v>
      </c>
      <c r="D180227" s="1" t="s">
        <v>51</v>
      </c>
    </row>
    <row r="180228" customFormat="false" ht="12" hidden="false" customHeight="true" outlineLevel="0" collapsed="false">
      <c r="B180228" s="1" t="s">
        <v>52</v>
      </c>
      <c r="C180228" s="1" t="s">
        <v>53</v>
      </c>
      <c r="D180228" s="1" t="s">
        <v>53</v>
      </c>
    </row>
    <row r="180229" customFormat="false" ht="12" hidden="false" customHeight="true" outlineLevel="0" collapsed="false">
      <c r="B180229" s="1" t="s">
        <v>54</v>
      </c>
      <c r="C180229" s="1" t="s">
        <v>55</v>
      </c>
      <c r="D180229" s="1" t="s">
        <v>56</v>
      </c>
    </row>
    <row r="180230" customFormat="false" ht="12" hidden="false" customHeight="true" outlineLevel="0" collapsed="false">
      <c r="B180230" s="1" t="s">
        <v>57</v>
      </c>
      <c r="C180230" s="1" t="s">
        <v>58</v>
      </c>
      <c r="D180230" s="1" t="s">
        <v>54</v>
      </c>
    </row>
    <row r="180231" customFormat="false" ht="12" hidden="false" customHeight="true" outlineLevel="0" collapsed="false">
      <c r="B180231" s="1" t="s">
        <v>59</v>
      </c>
      <c r="C180231" s="1" t="s">
        <v>60</v>
      </c>
      <c r="D180231" s="1" t="s">
        <v>61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62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44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46</v>
      </c>
      <c r="C196610" s="1" t="s">
        <v>47</v>
      </c>
      <c r="D196610" s="1" t="s">
        <v>48</v>
      </c>
    </row>
    <row r="196611" customFormat="false" ht="12" hidden="false" customHeight="true" outlineLevel="0" collapsed="false">
      <c r="B196611" s="1" t="s">
        <v>50</v>
      </c>
      <c r="C196611" s="1" t="s">
        <v>51</v>
      </c>
      <c r="D196611" s="1" t="s">
        <v>51</v>
      </c>
    </row>
    <row r="196612" customFormat="false" ht="12" hidden="false" customHeight="true" outlineLevel="0" collapsed="false">
      <c r="B196612" s="1" t="s">
        <v>52</v>
      </c>
      <c r="C196612" s="1" t="s">
        <v>53</v>
      </c>
      <c r="D196612" s="1" t="s">
        <v>53</v>
      </c>
    </row>
    <row r="196613" customFormat="false" ht="12" hidden="false" customHeight="true" outlineLevel="0" collapsed="false">
      <c r="B196613" s="1" t="s">
        <v>54</v>
      </c>
      <c r="C196613" s="1" t="s">
        <v>55</v>
      </c>
      <c r="D196613" s="1" t="s">
        <v>56</v>
      </c>
    </row>
    <row r="196614" customFormat="false" ht="12" hidden="false" customHeight="true" outlineLevel="0" collapsed="false">
      <c r="B196614" s="1" t="s">
        <v>57</v>
      </c>
      <c r="C196614" s="1" t="s">
        <v>58</v>
      </c>
      <c r="D196614" s="1" t="s">
        <v>54</v>
      </c>
    </row>
    <row r="196615" customFormat="false" ht="12" hidden="false" customHeight="true" outlineLevel="0" collapsed="false">
      <c r="B196615" s="1" t="s">
        <v>59</v>
      </c>
      <c r="C196615" s="1" t="s">
        <v>60</v>
      </c>
      <c r="D196615" s="1" t="s">
        <v>61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62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44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46</v>
      </c>
      <c r="C212994" s="1" t="s">
        <v>47</v>
      </c>
      <c r="D212994" s="1" t="s">
        <v>48</v>
      </c>
    </row>
    <row r="212995" customFormat="false" ht="12" hidden="false" customHeight="true" outlineLevel="0" collapsed="false">
      <c r="B212995" s="1" t="s">
        <v>50</v>
      </c>
      <c r="C212995" s="1" t="s">
        <v>51</v>
      </c>
      <c r="D212995" s="1" t="s">
        <v>51</v>
      </c>
    </row>
    <row r="212996" customFormat="false" ht="12" hidden="false" customHeight="true" outlineLevel="0" collapsed="false">
      <c r="B212996" s="1" t="s">
        <v>52</v>
      </c>
      <c r="C212996" s="1" t="s">
        <v>53</v>
      </c>
      <c r="D212996" s="1" t="s">
        <v>53</v>
      </c>
    </row>
    <row r="212997" customFormat="false" ht="12" hidden="false" customHeight="true" outlineLevel="0" collapsed="false">
      <c r="B212997" s="1" t="s">
        <v>54</v>
      </c>
      <c r="C212997" s="1" t="s">
        <v>55</v>
      </c>
      <c r="D212997" s="1" t="s">
        <v>56</v>
      </c>
    </row>
    <row r="212998" customFormat="false" ht="12" hidden="false" customHeight="true" outlineLevel="0" collapsed="false">
      <c r="B212998" s="1" t="s">
        <v>57</v>
      </c>
      <c r="C212998" s="1" t="s">
        <v>58</v>
      </c>
      <c r="D212998" s="1" t="s">
        <v>54</v>
      </c>
    </row>
    <row r="212999" customFormat="false" ht="12" hidden="false" customHeight="true" outlineLevel="0" collapsed="false">
      <c r="B212999" s="1" t="s">
        <v>59</v>
      </c>
      <c r="C212999" s="1" t="s">
        <v>60</v>
      </c>
      <c r="D212999" s="1" t="s">
        <v>61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62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44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46</v>
      </c>
      <c r="C229378" s="1" t="s">
        <v>47</v>
      </c>
      <c r="D229378" s="1" t="s">
        <v>48</v>
      </c>
    </row>
    <row r="229379" customFormat="false" ht="12" hidden="false" customHeight="true" outlineLevel="0" collapsed="false">
      <c r="B229379" s="1" t="s">
        <v>50</v>
      </c>
      <c r="C229379" s="1" t="s">
        <v>51</v>
      </c>
      <c r="D229379" s="1" t="s">
        <v>51</v>
      </c>
    </row>
    <row r="229380" customFormat="false" ht="12" hidden="false" customHeight="true" outlineLevel="0" collapsed="false">
      <c r="B229380" s="1" t="s">
        <v>52</v>
      </c>
      <c r="C229380" s="1" t="s">
        <v>53</v>
      </c>
      <c r="D229380" s="1" t="s">
        <v>53</v>
      </c>
    </row>
    <row r="229381" customFormat="false" ht="12" hidden="false" customHeight="true" outlineLevel="0" collapsed="false">
      <c r="B229381" s="1" t="s">
        <v>54</v>
      </c>
      <c r="C229381" s="1" t="s">
        <v>55</v>
      </c>
      <c r="D229381" s="1" t="s">
        <v>56</v>
      </c>
    </row>
    <row r="229382" customFormat="false" ht="12" hidden="false" customHeight="true" outlineLevel="0" collapsed="false">
      <c r="B229382" s="1" t="s">
        <v>57</v>
      </c>
      <c r="C229382" s="1" t="s">
        <v>58</v>
      </c>
      <c r="D229382" s="1" t="s">
        <v>54</v>
      </c>
    </row>
    <row r="229383" customFormat="false" ht="12" hidden="false" customHeight="true" outlineLevel="0" collapsed="false">
      <c r="B229383" s="1" t="s">
        <v>59</v>
      </c>
      <c r="C229383" s="1" t="s">
        <v>60</v>
      </c>
      <c r="D229383" s="1" t="s">
        <v>61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62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44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46</v>
      </c>
      <c r="C245762" s="1" t="s">
        <v>47</v>
      </c>
      <c r="D245762" s="1" t="s">
        <v>48</v>
      </c>
    </row>
    <row r="245763" customFormat="false" ht="12" hidden="false" customHeight="true" outlineLevel="0" collapsed="false">
      <c r="B245763" s="1" t="s">
        <v>50</v>
      </c>
      <c r="C245763" s="1" t="s">
        <v>51</v>
      </c>
      <c r="D245763" s="1" t="s">
        <v>51</v>
      </c>
    </row>
    <row r="245764" customFormat="false" ht="12" hidden="false" customHeight="true" outlineLevel="0" collapsed="false">
      <c r="B245764" s="1" t="s">
        <v>52</v>
      </c>
      <c r="C245764" s="1" t="s">
        <v>53</v>
      </c>
      <c r="D245764" s="1" t="s">
        <v>53</v>
      </c>
    </row>
    <row r="245765" customFormat="false" ht="12" hidden="false" customHeight="true" outlineLevel="0" collapsed="false">
      <c r="B245765" s="1" t="s">
        <v>54</v>
      </c>
      <c r="C245765" s="1" t="s">
        <v>55</v>
      </c>
      <c r="D245765" s="1" t="s">
        <v>56</v>
      </c>
    </row>
    <row r="245766" customFormat="false" ht="12" hidden="false" customHeight="true" outlineLevel="0" collapsed="false">
      <c r="B245766" s="1" t="s">
        <v>57</v>
      </c>
      <c r="C245766" s="1" t="s">
        <v>58</v>
      </c>
      <c r="D245766" s="1" t="s">
        <v>54</v>
      </c>
    </row>
    <row r="245767" customFormat="false" ht="12" hidden="false" customHeight="true" outlineLevel="0" collapsed="false">
      <c r="B245767" s="1" t="s">
        <v>59</v>
      </c>
      <c r="C245767" s="1" t="s">
        <v>60</v>
      </c>
      <c r="D245767" s="1" t="s">
        <v>61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62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44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46</v>
      </c>
      <c r="C262146" s="1" t="s">
        <v>47</v>
      </c>
      <c r="D262146" s="1" t="s">
        <v>48</v>
      </c>
    </row>
    <row r="262147" customFormat="false" ht="12" hidden="false" customHeight="true" outlineLevel="0" collapsed="false">
      <c r="B262147" s="1" t="s">
        <v>50</v>
      </c>
      <c r="C262147" s="1" t="s">
        <v>51</v>
      </c>
      <c r="D262147" s="1" t="s">
        <v>51</v>
      </c>
    </row>
    <row r="262148" customFormat="false" ht="12" hidden="false" customHeight="true" outlineLevel="0" collapsed="false">
      <c r="B262148" s="1" t="s">
        <v>52</v>
      </c>
      <c r="C262148" s="1" t="s">
        <v>53</v>
      </c>
      <c r="D262148" s="1" t="s">
        <v>53</v>
      </c>
    </row>
    <row r="262149" customFormat="false" ht="12" hidden="false" customHeight="true" outlineLevel="0" collapsed="false">
      <c r="B262149" s="1" t="s">
        <v>54</v>
      </c>
      <c r="C262149" s="1" t="s">
        <v>55</v>
      </c>
      <c r="D262149" s="1" t="s">
        <v>56</v>
      </c>
    </row>
    <row r="262150" customFormat="false" ht="12" hidden="false" customHeight="true" outlineLevel="0" collapsed="false">
      <c r="B262150" s="1" t="s">
        <v>57</v>
      </c>
      <c r="C262150" s="1" t="s">
        <v>58</v>
      </c>
      <c r="D262150" s="1" t="s">
        <v>54</v>
      </c>
    </row>
    <row r="262151" customFormat="false" ht="12" hidden="false" customHeight="true" outlineLevel="0" collapsed="false">
      <c r="B262151" s="1" t="s">
        <v>59</v>
      </c>
      <c r="C262151" s="1" t="s">
        <v>60</v>
      </c>
      <c r="D262151" s="1" t="s">
        <v>61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62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44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46</v>
      </c>
      <c r="C278530" s="1" t="s">
        <v>47</v>
      </c>
      <c r="D278530" s="1" t="s">
        <v>48</v>
      </c>
    </row>
    <row r="278531" customFormat="false" ht="12" hidden="false" customHeight="true" outlineLevel="0" collapsed="false">
      <c r="B278531" s="1" t="s">
        <v>50</v>
      </c>
      <c r="C278531" s="1" t="s">
        <v>51</v>
      </c>
      <c r="D278531" s="1" t="s">
        <v>51</v>
      </c>
    </row>
    <row r="278532" customFormat="false" ht="12" hidden="false" customHeight="true" outlineLevel="0" collapsed="false">
      <c r="B278532" s="1" t="s">
        <v>52</v>
      </c>
      <c r="C278532" s="1" t="s">
        <v>53</v>
      </c>
      <c r="D278532" s="1" t="s">
        <v>53</v>
      </c>
    </row>
    <row r="278533" customFormat="false" ht="12" hidden="false" customHeight="true" outlineLevel="0" collapsed="false">
      <c r="B278533" s="1" t="s">
        <v>54</v>
      </c>
      <c r="C278533" s="1" t="s">
        <v>55</v>
      </c>
      <c r="D278533" s="1" t="s">
        <v>56</v>
      </c>
    </row>
    <row r="278534" customFormat="false" ht="12" hidden="false" customHeight="true" outlineLevel="0" collapsed="false">
      <c r="B278534" s="1" t="s">
        <v>57</v>
      </c>
      <c r="C278534" s="1" t="s">
        <v>58</v>
      </c>
      <c r="D278534" s="1" t="s">
        <v>54</v>
      </c>
    </row>
    <row r="278535" customFormat="false" ht="12" hidden="false" customHeight="true" outlineLevel="0" collapsed="false">
      <c r="B278535" s="1" t="s">
        <v>59</v>
      </c>
      <c r="C278535" s="1" t="s">
        <v>60</v>
      </c>
      <c r="D278535" s="1" t="s">
        <v>61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62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44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46</v>
      </c>
      <c r="C294914" s="1" t="s">
        <v>47</v>
      </c>
      <c r="D294914" s="1" t="s">
        <v>48</v>
      </c>
    </row>
    <row r="294915" customFormat="false" ht="12" hidden="false" customHeight="true" outlineLevel="0" collapsed="false">
      <c r="B294915" s="1" t="s">
        <v>50</v>
      </c>
      <c r="C294915" s="1" t="s">
        <v>51</v>
      </c>
      <c r="D294915" s="1" t="s">
        <v>51</v>
      </c>
    </row>
    <row r="294916" customFormat="false" ht="12" hidden="false" customHeight="true" outlineLevel="0" collapsed="false">
      <c r="B294916" s="1" t="s">
        <v>52</v>
      </c>
      <c r="C294916" s="1" t="s">
        <v>53</v>
      </c>
      <c r="D294916" s="1" t="s">
        <v>53</v>
      </c>
    </row>
    <row r="294917" customFormat="false" ht="12" hidden="false" customHeight="true" outlineLevel="0" collapsed="false">
      <c r="B294917" s="1" t="s">
        <v>54</v>
      </c>
      <c r="C294917" s="1" t="s">
        <v>55</v>
      </c>
      <c r="D294917" s="1" t="s">
        <v>56</v>
      </c>
    </row>
    <row r="294918" customFormat="false" ht="12" hidden="false" customHeight="true" outlineLevel="0" collapsed="false">
      <c r="B294918" s="1" t="s">
        <v>57</v>
      </c>
      <c r="C294918" s="1" t="s">
        <v>58</v>
      </c>
      <c r="D294918" s="1" t="s">
        <v>54</v>
      </c>
    </row>
    <row r="294919" customFormat="false" ht="12" hidden="false" customHeight="true" outlineLevel="0" collapsed="false">
      <c r="B294919" s="1" t="s">
        <v>59</v>
      </c>
      <c r="C294919" s="1" t="s">
        <v>60</v>
      </c>
      <c r="D294919" s="1" t="s">
        <v>61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62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44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46</v>
      </c>
      <c r="C311298" s="1" t="s">
        <v>47</v>
      </c>
      <c r="D311298" s="1" t="s">
        <v>48</v>
      </c>
    </row>
    <row r="311299" customFormat="false" ht="12" hidden="false" customHeight="true" outlineLevel="0" collapsed="false">
      <c r="B311299" s="1" t="s">
        <v>50</v>
      </c>
      <c r="C311299" s="1" t="s">
        <v>51</v>
      </c>
      <c r="D311299" s="1" t="s">
        <v>51</v>
      </c>
    </row>
    <row r="311300" customFormat="false" ht="12" hidden="false" customHeight="true" outlineLevel="0" collapsed="false">
      <c r="B311300" s="1" t="s">
        <v>52</v>
      </c>
      <c r="C311300" s="1" t="s">
        <v>53</v>
      </c>
      <c r="D311300" s="1" t="s">
        <v>53</v>
      </c>
    </row>
    <row r="311301" customFormat="false" ht="12" hidden="false" customHeight="true" outlineLevel="0" collapsed="false">
      <c r="B311301" s="1" t="s">
        <v>54</v>
      </c>
      <c r="C311301" s="1" t="s">
        <v>55</v>
      </c>
      <c r="D311301" s="1" t="s">
        <v>56</v>
      </c>
    </row>
    <row r="311302" customFormat="false" ht="12" hidden="false" customHeight="true" outlineLevel="0" collapsed="false">
      <c r="B311302" s="1" t="s">
        <v>57</v>
      </c>
      <c r="C311302" s="1" t="s">
        <v>58</v>
      </c>
      <c r="D311302" s="1" t="s">
        <v>54</v>
      </c>
    </row>
    <row r="311303" customFormat="false" ht="12" hidden="false" customHeight="true" outlineLevel="0" collapsed="false">
      <c r="B311303" s="1" t="s">
        <v>59</v>
      </c>
      <c r="C311303" s="1" t="s">
        <v>60</v>
      </c>
      <c r="D311303" s="1" t="s">
        <v>61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62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44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46</v>
      </c>
      <c r="C327682" s="1" t="s">
        <v>47</v>
      </c>
      <c r="D327682" s="1" t="s">
        <v>48</v>
      </c>
    </row>
    <row r="327683" customFormat="false" ht="12" hidden="false" customHeight="true" outlineLevel="0" collapsed="false">
      <c r="B327683" s="1" t="s">
        <v>50</v>
      </c>
      <c r="C327683" s="1" t="s">
        <v>51</v>
      </c>
      <c r="D327683" s="1" t="s">
        <v>51</v>
      </c>
    </row>
    <row r="327684" customFormat="false" ht="12" hidden="false" customHeight="true" outlineLevel="0" collapsed="false">
      <c r="B327684" s="1" t="s">
        <v>52</v>
      </c>
      <c r="C327684" s="1" t="s">
        <v>53</v>
      </c>
      <c r="D327684" s="1" t="s">
        <v>53</v>
      </c>
    </row>
    <row r="327685" customFormat="false" ht="12" hidden="false" customHeight="true" outlineLevel="0" collapsed="false">
      <c r="B327685" s="1" t="s">
        <v>54</v>
      </c>
      <c r="C327685" s="1" t="s">
        <v>55</v>
      </c>
      <c r="D327685" s="1" t="s">
        <v>56</v>
      </c>
    </row>
    <row r="327686" customFormat="false" ht="12" hidden="false" customHeight="true" outlineLevel="0" collapsed="false">
      <c r="B327686" s="1" t="s">
        <v>57</v>
      </c>
      <c r="C327686" s="1" t="s">
        <v>58</v>
      </c>
      <c r="D327686" s="1" t="s">
        <v>54</v>
      </c>
    </row>
    <row r="327687" customFormat="false" ht="12" hidden="false" customHeight="true" outlineLevel="0" collapsed="false">
      <c r="B327687" s="1" t="s">
        <v>59</v>
      </c>
      <c r="C327687" s="1" t="s">
        <v>60</v>
      </c>
      <c r="D327687" s="1" t="s">
        <v>61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62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44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46</v>
      </c>
      <c r="C344066" s="1" t="s">
        <v>47</v>
      </c>
      <c r="D344066" s="1" t="s">
        <v>48</v>
      </c>
    </row>
    <row r="344067" customFormat="false" ht="12" hidden="false" customHeight="true" outlineLevel="0" collapsed="false">
      <c r="B344067" s="1" t="s">
        <v>50</v>
      </c>
      <c r="C344067" s="1" t="s">
        <v>51</v>
      </c>
      <c r="D344067" s="1" t="s">
        <v>51</v>
      </c>
    </row>
    <row r="344068" customFormat="false" ht="12" hidden="false" customHeight="true" outlineLevel="0" collapsed="false">
      <c r="B344068" s="1" t="s">
        <v>52</v>
      </c>
      <c r="C344068" s="1" t="s">
        <v>53</v>
      </c>
      <c r="D344068" s="1" t="s">
        <v>53</v>
      </c>
    </row>
    <row r="344069" customFormat="false" ht="12" hidden="false" customHeight="true" outlineLevel="0" collapsed="false">
      <c r="B344069" s="1" t="s">
        <v>54</v>
      </c>
      <c r="C344069" s="1" t="s">
        <v>55</v>
      </c>
      <c r="D344069" s="1" t="s">
        <v>56</v>
      </c>
    </row>
    <row r="344070" customFormat="false" ht="12" hidden="false" customHeight="true" outlineLevel="0" collapsed="false">
      <c r="B344070" s="1" t="s">
        <v>57</v>
      </c>
      <c r="C344070" s="1" t="s">
        <v>58</v>
      </c>
      <c r="D344070" s="1" t="s">
        <v>54</v>
      </c>
    </row>
    <row r="344071" customFormat="false" ht="12" hidden="false" customHeight="true" outlineLevel="0" collapsed="false">
      <c r="B344071" s="1" t="s">
        <v>59</v>
      </c>
      <c r="C344071" s="1" t="s">
        <v>60</v>
      </c>
      <c r="D344071" s="1" t="s">
        <v>61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62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44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46</v>
      </c>
      <c r="C360450" s="1" t="s">
        <v>47</v>
      </c>
      <c r="D360450" s="1" t="s">
        <v>48</v>
      </c>
    </row>
    <row r="360451" customFormat="false" ht="12" hidden="false" customHeight="true" outlineLevel="0" collapsed="false">
      <c r="B360451" s="1" t="s">
        <v>50</v>
      </c>
      <c r="C360451" s="1" t="s">
        <v>51</v>
      </c>
      <c r="D360451" s="1" t="s">
        <v>51</v>
      </c>
    </row>
    <row r="360452" customFormat="false" ht="12" hidden="false" customHeight="true" outlineLevel="0" collapsed="false">
      <c r="B360452" s="1" t="s">
        <v>52</v>
      </c>
      <c r="C360452" s="1" t="s">
        <v>53</v>
      </c>
      <c r="D360452" s="1" t="s">
        <v>53</v>
      </c>
    </row>
    <row r="360453" customFormat="false" ht="12" hidden="false" customHeight="true" outlineLevel="0" collapsed="false">
      <c r="B360453" s="1" t="s">
        <v>54</v>
      </c>
      <c r="C360453" s="1" t="s">
        <v>55</v>
      </c>
      <c r="D360453" s="1" t="s">
        <v>56</v>
      </c>
    </row>
    <row r="360454" customFormat="false" ht="12" hidden="false" customHeight="true" outlineLevel="0" collapsed="false">
      <c r="B360454" s="1" t="s">
        <v>57</v>
      </c>
      <c r="C360454" s="1" t="s">
        <v>58</v>
      </c>
      <c r="D360454" s="1" t="s">
        <v>54</v>
      </c>
    </row>
    <row r="360455" customFormat="false" ht="12" hidden="false" customHeight="true" outlineLevel="0" collapsed="false">
      <c r="B360455" s="1" t="s">
        <v>59</v>
      </c>
      <c r="C360455" s="1" t="s">
        <v>60</v>
      </c>
      <c r="D360455" s="1" t="s">
        <v>61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62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44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46</v>
      </c>
      <c r="C376834" s="1" t="s">
        <v>47</v>
      </c>
      <c r="D376834" s="1" t="s">
        <v>48</v>
      </c>
    </row>
    <row r="376835" customFormat="false" ht="12" hidden="false" customHeight="true" outlineLevel="0" collapsed="false">
      <c r="B376835" s="1" t="s">
        <v>50</v>
      </c>
      <c r="C376835" s="1" t="s">
        <v>51</v>
      </c>
      <c r="D376835" s="1" t="s">
        <v>51</v>
      </c>
    </row>
    <row r="376836" customFormat="false" ht="12" hidden="false" customHeight="true" outlineLevel="0" collapsed="false">
      <c r="B376836" s="1" t="s">
        <v>52</v>
      </c>
      <c r="C376836" s="1" t="s">
        <v>53</v>
      </c>
      <c r="D376836" s="1" t="s">
        <v>53</v>
      </c>
    </row>
    <row r="376837" customFormat="false" ht="12" hidden="false" customHeight="true" outlineLevel="0" collapsed="false">
      <c r="B376837" s="1" t="s">
        <v>54</v>
      </c>
      <c r="C376837" s="1" t="s">
        <v>55</v>
      </c>
      <c r="D376837" s="1" t="s">
        <v>56</v>
      </c>
    </row>
    <row r="376838" customFormat="false" ht="12" hidden="false" customHeight="true" outlineLevel="0" collapsed="false">
      <c r="B376838" s="1" t="s">
        <v>57</v>
      </c>
      <c r="C376838" s="1" t="s">
        <v>58</v>
      </c>
      <c r="D376838" s="1" t="s">
        <v>54</v>
      </c>
    </row>
    <row r="376839" customFormat="false" ht="12" hidden="false" customHeight="true" outlineLevel="0" collapsed="false">
      <c r="B376839" s="1" t="s">
        <v>59</v>
      </c>
      <c r="C376839" s="1" t="s">
        <v>60</v>
      </c>
      <c r="D376839" s="1" t="s">
        <v>61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62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44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46</v>
      </c>
      <c r="C393218" s="1" t="s">
        <v>47</v>
      </c>
      <c r="D393218" s="1" t="s">
        <v>48</v>
      </c>
    </row>
    <row r="393219" customFormat="false" ht="12" hidden="false" customHeight="true" outlineLevel="0" collapsed="false">
      <c r="B393219" s="1" t="s">
        <v>50</v>
      </c>
      <c r="C393219" s="1" t="s">
        <v>51</v>
      </c>
      <c r="D393219" s="1" t="s">
        <v>51</v>
      </c>
    </row>
    <row r="393220" customFormat="false" ht="12" hidden="false" customHeight="true" outlineLevel="0" collapsed="false">
      <c r="B393220" s="1" t="s">
        <v>52</v>
      </c>
      <c r="C393220" s="1" t="s">
        <v>53</v>
      </c>
      <c r="D393220" s="1" t="s">
        <v>53</v>
      </c>
    </row>
    <row r="393221" customFormat="false" ht="12" hidden="false" customHeight="true" outlineLevel="0" collapsed="false">
      <c r="B393221" s="1" t="s">
        <v>54</v>
      </c>
      <c r="C393221" s="1" t="s">
        <v>55</v>
      </c>
      <c r="D393221" s="1" t="s">
        <v>56</v>
      </c>
    </row>
    <row r="393222" customFormat="false" ht="12" hidden="false" customHeight="true" outlineLevel="0" collapsed="false">
      <c r="B393222" s="1" t="s">
        <v>57</v>
      </c>
      <c r="C393222" s="1" t="s">
        <v>58</v>
      </c>
      <c r="D393222" s="1" t="s">
        <v>54</v>
      </c>
    </row>
    <row r="393223" customFormat="false" ht="12" hidden="false" customHeight="true" outlineLevel="0" collapsed="false">
      <c r="B393223" s="1" t="s">
        <v>59</v>
      </c>
      <c r="C393223" s="1" t="s">
        <v>60</v>
      </c>
      <c r="D393223" s="1" t="s">
        <v>61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62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44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46</v>
      </c>
      <c r="C409602" s="1" t="s">
        <v>47</v>
      </c>
      <c r="D409602" s="1" t="s">
        <v>48</v>
      </c>
    </row>
    <row r="409603" customFormat="false" ht="12" hidden="false" customHeight="true" outlineLevel="0" collapsed="false">
      <c r="B409603" s="1" t="s">
        <v>50</v>
      </c>
      <c r="C409603" s="1" t="s">
        <v>51</v>
      </c>
      <c r="D409603" s="1" t="s">
        <v>51</v>
      </c>
    </row>
    <row r="409604" customFormat="false" ht="12" hidden="false" customHeight="true" outlineLevel="0" collapsed="false">
      <c r="B409604" s="1" t="s">
        <v>52</v>
      </c>
      <c r="C409604" s="1" t="s">
        <v>53</v>
      </c>
      <c r="D409604" s="1" t="s">
        <v>53</v>
      </c>
    </row>
    <row r="409605" customFormat="false" ht="12" hidden="false" customHeight="true" outlineLevel="0" collapsed="false">
      <c r="B409605" s="1" t="s">
        <v>54</v>
      </c>
      <c r="C409605" s="1" t="s">
        <v>55</v>
      </c>
      <c r="D409605" s="1" t="s">
        <v>56</v>
      </c>
    </row>
    <row r="409606" customFormat="false" ht="12" hidden="false" customHeight="true" outlineLevel="0" collapsed="false">
      <c r="B409606" s="1" t="s">
        <v>57</v>
      </c>
      <c r="C409606" s="1" t="s">
        <v>58</v>
      </c>
      <c r="D409606" s="1" t="s">
        <v>54</v>
      </c>
    </row>
    <row r="409607" customFormat="false" ht="12" hidden="false" customHeight="true" outlineLevel="0" collapsed="false">
      <c r="B409607" s="1" t="s">
        <v>59</v>
      </c>
      <c r="C409607" s="1" t="s">
        <v>60</v>
      </c>
      <c r="D409607" s="1" t="s">
        <v>61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62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44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46</v>
      </c>
      <c r="C425986" s="1" t="s">
        <v>47</v>
      </c>
      <c r="D425986" s="1" t="s">
        <v>48</v>
      </c>
    </row>
    <row r="425987" customFormat="false" ht="12" hidden="false" customHeight="true" outlineLevel="0" collapsed="false">
      <c r="B425987" s="1" t="s">
        <v>50</v>
      </c>
      <c r="C425987" s="1" t="s">
        <v>51</v>
      </c>
      <c r="D425987" s="1" t="s">
        <v>51</v>
      </c>
    </row>
    <row r="425988" customFormat="false" ht="12" hidden="false" customHeight="true" outlineLevel="0" collapsed="false">
      <c r="B425988" s="1" t="s">
        <v>52</v>
      </c>
      <c r="C425988" s="1" t="s">
        <v>53</v>
      </c>
      <c r="D425988" s="1" t="s">
        <v>53</v>
      </c>
    </row>
    <row r="425989" customFormat="false" ht="12" hidden="false" customHeight="true" outlineLevel="0" collapsed="false">
      <c r="B425989" s="1" t="s">
        <v>54</v>
      </c>
      <c r="C425989" s="1" t="s">
        <v>55</v>
      </c>
      <c r="D425989" s="1" t="s">
        <v>56</v>
      </c>
    </row>
    <row r="425990" customFormat="false" ht="12" hidden="false" customHeight="true" outlineLevel="0" collapsed="false">
      <c r="B425990" s="1" t="s">
        <v>57</v>
      </c>
      <c r="C425990" s="1" t="s">
        <v>58</v>
      </c>
      <c r="D425990" s="1" t="s">
        <v>54</v>
      </c>
    </row>
    <row r="425991" customFormat="false" ht="12" hidden="false" customHeight="true" outlineLevel="0" collapsed="false">
      <c r="B425991" s="1" t="s">
        <v>59</v>
      </c>
      <c r="C425991" s="1" t="s">
        <v>60</v>
      </c>
      <c r="D425991" s="1" t="s">
        <v>61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62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44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46</v>
      </c>
      <c r="C442370" s="1" t="s">
        <v>47</v>
      </c>
      <c r="D442370" s="1" t="s">
        <v>48</v>
      </c>
    </row>
    <row r="442371" customFormat="false" ht="12" hidden="false" customHeight="true" outlineLevel="0" collapsed="false">
      <c r="B442371" s="1" t="s">
        <v>50</v>
      </c>
      <c r="C442371" s="1" t="s">
        <v>51</v>
      </c>
      <c r="D442371" s="1" t="s">
        <v>51</v>
      </c>
    </row>
    <row r="442372" customFormat="false" ht="12" hidden="false" customHeight="true" outlineLevel="0" collapsed="false">
      <c r="B442372" s="1" t="s">
        <v>52</v>
      </c>
      <c r="C442372" s="1" t="s">
        <v>53</v>
      </c>
      <c r="D442372" s="1" t="s">
        <v>53</v>
      </c>
    </row>
    <row r="442373" customFormat="false" ht="12" hidden="false" customHeight="true" outlineLevel="0" collapsed="false">
      <c r="B442373" s="1" t="s">
        <v>54</v>
      </c>
      <c r="C442373" s="1" t="s">
        <v>55</v>
      </c>
      <c r="D442373" s="1" t="s">
        <v>56</v>
      </c>
    </row>
    <row r="442374" customFormat="false" ht="12" hidden="false" customHeight="true" outlineLevel="0" collapsed="false">
      <c r="B442374" s="1" t="s">
        <v>57</v>
      </c>
      <c r="C442374" s="1" t="s">
        <v>58</v>
      </c>
      <c r="D442374" s="1" t="s">
        <v>54</v>
      </c>
    </row>
    <row r="442375" customFormat="false" ht="12" hidden="false" customHeight="true" outlineLevel="0" collapsed="false">
      <c r="B442375" s="1" t="s">
        <v>59</v>
      </c>
      <c r="C442375" s="1" t="s">
        <v>60</v>
      </c>
      <c r="D442375" s="1" t="s">
        <v>61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62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44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46</v>
      </c>
      <c r="C458754" s="1" t="s">
        <v>47</v>
      </c>
      <c r="D458754" s="1" t="s">
        <v>48</v>
      </c>
    </row>
    <row r="458755" customFormat="false" ht="12" hidden="false" customHeight="true" outlineLevel="0" collapsed="false">
      <c r="B458755" s="1" t="s">
        <v>50</v>
      </c>
      <c r="C458755" s="1" t="s">
        <v>51</v>
      </c>
      <c r="D458755" s="1" t="s">
        <v>51</v>
      </c>
    </row>
    <row r="458756" customFormat="false" ht="12" hidden="false" customHeight="true" outlineLevel="0" collapsed="false">
      <c r="B458756" s="1" t="s">
        <v>52</v>
      </c>
      <c r="C458756" s="1" t="s">
        <v>53</v>
      </c>
      <c r="D458756" s="1" t="s">
        <v>53</v>
      </c>
    </row>
    <row r="458757" customFormat="false" ht="12" hidden="false" customHeight="true" outlineLevel="0" collapsed="false">
      <c r="B458757" s="1" t="s">
        <v>54</v>
      </c>
      <c r="C458757" s="1" t="s">
        <v>55</v>
      </c>
      <c r="D458757" s="1" t="s">
        <v>56</v>
      </c>
    </row>
    <row r="458758" customFormat="false" ht="12" hidden="false" customHeight="true" outlineLevel="0" collapsed="false">
      <c r="B458758" s="1" t="s">
        <v>57</v>
      </c>
      <c r="C458758" s="1" t="s">
        <v>58</v>
      </c>
      <c r="D458758" s="1" t="s">
        <v>54</v>
      </c>
    </row>
    <row r="458759" customFormat="false" ht="12" hidden="false" customHeight="true" outlineLevel="0" collapsed="false">
      <c r="B458759" s="1" t="s">
        <v>59</v>
      </c>
      <c r="C458759" s="1" t="s">
        <v>60</v>
      </c>
      <c r="D458759" s="1" t="s">
        <v>61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62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44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46</v>
      </c>
      <c r="C475138" s="1" t="s">
        <v>47</v>
      </c>
      <c r="D475138" s="1" t="s">
        <v>48</v>
      </c>
    </row>
    <row r="475139" customFormat="false" ht="12" hidden="false" customHeight="true" outlineLevel="0" collapsed="false">
      <c r="B475139" s="1" t="s">
        <v>50</v>
      </c>
      <c r="C475139" s="1" t="s">
        <v>51</v>
      </c>
      <c r="D475139" s="1" t="s">
        <v>51</v>
      </c>
    </row>
    <row r="475140" customFormat="false" ht="12" hidden="false" customHeight="true" outlineLevel="0" collapsed="false">
      <c r="B475140" s="1" t="s">
        <v>52</v>
      </c>
      <c r="C475140" s="1" t="s">
        <v>53</v>
      </c>
      <c r="D475140" s="1" t="s">
        <v>53</v>
      </c>
    </row>
    <row r="475141" customFormat="false" ht="12" hidden="false" customHeight="true" outlineLevel="0" collapsed="false">
      <c r="B475141" s="1" t="s">
        <v>54</v>
      </c>
      <c r="C475141" s="1" t="s">
        <v>55</v>
      </c>
      <c r="D475141" s="1" t="s">
        <v>56</v>
      </c>
    </row>
    <row r="475142" customFormat="false" ht="12" hidden="false" customHeight="true" outlineLevel="0" collapsed="false">
      <c r="B475142" s="1" t="s">
        <v>57</v>
      </c>
      <c r="C475142" s="1" t="s">
        <v>58</v>
      </c>
      <c r="D475142" s="1" t="s">
        <v>54</v>
      </c>
    </row>
    <row r="475143" customFormat="false" ht="12" hidden="false" customHeight="true" outlineLevel="0" collapsed="false">
      <c r="B475143" s="1" t="s">
        <v>59</v>
      </c>
      <c r="C475143" s="1" t="s">
        <v>60</v>
      </c>
      <c r="D475143" s="1" t="s">
        <v>61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62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44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46</v>
      </c>
      <c r="C491522" s="1" t="s">
        <v>47</v>
      </c>
      <c r="D491522" s="1" t="s">
        <v>48</v>
      </c>
    </row>
    <row r="491523" customFormat="false" ht="12" hidden="false" customHeight="true" outlineLevel="0" collapsed="false">
      <c r="B491523" s="1" t="s">
        <v>50</v>
      </c>
      <c r="C491523" s="1" t="s">
        <v>51</v>
      </c>
      <c r="D491523" s="1" t="s">
        <v>51</v>
      </c>
    </row>
    <row r="491524" customFormat="false" ht="12" hidden="false" customHeight="true" outlineLevel="0" collapsed="false">
      <c r="B491524" s="1" t="s">
        <v>52</v>
      </c>
      <c r="C491524" s="1" t="s">
        <v>53</v>
      </c>
      <c r="D491524" s="1" t="s">
        <v>53</v>
      </c>
    </row>
    <row r="491525" customFormat="false" ht="12" hidden="false" customHeight="true" outlineLevel="0" collapsed="false">
      <c r="B491525" s="1" t="s">
        <v>54</v>
      </c>
      <c r="C491525" s="1" t="s">
        <v>55</v>
      </c>
      <c r="D491525" s="1" t="s">
        <v>56</v>
      </c>
    </row>
    <row r="491526" customFormat="false" ht="12" hidden="false" customHeight="true" outlineLevel="0" collapsed="false">
      <c r="B491526" s="1" t="s">
        <v>57</v>
      </c>
      <c r="C491526" s="1" t="s">
        <v>58</v>
      </c>
      <c r="D491526" s="1" t="s">
        <v>54</v>
      </c>
    </row>
    <row r="491527" customFormat="false" ht="12" hidden="false" customHeight="true" outlineLevel="0" collapsed="false">
      <c r="B491527" s="1" t="s">
        <v>59</v>
      </c>
      <c r="C491527" s="1" t="s">
        <v>60</v>
      </c>
      <c r="D491527" s="1" t="s">
        <v>61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62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44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46</v>
      </c>
      <c r="C507906" s="1" t="s">
        <v>47</v>
      </c>
      <c r="D507906" s="1" t="s">
        <v>48</v>
      </c>
    </row>
    <row r="507907" customFormat="false" ht="12" hidden="false" customHeight="true" outlineLevel="0" collapsed="false">
      <c r="B507907" s="1" t="s">
        <v>50</v>
      </c>
      <c r="C507907" s="1" t="s">
        <v>51</v>
      </c>
      <c r="D507907" s="1" t="s">
        <v>51</v>
      </c>
    </row>
    <row r="507908" customFormat="false" ht="12" hidden="false" customHeight="true" outlineLevel="0" collapsed="false">
      <c r="B507908" s="1" t="s">
        <v>52</v>
      </c>
      <c r="C507908" s="1" t="s">
        <v>53</v>
      </c>
      <c r="D507908" s="1" t="s">
        <v>53</v>
      </c>
    </row>
    <row r="507909" customFormat="false" ht="12" hidden="false" customHeight="true" outlineLevel="0" collapsed="false">
      <c r="B507909" s="1" t="s">
        <v>54</v>
      </c>
      <c r="C507909" s="1" t="s">
        <v>55</v>
      </c>
      <c r="D507909" s="1" t="s">
        <v>56</v>
      </c>
    </row>
    <row r="507910" customFormat="false" ht="12" hidden="false" customHeight="true" outlineLevel="0" collapsed="false">
      <c r="B507910" s="1" t="s">
        <v>57</v>
      </c>
      <c r="C507910" s="1" t="s">
        <v>58</v>
      </c>
      <c r="D507910" s="1" t="s">
        <v>54</v>
      </c>
    </row>
    <row r="507911" customFormat="false" ht="12" hidden="false" customHeight="true" outlineLevel="0" collapsed="false">
      <c r="B507911" s="1" t="s">
        <v>59</v>
      </c>
      <c r="C507911" s="1" t="s">
        <v>60</v>
      </c>
      <c r="D507911" s="1" t="s">
        <v>61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62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44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46</v>
      </c>
      <c r="C524290" s="1" t="s">
        <v>47</v>
      </c>
      <c r="D524290" s="1" t="s">
        <v>48</v>
      </c>
    </row>
    <row r="524291" customFormat="false" ht="12" hidden="false" customHeight="true" outlineLevel="0" collapsed="false">
      <c r="B524291" s="1" t="s">
        <v>50</v>
      </c>
      <c r="C524291" s="1" t="s">
        <v>51</v>
      </c>
      <c r="D524291" s="1" t="s">
        <v>51</v>
      </c>
    </row>
    <row r="524292" customFormat="false" ht="12" hidden="false" customHeight="true" outlineLevel="0" collapsed="false">
      <c r="B524292" s="1" t="s">
        <v>52</v>
      </c>
      <c r="C524292" s="1" t="s">
        <v>53</v>
      </c>
      <c r="D524292" s="1" t="s">
        <v>53</v>
      </c>
    </row>
    <row r="524293" customFormat="false" ht="12" hidden="false" customHeight="true" outlineLevel="0" collapsed="false">
      <c r="B524293" s="1" t="s">
        <v>54</v>
      </c>
      <c r="C524293" s="1" t="s">
        <v>55</v>
      </c>
      <c r="D524293" s="1" t="s">
        <v>56</v>
      </c>
    </row>
    <row r="524294" customFormat="false" ht="12" hidden="false" customHeight="true" outlineLevel="0" collapsed="false">
      <c r="B524294" s="1" t="s">
        <v>57</v>
      </c>
      <c r="C524294" s="1" t="s">
        <v>58</v>
      </c>
      <c r="D524294" s="1" t="s">
        <v>54</v>
      </c>
    </row>
    <row r="524295" customFormat="false" ht="12" hidden="false" customHeight="true" outlineLevel="0" collapsed="false">
      <c r="B524295" s="1" t="s">
        <v>59</v>
      </c>
      <c r="C524295" s="1" t="s">
        <v>60</v>
      </c>
      <c r="D524295" s="1" t="s">
        <v>61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62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44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46</v>
      </c>
      <c r="C540674" s="1" t="s">
        <v>47</v>
      </c>
      <c r="D540674" s="1" t="s">
        <v>48</v>
      </c>
    </row>
    <row r="540675" customFormat="false" ht="12" hidden="false" customHeight="true" outlineLevel="0" collapsed="false">
      <c r="B540675" s="1" t="s">
        <v>50</v>
      </c>
      <c r="C540675" s="1" t="s">
        <v>51</v>
      </c>
      <c r="D540675" s="1" t="s">
        <v>51</v>
      </c>
    </row>
    <row r="540676" customFormat="false" ht="12" hidden="false" customHeight="true" outlineLevel="0" collapsed="false">
      <c r="B540676" s="1" t="s">
        <v>52</v>
      </c>
      <c r="C540676" s="1" t="s">
        <v>53</v>
      </c>
      <c r="D540676" s="1" t="s">
        <v>53</v>
      </c>
    </row>
    <row r="540677" customFormat="false" ht="12" hidden="false" customHeight="true" outlineLevel="0" collapsed="false">
      <c r="B540677" s="1" t="s">
        <v>54</v>
      </c>
      <c r="C540677" s="1" t="s">
        <v>55</v>
      </c>
      <c r="D540677" s="1" t="s">
        <v>56</v>
      </c>
    </row>
    <row r="540678" customFormat="false" ht="12" hidden="false" customHeight="true" outlineLevel="0" collapsed="false">
      <c r="B540678" s="1" t="s">
        <v>57</v>
      </c>
      <c r="C540678" s="1" t="s">
        <v>58</v>
      </c>
      <c r="D540678" s="1" t="s">
        <v>54</v>
      </c>
    </row>
    <row r="540679" customFormat="false" ht="12" hidden="false" customHeight="true" outlineLevel="0" collapsed="false">
      <c r="B540679" s="1" t="s">
        <v>59</v>
      </c>
      <c r="C540679" s="1" t="s">
        <v>60</v>
      </c>
      <c r="D540679" s="1" t="s">
        <v>61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62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44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46</v>
      </c>
      <c r="C557058" s="1" t="s">
        <v>47</v>
      </c>
      <c r="D557058" s="1" t="s">
        <v>48</v>
      </c>
    </row>
    <row r="557059" customFormat="false" ht="12" hidden="false" customHeight="true" outlineLevel="0" collapsed="false">
      <c r="B557059" s="1" t="s">
        <v>50</v>
      </c>
      <c r="C557059" s="1" t="s">
        <v>51</v>
      </c>
      <c r="D557059" s="1" t="s">
        <v>51</v>
      </c>
    </row>
    <row r="557060" customFormat="false" ht="12" hidden="false" customHeight="true" outlineLevel="0" collapsed="false">
      <c r="B557060" s="1" t="s">
        <v>52</v>
      </c>
      <c r="C557060" s="1" t="s">
        <v>53</v>
      </c>
      <c r="D557060" s="1" t="s">
        <v>53</v>
      </c>
    </row>
    <row r="557061" customFormat="false" ht="12" hidden="false" customHeight="true" outlineLevel="0" collapsed="false">
      <c r="B557061" s="1" t="s">
        <v>54</v>
      </c>
      <c r="C557061" s="1" t="s">
        <v>55</v>
      </c>
      <c r="D557061" s="1" t="s">
        <v>56</v>
      </c>
    </row>
    <row r="557062" customFormat="false" ht="12" hidden="false" customHeight="true" outlineLevel="0" collapsed="false">
      <c r="B557062" s="1" t="s">
        <v>57</v>
      </c>
      <c r="C557062" s="1" t="s">
        <v>58</v>
      </c>
      <c r="D557062" s="1" t="s">
        <v>54</v>
      </c>
    </row>
    <row r="557063" customFormat="false" ht="12" hidden="false" customHeight="true" outlineLevel="0" collapsed="false">
      <c r="B557063" s="1" t="s">
        <v>59</v>
      </c>
      <c r="C557063" s="1" t="s">
        <v>60</v>
      </c>
      <c r="D557063" s="1" t="s">
        <v>61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62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44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46</v>
      </c>
      <c r="C573442" s="1" t="s">
        <v>47</v>
      </c>
      <c r="D573442" s="1" t="s">
        <v>48</v>
      </c>
    </row>
    <row r="573443" customFormat="false" ht="12" hidden="false" customHeight="true" outlineLevel="0" collapsed="false">
      <c r="B573443" s="1" t="s">
        <v>50</v>
      </c>
      <c r="C573443" s="1" t="s">
        <v>51</v>
      </c>
      <c r="D573443" s="1" t="s">
        <v>51</v>
      </c>
    </row>
    <row r="573444" customFormat="false" ht="12" hidden="false" customHeight="true" outlineLevel="0" collapsed="false">
      <c r="B573444" s="1" t="s">
        <v>52</v>
      </c>
      <c r="C573444" s="1" t="s">
        <v>53</v>
      </c>
      <c r="D573444" s="1" t="s">
        <v>53</v>
      </c>
    </row>
    <row r="573445" customFormat="false" ht="12" hidden="false" customHeight="true" outlineLevel="0" collapsed="false">
      <c r="B573445" s="1" t="s">
        <v>54</v>
      </c>
      <c r="C573445" s="1" t="s">
        <v>55</v>
      </c>
      <c r="D573445" s="1" t="s">
        <v>56</v>
      </c>
    </row>
    <row r="573446" customFormat="false" ht="12" hidden="false" customHeight="true" outlineLevel="0" collapsed="false">
      <c r="B573446" s="1" t="s">
        <v>57</v>
      </c>
      <c r="C573446" s="1" t="s">
        <v>58</v>
      </c>
      <c r="D573446" s="1" t="s">
        <v>54</v>
      </c>
    </row>
    <row r="573447" customFormat="false" ht="12" hidden="false" customHeight="true" outlineLevel="0" collapsed="false">
      <c r="B573447" s="1" t="s">
        <v>59</v>
      </c>
      <c r="C573447" s="1" t="s">
        <v>60</v>
      </c>
      <c r="D573447" s="1" t="s">
        <v>61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62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44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46</v>
      </c>
      <c r="C589826" s="1" t="s">
        <v>47</v>
      </c>
      <c r="D589826" s="1" t="s">
        <v>48</v>
      </c>
    </row>
    <row r="589827" customFormat="false" ht="12" hidden="false" customHeight="true" outlineLevel="0" collapsed="false">
      <c r="B589827" s="1" t="s">
        <v>50</v>
      </c>
      <c r="C589827" s="1" t="s">
        <v>51</v>
      </c>
      <c r="D589827" s="1" t="s">
        <v>51</v>
      </c>
    </row>
    <row r="589828" customFormat="false" ht="12" hidden="false" customHeight="true" outlineLevel="0" collapsed="false">
      <c r="B589828" s="1" t="s">
        <v>52</v>
      </c>
      <c r="C589828" s="1" t="s">
        <v>53</v>
      </c>
      <c r="D589828" s="1" t="s">
        <v>53</v>
      </c>
    </row>
    <row r="589829" customFormat="false" ht="12" hidden="false" customHeight="true" outlineLevel="0" collapsed="false">
      <c r="B589829" s="1" t="s">
        <v>54</v>
      </c>
      <c r="C589829" s="1" t="s">
        <v>55</v>
      </c>
      <c r="D589829" s="1" t="s">
        <v>56</v>
      </c>
    </row>
    <row r="589830" customFormat="false" ht="12" hidden="false" customHeight="true" outlineLevel="0" collapsed="false">
      <c r="B589830" s="1" t="s">
        <v>57</v>
      </c>
      <c r="C589830" s="1" t="s">
        <v>58</v>
      </c>
      <c r="D589830" s="1" t="s">
        <v>54</v>
      </c>
    </row>
    <row r="589831" customFormat="false" ht="12" hidden="false" customHeight="true" outlineLevel="0" collapsed="false">
      <c r="B589831" s="1" t="s">
        <v>59</v>
      </c>
      <c r="C589831" s="1" t="s">
        <v>60</v>
      </c>
      <c r="D589831" s="1" t="s">
        <v>61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62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44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46</v>
      </c>
      <c r="C606210" s="1" t="s">
        <v>47</v>
      </c>
      <c r="D606210" s="1" t="s">
        <v>48</v>
      </c>
    </row>
    <row r="606211" customFormat="false" ht="12" hidden="false" customHeight="true" outlineLevel="0" collapsed="false">
      <c r="B606211" s="1" t="s">
        <v>50</v>
      </c>
      <c r="C606211" s="1" t="s">
        <v>51</v>
      </c>
      <c r="D606211" s="1" t="s">
        <v>51</v>
      </c>
    </row>
    <row r="606212" customFormat="false" ht="12" hidden="false" customHeight="true" outlineLevel="0" collapsed="false">
      <c r="B606212" s="1" t="s">
        <v>52</v>
      </c>
      <c r="C606212" s="1" t="s">
        <v>53</v>
      </c>
      <c r="D606212" s="1" t="s">
        <v>53</v>
      </c>
    </row>
    <row r="606213" customFormat="false" ht="12" hidden="false" customHeight="true" outlineLevel="0" collapsed="false">
      <c r="B606213" s="1" t="s">
        <v>54</v>
      </c>
      <c r="C606213" s="1" t="s">
        <v>55</v>
      </c>
      <c r="D606213" s="1" t="s">
        <v>56</v>
      </c>
    </row>
    <row r="606214" customFormat="false" ht="12" hidden="false" customHeight="true" outlineLevel="0" collapsed="false">
      <c r="B606214" s="1" t="s">
        <v>57</v>
      </c>
      <c r="C606214" s="1" t="s">
        <v>58</v>
      </c>
      <c r="D606214" s="1" t="s">
        <v>54</v>
      </c>
    </row>
    <row r="606215" customFormat="false" ht="12" hidden="false" customHeight="true" outlineLevel="0" collapsed="false">
      <c r="B606215" s="1" t="s">
        <v>59</v>
      </c>
      <c r="C606215" s="1" t="s">
        <v>60</v>
      </c>
      <c r="D606215" s="1" t="s">
        <v>61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62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44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46</v>
      </c>
      <c r="C622594" s="1" t="s">
        <v>47</v>
      </c>
      <c r="D622594" s="1" t="s">
        <v>48</v>
      </c>
    </row>
    <row r="622595" customFormat="false" ht="12" hidden="false" customHeight="true" outlineLevel="0" collapsed="false">
      <c r="B622595" s="1" t="s">
        <v>50</v>
      </c>
      <c r="C622595" s="1" t="s">
        <v>51</v>
      </c>
      <c r="D622595" s="1" t="s">
        <v>51</v>
      </c>
    </row>
    <row r="622596" customFormat="false" ht="12" hidden="false" customHeight="true" outlineLevel="0" collapsed="false">
      <c r="B622596" s="1" t="s">
        <v>52</v>
      </c>
      <c r="C622596" s="1" t="s">
        <v>53</v>
      </c>
      <c r="D622596" s="1" t="s">
        <v>53</v>
      </c>
    </row>
    <row r="622597" customFormat="false" ht="12" hidden="false" customHeight="true" outlineLevel="0" collapsed="false">
      <c r="B622597" s="1" t="s">
        <v>54</v>
      </c>
      <c r="C622597" s="1" t="s">
        <v>55</v>
      </c>
      <c r="D622597" s="1" t="s">
        <v>56</v>
      </c>
    </row>
    <row r="622598" customFormat="false" ht="12" hidden="false" customHeight="true" outlineLevel="0" collapsed="false">
      <c r="B622598" s="1" t="s">
        <v>57</v>
      </c>
      <c r="C622598" s="1" t="s">
        <v>58</v>
      </c>
      <c r="D622598" s="1" t="s">
        <v>54</v>
      </c>
    </row>
    <row r="622599" customFormat="false" ht="12" hidden="false" customHeight="true" outlineLevel="0" collapsed="false">
      <c r="B622599" s="1" t="s">
        <v>59</v>
      </c>
      <c r="C622599" s="1" t="s">
        <v>60</v>
      </c>
      <c r="D622599" s="1" t="s">
        <v>61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62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44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46</v>
      </c>
      <c r="C638978" s="1" t="s">
        <v>47</v>
      </c>
      <c r="D638978" s="1" t="s">
        <v>48</v>
      </c>
    </row>
    <row r="638979" customFormat="false" ht="12" hidden="false" customHeight="true" outlineLevel="0" collapsed="false">
      <c r="B638979" s="1" t="s">
        <v>50</v>
      </c>
      <c r="C638979" s="1" t="s">
        <v>51</v>
      </c>
      <c r="D638979" s="1" t="s">
        <v>51</v>
      </c>
    </row>
    <row r="638980" customFormat="false" ht="12" hidden="false" customHeight="true" outlineLevel="0" collapsed="false">
      <c r="B638980" s="1" t="s">
        <v>52</v>
      </c>
      <c r="C638980" s="1" t="s">
        <v>53</v>
      </c>
      <c r="D638980" s="1" t="s">
        <v>53</v>
      </c>
    </row>
    <row r="638981" customFormat="false" ht="12" hidden="false" customHeight="true" outlineLevel="0" collapsed="false">
      <c r="B638981" s="1" t="s">
        <v>54</v>
      </c>
      <c r="C638981" s="1" t="s">
        <v>55</v>
      </c>
      <c r="D638981" s="1" t="s">
        <v>56</v>
      </c>
    </row>
    <row r="638982" customFormat="false" ht="12" hidden="false" customHeight="true" outlineLevel="0" collapsed="false">
      <c r="B638982" s="1" t="s">
        <v>57</v>
      </c>
      <c r="C638982" s="1" t="s">
        <v>58</v>
      </c>
      <c r="D638982" s="1" t="s">
        <v>54</v>
      </c>
    </row>
    <row r="638983" customFormat="false" ht="12" hidden="false" customHeight="true" outlineLevel="0" collapsed="false">
      <c r="B638983" s="1" t="s">
        <v>59</v>
      </c>
      <c r="C638983" s="1" t="s">
        <v>60</v>
      </c>
      <c r="D638983" s="1" t="s">
        <v>61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62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44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46</v>
      </c>
      <c r="C655362" s="1" t="s">
        <v>47</v>
      </c>
      <c r="D655362" s="1" t="s">
        <v>48</v>
      </c>
    </row>
    <row r="655363" customFormat="false" ht="12" hidden="false" customHeight="true" outlineLevel="0" collapsed="false">
      <c r="B655363" s="1" t="s">
        <v>50</v>
      </c>
      <c r="C655363" s="1" t="s">
        <v>51</v>
      </c>
      <c r="D655363" s="1" t="s">
        <v>51</v>
      </c>
    </row>
    <row r="655364" customFormat="false" ht="12" hidden="false" customHeight="true" outlineLevel="0" collapsed="false">
      <c r="B655364" s="1" t="s">
        <v>52</v>
      </c>
      <c r="C655364" s="1" t="s">
        <v>53</v>
      </c>
      <c r="D655364" s="1" t="s">
        <v>53</v>
      </c>
    </row>
    <row r="655365" customFormat="false" ht="12" hidden="false" customHeight="true" outlineLevel="0" collapsed="false">
      <c r="B655365" s="1" t="s">
        <v>54</v>
      </c>
      <c r="C655365" s="1" t="s">
        <v>55</v>
      </c>
      <c r="D655365" s="1" t="s">
        <v>56</v>
      </c>
    </row>
    <row r="655366" customFormat="false" ht="12" hidden="false" customHeight="true" outlineLevel="0" collapsed="false">
      <c r="B655366" s="1" t="s">
        <v>57</v>
      </c>
      <c r="C655366" s="1" t="s">
        <v>58</v>
      </c>
      <c r="D655366" s="1" t="s">
        <v>54</v>
      </c>
    </row>
    <row r="655367" customFormat="false" ht="12" hidden="false" customHeight="true" outlineLevel="0" collapsed="false">
      <c r="B655367" s="1" t="s">
        <v>59</v>
      </c>
      <c r="C655367" s="1" t="s">
        <v>60</v>
      </c>
      <c r="D655367" s="1" t="s">
        <v>61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62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44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46</v>
      </c>
      <c r="C671746" s="1" t="s">
        <v>47</v>
      </c>
      <c r="D671746" s="1" t="s">
        <v>48</v>
      </c>
    </row>
    <row r="671747" customFormat="false" ht="12" hidden="false" customHeight="true" outlineLevel="0" collapsed="false">
      <c r="B671747" s="1" t="s">
        <v>50</v>
      </c>
      <c r="C671747" s="1" t="s">
        <v>51</v>
      </c>
      <c r="D671747" s="1" t="s">
        <v>51</v>
      </c>
    </row>
    <row r="671748" customFormat="false" ht="12" hidden="false" customHeight="true" outlineLevel="0" collapsed="false">
      <c r="B671748" s="1" t="s">
        <v>52</v>
      </c>
      <c r="C671748" s="1" t="s">
        <v>53</v>
      </c>
      <c r="D671748" s="1" t="s">
        <v>53</v>
      </c>
    </row>
    <row r="671749" customFormat="false" ht="12" hidden="false" customHeight="true" outlineLevel="0" collapsed="false">
      <c r="B671749" s="1" t="s">
        <v>54</v>
      </c>
      <c r="C671749" s="1" t="s">
        <v>55</v>
      </c>
      <c r="D671749" s="1" t="s">
        <v>56</v>
      </c>
    </row>
    <row r="671750" customFormat="false" ht="12" hidden="false" customHeight="true" outlineLevel="0" collapsed="false">
      <c r="B671750" s="1" t="s">
        <v>57</v>
      </c>
      <c r="C671750" s="1" t="s">
        <v>58</v>
      </c>
      <c r="D671750" s="1" t="s">
        <v>54</v>
      </c>
    </row>
    <row r="671751" customFormat="false" ht="12" hidden="false" customHeight="true" outlineLevel="0" collapsed="false">
      <c r="B671751" s="1" t="s">
        <v>59</v>
      </c>
      <c r="C671751" s="1" t="s">
        <v>60</v>
      </c>
      <c r="D671751" s="1" t="s">
        <v>61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62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44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46</v>
      </c>
      <c r="C688130" s="1" t="s">
        <v>47</v>
      </c>
      <c r="D688130" s="1" t="s">
        <v>48</v>
      </c>
    </row>
    <row r="688131" customFormat="false" ht="12" hidden="false" customHeight="true" outlineLevel="0" collapsed="false">
      <c r="B688131" s="1" t="s">
        <v>50</v>
      </c>
      <c r="C688131" s="1" t="s">
        <v>51</v>
      </c>
      <c r="D688131" s="1" t="s">
        <v>51</v>
      </c>
    </row>
    <row r="688132" customFormat="false" ht="12" hidden="false" customHeight="true" outlineLevel="0" collapsed="false">
      <c r="B688132" s="1" t="s">
        <v>52</v>
      </c>
      <c r="C688132" s="1" t="s">
        <v>53</v>
      </c>
      <c r="D688132" s="1" t="s">
        <v>53</v>
      </c>
    </row>
    <row r="688133" customFormat="false" ht="12" hidden="false" customHeight="true" outlineLevel="0" collapsed="false">
      <c r="B688133" s="1" t="s">
        <v>54</v>
      </c>
      <c r="C688133" s="1" t="s">
        <v>55</v>
      </c>
      <c r="D688133" s="1" t="s">
        <v>56</v>
      </c>
    </row>
    <row r="688134" customFormat="false" ht="12" hidden="false" customHeight="true" outlineLevel="0" collapsed="false">
      <c r="B688134" s="1" t="s">
        <v>57</v>
      </c>
      <c r="C688134" s="1" t="s">
        <v>58</v>
      </c>
      <c r="D688134" s="1" t="s">
        <v>54</v>
      </c>
    </row>
    <row r="688135" customFormat="false" ht="12" hidden="false" customHeight="true" outlineLevel="0" collapsed="false">
      <c r="B688135" s="1" t="s">
        <v>59</v>
      </c>
      <c r="C688135" s="1" t="s">
        <v>60</v>
      </c>
      <c r="D688135" s="1" t="s">
        <v>61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62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44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46</v>
      </c>
      <c r="C704514" s="1" t="s">
        <v>47</v>
      </c>
      <c r="D704514" s="1" t="s">
        <v>48</v>
      </c>
    </row>
    <row r="704515" customFormat="false" ht="12" hidden="false" customHeight="true" outlineLevel="0" collapsed="false">
      <c r="B704515" s="1" t="s">
        <v>50</v>
      </c>
      <c r="C704515" s="1" t="s">
        <v>51</v>
      </c>
      <c r="D704515" s="1" t="s">
        <v>51</v>
      </c>
    </row>
    <row r="704516" customFormat="false" ht="12" hidden="false" customHeight="true" outlineLevel="0" collapsed="false">
      <c r="B704516" s="1" t="s">
        <v>52</v>
      </c>
      <c r="C704516" s="1" t="s">
        <v>53</v>
      </c>
      <c r="D704516" s="1" t="s">
        <v>53</v>
      </c>
    </row>
    <row r="704517" customFormat="false" ht="12" hidden="false" customHeight="true" outlineLevel="0" collapsed="false">
      <c r="B704517" s="1" t="s">
        <v>54</v>
      </c>
      <c r="C704517" s="1" t="s">
        <v>55</v>
      </c>
      <c r="D704517" s="1" t="s">
        <v>56</v>
      </c>
    </row>
    <row r="704518" customFormat="false" ht="12" hidden="false" customHeight="true" outlineLevel="0" collapsed="false">
      <c r="B704518" s="1" t="s">
        <v>57</v>
      </c>
      <c r="C704518" s="1" t="s">
        <v>58</v>
      </c>
      <c r="D704518" s="1" t="s">
        <v>54</v>
      </c>
    </row>
    <row r="704519" customFormat="false" ht="12" hidden="false" customHeight="true" outlineLevel="0" collapsed="false">
      <c r="B704519" s="1" t="s">
        <v>59</v>
      </c>
      <c r="C704519" s="1" t="s">
        <v>60</v>
      </c>
      <c r="D704519" s="1" t="s">
        <v>61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62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44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46</v>
      </c>
      <c r="C720898" s="1" t="s">
        <v>47</v>
      </c>
      <c r="D720898" s="1" t="s">
        <v>48</v>
      </c>
    </row>
    <row r="720899" customFormat="false" ht="12" hidden="false" customHeight="true" outlineLevel="0" collapsed="false">
      <c r="B720899" s="1" t="s">
        <v>50</v>
      </c>
      <c r="C720899" s="1" t="s">
        <v>51</v>
      </c>
      <c r="D720899" s="1" t="s">
        <v>51</v>
      </c>
    </row>
    <row r="720900" customFormat="false" ht="12" hidden="false" customHeight="true" outlineLevel="0" collapsed="false">
      <c r="B720900" s="1" t="s">
        <v>52</v>
      </c>
      <c r="C720900" s="1" t="s">
        <v>53</v>
      </c>
      <c r="D720900" s="1" t="s">
        <v>53</v>
      </c>
    </row>
    <row r="720901" customFormat="false" ht="12" hidden="false" customHeight="true" outlineLevel="0" collapsed="false">
      <c r="B720901" s="1" t="s">
        <v>54</v>
      </c>
      <c r="C720901" s="1" t="s">
        <v>55</v>
      </c>
      <c r="D720901" s="1" t="s">
        <v>56</v>
      </c>
    </row>
    <row r="720902" customFormat="false" ht="12" hidden="false" customHeight="true" outlineLevel="0" collapsed="false">
      <c r="B720902" s="1" t="s">
        <v>57</v>
      </c>
      <c r="C720902" s="1" t="s">
        <v>58</v>
      </c>
      <c r="D720902" s="1" t="s">
        <v>54</v>
      </c>
    </row>
    <row r="720903" customFormat="false" ht="12" hidden="false" customHeight="true" outlineLevel="0" collapsed="false">
      <c r="B720903" s="1" t="s">
        <v>59</v>
      </c>
      <c r="C720903" s="1" t="s">
        <v>60</v>
      </c>
      <c r="D720903" s="1" t="s">
        <v>61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62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44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46</v>
      </c>
      <c r="C737282" s="1" t="s">
        <v>47</v>
      </c>
      <c r="D737282" s="1" t="s">
        <v>48</v>
      </c>
    </row>
    <row r="737283" customFormat="false" ht="12" hidden="false" customHeight="true" outlineLevel="0" collapsed="false">
      <c r="B737283" s="1" t="s">
        <v>50</v>
      </c>
      <c r="C737283" s="1" t="s">
        <v>51</v>
      </c>
      <c r="D737283" s="1" t="s">
        <v>51</v>
      </c>
    </row>
    <row r="737284" customFormat="false" ht="12" hidden="false" customHeight="true" outlineLevel="0" collapsed="false">
      <c r="B737284" s="1" t="s">
        <v>52</v>
      </c>
      <c r="C737284" s="1" t="s">
        <v>53</v>
      </c>
      <c r="D737284" s="1" t="s">
        <v>53</v>
      </c>
    </row>
    <row r="737285" customFormat="false" ht="12" hidden="false" customHeight="true" outlineLevel="0" collapsed="false">
      <c r="B737285" s="1" t="s">
        <v>54</v>
      </c>
      <c r="C737285" s="1" t="s">
        <v>55</v>
      </c>
      <c r="D737285" s="1" t="s">
        <v>56</v>
      </c>
    </row>
    <row r="737286" customFormat="false" ht="12" hidden="false" customHeight="true" outlineLevel="0" collapsed="false">
      <c r="B737286" s="1" t="s">
        <v>57</v>
      </c>
      <c r="C737286" s="1" t="s">
        <v>58</v>
      </c>
      <c r="D737286" s="1" t="s">
        <v>54</v>
      </c>
    </row>
    <row r="737287" customFormat="false" ht="12" hidden="false" customHeight="true" outlineLevel="0" collapsed="false">
      <c r="B737287" s="1" t="s">
        <v>59</v>
      </c>
      <c r="C737287" s="1" t="s">
        <v>60</v>
      </c>
      <c r="D737287" s="1" t="s">
        <v>61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62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44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46</v>
      </c>
      <c r="C753666" s="1" t="s">
        <v>47</v>
      </c>
      <c r="D753666" s="1" t="s">
        <v>48</v>
      </c>
    </row>
    <row r="753667" customFormat="false" ht="12" hidden="false" customHeight="true" outlineLevel="0" collapsed="false">
      <c r="B753667" s="1" t="s">
        <v>50</v>
      </c>
      <c r="C753667" s="1" t="s">
        <v>51</v>
      </c>
      <c r="D753667" s="1" t="s">
        <v>51</v>
      </c>
    </row>
    <row r="753668" customFormat="false" ht="12" hidden="false" customHeight="true" outlineLevel="0" collapsed="false">
      <c r="B753668" s="1" t="s">
        <v>52</v>
      </c>
      <c r="C753668" s="1" t="s">
        <v>53</v>
      </c>
      <c r="D753668" s="1" t="s">
        <v>53</v>
      </c>
    </row>
    <row r="753669" customFormat="false" ht="12" hidden="false" customHeight="true" outlineLevel="0" collapsed="false">
      <c r="B753669" s="1" t="s">
        <v>54</v>
      </c>
      <c r="C753669" s="1" t="s">
        <v>55</v>
      </c>
      <c r="D753669" s="1" t="s">
        <v>56</v>
      </c>
    </row>
    <row r="753670" customFormat="false" ht="12" hidden="false" customHeight="true" outlineLevel="0" collapsed="false">
      <c r="B753670" s="1" t="s">
        <v>57</v>
      </c>
      <c r="C753670" s="1" t="s">
        <v>58</v>
      </c>
      <c r="D753670" s="1" t="s">
        <v>54</v>
      </c>
    </row>
    <row r="753671" customFormat="false" ht="12" hidden="false" customHeight="true" outlineLevel="0" collapsed="false">
      <c r="B753671" s="1" t="s">
        <v>59</v>
      </c>
      <c r="C753671" s="1" t="s">
        <v>60</v>
      </c>
      <c r="D753671" s="1" t="s">
        <v>61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62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44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46</v>
      </c>
      <c r="C770050" s="1" t="s">
        <v>47</v>
      </c>
      <c r="D770050" s="1" t="s">
        <v>48</v>
      </c>
    </row>
    <row r="770051" customFormat="false" ht="12" hidden="false" customHeight="true" outlineLevel="0" collapsed="false">
      <c r="B770051" s="1" t="s">
        <v>50</v>
      </c>
      <c r="C770051" s="1" t="s">
        <v>51</v>
      </c>
      <c r="D770051" s="1" t="s">
        <v>51</v>
      </c>
    </row>
    <row r="770052" customFormat="false" ht="12" hidden="false" customHeight="true" outlineLevel="0" collapsed="false">
      <c r="B770052" s="1" t="s">
        <v>52</v>
      </c>
      <c r="C770052" s="1" t="s">
        <v>53</v>
      </c>
      <c r="D770052" s="1" t="s">
        <v>53</v>
      </c>
    </row>
    <row r="770053" customFormat="false" ht="12" hidden="false" customHeight="true" outlineLevel="0" collapsed="false">
      <c r="B770053" s="1" t="s">
        <v>54</v>
      </c>
      <c r="C770053" s="1" t="s">
        <v>55</v>
      </c>
      <c r="D770053" s="1" t="s">
        <v>56</v>
      </c>
    </row>
    <row r="770054" customFormat="false" ht="12" hidden="false" customHeight="true" outlineLevel="0" collapsed="false">
      <c r="B770054" s="1" t="s">
        <v>57</v>
      </c>
      <c r="C770054" s="1" t="s">
        <v>58</v>
      </c>
      <c r="D770054" s="1" t="s">
        <v>54</v>
      </c>
    </row>
    <row r="770055" customFormat="false" ht="12" hidden="false" customHeight="true" outlineLevel="0" collapsed="false">
      <c r="B770055" s="1" t="s">
        <v>59</v>
      </c>
      <c r="C770055" s="1" t="s">
        <v>60</v>
      </c>
      <c r="D770055" s="1" t="s">
        <v>61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62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44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46</v>
      </c>
      <c r="C786434" s="1" t="s">
        <v>47</v>
      </c>
      <c r="D786434" s="1" t="s">
        <v>48</v>
      </c>
    </row>
    <row r="786435" customFormat="false" ht="12" hidden="false" customHeight="true" outlineLevel="0" collapsed="false">
      <c r="B786435" s="1" t="s">
        <v>50</v>
      </c>
      <c r="C786435" s="1" t="s">
        <v>51</v>
      </c>
      <c r="D786435" s="1" t="s">
        <v>51</v>
      </c>
    </row>
    <row r="786436" customFormat="false" ht="12" hidden="false" customHeight="true" outlineLevel="0" collapsed="false">
      <c r="B786436" s="1" t="s">
        <v>52</v>
      </c>
      <c r="C786436" s="1" t="s">
        <v>53</v>
      </c>
      <c r="D786436" s="1" t="s">
        <v>53</v>
      </c>
    </row>
    <row r="786437" customFormat="false" ht="12" hidden="false" customHeight="true" outlineLevel="0" collapsed="false">
      <c r="B786437" s="1" t="s">
        <v>54</v>
      </c>
      <c r="C786437" s="1" t="s">
        <v>55</v>
      </c>
      <c r="D786437" s="1" t="s">
        <v>56</v>
      </c>
    </row>
    <row r="786438" customFormat="false" ht="12" hidden="false" customHeight="true" outlineLevel="0" collapsed="false">
      <c r="B786438" s="1" t="s">
        <v>57</v>
      </c>
      <c r="C786438" s="1" t="s">
        <v>58</v>
      </c>
      <c r="D786438" s="1" t="s">
        <v>54</v>
      </c>
    </row>
    <row r="786439" customFormat="false" ht="12" hidden="false" customHeight="true" outlineLevel="0" collapsed="false">
      <c r="B786439" s="1" t="s">
        <v>59</v>
      </c>
      <c r="C786439" s="1" t="s">
        <v>60</v>
      </c>
      <c r="D786439" s="1" t="s">
        <v>61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62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44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46</v>
      </c>
      <c r="C802818" s="1" t="s">
        <v>47</v>
      </c>
      <c r="D802818" s="1" t="s">
        <v>48</v>
      </c>
    </row>
    <row r="802819" customFormat="false" ht="12" hidden="false" customHeight="true" outlineLevel="0" collapsed="false">
      <c r="B802819" s="1" t="s">
        <v>50</v>
      </c>
      <c r="C802819" s="1" t="s">
        <v>51</v>
      </c>
      <c r="D802819" s="1" t="s">
        <v>51</v>
      </c>
    </row>
    <row r="802820" customFormat="false" ht="12" hidden="false" customHeight="true" outlineLevel="0" collapsed="false">
      <c r="B802820" s="1" t="s">
        <v>52</v>
      </c>
      <c r="C802820" s="1" t="s">
        <v>53</v>
      </c>
      <c r="D802820" s="1" t="s">
        <v>53</v>
      </c>
    </row>
    <row r="802821" customFormat="false" ht="12" hidden="false" customHeight="true" outlineLevel="0" collapsed="false">
      <c r="B802821" s="1" t="s">
        <v>54</v>
      </c>
      <c r="C802821" s="1" t="s">
        <v>55</v>
      </c>
      <c r="D802821" s="1" t="s">
        <v>56</v>
      </c>
    </row>
    <row r="802822" customFormat="false" ht="12" hidden="false" customHeight="true" outlineLevel="0" collapsed="false">
      <c r="B802822" s="1" t="s">
        <v>57</v>
      </c>
      <c r="C802822" s="1" t="s">
        <v>58</v>
      </c>
      <c r="D802822" s="1" t="s">
        <v>54</v>
      </c>
    </row>
    <row r="802823" customFormat="false" ht="12" hidden="false" customHeight="true" outlineLevel="0" collapsed="false">
      <c r="B802823" s="1" t="s">
        <v>59</v>
      </c>
      <c r="C802823" s="1" t="s">
        <v>60</v>
      </c>
      <c r="D802823" s="1" t="s">
        <v>61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62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44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46</v>
      </c>
      <c r="C819202" s="1" t="s">
        <v>47</v>
      </c>
      <c r="D819202" s="1" t="s">
        <v>48</v>
      </c>
    </row>
    <row r="819203" customFormat="false" ht="12" hidden="false" customHeight="true" outlineLevel="0" collapsed="false">
      <c r="B819203" s="1" t="s">
        <v>50</v>
      </c>
      <c r="C819203" s="1" t="s">
        <v>51</v>
      </c>
      <c r="D819203" s="1" t="s">
        <v>51</v>
      </c>
    </row>
    <row r="819204" customFormat="false" ht="12" hidden="false" customHeight="true" outlineLevel="0" collapsed="false">
      <c r="B819204" s="1" t="s">
        <v>52</v>
      </c>
      <c r="C819204" s="1" t="s">
        <v>53</v>
      </c>
      <c r="D819204" s="1" t="s">
        <v>53</v>
      </c>
    </row>
    <row r="819205" customFormat="false" ht="12" hidden="false" customHeight="true" outlineLevel="0" collapsed="false">
      <c r="B819205" s="1" t="s">
        <v>54</v>
      </c>
      <c r="C819205" s="1" t="s">
        <v>55</v>
      </c>
      <c r="D819205" s="1" t="s">
        <v>56</v>
      </c>
    </row>
    <row r="819206" customFormat="false" ht="12" hidden="false" customHeight="true" outlineLevel="0" collapsed="false">
      <c r="B819206" s="1" t="s">
        <v>57</v>
      </c>
      <c r="C819206" s="1" t="s">
        <v>58</v>
      </c>
      <c r="D819206" s="1" t="s">
        <v>54</v>
      </c>
    </row>
    <row r="819207" customFormat="false" ht="12" hidden="false" customHeight="true" outlineLevel="0" collapsed="false">
      <c r="B819207" s="1" t="s">
        <v>59</v>
      </c>
      <c r="C819207" s="1" t="s">
        <v>60</v>
      </c>
      <c r="D819207" s="1" t="s">
        <v>61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62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44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46</v>
      </c>
      <c r="C835586" s="1" t="s">
        <v>47</v>
      </c>
      <c r="D835586" s="1" t="s">
        <v>48</v>
      </c>
    </row>
    <row r="835587" customFormat="false" ht="12" hidden="false" customHeight="true" outlineLevel="0" collapsed="false">
      <c r="B835587" s="1" t="s">
        <v>50</v>
      </c>
      <c r="C835587" s="1" t="s">
        <v>51</v>
      </c>
      <c r="D835587" s="1" t="s">
        <v>51</v>
      </c>
    </row>
    <row r="835588" customFormat="false" ht="12" hidden="false" customHeight="true" outlineLevel="0" collapsed="false">
      <c r="B835588" s="1" t="s">
        <v>52</v>
      </c>
      <c r="C835588" s="1" t="s">
        <v>53</v>
      </c>
      <c r="D835588" s="1" t="s">
        <v>53</v>
      </c>
    </row>
    <row r="835589" customFormat="false" ht="12" hidden="false" customHeight="true" outlineLevel="0" collapsed="false">
      <c r="B835589" s="1" t="s">
        <v>54</v>
      </c>
      <c r="C835589" s="1" t="s">
        <v>55</v>
      </c>
      <c r="D835589" s="1" t="s">
        <v>56</v>
      </c>
    </row>
    <row r="835590" customFormat="false" ht="12" hidden="false" customHeight="true" outlineLevel="0" collapsed="false">
      <c r="B835590" s="1" t="s">
        <v>57</v>
      </c>
      <c r="C835590" s="1" t="s">
        <v>58</v>
      </c>
      <c r="D835590" s="1" t="s">
        <v>54</v>
      </c>
    </row>
    <row r="835591" customFormat="false" ht="12" hidden="false" customHeight="true" outlineLevel="0" collapsed="false">
      <c r="B835591" s="1" t="s">
        <v>59</v>
      </c>
      <c r="C835591" s="1" t="s">
        <v>60</v>
      </c>
      <c r="D835591" s="1" t="s">
        <v>61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62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44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46</v>
      </c>
      <c r="C851970" s="1" t="s">
        <v>47</v>
      </c>
      <c r="D851970" s="1" t="s">
        <v>48</v>
      </c>
    </row>
    <row r="851971" customFormat="false" ht="12" hidden="false" customHeight="true" outlineLevel="0" collapsed="false">
      <c r="B851971" s="1" t="s">
        <v>50</v>
      </c>
      <c r="C851971" s="1" t="s">
        <v>51</v>
      </c>
      <c r="D851971" s="1" t="s">
        <v>51</v>
      </c>
    </row>
    <row r="851972" customFormat="false" ht="12" hidden="false" customHeight="true" outlineLevel="0" collapsed="false">
      <c r="B851972" s="1" t="s">
        <v>52</v>
      </c>
      <c r="C851972" s="1" t="s">
        <v>53</v>
      </c>
      <c r="D851972" s="1" t="s">
        <v>53</v>
      </c>
    </row>
    <row r="851973" customFormat="false" ht="12" hidden="false" customHeight="true" outlineLevel="0" collapsed="false">
      <c r="B851973" s="1" t="s">
        <v>54</v>
      </c>
      <c r="C851973" s="1" t="s">
        <v>55</v>
      </c>
      <c r="D851973" s="1" t="s">
        <v>56</v>
      </c>
    </row>
    <row r="851974" customFormat="false" ht="12" hidden="false" customHeight="true" outlineLevel="0" collapsed="false">
      <c r="B851974" s="1" t="s">
        <v>57</v>
      </c>
      <c r="C851974" s="1" t="s">
        <v>58</v>
      </c>
      <c r="D851974" s="1" t="s">
        <v>54</v>
      </c>
    </row>
    <row r="851975" customFormat="false" ht="12" hidden="false" customHeight="true" outlineLevel="0" collapsed="false">
      <c r="B851975" s="1" t="s">
        <v>59</v>
      </c>
      <c r="C851975" s="1" t="s">
        <v>60</v>
      </c>
      <c r="D851975" s="1" t="s">
        <v>61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62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44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46</v>
      </c>
      <c r="C868354" s="1" t="s">
        <v>47</v>
      </c>
      <c r="D868354" s="1" t="s">
        <v>48</v>
      </c>
    </row>
    <row r="868355" customFormat="false" ht="12" hidden="false" customHeight="true" outlineLevel="0" collapsed="false">
      <c r="B868355" s="1" t="s">
        <v>50</v>
      </c>
      <c r="C868355" s="1" t="s">
        <v>51</v>
      </c>
      <c r="D868355" s="1" t="s">
        <v>51</v>
      </c>
    </row>
    <row r="868356" customFormat="false" ht="12" hidden="false" customHeight="true" outlineLevel="0" collapsed="false">
      <c r="B868356" s="1" t="s">
        <v>52</v>
      </c>
      <c r="C868356" s="1" t="s">
        <v>53</v>
      </c>
      <c r="D868356" s="1" t="s">
        <v>53</v>
      </c>
    </row>
    <row r="868357" customFormat="false" ht="12" hidden="false" customHeight="true" outlineLevel="0" collapsed="false">
      <c r="B868357" s="1" t="s">
        <v>54</v>
      </c>
      <c r="C868357" s="1" t="s">
        <v>55</v>
      </c>
      <c r="D868357" s="1" t="s">
        <v>56</v>
      </c>
    </row>
    <row r="868358" customFormat="false" ht="12" hidden="false" customHeight="true" outlineLevel="0" collapsed="false">
      <c r="B868358" s="1" t="s">
        <v>57</v>
      </c>
      <c r="C868358" s="1" t="s">
        <v>58</v>
      </c>
      <c r="D868358" s="1" t="s">
        <v>54</v>
      </c>
    </row>
    <row r="868359" customFormat="false" ht="12" hidden="false" customHeight="true" outlineLevel="0" collapsed="false">
      <c r="B868359" s="1" t="s">
        <v>59</v>
      </c>
      <c r="C868359" s="1" t="s">
        <v>60</v>
      </c>
      <c r="D868359" s="1" t="s">
        <v>61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62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44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46</v>
      </c>
      <c r="C884738" s="1" t="s">
        <v>47</v>
      </c>
      <c r="D884738" s="1" t="s">
        <v>48</v>
      </c>
    </row>
    <row r="884739" customFormat="false" ht="12" hidden="false" customHeight="true" outlineLevel="0" collapsed="false">
      <c r="B884739" s="1" t="s">
        <v>50</v>
      </c>
      <c r="C884739" s="1" t="s">
        <v>51</v>
      </c>
      <c r="D884739" s="1" t="s">
        <v>51</v>
      </c>
    </row>
    <row r="884740" customFormat="false" ht="12" hidden="false" customHeight="true" outlineLevel="0" collapsed="false">
      <c r="B884740" s="1" t="s">
        <v>52</v>
      </c>
      <c r="C884740" s="1" t="s">
        <v>53</v>
      </c>
      <c r="D884740" s="1" t="s">
        <v>53</v>
      </c>
    </row>
    <row r="884741" customFormat="false" ht="12" hidden="false" customHeight="true" outlineLevel="0" collapsed="false">
      <c r="B884741" s="1" t="s">
        <v>54</v>
      </c>
      <c r="C884741" s="1" t="s">
        <v>55</v>
      </c>
      <c r="D884741" s="1" t="s">
        <v>56</v>
      </c>
    </row>
    <row r="884742" customFormat="false" ht="12" hidden="false" customHeight="true" outlineLevel="0" collapsed="false">
      <c r="B884742" s="1" t="s">
        <v>57</v>
      </c>
      <c r="C884742" s="1" t="s">
        <v>58</v>
      </c>
      <c r="D884742" s="1" t="s">
        <v>54</v>
      </c>
    </row>
    <row r="884743" customFormat="false" ht="12" hidden="false" customHeight="true" outlineLevel="0" collapsed="false">
      <c r="B884743" s="1" t="s">
        <v>59</v>
      </c>
      <c r="C884743" s="1" t="s">
        <v>60</v>
      </c>
      <c r="D884743" s="1" t="s">
        <v>61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62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44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46</v>
      </c>
      <c r="C901122" s="1" t="s">
        <v>47</v>
      </c>
      <c r="D901122" s="1" t="s">
        <v>48</v>
      </c>
    </row>
    <row r="901123" customFormat="false" ht="12" hidden="false" customHeight="true" outlineLevel="0" collapsed="false">
      <c r="B901123" s="1" t="s">
        <v>50</v>
      </c>
      <c r="C901123" s="1" t="s">
        <v>51</v>
      </c>
      <c r="D901123" s="1" t="s">
        <v>51</v>
      </c>
    </row>
    <row r="901124" customFormat="false" ht="12" hidden="false" customHeight="true" outlineLevel="0" collapsed="false">
      <c r="B901124" s="1" t="s">
        <v>52</v>
      </c>
      <c r="C901124" s="1" t="s">
        <v>53</v>
      </c>
      <c r="D901124" s="1" t="s">
        <v>53</v>
      </c>
    </row>
    <row r="901125" customFormat="false" ht="12" hidden="false" customHeight="true" outlineLevel="0" collapsed="false">
      <c r="B901125" s="1" t="s">
        <v>54</v>
      </c>
      <c r="C901125" s="1" t="s">
        <v>55</v>
      </c>
      <c r="D901125" s="1" t="s">
        <v>56</v>
      </c>
    </row>
    <row r="901126" customFormat="false" ht="12" hidden="false" customHeight="true" outlineLevel="0" collapsed="false">
      <c r="B901126" s="1" t="s">
        <v>57</v>
      </c>
      <c r="C901126" s="1" t="s">
        <v>58</v>
      </c>
      <c r="D901126" s="1" t="s">
        <v>54</v>
      </c>
    </row>
    <row r="901127" customFormat="false" ht="12" hidden="false" customHeight="true" outlineLevel="0" collapsed="false">
      <c r="B901127" s="1" t="s">
        <v>59</v>
      </c>
      <c r="C901127" s="1" t="s">
        <v>60</v>
      </c>
      <c r="D901127" s="1" t="s">
        <v>61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62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44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46</v>
      </c>
      <c r="C917506" s="1" t="s">
        <v>47</v>
      </c>
      <c r="D917506" s="1" t="s">
        <v>48</v>
      </c>
    </row>
    <row r="917507" customFormat="false" ht="12" hidden="false" customHeight="true" outlineLevel="0" collapsed="false">
      <c r="B917507" s="1" t="s">
        <v>50</v>
      </c>
      <c r="C917507" s="1" t="s">
        <v>51</v>
      </c>
      <c r="D917507" s="1" t="s">
        <v>51</v>
      </c>
    </row>
    <row r="917508" customFormat="false" ht="12" hidden="false" customHeight="true" outlineLevel="0" collapsed="false">
      <c r="B917508" s="1" t="s">
        <v>52</v>
      </c>
      <c r="C917508" s="1" t="s">
        <v>53</v>
      </c>
      <c r="D917508" s="1" t="s">
        <v>53</v>
      </c>
    </row>
    <row r="917509" customFormat="false" ht="12" hidden="false" customHeight="true" outlineLevel="0" collapsed="false">
      <c r="B917509" s="1" t="s">
        <v>54</v>
      </c>
      <c r="C917509" s="1" t="s">
        <v>55</v>
      </c>
      <c r="D917509" s="1" t="s">
        <v>56</v>
      </c>
    </row>
    <row r="917510" customFormat="false" ht="12" hidden="false" customHeight="true" outlineLevel="0" collapsed="false">
      <c r="B917510" s="1" t="s">
        <v>57</v>
      </c>
      <c r="C917510" s="1" t="s">
        <v>58</v>
      </c>
      <c r="D917510" s="1" t="s">
        <v>54</v>
      </c>
    </row>
    <row r="917511" customFormat="false" ht="12" hidden="false" customHeight="true" outlineLevel="0" collapsed="false">
      <c r="B917511" s="1" t="s">
        <v>59</v>
      </c>
      <c r="C917511" s="1" t="s">
        <v>60</v>
      </c>
      <c r="D917511" s="1" t="s">
        <v>61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62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44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46</v>
      </c>
      <c r="C933890" s="1" t="s">
        <v>47</v>
      </c>
      <c r="D933890" s="1" t="s">
        <v>48</v>
      </c>
    </row>
    <row r="933891" customFormat="false" ht="12" hidden="false" customHeight="true" outlineLevel="0" collapsed="false">
      <c r="B933891" s="1" t="s">
        <v>50</v>
      </c>
      <c r="C933891" s="1" t="s">
        <v>51</v>
      </c>
      <c r="D933891" s="1" t="s">
        <v>51</v>
      </c>
    </row>
    <row r="933892" customFormat="false" ht="12" hidden="false" customHeight="true" outlineLevel="0" collapsed="false">
      <c r="B933892" s="1" t="s">
        <v>52</v>
      </c>
      <c r="C933892" s="1" t="s">
        <v>53</v>
      </c>
      <c r="D933892" s="1" t="s">
        <v>53</v>
      </c>
    </row>
    <row r="933893" customFormat="false" ht="12" hidden="false" customHeight="true" outlineLevel="0" collapsed="false">
      <c r="B933893" s="1" t="s">
        <v>54</v>
      </c>
      <c r="C933893" s="1" t="s">
        <v>55</v>
      </c>
      <c r="D933893" s="1" t="s">
        <v>56</v>
      </c>
    </row>
    <row r="933894" customFormat="false" ht="12" hidden="false" customHeight="true" outlineLevel="0" collapsed="false">
      <c r="B933894" s="1" t="s">
        <v>57</v>
      </c>
      <c r="C933894" s="1" t="s">
        <v>58</v>
      </c>
      <c r="D933894" s="1" t="s">
        <v>54</v>
      </c>
    </row>
    <row r="933895" customFormat="false" ht="12" hidden="false" customHeight="true" outlineLevel="0" collapsed="false">
      <c r="B933895" s="1" t="s">
        <v>59</v>
      </c>
      <c r="C933895" s="1" t="s">
        <v>60</v>
      </c>
      <c r="D933895" s="1" t="s">
        <v>61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62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44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46</v>
      </c>
      <c r="C950274" s="1" t="s">
        <v>47</v>
      </c>
      <c r="D950274" s="1" t="s">
        <v>48</v>
      </c>
    </row>
    <row r="950275" customFormat="false" ht="12" hidden="false" customHeight="true" outlineLevel="0" collapsed="false">
      <c r="B950275" s="1" t="s">
        <v>50</v>
      </c>
      <c r="C950275" s="1" t="s">
        <v>51</v>
      </c>
      <c r="D950275" s="1" t="s">
        <v>51</v>
      </c>
    </row>
    <row r="950276" customFormat="false" ht="12" hidden="false" customHeight="true" outlineLevel="0" collapsed="false">
      <c r="B950276" s="1" t="s">
        <v>52</v>
      </c>
      <c r="C950276" s="1" t="s">
        <v>53</v>
      </c>
      <c r="D950276" s="1" t="s">
        <v>53</v>
      </c>
    </row>
    <row r="950277" customFormat="false" ht="12" hidden="false" customHeight="true" outlineLevel="0" collapsed="false">
      <c r="B950277" s="1" t="s">
        <v>54</v>
      </c>
      <c r="C950277" s="1" t="s">
        <v>55</v>
      </c>
      <c r="D950277" s="1" t="s">
        <v>56</v>
      </c>
    </row>
    <row r="950278" customFormat="false" ht="12" hidden="false" customHeight="true" outlineLevel="0" collapsed="false">
      <c r="B950278" s="1" t="s">
        <v>57</v>
      </c>
      <c r="C950278" s="1" t="s">
        <v>58</v>
      </c>
      <c r="D950278" s="1" t="s">
        <v>54</v>
      </c>
    </row>
    <row r="950279" customFormat="false" ht="12" hidden="false" customHeight="true" outlineLevel="0" collapsed="false">
      <c r="B950279" s="1" t="s">
        <v>59</v>
      </c>
      <c r="C950279" s="1" t="s">
        <v>60</v>
      </c>
      <c r="D950279" s="1" t="s">
        <v>61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62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44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46</v>
      </c>
      <c r="C966658" s="1" t="s">
        <v>47</v>
      </c>
      <c r="D966658" s="1" t="s">
        <v>48</v>
      </c>
    </row>
    <row r="966659" customFormat="false" ht="12" hidden="false" customHeight="true" outlineLevel="0" collapsed="false">
      <c r="B966659" s="1" t="s">
        <v>50</v>
      </c>
      <c r="C966659" s="1" t="s">
        <v>51</v>
      </c>
      <c r="D966659" s="1" t="s">
        <v>51</v>
      </c>
    </row>
    <row r="966660" customFormat="false" ht="12" hidden="false" customHeight="true" outlineLevel="0" collapsed="false">
      <c r="B966660" s="1" t="s">
        <v>52</v>
      </c>
      <c r="C966660" s="1" t="s">
        <v>53</v>
      </c>
      <c r="D966660" s="1" t="s">
        <v>53</v>
      </c>
    </row>
    <row r="966661" customFormat="false" ht="12" hidden="false" customHeight="true" outlineLevel="0" collapsed="false">
      <c r="B966661" s="1" t="s">
        <v>54</v>
      </c>
      <c r="C966661" s="1" t="s">
        <v>55</v>
      </c>
      <c r="D966661" s="1" t="s">
        <v>56</v>
      </c>
    </row>
    <row r="966662" customFormat="false" ht="12" hidden="false" customHeight="true" outlineLevel="0" collapsed="false">
      <c r="B966662" s="1" t="s">
        <v>57</v>
      </c>
      <c r="C966662" s="1" t="s">
        <v>58</v>
      </c>
      <c r="D966662" s="1" t="s">
        <v>54</v>
      </c>
    </row>
    <row r="966663" customFormat="false" ht="12" hidden="false" customHeight="true" outlineLevel="0" collapsed="false">
      <c r="B966663" s="1" t="s">
        <v>59</v>
      </c>
      <c r="C966663" s="1" t="s">
        <v>60</v>
      </c>
      <c r="D966663" s="1" t="s">
        <v>61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62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44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46</v>
      </c>
      <c r="C983042" s="1" t="s">
        <v>47</v>
      </c>
      <c r="D983042" s="1" t="s">
        <v>48</v>
      </c>
    </row>
    <row r="983043" customFormat="false" ht="12" hidden="false" customHeight="true" outlineLevel="0" collapsed="false">
      <c r="B983043" s="1" t="s">
        <v>50</v>
      </c>
      <c r="C983043" s="1" t="s">
        <v>51</v>
      </c>
      <c r="D983043" s="1" t="s">
        <v>51</v>
      </c>
    </row>
    <row r="983044" customFormat="false" ht="12" hidden="false" customHeight="true" outlineLevel="0" collapsed="false">
      <c r="B983044" s="1" t="s">
        <v>52</v>
      </c>
      <c r="C983044" s="1" t="s">
        <v>53</v>
      </c>
      <c r="D983044" s="1" t="s">
        <v>53</v>
      </c>
    </row>
    <row r="983045" customFormat="false" ht="12" hidden="false" customHeight="true" outlineLevel="0" collapsed="false">
      <c r="B983045" s="1" t="s">
        <v>54</v>
      </c>
      <c r="C983045" s="1" t="s">
        <v>55</v>
      </c>
      <c r="D983045" s="1" t="s">
        <v>56</v>
      </c>
    </row>
    <row r="983046" customFormat="false" ht="12" hidden="false" customHeight="true" outlineLevel="0" collapsed="false">
      <c r="B983046" s="1" t="s">
        <v>57</v>
      </c>
      <c r="C983046" s="1" t="s">
        <v>58</v>
      </c>
      <c r="D983046" s="1" t="s">
        <v>54</v>
      </c>
    </row>
    <row r="983047" customFormat="false" ht="12" hidden="false" customHeight="true" outlineLevel="0" collapsed="false">
      <c r="B983047" s="1" t="s">
        <v>59</v>
      </c>
      <c r="C983047" s="1" t="s">
        <v>60</v>
      </c>
      <c r="D983047" s="1" t="s">
        <v>61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62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44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46</v>
      </c>
      <c r="C999426" s="1" t="s">
        <v>47</v>
      </c>
      <c r="D999426" s="1" t="s">
        <v>48</v>
      </c>
    </row>
    <row r="999427" customFormat="false" ht="12" hidden="false" customHeight="true" outlineLevel="0" collapsed="false">
      <c r="B999427" s="1" t="s">
        <v>50</v>
      </c>
      <c r="C999427" s="1" t="s">
        <v>51</v>
      </c>
      <c r="D999427" s="1" t="s">
        <v>51</v>
      </c>
    </row>
    <row r="999428" customFormat="false" ht="12" hidden="false" customHeight="true" outlineLevel="0" collapsed="false">
      <c r="B999428" s="1" t="s">
        <v>52</v>
      </c>
      <c r="C999428" s="1" t="s">
        <v>53</v>
      </c>
      <c r="D999428" s="1" t="s">
        <v>53</v>
      </c>
    </row>
    <row r="999429" customFormat="false" ht="12" hidden="false" customHeight="true" outlineLevel="0" collapsed="false">
      <c r="B999429" s="1" t="s">
        <v>54</v>
      </c>
      <c r="C999429" s="1" t="s">
        <v>55</v>
      </c>
      <c r="D999429" s="1" t="s">
        <v>56</v>
      </c>
    </row>
    <row r="999430" customFormat="false" ht="12" hidden="false" customHeight="true" outlineLevel="0" collapsed="false">
      <c r="B999430" s="1" t="s">
        <v>57</v>
      </c>
      <c r="C999430" s="1" t="s">
        <v>58</v>
      </c>
      <c r="D999430" s="1" t="s">
        <v>54</v>
      </c>
    </row>
    <row r="999431" customFormat="false" ht="12" hidden="false" customHeight="true" outlineLevel="0" collapsed="false">
      <c r="B999431" s="1" t="s">
        <v>59</v>
      </c>
      <c r="C999431" s="1" t="s">
        <v>60</v>
      </c>
      <c r="D999431" s="1" t="s">
        <v>61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62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44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46</v>
      </c>
      <c r="C1015810" s="1" t="s">
        <v>47</v>
      </c>
      <c r="D1015810" s="1" t="s">
        <v>48</v>
      </c>
    </row>
    <row r="1015811" customFormat="false" ht="12" hidden="false" customHeight="true" outlineLevel="0" collapsed="false">
      <c r="B1015811" s="1" t="s">
        <v>50</v>
      </c>
      <c r="C1015811" s="1" t="s">
        <v>51</v>
      </c>
      <c r="D1015811" s="1" t="s">
        <v>51</v>
      </c>
    </row>
    <row r="1015812" customFormat="false" ht="12" hidden="false" customHeight="true" outlineLevel="0" collapsed="false">
      <c r="B1015812" s="1" t="s">
        <v>52</v>
      </c>
      <c r="C1015812" s="1" t="s">
        <v>53</v>
      </c>
      <c r="D1015812" s="1" t="s">
        <v>53</v>
      </c>
    </row>
    <row r="1015813" customFormat="false" ht="12" hidden="false" customHeight="true" outlineLevel="0" collapsed="false">
      <c r="B1015813" s="1" t="s">
        <v>54</v>
      </c>
      <c r="C1015813" s="1" t="s">
        <v>55</v>
      </c>
      <c r="D1015813" s="1" t="s">
        <v>56</v>
      </c>
    </row>
    <row r="1015814" customFormat="false" ht="12" hidden="false" customHeight="true" outlineLevel="0" collapsed="false">
      <c r="B1015814" s="1" t="s">
        <v>57</v>
      </c>
      <c r="C1015814" s="1" t="s">
        <v>58</v>
      </c>
      <c r="D1015814" s="1" t="s">
        <v>54</v>
      </c>
    </row>
    <row r="1015815" customFormat="false" ht="12" hidden="false" customHeight="true" outlineLevel="0" collapsed="false">
      <c r="B1015815" s="1" t="s">
        <v>59</v>
      </c>
      <c r="C1015815" s="1" t="s">
        <v>60</v>
      </c>
      <c r="D1015815" s="1" t="s">
        <v>61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62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44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46</v>
      </c>
      <c r="C1032194" s="1" t="s">
        <v>47</v>
      </c>
      <c r="D1032194" s="1" t="s">
        <v>48</v>
      </c>
    </row>
    <row r="1032195" customFormat="false" ht="12" hidden="false" customHeight="true" outlineLevel="0" collapsed="false">
      <c r="B1032195" s="1" t="s">
        <v>50</v>
      </c>
      <c r="C1032195" s="1" t="s">
        <v>51</v>
      </c>
      <c r="D1032195" s="1" t="s">
        <v>51</v>
      </c>
    </row>
    <row r="1032196" customFormat="false" ht="12" hidden="false" customHeight="true" outlineLevel="0" collapsed="false">
      <c r="B1032196" s="1" t="s">
        <v>52</v>
      </c>
      <c r="C1032196" s="1" t="s">
        <v>53</v>
      </c>
      <c r="D1032196" s="1" t="s">
        <v>53</v>
      </c>
    </row>
    <row r="1032197" customFormat="false" ht="12" hidden="false" customHeight="true" outlineLevel="0" collapsed="false">
      <c r="B1032197" s="1" t="s">
        <v>54</v>
      </c>
      <c r="C1032197" s="1" t="s">
        <v>55</v>
      </c>
      <c r="D1032197" s="1" t="s">
        <v>56</v>
      </c>
    </row>
    <row r="1032198" customFormat="false" ht="12" hidden="false" customHeight="true" outlineLevel="0" collapsed="false">
      <c r="B1032198" s="1" t="s">
        <v>57</v>
      </c>
      <c r="C1032198" s="1" t="s">
        <v>58</v>
      </c>
      <c r="D1032198" s="1" t="s">
        <v>54</v>
      </c>
    </row>
    <row r="1032199" customFormat="false" ht="12" hidden="false" customHeight="true" outlineLevel="0" collapsed="false">
      <c r="B1032199" s="1" t="s">
        <v>59</v>
      </c>
      <c r="C1032199" s="1" t="s">
        <v>60</v>
      </c>
      <c r="D1032199" s="1" t="s">
        <v>61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62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2026-01-27T23:19:52Z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