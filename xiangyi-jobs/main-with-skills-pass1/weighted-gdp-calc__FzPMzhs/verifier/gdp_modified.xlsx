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INDEX(Data!$H$21:$M$40,MATCH($D12,Data!$B$21:$B$40,0),MATCH(H$9,Data!$H$4:$M$4,0))</f>
        <v/>
      </c>
      <c r="I12" s="19">
        <f>INDEX(Data!$H$21:$M$40,MATCH($D12,Data!$B$21:$B$40,0),MATCH(I$9,Data!$H$4:$M$4,0))</f>
        <v/>
      </c>
      <c r="J12" s="19">
        <f>INDEX(Data!$H$21:$M$40,MATCH($D12,Data!$B$21:$B$40,0),MATCH(J$9,Data!$H$4:$M$4,0))</f>
        <v/>
      </c>
      <c r="K12" s="19">
        <f>INDEX(Data!$H$21:$M$40,MATCH($D12,Data!$B$21:$B$40,0),MATCH(K$9,Data!$H$4:$M$4,0))</f>
        <v/>
      </c>
      <c r="L12" s="20">
        <f>INDEX(Data!$H$21:$M$40,MATCH($D12,Data!$B$21:$B$40,0),MATCH(L$9,Data!$H$4:$M$4,0))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INDEX(Data!$H$21:$M$40,MATCH($D13,Data!$B$21:$B$40,0),MATCH(H$9,Data!$H$4:$M$4,0))</f>
        <v/>
      </c>
      <c r="I13" s="4">
        <f>INDEX(Data!$H$21:$M$40,MATCH($D13,Data!$B$21:$B$40,0),MATCH(I$9,Data!$H$4:$M$4,0))</f>
        <v/>
      </c>
      <c r="J13" s="4">
        <f>INDEX(Data!$H$21:$M$40,MATCH($D13,Data!$B$21:$B$40,0),MATCH(J$9,Data!$H$4:$M$4,0))</f>
        <v/>
      </c>
      <c r="K13" s="4">
        <f>INDEX(Data!$H$21:$M$40,MATCH($D13,Data!$B$21:$B$40,0),MATCH(K$9,Data!$H$4:$M$4,0))</f>
        <v/>
      </c>
      <c r="L13" s="5">
        <f>INDEX(Data!$H$21:$M$40,MATCH($D13,Data!$B$21:$B$40,0),MATCH(L$9,Data!$H$4:$M$4,0))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INDEX(Data!$H$21:$M$40,MATCH($D14,Data!$B$21:$B$40,0),MATCH(H$9,Data!$H$4:$M$4,0))</f>
        <v/>
      </c>
      <c r="I14" s="4">
        <f>INDEX(Data!$H$21:$M$40,MATCH($D14,Data!$B$21:$B$40,0),MATCH(I$9,Data!$H$4:$M$4,0))</f>
        <v/>
      </c>
      <c r="J14" s="4">
        <f>INDEX(Data!$H$21:$M$40,MATCH($D14,Data!$B$21:$B$40,0),MATCH(J$9,Data!$H$4:$M$4,0))</f>
        <v/>
      </c>
      <c r="K14" s="4">
        <f>INDEX(Data!$H$21:$M$40,MATCH($D14,Data!$B$21:$B$40,0),MATCH(K$9,Data!$H$4:$M$4,0))</f>
        <v/>
      </c>
      <c r="L14" s="5">
        <f>INDEX(Data!$H$21:$M$40,MATCH($D14,Data!$B$21:$B$40,0),MATCH(L$9,Data!$H$4:$M$4,0))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INDEX(Data!$H$21:$M$40,MATCH($D15,Data!$B$21:$B$40,0),MATCH(H$9,Data!$H$4:$M$4,0))</f>
        <v/>
      </c>
      <c r="I15" s="4">
        <f>INDEX(Data!$H$21:$M$40,MATCH($D15,Data!$B$21:$B$40,0),MATCH(I$9,Data!$H$4:$M$4,0))</f>
        <v/>
      </c>
      <c r="J15" s="4">
        <f>INDEX(Data!$H$21:$M$40,MATCH($D15,Data!$B$21:$B$40,0),MATCH(J$9,Data!$H$4:$M$4,0))</f>
        <v/>
      </c>
      <c r="K15" s="4">
        <f>INDEX(Data!$H$21:$M$40,MATCH($D15,Data!$B$21:$B$40,0),MATCH(K$9,Data!$H$4:$M$4,0))</f>
        <v/>
      </c>
      <c r="L15" s="5">
        <f>INDEX(Data!$H$21:$M$40,MATCH($D15,Data!$B$21:$B$40,0),MATCH(L$9,Data!$H$4:$M$4,0))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INDEX(Data!$H$21:$M$40,MATCH($D16,Data!$B$21:$B$40,0),MATCH(H$9,Data!$H$4:$M$4,0))</f>
        <v/>
      </c>
      <c r="I16" s="4">
        <f>INDEX(Data!$H$21:$M$40,MATCH($D16,Data!$B$21:$B$40,0),MATCH(I$9,Data!$H$4:$M$4,0))</f>
        <v/>
      </c>
      <c r="J16" s="4">
        <f>INDEX(Data!$H$21:$M$40,MATCH($D16,Data!$B$21:$B$40,0),MATCH(J$9,Data!$H$4:$M$4,0))</f>
        <v/>
      </c>
      <c r="K16" s="4">
        <f>INDEX(Data!$H$21:$M$40,MATCH($D16,Data!$B$21:$B$40,0),MATCH(K$9,Data!$H$4:$M$4,0))</f>
        <v/>
      </c>
      <c r="L16" s="5">
        <f>INDEX(Data!$H$21:$M$40,MATCH($D16,Data!$B$21:$B$40,0),MATCH(L$9,Data!$H$4:$M$4,0))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INDEX(Data!$H$21:$M$40,MATCH($D17,Data!$B$21:$B$40,0),MATCH(H$9,Data!$H$4:$M$4,0))</f>
        <v/>
      </c>
      <c r="I17" s="6">
        <f>INDEX(Data!$H$21:$M$40,MATCH($D17,Data!$B$21:$B$40,0),MATCH(I$9,Data!$H$4:$M$4,0))</f>
        <v/>
      </c>
      <c r="J17" s="6">
        <f>INDEX(Data!$H$21:$M$40,MATCH($D17,Data!$B$21:$B$40,0),MATCH(J$9,Data!$H$4:$M$4,0))</f>
        <v/>
      </c>
      <c r="K17" s="6">
        <f>INDEX(Data!$H$21:$M$40,MATCH($D17,Data!$B$21:$B$40,0),MATCH(K$9,Data!$H$4:$M$4,0))</f>
        <v/>
      </c>
      <c r="L17" s="7">
        <f>INDEX(Data!$H$21:$M$40,MATCH($D17,Data!$B$21:$B$40,0),MATCH(L$9,Data!$H$4:$M$4,0))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INDEX(Data!$H$21:$M$40,MATCH($D19,Data!$B$21:$B$40,0),MATCH(H$9,Data!$H$4:$M$4,0))</f>
        <v/>
      </c>
      <c r="I19" s="19">
        <f>INDEX(Data!$H$21:$M$40,MATCH($D19,Data!$B$21:$B$40,0),MATCH(I$9,Data!$H$4:$M$4,0))</f>
        <v/>
      </c>
      <c r="J19" s="19">
        <f>INDEX(Data!$H$21:$M$40,MATCH($D19,Data!$B$21:$B$40,0),MATCH(J$9,Data!$H$4:$M$4,0))</f>
        <v/>
      </c>
      <c r="K19" s="19">
        <f>INDEX(Data!$H$21:$M$40,MATCH($D19,Data!$B$21:$B$40,0),MATCH(K$9,Data!$H$4:$M$4,0))</f>
        <v/>
      </c>
      <c r="L19" s="20">
        <f>INDEX(Data!$H$21:$M$40,MATCH($D19,Data!$B$21:$B$40,0),MATCH(L$9,Data!$H$4:$M$4,0))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INDEX(Data!$H$21:$M$40,MATCH($D20,Data!$B$21:$B$40,0),MATCH(H$9,Data!$H$4:$M$4,0))</f>
        <v/>
      </c>
      <c r="I20" s="4">
        <f>INDEX(Data!$H$21:$M$40,MATCH($D20,Data!$B$21:$B$40,0),MATCH(I$9,Data!$H$4:$M$4,0))</f>
        <v/>
      </c>
      <c r="J20" s="4">
        <f>INDEX(Data!$H$21:$M$40,MATCH($D20,Data!$B$21:$B$40,0),MATCH(J$9,Data!$H$4:$M$4,0))</f>
        <v/>
      </c>
      <c r="K20" s="4">
        <f>INDEX(Data!$H$21:$M$40,MATCH($D20,Data!$B$21:$B$40,0),MATCH(K$9,Data!$H$4:$M$4,0))</f>
        <v/>
      </c>
      <c r="L20" s="5">
        <f>INDEX(Data!$H$21:$M$40,MATCH($D20,Data!$B$21:$B$40,0),MATCH(L$9,Data!$H$4:$M$4,0))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INDEX(Data!$H$21:$M$40,MATCH($D21,Data!$B$21:$B$40,0),MATCH(H$9,Data!$H$4:$M$4,0))</f>
        <v/>
      </c>
      <c r="I21" s="4">
        <f>INDEX(Data!$H$21:$M$40,MATCH($D21,Data!$B$21:$B$40,0),MATCH(I$9,Data!$H$4:$M$4,0))</f>
        <v/>
      </c>
      <c r="J21" s="4">
        <f>INDEX(Data!$H$21:$M$40,MATCH($D21,Data!$B$21:$B$40,0),MATCH(J$9,Data!$H$4:$M$4,0))</f>
        <v/>
      </c>
      <c r="K21" s="4">
        <f>INDEX(Data!$H$21:$M$40,MATCH($D21,Data!$B$21:$B$40,0),MATCH(K$9,Data!$H$4:$M$4,0))</f>
        <v/>
      </c>
      <c r="L21" s="5">
        <f>INDEX(Data!$H$21:$M$40,MATCH($D21,Data!$B$21:$B$40,0),MATCH(L$9,Data!$H$4:$M$4,0))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INDEX(Data!$H$21:$M$40,MATCH($D22,Data!$B$21:$B$40,0),MATCH(H$9,Data!$H$4:$M$4,0))</f>
        <v/>
      </c>
      <c r="I22" s="4">
        <f>INDEX(Data!$H$21:$M$40,MATCH($D22,Data!$B$21:$B$40,0),MATCH(I$9,Data!$H$4:$M$4,0))</f>
        <v/>
      </c>
      <c r="J22" s="4">
        <f>INDEX(Data!$H$21:$M$40,MATCH($D22,Data!$B$21:$B$40,0),MATCH(J$9,Data!$H$4:$M$4,0))</f>
        <v/>
      </c>
      <c r="K22" s="4">
        <f>INDEX(Data!$H$21:$M$40,MATCH($D22,Data!$B$21:$B$40,0),MATCH(K$9,Data!$H$4:$M$4,0))</f>
        <v/>
      </c>
      <c r="L22" s="5">
        <f>INDEX(Data!$H$21:$M$40,MATCH($D22,Data!$B$21:$B$40,0),MATCH(L$9,Data!$H$4:$M$4,0))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INDEX(Data!$H$21:$M$40,MATCH($D23,Data!$B$21:$B$40,0),MATCH(H$9,Data!$H$4:$M$4,0))</f>
        <v/>
      </c>
      <c r="I23" s="4">
        <f>INDEX(Data!$H$21:$M$40,MATCH($D23,Data!$B$21:$B$40,0),MATCH(I$9,Data!$H$4:$M$4,0))</f>
        <v/>
      </c>
      <c r="J23" s="4">
        <f>INDEX(Data!$H$21:$M$40,MATCH($D23,Data!$B$21:$B$40,0),MATCH(J$9,Data!$H$4:$M$4,0))</f>
        <v/>
      </c>
      <c r="K23" s="4">
        <f>INDEX(Data!$H$21:$M$40,MATCH($D23,Data!$B$21:$B$40,0),MATCH(K$9,Data!$H$4:$M$4,0))</f>
        <v/>
      </c>
      <c r="L23" s="5">
        <f>INDEX(Data!$H$21:$M$40,MATCH($D23,Data!$B$21:$B$40,0),MATCH(L$9,Data!$H$4:$M$4,0))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INDEX(Data!$H$21:$M$40,MATCH($D24,Data!$B$21:$B$40,0),MATCH(H$9,Data!$H$4:$M$4,0))</f>
        <v/>
      </c>
      <c r="I24" s="6">
        <f>INDEX(Data!$H$21:$M$40,MATCH($D24,Data!$B$21:$B$40,0),MATCH(I$9,Data!$H$4:$M$4,0))</f>
        <v/>
      </c>
      <c r="J24" s="6">
        <f>INDEX(Data!$H$21:$M$40,MATCH($D24,Data!$B$21:$B$40,0),MATCH(J$9,Data!$H$4:$M$4,0))</f>
        <v/>
      </c>
      <c r="K24" s="6">
        <f>INDEX(Data!$H$21:$M$40,MATCH($D24,Data!$B$21:$B$40,0),MATCH(K$9,Data!$H$4:$M$4,0))</f>
        <v/>
      </c>
      <c r="L24" s="7">
        <f>INDEX(Data!$H$21:$M$40,MATCH($D24,Data!$B$21:$B$40,0),MATCH(L$9,Data!$H$4:$M$4,0))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INDEX(Data!$H$21:$M$40,MATCH($D26,Data!$B$21:$B$40,0),MATCH(H$9,Data!$H$4:$M$4,0))</f>
        <v/>
      </c>
      <c r="I26" s="19">
        <f>INDEX(Data!$H$21:$M$40,MATCH($D26,Data!$B$21:$B$40,0),MATCH(I$9,Data!$H$4:$M$4,0))</f>
        <v/>
      </c>
      <c r="J26" s="19">
        <f>INDEX(Data!$H$21:$M$40,MATCH($D26,Data!$B$21:$B$40,0),MATCH(J$9,Data!$H$4:$M$4,0))</f>
        <v/>
      </c>
      <c r="K26" s="19">
        <f>INDEX(Data!$H$21:$M$40,MATCH($D26,Data!$B$21:$B$40,0),MATCH(K$9,Data!$H$4:$M$4,0))</f>
        <v/>
      </c>
      <c r="L26" s="20">
        <f>INDEX(Data!$H$21:$M$40,MATCH($D26,Data!$B$21:$B$40,0),MATCH(L$9,Data!$H$4:$M$4,0))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INDEX(Data!$H$21:$M$40,MATCH($D27,Data!$B$21:$B$40,0),MATCH(H$9,Data!$H$4:$M$4,0))</f>
        <v/>
      </c>
      <c r="I27" s="4">
        <f>INDEX(Data!$H$21:$M$40,MATCH($D27,Data!$B$21:$B$40,0),MATCH(I$9,Data!$H$4:$M$4,0))</f>
        <v/>
      </c>
      <c r="J27" s="4">
        <f>INDEX(Data!$H$21:$M$40,MATCH($D27,Data!$B$21:$B$40,0),MATCH(J$9,Data!$H$4:$M$4,0))</f>
        <v/>
      </c>
      <c r="K27" s="4">
        <f>INDEX(Data!$H$21:$M$40,MATCH($D27,Data!$B$21:$B$40,0),MATCH(K$9,Data!$H$4:$M$4,0))</f>
        <v/>
      </c>
      <c r="L27" s="5">
        <f>INDEX(Data!$H$21:$M$40,MATCH($D27,Data!$B$21:$B$40,0),MATCH(L$9,Data!$H$4:$M$4,0))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INDEX(Data!$H$21:$M$40,MATCH($D28,Data!$B$21:$B$40,0),MATCH(H$9,Data!$H$4:$M$4,0))</f>
        <v/>
      </c>
      <c r="I28" s="4">
        <f>INDEX(Data!$H$21:$M$40,MATCH($D28,Data!$B$21:$B$40,0),MATCH(I$9,Data!$H$4:$M$4,0))</f>
        <v/>
      </c>
      <c r="J28" s="4">
        <f>INDEX(Data!$H$21:$M$40,MATCH($D28,Data!$B$21:$B$40,0),MATCH(J$9,Data!$H$4:$M$4,0))</f>
        <v/>
      </c>
      <c r="K28" s="4">
        <f>INDEX(Data!$H$21:$M$40,MATCH($D28,Data!$B$21:$B$40,0),MATCH(K$9,Data!$H$4:$M$4,0))</f>
        <v/>
      </c>
      <c r="L28" s="5">
        <f>INDEX(Data!$H$21:$M$40,MATCH($D28,Data!$B$21:$B$40,0),MATCH(L$9,Data!$H$4:$M$4,0))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INDEX(Data!$H$21:$M$40,MATCH($D29,Data!$B$21:$B$40,0),MATCH(H$9,Data!$H$4:$M$4,0))</f>
        <v/>
      </c>
      <c r="I29" s="4">
        <f>INDEX(Data!$H$21:$M$40,MATCH($D29,Data!$B$21:$B$40,0),MATCH(I$9,Data!$H$4:$M$4,0))</f>
        <v/>
      </c>
      <c r="J29" s="4">
        <f>INDEX(Data!$H$21:$M$40,MATCH($D29,Data!$B$21:$B$40,0),MATCH(J$9,Data!$H$4:$M$4,0))</f>
        <v/>
      </c>
      <c r="K29" s="4">
        <f>INDEX(Data!$H$21:$M$40,MATCH($D29,Data!$B$21:$B$40,0),MATCH(K$9,Data!$H$4:$M$4,0))</f>
        <v/>
      </c>
      <c r="L29" s="5">
        <f>INDEX(Data!$H$21:$M$40,MATCH($D29,Data!$B$21:$B$40,0),MATCH(L$9,Data!$H$4:$M$4,0))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INDEX(Data!$H$21:$M$40,MATCH($D30,Data!$B$21:$B$40,0),MATCH(H$9,Data!$H$4:$M$4,0))</f>
        <v/>
      </c>
      <c r="I30" s="4">
        <f>INDEX(Data!$H$21:$M$40,MATCH($D30,Data!$B$21:$B$40,0),MATCH(I$9,Data!$H$4:$M$4,0))</f>
        <v/>
      </c>
      <c r="J30" s="4">
        <f>INDEX(Data!$H$21:$M$40,MATCH($D30,Data!$B$21:$B$40,0),MATCH(J$9,Data!$H$4:$M$4,0))</f>
        <v/>
      </c>
      <c r="K30" s="4">
        <f>INDEX(Data!$H$21:$M$40,MATCH($D30,Data!$B$21:$B$40,0),MATCH(K$9,Data!$H$4:$M$4,0))</f>
        <v/>
      </c>
      <c r="L30" s="5">
        <f>INDEX(Data!$H$21:$M$40,MATCH($D30,Data!$B$21:$B$40,0),MATCH(L$9,Data!$H$4:$M$4,0))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INDEX(Data!$H$21:$M$40,MATCH($D31,Data!$B$21:$B$40,0),MATCH(H$9,Data!$H$4:$M$4,0))</f>
        <v/>
      </c>
      <c r="I31" s="6">
        <f>INDEX(Data!$H$21:$M$40,MATCH($D31,Data!$B$21:$B$40,0),MATCH(I$9,Data!$H$4:$M$4,0))</f>
        <v/>
      </c>
      <c r="J31" s="6">
        <f>INDEX(Data!$H$21:$M$40,MATCH($D31,Data!$B$21:$B$40,0),MATCH(J$9,Data!$H$4:$M$4,0))</f>
        <v/>
      </c>
      <c r="K31" s="6">
        <f>INDEX(Data!$H$21:$M$40,MATCH($D31,Data!$B$21:$B$40,0),MATCH(K$9,Data!$H$4:$M$4,0))</f>
        <v/>
      </c>
      <c r="L31" s="7">
        <f>INDEX(Data!$H$21:$M$40,MATCH($D31,Data!$B$21:$B$40,0),MATCH(L$9,Data!$H$4:$M$4,0))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((H12-H19)/H26)*100</f>
        <v/>
      </c>
      <c r="I35" s="19">
        <f>((I12-I19)/I26)*100</f>
        <v/>
      </c>
      <c r="J35" s="19">
        <f>((J12-J19)/J26)*100</f>
        <v/>
      </c>
      <c r="K35" s="19">
        <f>((K12-K19)/K26)*100</f>
        <v/>
      </c>
      <c r="L35" s="20">
        <f>((L12-L19)/L26)*100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((H13-H20)/H27)*100</f>
        <v/>
      </c>
      <c r="I36" s="4">
        <f>((I13-I20)/I27)*100</f>
        <v/>
      </c>
      <c r="J36" s="4">
        <f>((J13-J20)/J27)*100</f>
        <v/>
      </c>
      <c r="K36" s="4">
        <f>((K13-K20)/K27)*100</f>
        <v/>
      </c>
      <c r="L36" s="5">
        <f>((L13-L20)/L27)*100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((H14-H21)/H28)*100</f>
        <v/>
      </c>
      <c r="I37" s="4">
        <f>((I14-I21)/I28)*100</f>
        <v/>
      </c>
      <c r="J37" s="4">
        <f>((J14-J21)/J28)*100</f>
        <v/>
      </c>
      <c r="K37" s="4">
        <f>((K14-K21)/K28)*100</f>
        <v/>
      </c>
      <c r="L37" s="5">
        <f>((L14-L21)/L28)*100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((H15-H22)/H29)*100</f>
        <v/>
      </c>
      <c r="I38" s="4">
        <f>((I15-I22)/I29)*100</f>
        <v/>
      </c>
      <c r="J38" s="4">
        <f>((J15-J22)/J29)*100</f>
        <v/>
      </c>
      <c r="K38" s="4">
        <f>((K15-K22)/K29)*100</f>
        <v/>
      </c>
      <c r="L38" s="5">
        <f>((L15-L22)/L29)*100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((H16-H23)/H30)*100</f>
        <v/>
      </c>
      <c r="I39" s="4">
        <f>((I16-I23)/I30)*100</f>
        <v/>
      </c>
      <c r="J39" s="4">
        <f>((J16-J23)/J30)*100</f>
        <v/>
      </c>
      <c r="K39" s="4">
        <f>((K16-K23)/K30)*100</f>
        <v/>
      </c>
      <c r="L39" s="5">
        <f>((L16-L23)/L30)*100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((H17-H24)/H31)*100</f>
        <v/>
      </c>
      <c r="I40" s="6">
        <f>((I17-I24)/I31)*100</f>
        <v/>
      </c>
      <c r="J40" s="6">
        <f>((J17-J24)/J31)*100</f>
        <v/>
      </c>
      <c r="K40" s="6">
        <f>((K17-K24)/K31)*100</f>
        <v/>
      </c>
      <c r="L40" s="7">
        <f>((L17-L24)/L31)*100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MIN(H35:H40)</f>
        <v/>
      </c>
      <c r="I42" s="19">
        <f>MIN(I35:I40)</f>
        <v/>
      </c>
      <c r="J42" s="19">
        <f>MIN(J35:J40)</f>
        <v/>
      </c>
      <c r="K42" s="19">
        <f>MIN(K35:K40)</f>
        <v/>
      </c>
      <c r="L42" s="20">
        <f>MIN(L35:L40)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MAX(H35:H40)</f>
        <v/>
      </c>
      <c r="I43" s="4">
        <f>MAX(I35:I40)</f>
        <v/>
      </c>
      <c r="J43" s="4">
        <f>MAX(J35:J40)</f>
        <v/>
      </c>
      <c r="K43" s="4">
        <f>MAX(K35:K40)</f>
        <v/>
      </c>
      <c r="L43" s="5">
        <f>MAX(L35:L40)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MEDIAN(H35:H40)</f>
        <v/>
      </c>
      <c r="I44" s="4">
        <f>MEDIAN(I35:I40)</f>
        <v/>
      </c>
      <c r="J44" s="4">
        <f>MEDIAN(J35:J40)</f>
        <v/>
      </c>
      <c r="K44" s="4">
        <f>MEDIAN(K35:K40)</f>
        <v/>
      </c>
      <c r="L44" s="5">
        <f>MEDIAN(L35:L40)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AVERAGE(H35:H40)</f>
        <v/>
      </c>
      <c r="I45" s="4">
        <f>AVERAGE(I35:I40)</f>
        <v/>
      </c>
      <c r="J45" s="4">
        <f>AVERAGE(J35:J40)</f>
        <v/>
      </c>
      <c r="K45" s="4">
        <f>AVERAGE(K35:K40)</f>
        <v/>
      </c>
      <c r="L45" s="5">
        <f>AVERAGE(L35:L40)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PERCENTILE(H35:H40,0.25)</f>
        <v/>
      </c>
      <c r="I46" s="4">
        <f>PERCENTILE(I35:I40,0.25)</f>
        <v/>
      </c>
      <c r="J46" s="4">
        <f>PERCENTILE(J35:J40,0.25)</f>
        <v/>
      </c>
      <c r="K46" s="4">
        <f>PERCENTILE(K35:K40,0.25)</f>
        <v/>
      </c>
      <c r="L46" s="5">
        <f>PERCENTILE(L35:L40,0.25)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PERCENTILE(H35:H40,0.75)</f>
        <v/>
      </c>
      <c r="I47" s="6">
        <f>PERCENTILE(I35:I40,0.75)</f>
        <v/>
      </c>
      <c r="J47" s="6">
        <f>PERCENTILE(J35:J40,0.75)</f>
        <v/>
      </c>
      <c r="K47" s="6">
        <f>PERCENTILE(K35:K40,0.75)</f>
        <v/>
      </c>
      <c r="L47" s="7">
        <f>PERCENTILE(L35:L40,0.75)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SUMPRODUCT(H35:H40,H26:H31)/SUM(H26:H31)</f>
        <v/>
      </c>
      <c r="I50" s="26">
        <f>SUMPRODUCT(I35:I40,I26:I31)/SUM(I26:I31)</f>
        <v/>
      </c>
      <c r="J50" s="26">
        <f>SUMPRODUCT(J35:J40,J26:J31)/SUM(J26:J31)</f>
        <v/>
      </c>
      <c r="K50" s="26">
        <f>SUMPRODUCT(K35:K40,K26:K31)/SUM(K26:K31)</f>
        <v/>
      </c>
      <c r="L50" s="27">
        <f>SUMPRODUCT(L35:L40,L26:L31)/SUM(L26:L31)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2026-01-27T19:08:04Z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