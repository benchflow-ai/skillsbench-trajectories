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 International Reserves</t>
        </is>
      </c>
      <c r="E11" t="inlineStr">
        <is>
          <t>Georgia</t>
        </is>
      </c>
      <c r="F11" t="inlineStr">
        <is>
          <t>Latvia</t>
        </is>
      </c>
      <c r="G11" t="inlineStr">
        <is>
          <t>Lithuania</t>
        </is>
      </c>
      <c r="H11" t="inlineStr">
        <is>
          <t>Moldova</t>
        </is>
      </c>
      <c r="I11" t="inlineStr">
        <is>
          <t>Slovakia</t>
        </is>
      </c>
      <c r="J11" t="inlineStr">
        <is>
          <t>Ukraine</t>
        </is>
      </c>
      <c r="K11" t="inlineStr">
        <is>
          <t>Uzbekistan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1002</v>
      </c>
      <c r="F12" s="3" t="n">
        <v>921.28</v>
      </c>
      <c r="G12" s="3" t="n">
        <v>807.1</v>
      </c>
      <c r="H12" s="3" t="n">
        <v>10.71</v>
      </c>
      <c r="I12" s="3" t="n">
        <v>3263.67358</v>
      </c>
      <c r="J12" s="7" t="n">
        <v>3877.64</v>
      </c>
      <c r="K12" s="3" t="n">
        <v>55092.42</v>
      </c>
    </row>
    <row r="13">
      <c r="B13" t="inlineStr">
        <is>
          <t>Gold valuation exposure (95% one-sided shock)</t>
        </is>
      </c>
      <c r="C13">
        <f>C12*$C$4/100</f>
        <v/>
      </c>
      <c r="D13">
        <f>D12*$C$4/100</f>
        <v/>
      </c>
      <c r="E13">
        <f>E12*$C$4/100</f>
        <v/>
      </c>
      <c r="F13">
        <f>F12*$C$4/100</f>
        <v/>
      </c>
      <c r="G13">
        <f>G12*$C$4/100</f>
        <v/>
      </c>
      <c r="H13">
        <f>H12*$C$4/100</f>
        <v/>
      </c>
      <c r="I13">
        <f>I12*$C$4/100</f>
        <v/>
      </c>
      <c r="J13">
        <f>J12*$C$4/100</f>
        <v/>
      </c>
      <c r="K13">
        <f>K12*$C$4/100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Czechia International Reserves</t>
        </is>
      </c>
      <c r="E20" t="inlineStr">
        <is>
          <t>Georgia</t>
        </is>
      </c>
      <c r="F20" t="inlineStr">
        <is>
          <t>Latvia</t>
        </is>
      </c>
      <c r="G20" t="inlineStr">
        <is>
          <t>Lithuania</t>
        </is>
      </c>
      <c r="H20" t="inlineStr">
        <is>
          <t>Moldova</t>
        </is>
      </c>
      <c r="I20" t="inlineStr">
        <is>
          <t>Uzbekistan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10121.89</v>
      </c>
      <c r="E21" s="3" t="n">
        <v>1002</v>
      </c>
      <c r="F21" s="3" t="n">
        <v>921.28</v>
      </c>
      <c r="G21" s="3" t="n">
        <v>807.1</v>
      </c>
      <c r="H21" s="7" t="n">
        <v>10.71</v>
      </c>
      <c r="I21" t="n">
        <v>55092.42</v>
      </c>
    </row>
    <row r="22">
      <c r="B22" t="inlineStr">
        <is>
          <t>Gold valuation exposure (95% one-sided shock)</t>
        </is>
      </c>
      <c r="C22">
        <f>$C$4</f>
        <v/>
      </c>
      <c r="D22">
        <f>$C$4</f>
        <v/>
      </c>
      <c r="E22">
        <f>$C$4</f>
        <v/>
      </c>
      <c r="F22">
        <f>$C$4</f>
        <v/>
      </c>
      <c r="G22">
        <f>$C$4</f>
        <v/>
      </c>
      <c r="H22">
        <f>$C$4</f>
        <v/>
      </c>
      <c r="I22">
        <f>$C$4</f>
        <v/>
      </c>
    </row>
    <row r="23">
      <c r="B23" t="inlineStr">
        <is>
          <t>Total Reserve</t>
        </is>
      </c>
      <c r="C23">
        <f>INDEX('Total Reserves'!$18:$18,MATCH("*"&amp;C20&amp;"*",'Total Reserves'!$1:$1,0))</f>
        <v/>
      </c>
      <c r="D23">
        <f>INDEX('Total Reserves'!$18:$18,MATCH("*"&amp;D20&amp;"*",'Total Reserves'!$1:$1,0))</f>
        <v/>
      </c>
      <c r="E23">
        <f>INDEX('Total Reserves'!$18:$18,MATCH("*"&amp;E20&amp;"*",'Total Reserves'!$1:$1,0))</f>
        <v/>
      </c>
      <c r="F23">
        <f>INDEX('Total Reserves'!$18:$18,MATCH("*"&amp;F20&amp;"*",'Total Reserves'!$1:$1,0))</f>
        <v/>
      </c>
      <c r="G23">
        <f>INDEX('Total Reserves'!$18:$18,MATCH("*"&amp;G20&amp;"*",'Total Reserves'!$1:$1,0))</f>
        <v/>
      </c>
      <c r="H23">
        <f>INDEX('Total Reserves'!$18:$18,MATCH("*"&amp;H20&amp;"*",'Total Reserves'!$1:$1,0))</f>
        <v/>
      </c>
      <c r="I23">
        <f>INDEX('Total Reserves'!$18:$18,MATCH("*"&amp;I20&amp;"*",'Total Reserves'!$1:$1,0))</f>
        <v/>
      </c>
    </row>
    <row r="24">
      <c r="B24" t="inlineStr">
        <is>
          <t>RaR(in percent of total reserves)</t>
        </is>
      </c>
      <c r="C24">
        <f>C21*C22/C23</f>
        <v/>
      </c>
      <c r="D24">
        <f>D21*D22/D23</f>
        <v/>
      </c>
      <c r="E24">
        <f>E21*E22/E23</f>
        <v/>
      </c>
      <c r="F24">
        <f>F21*F22/F23</f>
        <v/>
      </c>
      <c r="G24">
        <f>G21*G22/G23</f>
        <v/>
      </c>
      <c r="H24">
        <f>H21*H22/H23</f>
        <v/>
      </c>
      <c r="I24">
        <f>I21*I22/I23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  <c r="D4">
        <f>STDEV(C2:C4)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  <c r="E13">
        <f>STDEV(C2:C13)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909.7045454545456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928.6447368421052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945.6704545454544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996.5909090909092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1585.504545454546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1178.629545454546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1181.504545454546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1159.245454545454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1201.245454545454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1291.745454545454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1718.228260869566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1919.302173913044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2689.128695652173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2026-01-28T05:41:26Z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