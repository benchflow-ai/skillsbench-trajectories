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n">
        <v>1.645</v>
      </c>
    </row>
    <row r="4">
      <c r="B4" t="n">
        <v>4.813322962293481</v>
      </c>
    </row>
    <row r="5">
      <c r="B5" t="n">
        <v>16.67383984786049</v>
      </c>
    </row>
    <row r="6">
      <c r="B6" t="n">
        <v>3.259072549698636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Czechia International Reserves</t>
        </is>
      </c>
      <c r="E11" t="inlineStr">
        <is>
          <t>Czechia Intl Reserves</t>
        </is>
      </c>
      <c r="F11" t="inlineStr">
        <is>
          <t>Georgia</t>
        </is>
      </c>
      <c r="G11" t="inlineStr">
        <is>
          <t>Latvia</t>
        </is>
      </c>
      <c r="H11" t="inlineStr">
        <is>
          <t>Lithuania</t>
        </is>
      </c>
      <c r="I11" t="inlineStr">
        <is>
          <t>Moldova</t>
        </is>
      </c>
      <c r="J11" t="inlineStr">
        <is>
          <t>Slovakia</t>
        </is>
      </c>
      <c r="K11" t="inlineStr">
        <is>
          <t>Ukraine</t>
        </is>
      </c>
      <c r="L11" t="inlineStr">
        <is>
          <t>Uzbekistan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10121.89</v>
      </c>
      <c r="E12" s="3" t="n">
        <v>7366.494298941799</v>
      </c>
      <c r="F12" s="3" t="n">
        <v>1002</v>
      </c>
      <c r="G12" s="3" t="n">
        <v>921.28</v>
      </c>
      <c r="H12" s="3" t="n">
        <v>807.1</v>
      </c>
      <c r="I12" s="3" t="n">
        <v>10.71</v>
      </c>
      <c r="J12" s="7" t="n">
        <v>3263.67725679204</v>
      </c>
      <c r="K12" s="3" t="n">
        <v>3877.64</v>
      </c>
      <c r="L12" t="n">
        <v>55092.42</v>
      </c>
    </row>
    <row r="13">
      <c r="B13" t="inlineStr">
        <is>
          <t>Gold valuation exposure (95% one-sided shock)</t>
        </is>
      </c>
      <c r="C13" t="n">
        <v>591.5475247537961</v>
      </c>
      <c r="D13" t="n">
        <v>801.4427754424041</v>
      </c>
      <c r="E13" t="n">
        <v>583.2728508435246</v>
      </c>
      <c r="F13" t="n">
        <v>79.33752105518721</v>
      </c>
      <c r="G13" t="n">
        <v>72.94617903964358</v>
      </c>
      <c r="H13" t="n">
        <v>63.90550223916327</v>
      </c>
      <c r="I13" t="n">
        <v>0.8480088328353843</v>
      </c>
      <c r="J13" t="n">
        <v>258.4152326128485</v>
      </c>
      <c r="K13" t="n">
        <v>307.0282885673015</v>
      </c>
      <c r="L13" t="n">
        <v>4362.171688354508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Latvia</t>
        </is>
      </c>
      <c r="F20" t="inlineStr">
        <is>
          <t>Lithuania</t>
        </is>
      </c>
      <c r="G20" t="inlineStr">
        <is>
          <t>Moldova</t>
        </is>
      </c>
      <c r="H20" t="inlineStr">
        <is>
          <t>Uzbekistan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921.28</v>
      </c>
      <c r="F21" s="3" t="n">
        <v>807.1</v>
      </c>
      <c r="G21" s="3" t="n">
        <v>10.71</v>
      </c>
      <c r="H21" s="7" t="n">
        <v>55092.42</v>
      </c>
    </row>
    <row r="22">
      <c r="B22" t="inlineStr">
        <is>
          <t>Gold valuation exposure (95% one-sided shock)</t>
        </is>
      </c>
      <c r="C22" t="n">
        <v>591.5475247537961</v>
      </c>
      <c r="D22" t="n">
        <v>79.33752105518721</v>
      </c>
      <c r="E22" t="n">
        <v>72.94617903964358</v>
      </c>
      <c r="F22" t="n">
        <v>63.90550223916327</v>
      </c>
      <c r="G22" t="n">
        <v>0.8480088328353843</v>
      </c>
      <c r="H22" t="n">
        <v>4362.171688354508</v>
      </c>
    </row>
    <row r="23">
      <c r="B23" t="inlineStr">
        <is>
          <t>Total Reserve</t>
        </is>
      </c>
      <c r="C23">
        <f>INDEX('Total Reserves'!$D$2:$D$100,MATCH(2025,'Total Reserves'!$A$2:$A$100,0))</f>
        <v/>
      </c>
      <c r="D23">
        <f>INDEX('Total Reserves'!$E$2:$E$100,MATCH(2025,'Total Reserves'!$A$2:$A$100,0))</f>
        <v/>
      </c>
      <c r="E23">
        <f>INDEX('Total Reserves'!$K$2:$K$100,MATCH(2025,'Total Reserves'!$A$2:$A$100,0))</f>
        <v/>
      </c>
      <c r="F23">
        <f>INDEX('Total Reserves'!$N$2:$N$100,MATCH(2025,'Total Reserves'!$A$2:$A$100,0))</f>
        <v/>
      </c>
      <c r="G23">
        <f>INDEX('Total Reserves'!$H$2:$H$100,MATCH(2025,'Total Reserves'!$A$2:$A$100,0))</f>
        <v/>
      </c>
      <c r="H23">
        <f>INDEX('Total Reserves'!$I$2:$I$100,MATCH(2025,'Total Reserves'!$A$2:$A$100,0))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A1" t="inlineStr">
        <is>
          <t>Date</t>
        </is>
      </c>
      <c r="B1" s="6" t="inlineStr">
        <is>
          <t>Gold Price (US$ per troy ounce)</t>
        </is>
      </c>
      <c r="C1" s="6" t="inlineStr">
        <is>
          <t>Monthly Log Return (%)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1.780457776374216</v>
      </c>
    </row>
    <row r="4">
      <c r="A4" s="6" t="inlineStr">
        <is>
          <t>1990M3</t>
        </is>
      </c>
      <c r="B4" t="n">
        <v>392.703338623047</v>
      </c>
      <c r="C4" t="n">
        <v>-6.046586283977909</v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1.930833084171892</v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 t="n">
        <v>3.714029803487649</v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1.859169012904183</v>
      </c>
      <c r="E146" t="n">
        <v>2.161973907737216</v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1.962988477918969</v>
      </c>
      <c r="E172" t="n">
        <v>3.326804439666243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3.595912176552007</v>
      </c>
      <c r="E175" t="n">
        <v>2.89030628812675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1.633662516241285</v>
      </c>
      <c r="E179" t="n">
        <v>2.570676853759492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</row>
    <row r="191">
      <c r="A191" s="6" t="inlineStr">
        <is>
          <t>2005M10</t>
        </is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3.966714260011607</v>
      </c>
      <c r="E196" t="n">
        <v>3.008188934285997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6.007379025591593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3.500207888828481</v>
      </c>
      <c r="E209" t="n">
        <v>6.117293398748179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1.60404505097467</v>
      </c>
      <c r="E213" t="n">
        <v>3.476023699508079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3.601831722988521</v>
      </c>
      <c r="E214" t="n">
        <v>3.374508425689708</v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6.096411729465382</v>
      </c>
      <c r="E221" t="n">
        <v>4.687243558703849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4.729221715090337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3.203190760243268</v>
      </c>
      <c r="E223" t="n">
        <v>4.613471383808212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2.151472724282269</v>
      </c>
      <c r="E231" t="n">
        <v>6.276256724338448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4.199723919171476</v>
      </c>
      <c r="E234" t="n">
        <v>6.028298041974113</v>
      </c>
    </row>
    <row r="235">
      <c r="A235" s="6" t="inlineStr">
        <is>
          <t>2009M6</t>
        </is>
      </c>
      <c r="B235" t="n">
        <v>945.6704545454545</v>
      </c>
      <c r="C235" t="n">
        <v>1.816790056364676</v>
      </c>
      <c r="D235" t="n">
        <v>4.095061457021272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</row>
    <row r="238">
      <c r="A238" s="6" t="inlineStr">
        <is>
          <t>2009M9</t>
        </is>
      </c>
      <c r="B238" t="n">
        <v>996.5909090909091</v>
      </c>
      <c r="C238" t="n">
        <v>4.853649053203063</v>
      </c>
      <c r="D238" t="n">
        <v>3.037909078892941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1.305600846926912</v>
      </c>
      <c r="E247" t="n">
        <v>2.973090701235962</v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</row>
    <row r="250">
      <c r="A250" s="6" t="inlineStr">
        <is>
          <t>2010M9</t>
        </is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5.358366271462217</v>
      </c>
      <c r="E262" t="n">
        <v>3.226168583199632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1.492333540353837</v>
      </c>
      <c r="E270" t="n">
        <v>4.983566539597224</v>
      </c>
    </row>
    <row r="271">
      <c r="A271" s="6" t="inlineStr">
        <is>
          <t>2012M6</t>
        </is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</row>
    <row r="273">
      <c r="A273" s="6" t="inlineStr">
        <is>
          <t>2012M8</t>
        </is>
      </c>
      <c r="B273" t="n">
        <v>1626.034090909091</v>
      </c>
      <c r="C273" t="n">
        <v>1.995443033496427</v>
      </c>
      <c r="D273" t="n">
        <v>1.091664684430536</v>
      </c>
      <c r="E273" t="n">
        <v>3.618914443630866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0.4332535777274617</v>
      </c>
      <c r="E278" t="n">
        <v>3.316488439304807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 t="n">
        <v>2.433616639240889</v>
      </c>
      <c r="E282" t="n">
        <v>3.503137496125119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2.778577829719611</v>
      </c>
      <c r="E294" t="n">
        <v>3.412067719828615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1.184957730775872</v>
      </c>
      <c r="E295" t="n">
        <v>3.121046542926807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 t="n">
        <v>3.487108930825678</v>
      </c>
      <c r="E298" t="n">
        <v>2.889431265506324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1.680835503002063</v>
      </c>
      <c r="E300" t="n">
        <v>2.911910269584171</v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4.198490776415909</v>
      </c>
      <c r="E304" t="n">
        <v>2.725530182833567</v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2.928166216675307</v>
      </c>
      <c r="E306" t="n">
        <v>2.772006761478057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1.548504189299078</v>
      </c>
      <c r="E307" t="n">
        <v>2.783731516062403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2.087860381886161</v>
      </c>
      <c r="E311" t="n">
        <v>2.850377624244674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4.991184930745432</v>
      </c>
      <c r="E312" t="n">
        <v>3.226218019683206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2.285916959451287</v>
      </c>
      <c r="E321" t="n">
        <v>3.748145929840817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1.492652713667503</v>
      </c>
      <c r="E337" t="n">
        <v>2.390891370419527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3.70882004821054</v>
      </c>
      <c r="E339" t="n">
        <v>2.528428264812889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0.9273142865398337</v>
      </c>
      <c r="E345" t="n">
        <v>2.574903328111092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</row>
    <row r="347">
      <c r="A347" s="6" t="inlineStr">
        <is>
          <t>2018M10</t>
        </is>
      </c>
      <c r="B347" t="n">
        <v>1215.393478260869</v>
      </c>
      <c r="C347" t="n">
        <v>1.402004550405033</v>
      </c>
      <c r="D347" t="n">
        <v>2.255517975352078</v>
      </c>
      <c r="E347" t="n">
        <v>2.38366864197257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1.503763615660913</v>
      </c>
      <c r="E350" t="n">
        <v>2.100583079840617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0.6557043236301494</v>
      </c>
      <c r="E354" t="n">
        <v>2.145412741048007</v>
      </c>
    </row>
    <row r="355">
      <c r="A355" s="6" t="inlineStr">
        <is>
          <t>2019M6</t>
        </is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1.074960766047689</v>
      </c>
      <c r="E361" t="n">
        <v>2.757415291435648</v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2.955541842770192</v>
      </c>
      <c r="E364" t="n">
        <v>2.874892617076367</v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</row>
    <row r="369">
      <c r="A369" s="6" t="inlineStr">
        <is>
          <t>2020M8</t>
        </is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1.28347592186027</v>
      </c>
      <c r="E374" t="n">
        <v>3.118748884546691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1.966308025778051</v>
      </c>
      <c r="E375" t="n">
        <v>3.382253631186546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2.899360972194731</v>
      </c>
      <c r="E376" t="n">
        <v>3.810841010311721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0.1866097813267734</v>
      </c>
      <c r="E381" t="n">
        <v>2.660655974558559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</row>
    <row r="384">
      <c r="A384" s="6" t="inlineStr">
        <is>
          <t>2021M11</t>
        </is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2.766101854352316</v>
      </c>
      <c r="E389" t="n">
        <v>2.439717722427218</v>
      </c>
    </row>
    <row r="390">
      <c r="A390" s="6" t="inlineStr">
        <is>
          <t>2022M5</t>
        </is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3.635900323420087</v>
      </c>
      <c r="E393" t="n">
        <v>2.925209463659027</v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3.130737867058976</v>
      </c>
      <c r="E395" t="n">
        <v>3.215007369693752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 t="n">
        <v>0.9193835435032917</v>
      </c>
      <c r="E398" t="n">
        <v>3.821675900643191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4.05532133511347</v>
      </c>
      <c r="E399" t="n">
        <v>3.846119187172536</v>
      </c>
    </row>
    <row r="400">
      <c r="A400" s="6" t="inlineStr">
        <is>
          <t>2023M3</t>
        </is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3.461748320196508</v>
      </c>
      <c r="E403" t="n">
        <v>3.707077228498127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1.321824799916934</v>
      </c>
      <c r="E404" t="n">
        <v>3.186493938649209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1.333777797104683</v>
      </c>
      <c r="E405" t="n">
        <v>3.263152672945627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0.9787054698360923</v>
      </c>
      <c r="E406" t="n">
        <v>2.814298629705061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0.846370952110981</v>
      </c>
      <c r="E407" t="n">
        <v>2.765200522227025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1.891406366341725</v>
      </c>
      <c r="E410" t="n">
        <v>2.302239752755553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1.566466697475653</v>
      </c>
      <c r="E411" t="n">
        <v>2.152512343585171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4.543294093927685</v>
      </c>
      <c r="E415" t="n">
        <v>2.989718125330781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1.871808938887443</v>
      </c>
      <c r="E416" t="n">
        <v>2.984361991756589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0.7620873549591556</v>
      </c>
      <c r="E419" t="n">
        <v>2.700984022832314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1.317685385688291</v>
      </c>
      <c r="E428" t="n">
        <v>2.727924270213708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2026-01-28T05:36:46Z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