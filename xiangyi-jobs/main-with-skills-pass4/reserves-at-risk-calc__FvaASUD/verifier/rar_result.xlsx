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<sst xmlns="http://schemas.openxmlformats.org/spreadsheetml/2006/main" count="871" uniqueCount="627">
  <si>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</si>
  <si>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</si>
  <si>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</si>
  <si>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</si>
  <si>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</si>
  <si>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</si>
  <si>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</si>
  <si>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</si>
  <si>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</si>
  <si>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</si>
  <si>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</si>
  <si>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</si>
  <si>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 Republic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</si>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</sst>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3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f aca="false">NORMSINV(0.95)</f>
        <v>1.64485362695147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price'!$B$422:$B$430)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IF(C12="","",C12*$C$3*$C$5/100)</f>
        <v>2048.99839864693</v>
      </c>
      <c r="D13" s="1" t="n">
        <f aca="false">IF(D12="","",D12*$C$3*$C$5/100)</f>
        <v>274.808780008597</v>
      </c>
      <c r="E13" s="1" t="n">
        <f aca="false">IF(E12="","",E12*$C$3*$C$5/100)</f>
        <v>2.9373273791338</v>
      </c>
      <c r="F13" s="1" t="n">
        <f aca="false">IF(F12="","",F12*$C$3*$C$5/100)</f>
        <v>1063.48255260732</v>
      </c>
      <c r="G13" s="1" t="n">
        <f aca="false">IF(G12="","",G12*$C$3*$C$5/100)</f>
        <v>15109.661405111</v>
      </c>
      <c r="H13" s="1" t="n">
        <f aca="false">IF(H12="","",H12*$C$3*$C$5/100)</f>
        <v>2776.03217792536</v>
      </c>
      <c r="I13" s="1" t="n">
        <f aca="false">IF(I12="","",I12*$C$3*$C$5/100)</f>
        <v>252.670491862595</v>
      </c>
      <c r="J13" s="1" t="n">
        <f aca="false">IF(J12="","",J12*$C$3*$C$5/100)</f>
        <v>221.35545543407</v>
      </c>
      <c r="K13" s="1" t="n">
        <f aca="false">IF(K12="","",K12*$C$3*$C$5/100)</f>
        <v>895.096971338148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H11</f>
        <v>Czech Republic</v>
      </c>
      <c r="H20" s="1" t="str">
        <f aca="false">I11</f>
        <v>Latvia</v>
      </c>
      <c r="I20" s="1" t="str">
        <f aca="false">J11</f>
        <v>Lithuania</v>
      </c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3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2048.99839864693</v>
      </c>
      <c r="D22" s="1" t="n">
        <f aca="false">D13</f>
        <v>274.808780008597</v>
      </c>
      <c r="E22" s="1" t="n">
        <f aca="false">E13</f>
        <v>2.9373273791338</v>
      </c>
      <c r="F22" s="1" t="n">
        <f aca="false">G13</f>
        <v>15109.661405111</v>
      </c>
      <c r="G22" s="1" t="n">
        <f aca="false">H13</f>
        <v>2776.03217792536</v>
      </c>
      <c r="H22" s="1" t="n">
        <f aca="false">I13</f>
        <v>252.670491862595</v>
      </c>
      <c r="I22" s="1" t="n">
        <f aca="false">J13</f>
        <v>221.35545543407</v>
      </c>
    </row>
    <row r="23" customFormat="false" ht="12.75" hidden="false" customHeight="true" outlineLevel="0" collapsed="false">
      <c r="B23" s="1" t="s">
        <v>19</v>
      </c>
      <c r="C23" s="3" t="n">
        <f aca="false">IFERROR(INDEX('Total Reserves'!$C$18:$P$18,MATCH("*"&amp;C20&amp;"*",'Total Reserves'!$C$8:$P$8,0)),"")</f>
        <v>14425.9</v>
      </c>
      <c r="D23" s="5" t="n">
        <f aca="false">IFERROR(INDEX('Total Reserves'!$C$18:$P$18,MATCH("*"&amp;D20&amp;"*",'Total Reserves'!$C$8:$P$8,0)),"")</f>
        <v>6158.7</v>
      </c>
      <c r="E23" s="5" t="n">
        <f aca="false">IFERROR(INDEX('Total Reserves'!$C$18:$P$18,MATCH("*"&amp;E20&amp;"*",'Total Reserves'!$C$8:$P$8,0)),"")</f>
        <v>5999.34</v>
      </c>
      <c r="F23" s="5" t="n">
        <f aca="false">IFERROR(INDEX('Total Reserves'!$C$18:$P$18,MATCH("*"&amp;F20&amp;"*",'Total Reserves'!$C$8:$P$8,0)),"")</f>
        <v>66311.75</v>
      </c>
      <c r="G23" s="5" t="n">
        <f aca="false">IFERROR(INDEX('Total Reserves'!$C$18:$P$18,MATCH("*"&amp;G20&amp;"*",'Total Reserves'!$C$8:$P$8,0)),"")</f>
        <v>175830.49</v>
      </c>
      <c r="H23" s="5" t="n">
        <f aca="false">IFERROR(INDEX('Total Reserves'!$C$18:$P$18,MATCH("*"&amp;H20&amp;"*",'Total Reserves'!$C$8:$P$8,0)),"")</f>
        <v>6076.9</v>
      </c>
      <c r="I23" s="3" t="n">
        <f aca="false">IFERROR(INDEX('Total Reserves'!$C$18:$P$18,MATCH("*"&amp;I20&amp;"*",'Total Reserves'!$C$8:$P$8,0)),"")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IFERROR(C22/C23*100,"")</f>
        <v>14.203608777594</v>
      </c>
      <c r="D24" s="1" t="n">
        <f aca="false">IFERROR(D22/D23*100,"")</f>
        <v>4.46212317548503</v>
      </c>
      <c r="E24" s="1" t="n">
        <f aca="false">IFERROR(E22/E23*100,"")</f>
        <v>0.048960842011518</v>
      </c>
      <c r="F24" s="1" t="n">
        <f aca="false">IFERROR(F22/F23*100,"")</f>
        <v>22.7857979997677</v>
      </c>
      <c r="G24" s="1" t="n">
        <f aca="false">IFERROR(G22/G23*100,"")</f>
        <v>1.57881160311011</v>
      </c>
      <c r="H24" s="1" t="n">
        <f aca="false">IFERROR(H22/H23*100,"")</f>
        <v>4.15788464287045</v>
      </c>
      <c r="I24" s="1" t="n">
        <f aca="false">IFERROR(I22/I23*100,"")</f>
        <v>3.12529763273992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/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2026-01-28T05:30:55Z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