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<sst xmlns="http://schemas.openxmlformats.org/spreadsheetml/2006/main" count="362" uniqueCount="110">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</sst>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IFERROR(INDEX(Data!$H$21:$L$40, MATCH($D12, Data!$B$21:$B$40, 0), MATCH(H$9, Data!$H$4:$L$4, 0)),"")</f>
        <v>404.046289993193</v>
      </c>
      <c r="I12" s="9" t="n">
        <f aca="false">IFERROR(INDEX(Data!$H$21:$L$40, MATCH($D12, Data!$B$21:$B$40, 0), MATCH(I$9, Data!$H$4:$L$4, 0)),"")</f>
        <v>350.279101429544</v>
      </c>
      <c r="J12" s="9" t="n">
        <f aca="false">IFERROR(INDEX(Data!$H$21:$L$40, MATCH($D12, Data!$B$21:$B$40, 0), MATCH(J$9, Data!$H$4:$L$4, 0)),"")</f>
        <v>425.132743362831</v>
      </c>
      <c r="K12" s="9" t="n">
        <f aca="false">IFERROR(INDEX(Data!$H$21:$L$40, MATCH($D12, Data!$B$21:$B$40, 0), MATCH(K$9, Data!$H$4:$L$4, 0)),"")</f>
        <v>515.279008716232</v>
      </c>
      <c r="L12" s="10" t="str">
        <f aca="false">IFERROR(INDEX(Data!$H$21:$L$40, MATCH($D12, Data!$B$21:$B$40, 0), MATCH(L$9, Data!$H$4:$L$4, 0)),"")</f>
        <v/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IFERROR(INDEX(Data!$H$21:$L$40, MATCH($D13, Data!$B$21:$B$40, 0), MATCH(H$9, Data!$H$4:$L$4, 0)),"")</f>
        <v>29.5643617021277</v>
      </c>
      <c r="I13" s="14" t="n">
        <f aca="false">IFERROR(INDEX(Data!$H$21:$L$40, MATCH($D13, Data!$B$21:$B$40, 0), MATCH(I$9, Data!$H$4:$L$4, 0)),"")</f>
        <v>25.2492021276596</v>
      </c>
      <c r="J13" s="14" t="n">
        <f aca="false">IFERROR(INDEX(Data!$H$21:$L$40, MATCH($D13, Data!$B$21:$B$40, 0), MATCH(J$9, Data!$H$4:$L$4, 0)),"")</f>
        <v>35.2345744680852</v>
      </c>
      <c r="K13" s="14" t="n">
        <f aca="false">IFERROR(INDEX(Data!$H$21:$L$40, MATCH($D13, Data!$B$21:$B$40, 0), MATCH(K$9, Data!$H$4:$L$4, 0)),"")</f>
        <v>44.5819148936171</v>
      </c>
      <c r="L13" s="15" t="str">
        <f aca="false">IFERROR(INDEX(Data!$H$21:$L$40, MATCH($D13, Data!$B$21:$B$40, 0), MATCH(L$9, Data!$H$4:$L$4, 0)),"")</f>
        <v/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IFERROR(INDEX(Data!$H$21:$L$40, MATCH($D14, Data!$B$21:$B$40, 0), MATCH(H$9, Data!$H$4:$L$4, 0)),"")</f>
        <v>73.3299115928385</v>
      </c>
      <c r="I14" s="14" t="n">
        <f aca="false">IFERROR(INDEX(Data!$H$21:$L$40, MATCH($D14, Data!$B$21:$B$40, 0), MATCH(I$9, Data!$H$4:$L$4, 0)),"")</f>
        <v>48.5460037554086</v>
      </c>
      <c r="J14" s="14" t="n">
        <f aca="false">IFERROR(INDEX(Data!$H$21:$L$40, MATCH($D14, Data!$B$21:$B$40, 0), MATCH(J$9, Data!$H$4:$L$4, 0)),"")</f>
        <v>76.7375173351161</v>
      </c>
      <c r="K14" s="14" t="n">
        <f aca="false">IFERROR(INDEX(Data!$H$21:$L$40, MATCH($D14, Data!$B$21:$B$40, 0), MATCH(K$9, Data!$H$4:$L$4, 0)),"")</f>
        <v>110.951320810177</v>
      </c>
      <c r="L14" s="15" t="str">
        <f aca="false">IFERROR(INDEX(Data!$H$21:$L$40, MATCH($D14, Data!$B$21:$B$40, 0), MATCH(L$9, Data!$H$4:$L$4, 0)),"")</f>
        <v/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IFERROR(INDEX(Data!$H$21:$L$40, MATCH($D15, Data!$B$21:$B$40, 0), MATCH(H$9, Data!$H$4:$L$4, 0)),"")</f>
        <v>92.0461538461538</v>
      </c>
      <c r="I15" s="14" t="n">
        <f aca="false">IFERROR(INDEX(Data!$H$21:$L$40, MATCH($D15, Data!$B$21:$B$40, 0), MATCH(I$9, Data!$H$4:$L$4, 0)),"")</f>
        <v>70.9332417582417</v>
      </c>
      <c r="J15" s="14" t="n">
        <f aca="false">IFERROR(INDEX(Data!$H$21:$L$40, MATCH($D15, Data!$B$21:$B$40, 0), MATCH(J$9, Data!$H$4:$L$4, 0)),"")</f>
        <v>105.54945054945</v>
      </c>
      <c r="K15" s="14" t="n">
        <f aca="false">IFERROR(INDEX(Data!$H$21:$L$40, MATCH($D15, Data!$B$21:$B$40, 0), MATCH(K$9, Data!$H$4:$L$4, 0)),"")</f>
        <v>161.692857142857</v>
      </c>
      <c r="L15" s="15" t="str">
        <f aca="false">IFERROR(INDEX(Data!$H$21:$L$40, MATCH($D15, Data!$B$21:$B$40, 0), MATCH(L$9, Data!$H$4:$L$4, 0)),"")</f>
        <v/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IFERROR(INDEX(Data!$H$21:$L$40, MATCH($D16, Data!$B$21:$B$40, 0), MATCH(H$9, Data!$H$4:$L$4, 0)),"")</f>
        <v>43.5465965960978</v>
      </c>
      <c r="I16" s="14" t="n">
        <f aca="false">IFERROR(INDEX(Data!$H$21:$L$40, MATCH($D16, Data!$B$21:$B$40, 0), MATCH(I$9, Data!$H$4:$L$4, 0)),"")</f>
        <v>35.6913528845155</v>
      </c>
      <c r="J16" s="14" t="n">
        <f aca="false">IFERROR(INDEX(Data!$H$21:$L$40, MATCH($D16, Data!$B$21:$B$40, 0), MATCH(J$9, Data!$H$4:$L$4, 0)),"")</f>
        <v>46.5723129604928</v>
      </c>
      <c r="K16" s="14" t="n">
        <f aca="false">IFERROR(INDEX(Data!$H$21:$L$40, MATCH($D16, Data!$B$21:$B$40, 0), MATCH(K$9, Data!$H$4:$L$4, 0)),"")</f>
        <v>69.7011796527145</v>
      </c>
      <c r="L16" s="15" t="str">
        <f aca="false">IFERROR(INDEX(Data!$H$21:$L$40, MATCH($D16, Data!$B$21:$B$40, 0), MATCH(L$9, Data!$H$4:$L$4, 0)),"")</f>
        <v/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IFERROR(INDEX(Data!$H$21:$L$40, MATCH($D17, Data!$B$21:$B$40, 0), MATCH(H$9, Data!$H$4:$L$4, 0)),"")</f>
        <v>285.8599</v>
      </c>
      <c r="I17" s="17" t="n">
        <f aca="false">IFERROR(INDEX(Data!$H$21:$L$40, MATCH($D17, Data!$B$21:$B$40, 0), MATCH(I$9, Data!$H$4:$L$4, 0)),"")</f>
        <v>182.8481</v>
      </c>
      <c r="J17" s="17" t="n">
        <f aca="false">IFERROR(INDEX(Data!$H$21:$L$40, MATCH($D17, Data!$B$21:$B$40, 0), MATCH(J$9, Data!$H$4:$L$4, 0)),"")</f>
        <v>286.5016</v>
      </c>
      <c r="K17" s="17" t="n">
        <f aca="false">IFERROR(INDEX(Data!$H$21:$L$40, MATCH($D17, Data!$B$21:$B$40, 0), MATCH(K$9, Data!$H$4:$L$4, 0)),"")</f>
        <v>445.8812</v>
      </c>
      <c r="L17" s="18" t="str">
        <f aca="false">IFERROR(INDEX(Data!$H$21:$L$40, MATCH($D17, Data!$B$21:$B$40, 0), MATCH(L$9, Data!$H$4:$L$4, 0)),"")</f>
        <v/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IFERROR(INDEX(Data!$H$21:$L$40, MATCH($D19, Data!$B$21:$B$40, 0), MATCH(H$9, Data!$H$4:$L$4, 0)),"")</f>
        <v>321.524846834582</v>
      </c>
      <c r="I19" s="9" t="n">
        <f aca="false">IFERROR(INDEX(Data!$H$21:$L$40, MATCH($D19, Data!$B$21:$B$40, 0), MATCH(I$9, Data!$H$4:$L$4, 0)),"")</f>
        <v>273.682777399592</v>
      </c>
      <c r="J19" s="9" t="n">
        <f aca="false">IFERROR(INDEX(Data!$H$21:$L$40, MATCH($D19, Data!$B$21:$B$40, 0), MATCH(J$9, Data!$H$4:$L$4, 0)),"")</f>
        <v>320.408441116406</v>
      </c>
      <c r="K19" s="9" t="n">
        <f aca="false">IFERROR(INDEX(Data!$H$21:$L$40, MATCH($D19, Data!$B$21:$B$40, 0), MATCH(K$9, Data!$H$4:$L$4, 0)),"")</f>
        <v>389.652076242342</v>
      </c>
      <c r="L19" s="10" t="str">
        <f aca="false">IFERROR(INDEX(Data!$H$21:$L$40, MATCH($D19, Data!$B$21:$B$40, 0), MATCH(L$9, Data!$H$4:$L$4, 0)),"")</f>
        <v/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IFERROR(INDEX(Data!$H$21:$L$40, MATCH($D20, Data!$B$21:$B$40, 0), MATCH(H$9, Data!$H$4:$L$4, 0)),"")</f>
        <v>25.2077127659575</v>
      </c>
      <c r="I20" s="14" t="n">
        <f aca="false">IFERROR(INDEX(Data!$H$21:$L$40, MATCH($D20, Data!$B$21:$B$40, 0), MATCH(I$9, Data!$H$4:$L$4, 0)),"")</f>
        <v>23.2968085106383</v>
      </c>
      <c r="J20" s="14" t="n">
        <f aca="false">IFERROR(INDEX(Data!$H$21:$L$40, MATCH($D20, Data!$B$21:$B$40, 0), MATCH(J$9, Data!$H$4:$L$4, 0)),"")</f>
        <v>27.5773936170213</v>
      </c>
      <c r="K20" s="14" t="n">
        <f aca="false">IFERROR(INDEX(Data!$H$21:$L$40, MATCH($D20, Data!$B$21:$B$40, 0), MATCH(K$9, Data!$H$4:$L$4, 0)),"")</f>
        <v>33.0688829787234</v>
      </c>
      <c r="L20" s="15" t="str">
        <f aca="false">IFERROR(INDEX(Data!$H$21:$L$40, MATCH($D20, Data!$B$21:$B$40, 0), MATCH(L$9, Data!$H$4:$L$4, 0)),"")</f>
        <v/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IFERROR(INDEX(Data!$H$21:$L$40, MATCH($D21, Data!$B$21:$B$40, 0), MATCH(H$9, Data!$H$4:$L$4, 0)),"")</f>
        <v>55.8175535287385</v>
      </c>
      <c r="I21" s="14" t="n">
        <f aca="false">IFERROR(INDEX(Data!$H$21:$L$40, MATCH($D21, Data!$B$21:$B$40, 0), MATCH(I$9, Data!$H$4:$L$4, 0)),"")</f>
        <v>42.5308188423545</v>
      </c>
      <c r="J21" s="14" t="n">
        <f aca="false">IFERROR(INDEX(Data!$H$21:$L$40, MATCH($D21, Data!$B$21:$B$40, 0), MATCH(J$9, Data!$H$4:$L$4, 0)),"")</f>
        <v>44.9160455492262</v>
      </c>
      <c r="K21" s="14" t="n">
        <f aca="false">IFERROR(INDEX(Data!$H$21:$L$40, MATCH($D21, Data!$B$21:$B$40, 0), MATCH(K$9, Data!$H$4:$L$4, 0)),"")</f>
        <v>55.9230974400287</v>
      </c>
      <c r="L21" s="15" t="str">
        <f aca="false">IFERROR(INDEX(Data!$H$21:$L$40, MATCH($D21, Data!$B$21:$B$40, 0), MATCH(L$9, Data!$H$4:$L$4, 0)),"")</f>
        <v/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IFERROR(INDEX(Data!$H$21:$L$40, MATCH($D22, Data!$B$21:$B$40, 0), MATCH(H$9, Data!$H$4:$L$4, 0)),"")</f>
        <v>66.7697802197803</v>
      </c>
      <c r="I22" s="14" t="n">
        <f aca="false">IFERROR(INDEX(Data!$H$21:$L$40, MATCH($D22, Data!$B$21:$B$40, 0), MATCH(I$9, Data!$H$4:$L$4, 0)),"")</f>
        <v>59.0645604395604</v>
      </c>
      <c r="J22" s="14" t="n">
        <f aca="false">IFERROR(INDEX(Data!$H$21:$L$40, MATCH($D22, Data!$B$21:$B$40, 0), MATCH(J$9, Data!$H$4:$L$4, 0)),"")</f>
        <v>61.2043956043956</v>
      </c>
      <c r="K22" s="14" t="n">
        <f aca="false">IFERROR(INDEX(Data!$H$21:$L$40, MATCH($D22, Data!$B$21:$B$40, 0), MATCH(K$9, Data!$H$4:$L$4, 0)),"")</f>
        <v>74.5200549450549</v>
      </c>
      <c r="L22" s="15" t="str">
        <f aca="false">IFERROR(INDEX(Data!$H$21:$L$40, MATCH($D22, Data!$B$21:$B$40, 0), MATCH(L$9, Data!$H$4:$L$4, 0)),"")</f>
        <v/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IFERROR(INDEX(Data!$H$21:$L$40, MATCH($D23, Data!$B$21:$B$40, 0), MATCH(H$9, Data!$H$4:$L$4, 0)),"")</f>
        <v>32.5685552505517</v>
      </c>
      <c r="I23" s="14" t="n">
        <f aca="false">IFERROR(INDEX(Data!$H$21:$L$40, MATCH($D23, Data!$B$21:$B$40, 0), MATCH(I$9, Data!$H$4:$L$4, 0)),"")</f>
        <v>33.8270953409951</v>
      </c>
      <c r="J23" s="14" t="n">
        <f aca="false">IFERROR(INDEX(Data!$H$21:$L$40, MATCH($D23, Data!$B$21:$B$40, 0), MATCH(J$9, Data!$H$4:$L$4, 0)),"")</f>
        <v>37.2157374510285</v>
      </c>
      <c r="K23" s="14" t="n">
        <f aca="false">IFERROR(INDEX(Data!$H$21:$L$40, MATCH($D23, Data!$B$21:$B$40, 0), MATCH(K$9, Data!$H$4:$L$4, 0)),"")</f>
        <v>46.3258913295439</v>
      </c>
      <c r="L23" s="15" t="str">
        <f aca="false">IFERROR(INDEX(Data!$H$21:$L$40, MATCH($D23, Data!$B$21:$B$40, 0), MATCH(L$9, Data!$H$4:$L$4, 0)),"")</f>
        <v/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IFERROR(INDEX(Data!$H$21:$L$40, MATCH($D24, Data!$B$21:$B$40, 0), MATCH(H$9, Data!$H$4:$L$4, 0)),"")</f>
        <v>218.9747</v>
      </c>
      <c r="I24" s="17" t="n">
        <f aca="false">IFERROR(INDEX(Data!$H$21:$L$40, MATCH($D24, Data!$B$21:$B$40, 0), MATCH(I$9, Data!$H$4:$L$4, 0)),"")</f>
        <v>182.1837</v>
      </c>
      <c r="J24" s="17" t="n">
        <f aca="false">IFERROR(INDEX(Data!$H$21:$L$40, MATCH($D24, Data!$B$21:$B$40, 0), MATCH(J$9, Data!$H$4:$L$4, 0)),"")</f>
        <v>213.5156</v>
      </c>
      <c r="K24" s="17" t="n">
        <f aca="false">IFERROR(INDEX(Data!$H$21:$L$40, MATCH($D24, Data!$B$21:$B$40, 0), MATCH(K$9, Data!$H$4:$L$4, 0)),"")</f>
        <v>258.2128</v>
      </c>
      <c r="L24" s="18" t="str">
        <f aca="false">IFERROR(INDEX(Data!$H$21:$L$40, MATCH($D24, Data!$B$21:$B$40, 0), MATCH(L$9, Data!$H$4:$L$4, 0)),"")</f>
        <v/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IFERROR(INDEX(Data!$H$21:$L$40, MATCH($D26, Data!$B$21:$B$40, 0), MATCH(H$9, Data!$H$4:$L$4, 0)),"")</f>
        <v>417.989652825051</v>
      </c>
      <c r="I26" s="9" t="n">
        <f aca="false">IFERROR(INDEX(Data!$H$21:$L$40, MATCH($D26, Data!$B$21:$B$40, 0), MATCH(I$9, Data!$H$4:$L$4, 0)),"")</f>
        <v>349.473110959837</v>
      </c>
      <c r="J26" s="9" t="n">
        <f aca="false">IFERROR(INDEX(Data!$H$21:$L$40, MATCH($D26, Data!$B$21:$B$40, 0), MATCH(J$9, Data!$H$4:$L$4, 0)),"")</f>
        <v>415.178761061947</v>
      </c>
      <c r="K26" s="9" t="n">
        <f aca="false">IFERROR(INDEX(Data!$H$21:$L$40, MATCH($D26, Data!$B$21:$B$40, 0), MATCH(K$9, Data!$H$4:$L$4, 0)),"")</f>
        <v>507.063852961198</v>
      </c>
      <c r="L26" s="10" t="str">
        <f aca="false">IFERROR(INDEX(Data!$H$21:$L$40, MATCH($D26, Data!$B$21:$B$40, 0), MATCH(L$9, Data!$H$4:$L$4, 0)),"")</f>
        <v/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IFERROR(INDEX(Data!$H$21:$L$40, MATCH($D27, Data!$B$21:$B$40, 0), MATCH(H$9, Data!$H$4:$L$4, 0)),"")</f>
        <v>38.6537765957447</v>
      </c>
      <c r="I27" s="14" t="n">
        <f aca="false">IFERROR(INDEX(Data!$H$21:$L$40, MATCH($D27, Data!$B$21:$B$40, 0), MATCH(I$9, Data!$H$4:$L$4, 0)),"")</f>
        <v>34.6217287234043</v>
      </c>
      <c r="J27" s="14" t="n">
        <f aca="false">IFERROR(INDEX(Data!$H$21:$L$40, MATCH($D27, Data!$B$21:$B$40, 0), MATCH(J$9, Data!$H$4:$L$4, 0)),"")</f>
        <v>39.2886968085106</v>
      </c>
      <c r="K27" s="14" t="n">
        <f aca="false">IFERROR(INDEX(Data!$H$21:$L$40, MATCH($D27, Data!$B$21:$B$40, 0), MATCH(K$9, Data!$H$4:$L$4, 0)),"")</f>
        <v>44.3832978723404</v>
      </c>
      <c r="L27" s="15" t="str">
        <f aca="false">IFERROR(INDEX(Data!$H$21:$L$40, MATCH($D27, Data!$B$21:$B$40, 0), MATCH(L$9, Data!$H$4:$L$4, 0)),"")</f>
        <v/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IFERROR(INDEX(Data!$H$21:$L$40, MATCH($D28, Data!$B$21:$B$40, 0), MATCH(H$9, Data!$H$4:$L$4, 0)),"")</f>
        <v>138.694779832957</v>
      </c>
      <c r="I28" s="14" t="n">
        <f aca="false">IFERROR(INDEX(Data!$H$21:$L$40, MATCH($D28, Data!$B$21:$B$40, 0), MATCH(I$9, Data!$H$4:$L$4, 0)),"")</f>
        <v>107.515715568618</v>
      </c>
      <c r="J28" s="14" t="n">
        <f aca="false">IFERROR(INDEX(Data!$H$21:$L$40, MATCH($D28, Data!$B$21:$B$40, 0), MATCH(J$9, Data!$H$4:$L$4, 0)),"")</f>
        <v>141.773126840561</v>
      </c>
      <c r="K28" s="14" t="n">
        <f aca="false">IFERROR(INDEX(Data!$H$21:$L$40, MATCH($D28, Data!$B$21:$B$40, 0), MATCH(K$9, Data!$H$4:$L$4, 0)),"")</f>
        <v>182.846287415698</v>
      </c>
      <c r="L28" s="15" t="str">
        <f aca="false">IFERROR(INDEX(Data!$H$21:$L$40, MATCH($D28, Data!$B$21:$B$40, 0), MATCH(L$9, Data!$H$4:$L$4, 0)),"")</f>
        <v/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IFERROR(INDEX(Data!$H$21:$L$40, MATCH($D29, Data!$B$21:$B$40, 0), MATCH(H$9, Data!$H$4:$L$4, 0)),"")</f>
        <v>176.371267689082</v>
      </c>
      <c r="I29" s="14" t="n">
        <f aca="false">IFERROR(INDEX(Data!$H$21:$L$40, MATCH($D29, Data!$B$21:$B$40, 0), MATCH(I$9, Data!$H$4:$L$4, 0)),"")</f>
        <v>144.41136334527</v>
      </c>
      <c r="J29" s="14" t="n">
        <f aca="false">IFERROR(INDEX(Data!$H$21:$L$40, MATCH($D29, Data!$B$21:$B$40, 0), MATCH(J$9, Data!$H$4:$L$4, 0)),"")</f>
        <v>179.732142857143</v>
      </c>
      <c r="K29" s="14" t="n">
        <f aca="false">IFERROR(INDEX(Data!$H$21:$L$40, MATCH($D29, Data!$B$21:$B$40, 0), MATCH(K$9, Data!$H$4:$L$4, 0)),"")</f>
        <v>236.258241758242</v>
      </c>
      <c r="L29" s="15" t="str">
        <f aca="false">IFERROR(INDEX(Data!$H$21:$L$40, MATCH($D29, Data!$B$21:$B$40, 0), MATCH(L$9, Data!$H$4:$L$4, 0)),"")</f>
        <v/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IFERROR(INDEX(Data!$H$21:$L$40, MATCH($D30, Data!$B$21:$B$40, 0), MATCH(H$9, Data!$H$4:$L$4, 0)),"")</f>
        <v>88.0606849980307</v>
      </c>
      <c r="I30" s="14" t="n">
        <f aca="false">IFERROR(INDEX(Data!$H$21:$L$40, MATCH($D30, Data!$B$21:$B$40, 0), MATCH(I$9, Data!$H$4:$L$4, 0)),"")</f>
        <v>75.9087126137841</v>
      </c>
      <c r="J30" s="14" t="n">
        <f aca="false">IFERROR(INDEX(Data!$H$21:$L$40, MATCH($D30, Data!$B$21:$B$40, 0), MATCH(J$9, Data!$H$4:$L$4, 0)),"")</f>
        <v>88.1919375812744</v>
      </c>
      <c r="K30" s="14" t="n">
        <f aca="false">IFERROR(INDEX(Data!$H$21:$L$40, MATCH($D30, Data!$B$21:$B$40, 0), MATCH(K$9, Data!$H$4:$L$4, 0)),"")</f>
        <v>114.666840052016</v>
      </c>
      <c r="L30" s="15" t="str">
        <f aca="false">IFERROR(INDEX(Data!$H$21:$L$40, MATCH($D30, Data!$B$21:$B$40, 0), MATCH(L$9, Data!$H$4:$L$4, 0)),"")</f>
        <v/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IFERROR(INDEX(Data!$H$21:$L$40, MATCH($D31, Data!$B$21:$B$40, 0), MATCH(H$9, Data!$H$4:$L$4, 0)),"")</f>
        <v>838.563733333333</v>
      </c>
      <c r="I31" s="17" t="n">
        <f aca="false">IFERROR(INDEX(Data!$H$21:$L$40, MATCH($D31, Data!$B$21:$B$40, 0), MATCH(I$9, Data!$H$4:$L$4, 0)),"")</f>
        <v>734.2712</v>
      </c>
      <c r="J31" s="17" t="n">
        <f aca="false">IFERROR(INDEX(Data!$H$21:$L$40, MATCH($D31, Data!$B$21:$B$40, 0), MATCH(J$9, Data!$H$4:$L$4, 0)),"")</f>
        <v>874.156</v>
      </c>
      <c r="K31" s="17" t="n">
        <f aca="false">IFERROR(INDEX(Data!$H$21:$L$40, MATCH($D31, Data!$B$21:$B$40, 0), MATCH(K$9, Data!$H$4:$L$4, 0)),"")</f>
        <v>1108.572</v>
      </c>
      <c r="L31" s="18" t="str">
        <f aca="false">IFERROR(INDEX(Data!$H$21:$L$40, MATCH($D31, Data!$B$21:$B$40, 0), MATCH(L$9, Data!$H$4:$L$4, 0)),"")</f>
        <v/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IFERROR((H12-H19)/H26,"")</f>
        <v>0.197424607525274</v>
      </c>
      <c r="I35" s="9" t="n">
        <f aca="false">IFERROR((I12-I19)/I26,"")</f>
        <v>0.219176587919964</v>
      </c>
      <c r="J35" s="9" t="n">
        <f aca="false">IFERROR((J12-J19)/J26,"")</f>
        <v>0.252239064393758</v>
      </c>
      <c r="K35" s="9" t="n">
        <f aca="false">IFERROR((K12-K19)/K26,"")</f>
        <v>0.247753673901704</v>
      </c>
      <c r="L35" s="10" t="str">
        <f aca="false">IFERROR((L12-L19)/L26,"")</f>
        <v/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IFERROR((H13-H20)/H27,"")</f>
        <v>0.112709528534136</v>
      </c>
      <c r="I36" s="14" t="n">
        <f aca="false">IFERROR((I13-I20)/I27,"")</f>
        <v>0.0563921470420823</v>
      </c>
      <c r="J36" s="14" t="n">
        <f aca="false">IFERROR((J13-J20)/J27,"")</f>
        <v>0.194895261820067</v>
      </c>
      <c r="K36" s="14" t="n">
        <f aca="false">IFERROR((K13-K20)/K27,"")</f>
        <v>0.259400100191036</v>
      </c>
      <c r="L36" s="15" t="str">
        <f aca="false">IFERROR((L13-L20)/L27,"")</f>
        <v/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IFERROR((H14-H21)/H28,"")</f>
        <v>0.126265444778756</v>
      </c>
      <c r="I37" s="14" t="n">
        <f aca="false">IFERROR((I14-I21)/I28,"")</f>
        <v>0.0559470295225364</v>
      </c>
      <c r="J37" s="14" t="n">
        <f aca="false">IFERROR((J14-J21)/J28,"")</f>
        <v>0.224453480677453</v>
      </c>
      <c r="K37" s="14" t="n">
        <f aca="false">IFERROR((K14-K21)/K28,"")</f>
        <v>0.300953462867105</v>
      </c>
      <c r="L37" s="15" t="str">
        <f aca="false">IFERROR((L14-L21)/L28,"")</f>
        <v/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IFERROR((H15-H22)/H29,"")</f>
        <v>0.143313443042958</v>
      </c>
      <c r="I38" s="14" t="n">
        <f aca="false">IFERROR((I15-I22)/I29,"")</f>
        <v>0.0821866163696878</v>
      </c>
      <c r="J38" s="14" t="n">
        <f aca="false">IFERROR((J15-J22)/J29,"")</f>
        <v>0.24672857197447</v>
      </c>
      <c r="K38" s="14" t="n">
        <f aca="false">IFERROR((K15-K22)/K29,"")</f>
        <v>0.368972534244982</v>
      </c>
      <c r="L38" s="15" t="str">
        <f aca="false">IFERROR((L15-L22)/L29,"")</f>
        <v/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IFERROR((H16-H23)/H30,"")</f>
        <v>0.124664500915381</v>
      </c>
      <c r="I39" s="14" t="n">
        <f aca="false">IFERROR((I16-I23)/I30,"")</f>
        <v>0.0245592038031992</v>
      </c>
      <c r="J39" s="14" t="n">
        <f aca="false">IFERROR((J16-J23)/J30,"")</f>
        <v>0.106093320614956</v>
      </c>
      <c r="K39" s="14" t="n">
        <f aca="false">IFERROR((K16-K23)/K30,"")</f>
        <v>0.203853950388508</v>
      </c>
      <c r="L39" s="15" t="str">
        <f aca="false">IFERROR((L16-L23)/L30,"")</f>
        <v/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IFERROR((H17-H24)/H31,"")</f>
        <v>0.0797616178011037</v>
      </c>
      <c r="I40" s="17" t="n">
        <f aca="false">IFERROR((I17-I24)/I31,"")</f>
        <v>0.000904842788332159</v>
      </c>
      <c r="J40" s="17" t="n">
        <f aca="false">IFERROR((J17-J24)/J31,"")</f>
        <v>0.0834931064935778</v>
      </c>
      <c r="K40" s="17" t="n">
        <f aca="false">IFERROR((K17-K24)/K31,"")</f>
        <v>0.169288417892568</v>
      </c>
      <c r="L40" s="18" t="str">
        <f aca="false">IFERROR((L17-L24)/L31,"")</f>
        <v/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IF(COUNT(H35:H40)=0,"",MIN(H35:H40))</f>
        <v>0.0797616178011037</v>
      </c>
      <c r="I42" s="9" t="n">
        <f aca="false">IF(COUNT(I35:I40)=0,"",MIN(I35:I40))</f>
        <v>0.000904842788332159</v>
      </c>
      <c r="J42" s="9" t="n">
        <f aca="false">IF(COUNT(J35:J40)=0,"",MIN(J35:J40))</f>
        <v>0.0834931064935778</v>
      </c>
      <c r="K42" s="9" t="n">
        <f aca="false">IF(COUNT(K35:K40)=0,"",MIN(K35:K40))</f>
        <v>0.169288417892568</v>
      </c>
      <c r="L42" s="10" t="str">
        <f aca="false">IF(COUNT(L35:L40)=0,"",MIN(L35:L40))</f>
        <v/>
      </c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n">
        <f aca="false">IF(COUNT(H35:H40)=0,"",MAX(H35:H40))</f>
        <v>0.197424607525274</v>
      </c>
      <c r="I43" s="14" t="n">
        <f aca="false">IF(COUNT(I35:I40)=0,"",MAX(I35:I40))</f>
        <v>0.219176587919964</v>
      </c>
      <c r="J43" s="14" t="n">
        <f aca="false">IF(COUNT(J35:J40)=0,"",MAX(J35:J40))</f>
        <v>0.252239064393758</v>
      </c>
      <c r="K43" s="14" t="n">
        <f aca="false">IF(COUNT(K35:K40)=0,"",MAX(K35:K40))</f>
        <v>0.368972534244982</v>
      </c>
      <c r="L43" s="15" t="str">
        <f aca="false">IF(COUNT(L35:L40)=0,"",MAX(L35:L40))</f>
        <v/>
      </c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n">
        <f aca="false">IF(COUNT(H35:H40)=0,"",MEDIAN(H35:H40))</f>
        <v>0.125464972847069</v>
      </c>
      <c r="I44" s="14" t="n">
        <f aca="false">IF(COUNT(I35:I40)=0,"",MEDIAN(I35:I40))</f>
        <v>0.0561695882823094</v>
      </c>
      <c r="J44" s="14" t="n">
        <f aca="false">IF(COUNT(J35:J40)=0,"",MEDIAN(J35:J40))</f>
        <v>0.20967437124876</v>
      </c>
      <c r="K44" s="14" t="n">
        <f aca="false">IF(COUNT(K35:K40)=0,"",MEDIAN(K35:K40))</f>
        <v>0.25357688704637</v>
      </c>
      <c r="L44" s="15" t="str">
        <f aca="false">IF(COUNT(L35:L40)=0,"",MEDIAN(L35:L40))</f>
        <v/>
      </c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n">
        <f aca="false">IF(COUNT(H35:H40)=0,"",AVERAGE(H35:H40))</f>
        <v>0.130689857099601</v>
      </c>
      <c r="I45" s="14" t="n">
        <f aca="false">IF(COUNT(I35:I40)=0,"",AVERAGE(I35:I40))</f>
        <v>0.0731944045743003</v>
      </c>
      <c r="J45" s="14" t="n">
        <f aca="false">IF(COUNT(J35:J40)=0,"",AVERAGE(J35:J40))</f>
        <v>0.18465046766238</v>
      </c>
      <c r="K45" s="14" t="n">
        <f aca="false">IF(COUNT(K35:K40)=0,"",AVERAGE(K35:K40))</f>
        <v>0.258370356580984</v>
      </c>
      <c r="L45" s="15" t="str">
        <f aca="false">IF(COUNT(L35:L40)=0,"",AVERAGE(L35:L40))</f>
        <v/>
      </c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n">
        <f aca="false">IF(COUNT(H35:H40)=0,"",PERCENTILE(H35:H40,0.25))</f>
        <v>0.115698271629447</v>
      </c>
      <c r="I46" s="14" t="n">
        <f aca="false">IF(COUNT(I35:I40)=0,"",PERCENTILE(I35:I40,0.25))</f>
        <v>0.0324061602330335</v>
      </c>
      <c r="J46" s="14" t="n">
        <f aca="false">IF(COUNT(J35:J40)=0,"",PERCENTILE(J35:J40,0.25))</f>
        <v>0.128293805916233</v>
      </c>
      <c r="K46" s="14" t="n">
        <f aca="false">IF(COUNT(K35:K40)=0,"",PERCENTILE(K35:K40,0.25))</f>
        <v>0.214828881266807</v>
      </c>
      <c r="L46" s="15" t="str">
        <f aca="false">IF(COUNT(L35:L40)=0,"",PERCENTILE(L35:L40,0.25))</f>
        <v/>
      </c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n">
        <f aca="false">IF(COUNT(H35:H40)=0,"",PERCENTILE(H35:H40,0.75))</f>
        <v>0.139051443476907</v>
      </c>
      <c r="I47" s="17" t="n">
        <f aca="false">IF(COUNT(I35:I40)=0,"",PERCENTILE(I35:I40,0.75))</f>
        <v>0.0757379990377864</v>
      </c>
      <c r="J47" s="17" t="n">
        <f aca="false">IF(COUNT(J35:J40)=0,"",PERCENTILE(J35:J40,0.75))</f>
        <v>0.241159799150216</v>
      </c>
      <c r="K47" s="17" t="n">
        <f aca="false">IF(COUNT(K35:K40)=0,"",PERCENTILE(K35:K40,0.75))</f>
        <v>0.290565122198088</v>
      </c>
      <c r="L47" s="18" t="str">
        <f aca="false">IF(COUNT(L35:L40)=0,"",PERCENTILE(L35:L40,0.75))</f>
        <v/>
      </c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n">
        <f aca="false">IF(SUM(H26:H31)=0,"",SUMPRODUCT(H35:H40,H26:H31)/SUM(H26:H31))</f>
        <v>0.122196268771574</v>
      </c>
      <c r="I50" s="23" t="n">
        <f aca="false">IF(SUM(I26:I31)=0,"",SUMPRODUCT(I35:I40,I26:I31)/SUM(I26:I31))</f>
        <v>0.0684283751316843</v>
      </c>
      <c r="J50" s="23" t="n">
        <f aca="false">IF(SUM(J26:J31)=0,"",SUMPRODUCT(J35:J40,J26:J31)/SUM(J26:J31))</f>
        <v>0.155834645913624</v>
      </c>
      <c r="K50" s="23" t="n">
        <f aca="false">IF(SUM(K26:K31)=0,"",SUMPRODUCT(K35:K40,K26:K31)/SUM(K26:K31))</f>
        <v>0.223533046476382</v>
      </c>
      <c r="L50" s="24" t="str">
        <f aca="false">IF(SUM(L26:L31)=0,"",SUMPRODUCT(L35:L40,L26:L31)/SUM(L26:L31))</f>
        <v/>
      </c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2026-01-28T07:04:12Z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