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ld price" sheetId="1" state="visible" r:id="rId1"/>
    <sheet name="Answer" sheetId="2" state="visible" r:id="rId2"/>
    <sheet name="Value" sheetId="3" state="visible" r:id="rId3"/>
    <sheet name="Volume" sheetId="4" state="visible" r:id="rId4"/>
    <sheet name="Total Reserv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000"/>
    <numFmt numFmtId="166" formatCode="0.000"/>
    <numFmt numFmtId="167" formatCode="0.000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3" borderId="0" pivotButton="0" quotePrefix="0" xfId="0"/>
    <xf numFmtId="166" fontId="0" fillId="0" borderId="0" pivotButton="0" quotePrefix="0" xfId="0"/>
    <xf numFmtId="0" fontId="3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Date</t>
        </is>
      </c>
      <c r="B1" s="1" t="inlineStr">
        <is>
          <t>Gold Price (US$ per troy ounce)</t>
        </is>
      </c>
      <c r="C1" s="1" t="inlineStr">
        <is>
          <t>Monthly Log Return (%)</t>
        </is>
      </c>
      <c r="D1" s="1" t="inlineStr">
        <is>
          <t>3-Month Volatility (%)</t>
        </is>
      </c>
      <c r="E1" s="1" t="inlineStr">
        <is>
          <t>12-Month Volatility (%)</t>
        </is>
      </c>
    </row>
    <row r="2">
      <c r="A2" s="6" t="n">
        <v>32874</v>
      </c>
      <c r="B2" s="3" t="n">
        <v>409.819061279297</v>
      </c>
    </row>
    <row r="3">
      <c r="A3" s="6" t="n">
        <v>32905</v>
      </c>
      <c r="B3" s="3" t="n">
        <v>417.181060791016</v>
      </c>
      <c r="C3" s="7">
        <f>IF(ROW()=2,"",LOG(B3/B2)*100)</f>
        <v/>
      </c>
    </row>
    <row r="4">
      <c r="A4" s="6" t="n">
        <v>32933</v>
      </c>
      <c r="B4" s="3" t="n">
        <v>392.703338623047</v>
      </c>
      <c r="C4" s="7">
        <f>IF(ROW()=2,"",LOG(B4/B3)*100)</f>
        <v/>
      </c>
      <c r="D4" s="7">
        <f>STDEV(C2:C4)</f>
        <v/>
      </c>
    </row>
    <row r="5">
      <c r="A5" s="6" t="n">
        <v>32964</v>
      </c>
      <c r="B5" s="3" t="n">
        <v>374.292114257813</v>
      </c>
      <c r="C5" s="7">
        <f>IF(ROW()=2,"",LOG(B5/B4)*100)</f>
        <v/>
      </c>
      <c r="D5" s="7">
        <f>STDEV(C3:C5)</f>
        <v/>
      </c>
    </row>
    <row r="6">
      <c r="A6" s="6" t="n">
        <v>32994</v>
      </c>
      <c r="B6" s="3" t="n">
        <v>369.197631835938</v>
      </c>
      <c r="C6" s="7">
        <f>IF(ROW()=2,"",LOG(B6/B5)*100)</f>
        <v/>
      </c>
      <c r="D6" s="7">
        <f>STDEV(C4:C6)</f>
        <v/>
      </c>
    </row>
    <row r="7">
      <c r="A7" s="6" t="n">
        <v>33025</v>
      </c>
      <c r="B7" s="3" t="n">
        <v>352.527618408203</v>
      </c>
      <c r="C7" s="7">
        <f>IF(ROW()=2,"",LOG(B7/B6)*100)</f>
        <v/>
      </c>
      <c r="D7" s="7">
        <f>STDEV(C5:C7)</f>
        <v/>
      </c>
    </row>
    <row r="8">
      <c r="A8" s="6" t="n">
        <v>33055</v>
      </c>
      <c r="B8" s="3" t="n">
        <v>362.498565673828</v>
      </c>
      <c r="C8" s="7">
        <f>IF(ROW()=2,"",LOG(B8/B7)*100)</f>
        <v/>
      </c>
      <c r="D8" s="7">
        <f>STDEV(C6:C8)</f>
        <v/>
      </c>
    </row>
    <row r="9">
      <c r="A9" s="6" t="n">
        <v>33086</v>
      </c>
      <c r="B9" s="3" t="n">
        <v>394.631805419922</v>
      </c>
      <c r="C9" s="7">
        <f>IF(ROW()=2,"",LOG(B9/B8)*100)</f>
        <v/>
      </c>
      <c r="D9" s="7">
        <f>STDEV(C7:C9)</f>
        <v/>
      </c>
    </row>
    <row r="10">
      <c r="A10" s="6" t="n">
        <v>33117</v>
      </c>
      <c r="B10" s="3" t="n">
        <v>389.755004882813</v>
      </c>
      <c r="C10" s="7">
        <f>IF(ROW()=2,"",LOG(B10/B9)*100)</f>
        <v/>
      </c>
      <c r="D10" s="7">
        <f>STDEV(C8:C10)</f>
        <v/>
      </c>
    </row>
    <row r="11">
      <c r="A11" s="6" t="n">
        <v>33147</v>
      </c>
      <c r="B11" s="3" t="n">
        <v>380.995208740234</v>
      </c>
      <c r="C11" s="7">
        <f>IF(ROW()=2,"",LOG(B11/B10)*100)</f>
        <v/>
      </c>
      <c r="D11" s="7">
        <f>STDEV(C9:C11)</f>
        <v/>
      </c>
    </row>
    <row r="12">
      <c r="A12" s="6" t="n">
        <v>33178</v>
      </c>
      <c r="B12" s="3" t="n">
        <v>381.794097900391</v>
      </c>
      <c r="C12" s="7">
        <f>IF(ROW()=2,"",LOG(B12/B11)*100)</f>
        <v/>
      </c>
      <c r="D12" s="7">
        <f>STDEV(C10:C12)</f>
        <v/>
      </c>
    </row>
    <row r="13">
      <c r="A13" s="6" t="n">
        <v>33208</v>
      </c>
      <c r="B13" s="3" t="n">
        <v>376.682342529297</v>
      </c>
      <c r="C13" s="7">
        <f>IF(ROW()=2,"",LOG(B13/B12)*100)</f>
        <v/>
      </c>
      <c r="D13" s="7">
        <f>STDEV(C11:C13)</f>
        <v/>
      </c>
      <c r="E13" s="7">
        <f>STDEV(C2:C13)</f>
        <v/>
      </c>
    </row>
    <row r="14">
      <c r="A14" s="6" t="n">
        <v>33239</v>
      </c>
      <c r="B14" s="3" t="n">
        <v>383.702270507813</v>
      </c>
      <c r="C14" s="7">
        <f>IF(ROW()=2,"",LOG(B14/B13)*100)</f>
        <v/>
      </c>
      <c r="D14" s="7">
        <f>STDEV(C12:C14)</f>
        <v/>
      </c>
      <c r="E14" s="7">
        <f>STDEV(C3:C14)</f>
        <v/>
      </c>
    </row>
    <row r="15">
      <c r="A15" s="6" t="n">
        <v>33270</v>
      </c>
      <c r="B15" s="3" t="n">
        <v>364.391662597656</v>
      </c>
      <c r="C15" s="7">
        <f>IF(ROW()=2,"",LOG(B15/B14)*100)</f>
        <v/>
      </c>
      <c r="D15" s="7">
        <f>STDEV(C13:C15)</f>
        <v/>
      </c>
      <c r="E15" s="7">
        <f>STDEV(C4:C15)</f>
        <v/>
      </c>
    </row>
    <row r="16">
      <c r="A16" s="6" t="n">
        <v>33298</v>
      </c>
      <c r="B16" s="3" t="n">
        <v>362.760803222656</v>
      </c>
      <c r="C16" s="7">
        <f>IF(ROW()=2,"",LOG(B16/B15)*100)</f>
        <v/>
      </c>
      <c r="D16" s="7">
        <f>STDEV(C14:C16)</f>
        <v/>
      </c>
      <c r="E16" s="7">
        <f>STDEV(C5:C16)</f>
        <v/>
      </c>
    </row>
    <row r="17">
      <c r="A17" s="6" t="n">
        <v>33329</v>
      </c>
      <c r="B17" s="3" t="n">
        <v>358.323333740234</v>
      </c>
      <c r="C17" s="7">
        <f>IF(ROW()=2,"",LOG(B17/B16)*100)</f>
        <v/>
      </c>
      <c r="D17" s="7">
        <f>STDEV(C15:C17)</f>
        <v/>
      </c>
      <c r="E17" s="7">
        <f>STDEV(C6:C17)</f>
        <v/>
      </c>
    </row>
    <row r="18">
      <c r="A18" s="6" t="n">
        <v>33359</v>
      </c>
      <c r="B18" s="3" t="n">
        <v>356.964294433594</v>
      </c>
      <c r="C18" s="7">
        <f>IF(ROW()=2,"",LOG(B18/B17)*100)</f>
        <v/>
      </c>
      <c r="D18" s="7">
        <f>STDEV(C16:C18)</f>
        <v/>
      </c>
      <c r="E18" s="7">
        <f>STDEV(C7:C18)</f>
        <v/>
      </c>
    </row>
    <row r="19">
      <c r="A19" s="6" t="n">
        <v>33390</v>
      </c>
      <c r="B19" s="3" t="n">
        <v>366.910003662109</v>
      </c>
      <c r="C19" s="7">
        <f>IF(ROW()=2,"",LOG(B19/B18)*100)</f>
        <v/>
      </c>
      <c r="D19" s="7">
        <f>STDEV(C17:C19)</f>
        <v/>
      </c>
      <c r="E19" s="7">
        <f>STDEV(C8:C19)</f>
        <v/>
      </c>
    </row>
    <row r="20">
      <c r="A20" s="6" t="n">
        <v>33420</v>
      </c>
      <c r="B20" s="3" t="n">
        <v>367.792266845703</v>
      </c>
      <c r="C20" s="7">
        <f>IF(ROW()=2,"",LOG(B20/B19)*100)</f>
        <v/>
      </c>
      <c r="D20" s="7">
        <f>STDEV(C18:C20)</f>
        <v/>
      </c>
      <c r="E20" s="7">
        <f>STDEV(C9:C20)</f>
        <v/>
      </c>
    </row>
    <row r="21">
      <c r="A21" s="6" t="n">
        <v>33451</v>
      </c>
      <c r="B21" s="3" t="n">
        <v>356.669525146484</v>
      </c>
      <c r="C21" s="7">
        <f>IF(ROW()=2,"",LOG(B21/B20)*100)</f>
        <v/>
      </c>
      <c r="D21" s="7">
        <f>STDEV(C19:C21)</f>
        <v/>
      </c>
      <c r="E21" s="7">
        <f>STDEV(C10:C21)</f>
        <v/>
      </c>
    </row>
    <row r="22">
      <c r="A22" s="6" t="n">
        <v>33482</v>
      </c>
      <c r="B22" s="3" t="n">
        <v>348.742858886719</v>
      </c>
      <c r="C22" s="7">
        <f>IF(ROW()=2,"",LOG(B22/B21)*100)</f>
        <v/>
      </c>
      <c r="D22" s="7">
        <f>STDEV(C20:C22)</f>
        <v/>
      </c>
      <c r="E22" s="7">
        <f>STDEV(C11:C22)</f>
        <v/>
      </c>
    </row>
    <row r="23">
      <c r="A23" s="6" t="n">
        <v>33512</v>
      </c>
      <c r="B23" s="3" t="n">
        <v>358.814361572266</v>
      </c>
      <c r="C23" s="7">
        <f>IF(ROW()=2,"",LOG(B23/B22)*100)</f>
        <v/>
      </c>
      <c r="D23" s="7">
        <f>STDEV(C21:C23)</f>
        <v/>
      </c>
      <c r="E23" s="7">
        <f>STDEV(C12:C23)</f>
        <v/>
      </c>
    </row>
    <row r="24">
      <c r="A24" s="6" t="n">
        <v>33543</v>
      </c>
      <c r="B24" s="3" t="n">
        <v>359.589996337891</v>
      </c>
      <c r="C24" s="7">
        <f>IF(ROW()=2,"",LOG(B24/B23)*100)</f>
        <v/>
      </c>
      <c r="D24" s="7">
        <f>STDEV(C22:C24)</f>
        <v/>
      </c>
      <c r="E24" s="7">
        <f>STDEV(C13:C24)</f>
        <v/>
      </c>
    </row>
    <row r="25">
      <c r="A25" s="6" t="n">
        <v>33573</v>
      </c>
      <c r="B25" s="3" t="n">
        <v>361.532012939453</v>
      </c>
      <c r="C25" s="7">
        <f>IF(ROW()=2,"",LOG(B25/B24)*100)</f>
        <v/>
      </c>
      <c r="D25" s="7">
        <f>STDEV(C23:C25)</f>
        <v/>
      </c>
      <c r="E25" s="7">
        <f>STDEV(C14:C25)</f>
        <v/>
      </c>
    </row>
    <row r="26">
      <c r="A26" s="6" t="n">
        <v>33604</v>
      </c>
      <c r="B26" s="3" t="n">
        <v>354.700958251953</v>
      </c>
      <c r="C26" s="7">
        <f>IF(ROW()=2,"",LOG(B26/B25)*100)</f>
        <v/>
      </c>
      <c r="D26" s="7">
        <f>STDEV(C24:C26)</f>
        <v/>
      </c>
      <c r="E26" s="7">
        <f>STDEV(C15:C26)</f>
        <v/>
      </c>
    </row>
    <row r="27">
      <c r="A27" s="6" t="n">
        <v>33635</v>
      </c>
      <c r="B27" s="3" t="n">
        <v>353.779998779297</v>
      </c>
      <c r="C27" s="7">
        <f>IF(ROW()=2,"",LOG(B27/B26)*100)</f>
        <v/>
      </c>
      <c r="D27" s="7">
        <f>STDEV(C25:C27)</f>
        <v/>
      </c>
      <c r="E27" s="7">
        <f>STDEV(C16:C27)</f>
        <v/>
      </c>
    </row>
    <row r="28">
      <c r="A28" s="6" t="n">
        <v>33664</v>
      </c>
      <c r="B28" s="3" t="n">
        <v>344.183319091797</v>
      </c>
      <c r="C28" s="7">
        <f>IF(ROW()=2,"",LOG(B28/B27)*100)</f>
        <v/>
      </c>
      <c r="D28" s="7">
        <f>STDEV(C26:C28)</f>
        <v/>
      </c>
      <c r="E28" s="7">
        <f>STDEV(C17:C28)</f>
        <v/>
      </c>
    </row>
    <row r="29">
      <c r="A29" s="6" t="n">
        <v>33695</v>
      </c>
      <c r="B29" s="3" t="n">
        <v>338.691589355469</v>
      </c>
      <c r="C29" s="7">
        <f>IF(ROW()=2,"",LOG(B29/B28)*100)</f>
        <v/>
      </c>
      <c r="D29" s="7">
        <f>STDEV(C27:C29)</f>
        <v/>
      </c>
      <c r="E29" s="7">
        <f>STDEV(C18:C29)</f>
        <v/>
      </c>
    </row>
    <row r="30">
      <c r="A30" s="6" t="n">
        <v>33725</v>
      </c>
      <c r="B30" s="3" t="n">
        <v>337.098937988281</v>
      </c>
      <c r="C30" s="7">
        <f>IF(ROW()=2,"",LOG(B30/B29)*100)</f>
        <v/>
      </c>
      <c r="D30" s="7">
        <f>STDEV(C28:C30)</f>
        <v/>
      </c>
      <c r="E30" s="7">
        <f>STDEV(C19:C30)</f>
        <v/>
      </c>
    </row>
    <row r="31">
      <c r="A31" s="6" t="n">
        <v>33756</v>
      </c>
      <c r="B31" s="3" t="n">
        <v>341.021911621094</v>
      </c>
      <c r="C31" s="7">
        <f>IF(ROW()=2,"",LOG(B31/B30)*100)</f>
        <v/>
      </c>
      <c r="D31" s="7">
        <f>STDEV(C29:C31)</f>
        <v/>
      </c>
      <c r="E31" s="7">
        <f>STDEV(C20:C31)</f>
        <v/>
      </c>
    </row>
    <row r="32">
      <c r="A32" s="6" t="n">
        <v>33786</v>
      </c>
      <c r="B32" s="3" t="n">
        <v>352.254486083984</v>
      </c>
      <c r="C32" s="7">
        <f>IF(ROW()=2,"",LOG(B32/B31)*100)</f>
        <v/>
      </c>
      <c r="D32" s="7">
        <f>STDEV(C30:C32)</f>
        <v/>
      </c>
      <c r="E32" s="7">
        <f>STDEV(C21:C32)</f>
        <v/>
      </c>
    </row>
    <row r="33">
      <c r="A33" s="6" t="n">
        <v>33817</v>
      </c>
      <c r="B33" s="3" t="n">
        <v>342.892852783203</v>
      </c>
      <c r="C33" s="7">
        <f>IF(ROW()=2,"",LOG(B33/B32)*100)</f>
        <v/>
      </c>
      <c r="D33" s="7">
        <f>STDEV(C31:C33)</f>
        <v/>
      </c>
      <c r="E33" s="7">
        <f>STDEV(C22:C33)</f>
        <v/>
      </c>
    </row>
    <row r="34">
      <c r="A34" s="6" t="n">
        <v>33848</v>
      </c>
      <c r="B34" s="3" t="n">
        <v>345.006500244141</v>
      </c>
      <c r="C34" s="7">
        <f>IF(ROW()=2,"",LOG(B34/B33)*100)</f>
        <v/>
      </c>
      <c r="D34" s="7">
        <f>STDEV(C32:C34)</f>
        <v/>
      </c>
      <c r="E34" s="7">
        <f>STDEV(C23:C34)</f>
        <v/>
      </c>
    </row>
    <row r="35">
      <c r="A35" s="6" t="n">
        <v>33878</v>
      </c>
      <c r="B35" s="3" t="n">
        <v>344.892395019531</v>
      </c>
      <c r="C35" s="7">
        <f>IF(ROW()=2,"",LOG(B35/B34)*100)</f>
        <v/>
      </c>
      <c r="D35" s="7">
        <f>STDEV(C33:C35)</f>
        <v/>
      </c>
      <c r="E35" s="7">
        <f>STDEV(C24:C35)</f>
        <v/>
      </c>
    </row>
    <row r="36">
      <c r="A36" s="6" t="n">
        <v>33909</v>
      </c>
      <c r="B36" s="3" t="n">
        <v>335.050537109375</v>
      </c>
      <c r="C36" s="7">
        <f>IF(ROW()=2,"",LOG(B36/B35)*100)</f>
        <v/>
      </c>
      <c r="D36" s="7">
        <f>STDEV(C34:C36)</f>
        <v/>
      </c>
      <c r="E36" s="7">
        <f>STDEV(C25:C36)</f>
        <v/>
      </c>
    </row>
    <row r="37">
      <c r="A37" s="6" t="n">
        <v>33939</v>
      </c>
      <c r="B37" s="3" t="n">
        <v>334.80712890625</v>
      </c>
      <c r="C37" s="7">
        <f>IF(ROW()=2,"",LOG(B37/B36)*100)</f>
        <v/>
      </c>
      <c r="D37" s="7">
        <f>STDEV(C35:C37)</f>
        <v/>
      </c>
      <c r="E37" s="7">
        <f>STDEV(C26:C37)</f>
        <v/>
      </c>
    </row>
    <row r="38">
      <c r="A38" s="6" t="n">
        <v>33970</v>
      </c>
      <c r="B38" s="3" t="n">
        <v>329.030548095703</v>
      </c>
      <c r="C38" s="7">
        <f>IF(ROW()=2,"",LOG(B38/B37)*100)</f>
        <v/>
      </c>
      <c r="D38" s="7">
        <f>STDEV(C36:C38)</f>
        <v/>
      </c>
      <c r="E38" s="7">
        <f>STDEV(C27:C38)</f>
        <v/>
      </c>
    </row>
    <row r="39">
      <c r="A39" s="6" t="n">
        <v>34001</v>
      </c>
      <c r="B39" s="3" t="n">
        <v>329.299987792969</v>
      </c>
      <c r="C39" s="7">
        <f>IF(ROW()=2,"",LOG(B39/B38)*100)</f>
        <v/>
      </c>
      <c r="D39" s="7">
        <f>STDEV(C37:C39)</f>
        <v/>
      </c>
      <c r="E39" s="7">
        <f>STDEV(C28:C39)</f>
        <v/>
      </c>
    </row>
    <row r="40">
      <c r="A40" s="6" t="n">
        <v>34029</v>
      </c>
      <c r="B40" s="3" t="n">
        <v>330.096954345703</v>
      </c>
      <c r="C40" s="7">
        <f>IF(ROW()=2,"",LOG(B40/B39)*100)</f>
        <v/>
      </c>
      <c r="D40" s="7">
        <f>STDEV(C38:C40)</f>
        <v/>
      </c>
      <c r="E40" s="7">
        <f>STDEV(C29:C40)</f>
        <v/>
      </c>
    </row>
    <row r="41">
      <c r="A41" s="6" t="n">
        <v>34060</v>
      </c>
      <c r="B41" s="3" t="n">
        <v>342.05712890625</v>
      </c>
      <c r="C41" s="7">
        <f>IF(ROW()=2,"",LOG(B41/B40)*100)</f>
        <v/>
      </c>
      <c r="D41" s="7">
        <f>STDEV(C39:C41)</f>
        <v/>
      </c>
      <c r="E41" s="7">
        <f>STDEV(C30:C41)</f>
        <v/>
      </c>
    </row>
    <row r="42">
      <c r="A42" s="6" t="n">
        <v>34090</v>
      </c>
      <c r="B42" s="3" t="n">
        <v>366.667999267578</v>
      </c>
      <c r="C42" s="7">
        <f>IF(ROW()=2,"",LOG(B42/B41)*100)</f>
        <v/>
      </c>
      <c r="D42" s="7">
        <f>STDEV(C40:C42)</f>
        <v/>
      </c>
      <c r="E42" s="7">
        <f>STDEV(C31:C42)</f>
        <v/>
      </c>
    </row>
    <row r="43">
      <c r="A43" s="6" t="n">
        <v>34121</v>
      </c>
      <c r="B43" s="3" t="n">
        <v>371.809997558594</v>
      </c>
      <c r="C43" s="7">
        <f>IF(ROW()=2,"",LOG(B43/B42)*100)</f>
        <v/>
      </c>
      <c r="D43" s="7">
        <f>STDEV(C41:C43)</f>
        <v/>
      </c>
      <c r="E43" s="7">
        <f>STDEV(C32:C43)</f>
        <v/>
      </c>
    </row>
    <row r="44">
      <c r="A44" s="6" t="n">
        <v>34151</v>
      </c>
      <c r="B44" s="3" t="n">
        <v>392.399993896484</v>
      </c>
      <c r="C44" s="7">
        <f>IF(ROW()=2,"",LOG(B44/B43)*100)</f>
        <v/>
      </c>
      <c r="D44" s="7">
        <f>STDEV(C42:C44)</f>
        <v/>
      </c>
      <c r="E44" s="7">
        <f>STDEV(C33:C44)</f>
        <v/>
      </c>
    </row>
    <row r="45">
      <c r="A45" s="6" t="n">
        <v>34182</v>
      </c>
      <c r="B45" s="3" t="n">
        <v>378.700012207031</v>
      </c>
      <c r="C45" s="7">
        <f>IF(ROW()=2,"",LOG(B45/B44)*100)</f>
        <v/>
      </c>
      <c r="D45" s="7">
        <f>STDEV(C43:C45)</f>
        <v/>
      </c>
      <c r="E45" s="7">
        <f>STDEV(C34:C45)</f>
        <v/>
      </c>
    </row>
    <row r="46">
      <c r="A46" s="6" t="n">
        <v>34213</v>
      </c>
      <c r="B46" s="3" t="n">
        <v>354.399993896484</v>
      </c>
      <c r="C46" s="7">
        <f>IF(ROW()=2,"",LOG(B46/B45)*100)</f>
        <v/>
      </c>
      <c r="D46" s="7">
        <f>STDEV(C44:C46)</f>
        <v/>
      </c>
      <c r="E46" s="7">
        <f>STDEV(C35:C46)</f>
        <v/>
      </c>
    </row>
    <row r="47">
      <c r="A47" s="6" t="n">
        <v>34243</v>
      </c>
      <c r="B47" s="3" t="n">
        <v>362.380004882813</v>
      </c>
      <c r="C47" s="7">
        <f>IF(ROW()=2,"",LOG(B47/B46)*100)</f>
        <v/>
      </c>
      <c r="D47" s="7">
        <f>STDEV(C45:C47)</f>
        <v/>
      </c>
      <c r="E47" s="7">
        <f>STDEV(C36:C47)</f>
        <v/>
      </c>
    </row>
    <row r="48">
      <c r="A48" s="6" t="n">
        <v>34274</v>
      </c>
      <c r="B48" s="3" t="n">
        <v>374.167510986328</v>
      </c>
      <c r="C48" s="7">
        <f>IF(ROW()=2,"",LOG(B48/B47)*100)</f>
        <v/>
      </c>
      <c r="D48" s="7">
        <f>STDEV(C46:C48)</f>
        <v/>
      </c>
      <c r="E48" s="7">
        <f>STDEV(C37:C48)</f>
        <v/>
      </c>
    </row>
    <row r="49">
      <c r="A49" s="6" t="n">
        <v>34304</v>
      </c>
      <c r="B49" s="3" t="n">
        <v>383.302001953125</v>
      </c>
      <c r="C49" s="7">
        <f>IF(ROW()=2,"",LOG(B49/B48)*100)</f>
        <v/>
      </c>
      <c r="D49" s="7">
        <f>STDEV(C47:C49)</f>
        <v/>
      </c>
      <c r="E49" s="7">
        <f>STDEV(C38:C49)</f>
        <v/>
      </c>
    </row>
    <row r="50">
      <c r="A50" s="6" t="n">
        <v>34335</v>
      </c>
      <c r="B50" s="3" t="n">
        <v>387.077514648438</v>
      </c>
      <c r="C50" s="7">
        <f>IF(ROW()=2,"",LOG(B50/B49)*100)</f>
        <v/>
      </c>
      <c r="D50" s="7">
        <f>STDEV(C48:C50)</f>
        <v/>
      </c>
      <c r="E50" s="7">
        <f>STDEV(C39:C50)</f>
        <v/>
      </c>
    </row>
    <row r="51">
      <c r="A51" s="6" t="n">
        <v>34366</v>
      </c>
      <c r="B51" s="3" t="n">
        <v>382.304992675781</v>
      </c>
      <c r="C51" s="7">
        <f>IF(ROW()=2,"",LOG(B51/B50)*100)</f>
        <v/>
      </c>
      <c r="D51" s="7">
        <f>STDEV(C49:C51)</f>
        <v/>
      </c>
      <c r="E51" s="7">
        <f>STDEV(C40:C51)</f>
        <v/>
      </c>
    </row>
    <row r="52">
      <c r="A52" s="6" t="n">
        <v>34394</v>
      </c>
      <c r="B52" s="3" t="n">
        <v>383.877502441406</v>
      </c>
      <c r="C52" s="7">
        <f>IF(ROW()=2,"",LOG(B52/B51)*100)</f>
        <v/>
      </c>
      <c r="D52" s="7">
        <f>STDEV(C50:C52)</f>
        <v/>
      </c>
      <c r="E52" s="7">
        <f>STDEV(C41:C52)</f>
        <v/>
      </c>
    </row>
    <row r="53">
      <c r="A53" s="6" t="n">
        <v>34425</v>
      </c>
      <c r="B53" s="3" t="n">
        <v>377.321044921875</v>
      </c>
      <c r="C53" s="7">
        <f>IF(ROW()=2,"",LOG(B53/B52)*100)</f>
        <v/>
      </c>
      <c r="D53" s="7">
        <f>STDEV(C51:C53)</f>
        <v/>
      </c>
      <c r="E53" s="7">
        <f>STDEV(C42:C53)</f>
        <v/>
      </c>
    </row>
    <row r="54">
      <c r="A54" s="6" t="n">
        <v>34455</v>
      </c>
      <c r="B54" s="3" t="n">
        <v>381.589996337891</v>
      </c>
      <c r="C54" s="7">
        <f>IF(ROW()=2,"",LOG(B54/B53)*100)</f>
        <v/>
      </c>
      <c r="D54" s="7">
        <f>STDEV(C52:C54)</f>
        <v/>
      </c>
      <c r="E54" s="7">
        <f>STDEV(C43:C54)</f>
        <v/>
      </c>
    </row>
    <row r="55">
      <c r="A55" s="6" t="n">
        <v>34486</v>
      </c>
      <c r="B55" s="3" t="n">
        <v>385.743194580078</v>
      </c>
      <c r="C55" s="7">
        <f>IF(ROW()=2,"",LOG(B55/B54)*100)</f>
        <v/>
      </c>
      <c r="D55" s="7">
        <f>STDEV(C53:C55)</f>
        <v/>
      </c>
      <c r="E55" s="7">
        <f>STDEV(C44:C55)</f>
        <v/>
      </c>
    </row>
    <row r="56">
      <c r="A56" s="6" t="n">
        <v>34516</v>
      </c>
      <c r="B56" s="3" t="n">
        <v>385.399993896484</v>
      </c>
      <c r="C56" s="7">
        <f>IF(ROW()=2,"",LOG(B56/B55)*100)</f>
        <v/>
      </c>
      <c r="D56" s="7">
        <f>STDEV(C54:C56)</f>
        <v/>
      </c>
      <c r="E56" s="7">
        <f>STDEV(C45:C56)</f>
        <v/>
      </c>
    </row>
    <row r="57">
      <c r="A57" s="6" t="n">
        <v>34547</v>
      </c>
      <c r="B57" s="3" t="n">
        <v>380.761352539063</v>
      </c>
      <c r="C57" s="7">
        <f>IF(ROW()=2,"",LOG(B57/B56)*100)</f>
        <v/>
      </c>
      <c r="D57" s="7">
        <f>STDEV(C55:C57)</f>
        <v/>
      </c>
      <c r="E57" s="7">
        <f>STDEV(C46:C57)</f>
        <v/>
      </c>
    </row>
    <row r="58">
      <c r="A58" s="6" t="n">
        <v>34578</v>
      </c>
      <c r="B58" s="3" t="n">
        <v>391.928100585938</v>
      </c>
      <c r="C58" s="7">
        <f>IF(ROW()=2,"",LOG(B58/B57)*100)</f>
        <v/>
      </c>
      <c r="D58" s="7">
        <f>STDEV(C56:C58)</f>
        <v/>
      </c>
      <c r="E58" s="7">
        <f>STDEV(C47:C58)</f>
        <v/>
      </c>
    </row>
    <row r="59">
      <c r="A59" s="6" t="n">
        <v>34608</v>
      </c>
      <c r="B59" s="3" t="n">
        <v>389.594451904297</v>
      </c>
      <c r="C59" s="7">
        <f>IF(ROW()=2,"",LOG(B59/B58)*100)</f>
        <v/>
      </c>
      <c r="D59" s="7">
        <f>STDEV(C57:C59)</f>
        <v/>
      </c>
      <c r="E59" s="7">
        <f>STDEV(C48:C59)</f>
        <v/>
      </c>
    </row>
    <row r="60">
      <c r="A60" s="6" t="n">
        <v>34639</v>
      </c>
      <c r="B60" s="3" t="n">
        <v>384.441253662109</v>
      </c>
      <c r="C60" s="7">
        <f>IF(ROW()=2,"",LOG(B60/B59)*100)</f>
        <v/>
      </c>
      <c r="D60" s="7">
        <f>STDEV(C58:C60)</f>
        <v/>
      </c>
      <c r="E60" s="7">
        <f>STDEV(C49:C60)</f>
        <v/>
      </c>
    </row>
    <row r="61">
      <c r="A61" s="6" t="n">
        <v>34669</v>
      </c>
      <c r="B61" s="3" t="n">
        <v>379.399993896484</v>
      </c>
      <c r="C61" s="7">
        <f>IF(ROW()=2,"",LOG(B61/B60)*100)</f>
        <v/>
      </c>
      <c r="D61" s="7">
        <f>STDEV(C59:C61)</f>
        <v/>
      </c>
      <c r="E61" s="7">
        <f>STDEV(C50:C61)</f>
        <v/>
      </c>
    </row>
    <row r="62">
      <c r="A62" s="6" t="n">
        <v>34700</v>
      </c>
      <c r="B62" s="3" t="n">
        <v>378.549987792969</v>
      </c>
      <c r="C62" s="7">
        <f>IF(ROW()=2,"",LOG(B62/B61)*100)</f>
        <v/>
      </c>
      <c r="D62" s="7">
        <f>STDEV(C60:C62)</f>
        <v/>
      </c>
      <c r="E62" s="7">
        <f>STDEV(C51:C62)</f>
        <v/>
      </c>
    </row>
    <row r="63">
      <c r="A63" s="6" t="n">
        <v>34731</v>
      </c>
      <c r="B63" s="3" t="n">
        <v>376.505249023438</v>
      </c>
      <c r="C63" s="7">
        <f>IF(ROW()=2,"",LOG(B63/B62)*100)</f>
        <v/>
      </c>
      <c r="D63" s="7">
        <f>STDEV(C61:C63)</f>
        <v/>
      </c>
      <c r="E63" s="7">
        <f>STDEV(C52:C63)</f>
        <v/>
      </c>
    </row>
    <row r="64">
      <c r="A64" s="6" t="n">
        <v>34759</v>
      </c>
      <c r="B64" s="3" t="n">
        <v>381.661895751953</v>
      </c>
      <c r="C64" s="7">
        <f>IF(ROW()=2,"",LOG(B64/B63)*100)</f>
        <v/>
      </c>
      <c r="D64" s="7">
        <f>STDEV(C62:C64)</f>
        <v/>
      </c>
      <c r="E64" s="7">
        <f>STDEV(C53:C64)</f>
        <v/>
      </c>
    </row>
    <row r="65">
      <c r="A65" s="6" t="n">
        <v>34790</v>
      </c>
      <c r="B65" s="3" t="n">
        <v>391.04443359375</v>
      </c>
      <c r="C65" s="7">
        <f>IF(ROW()=2,"",LOG(B65/B64)*100)</f>
        <v/>
      </c>
      <c r="D65" s="7">
        <f>STDEV(C63:C65)</f>
        <v/>
      </c>
      <c r="E65" s="7">
        <f>STDEV(C54:C65)</f>
        <v/>
      </c>
    </row>
    <row r="66">
      <c r="A66" s="6" t="n">
        <v>34820</v>
      </c>
      <c r="B66" s="3" t="n">
        <v>385.219055175781</v>
      </c>
      <c r="C66" s="7">
        <f>IF(ROW()=2,"",LOG(B66/B65)*100)</f>
        <v/>
      </c>
      <c r="D66" s="7">
        <f>STDEV(C64:C66)</f>
        <v/>
      </c>
      <c r="E66" s="7">
        <f>STDEV(C55:C66)</f>
        <v/>
      </c>
    </row>
    <row r="67">
      <c r="A67" s="6" t="n">
        <v>34851</v>
      </c>
      <c r="B67" s="3" t="n">
        <v>387.490478515625</v>
      </c>
      <c r="C67" s="7">
        <f>IF(ROW()=2,"",LOG(B67/B66)*100)</f>
        <v/>
      </c>
      <c r="D67" s="7">
        <f>STDEV(C65:C67)</f>
        <v/>
      </c>
      <c r="E67" s="7">
        <f>STDEV(C56:C67)</f>
        <v/>
      </c>
    </row>
    <row r="68">
      <c r="A68" s="6" t="n">
        <v>34881</v>
      </c>
      <c r="B68" s="3" t="n">
        <v>386.240478515625</v>
      </c>
      <c r="C68" s="7">
        <f>IF(ROW()=2,"",LOG(B68/B67)*100)</f>
        <v/>
      </c>
      <c r="D68" s="7">
        <f>STDEV(C66:C68)</f>
        <v/>
      </c>
      <c r="E68" s="7">
        <f>STDEV(C57:C68)</f>
        <v/>
      </c>
    </row>
    <row r="69">
      <c r="A69" s="6" t="n">
        <v>34912</v>
      </c>
      <c r="B69" s="3" t="n">
        <v>383.697631835938</v>
      </c>
      <c r="C69" s="7">
        <f>IF(ROW()=2,"",LOG(B69/B68)*100)</f>
        <v/>
      </c>
      <c r="D69" s="7">
        <f>STDEV(C67:C69)</f>
        <v/>
      </c>
      <c r="E69" s="7">
        <f>STDEV(C58:C69)</f>
        <v/>
      </c>
    </row>
    <row r="70">
      <c r="A70" s="6" t="n">
        <v>34943</v>
      </c>
      <c r="B70" s="3" t="n">
        <v>383.217498779297</v>
      </c>
      <c r="C70" s="7">
        <f>IF(ROW()=2,"",LOG(B70/B69)*100)</f>
        <v/>
      </c>
      <c r="D70" s="7">
        <f>STDEV(C68:C70)</f>
        <v/>
      </c>
      <c r="E70" s="7">
        <f>STDEV(C59:C70)</f>
        <v/>
      </c>
    </row>
    <row r="71">
      <c r="A71" s="6" t="n">
        <v>34973</v>
      </c>
      <c r="B71" s="3" t="n">
        <v>383.069030761719</v>
      </c>
      <c r="C71" s="7">
        <f>IF(ROW()=2,"",LOG(B71/B70)*100)</f>
        <v/>
      </c>
      <c r="D71" s="7">
        <f>STDEV(C69:C71)</f>
        <v/>
      </c>
      <c r="E71" s="7">
        <f>STDEV(C60:C71)</f>
        <v/>
      </c>
    </row>
    <row r="72">
      <c r="A72" s="6" t="n">
        <v>35004</v>
      </c>
      <c r="B72" s="3" t="n">
        <v>385.676300048828</v>
      </c>
      <c r="C72" s="7">
        <f>IF(ROW()=2,"",LOG(B72/B71)*100)</f>
        <v/>
      </c>
      <c r="D72" s="7">
        <f>STDEV(C70:C72)</f>
        <v/>
      </c>
      <c r="E72" s="7">
        <f>STDEV(C61:C72)</f>
        <v/>
      </c>
    </row>
    <row r="73">
      <c r="A73" s="6" t="n">
        <v>35034</v>
      </c>
      <c r="B73" s="3" t="n">
        <v>387.557678222656</v>
      </c>
      <c r="C73" s="7">
        <f>IF(ROW()=2,"",LOG(B73/B72)*100)</f>
        <v/>
      </c>
      <c r="D73" s="7">
        <f>STDEV(C71:C73)</f>
        <v/>
      </c>
      <c r="E73" s="7">
        <f>STDEV(C62:C73)</f>
        <v/>
      </c>
    </row>
    <row r="74">
      <c r="A74" s="6" t="n">
        <v>35065</v>
      </c>
      <c r="B74" s="3" t="n">
        <v>400.070587158203</v>
      </c>
      <c r="C74" s="7">
        <f>IF(ROW()=2,"",LOG(B74/B73)*100)</f>
        <v/>
      </c>
      <c r="D74" s="7">
        <f>STDEV(C72:C74)</f>
        <v/>
      </c>
      <c r="E74" s="7">
        <f>STDEV(C63:C74)</f>
        <v/>
      </c>
    </row>
    <row r="75">
      <c r="A75" s="6" t="n">
        <v>35096</v>
      </c>
      <c r="B75" s="3" t="n">
        <v>404.484222412109</v>
      </c>
      <c r="C75" s="7">
        <f>IF(ROW()=2,"",LOG(B75/B74)*100)</f>
        <v/>
      </c>
      <c r="D75" s="7">
        <f>STDEV(C73:C75)</f>
        <v/>
      </c>
      <c r="E75" s="7">
        <f>STDEV(C64:C75)</f>
        <v/>
      </c>
    </row>
    <row r="76">
      <c r="A76" s="6" t="n">
        <v>35125</v>
      </c>
      <c r="B76" s="3" t="n">
        <v>396.326324462891</v>
      </c>
      <c r="C76" s="7">
        <f>IF(ROW()=2,"",LOG(B76/B75)*100)</f>
        <v/>
      </c>
      <c r="D76" s="7">
        <f>STDEV(C74:C76)</f>
        <v/>
      </c>
      <c r="E76" s="7">
        <f>STDEV(C65:C76)</f>
        <v/>
      </c>
    </row>
    <row r="77">
      <c r="A77" s="6" t="n">
        <v>35156</v>
      </c>
      <c r="B77" s="3" t="n">
        <v>393.144989013672</v>
      </c>
      <c r="C77" s="7">
        <f>IF(ROW()=2,"",LOG(B77/B76)*100)</f>
        <v/>
      </c>
      <c r="D77" s="7">
        <f>STDEV(C75:C77)</f>
        <v/>
      </c>
      <c r="E77" s="7">
        <f>STDEV(C66:C77)</f>
        <v/>
      </c>
    </row>
    <row r="78">
      <c r="A78" s="6" t="n">
        <v>35186</v>
      </c>
      <c r="B78" s="3" t="n">
        <v>391.94287109375</v>
      </c>
      <c r="C78" s="7">
        <f>IF(ROW()=2,"",LOG(B78/B77)*100)</f>
        <v/>
      </c>
      <c r="D78" s="7">
        <f>STDEV(C76:C78)</f>
        <v/>
      </c>
      <c r="E78" s="7">
        <f>STDEV(C67:C78)</f>
        <v/>
      </c>
    </row>
    <row r="79">
      <c r="A79" s="6" t="n">
        <v>35217</v>
      </c>
      <c r="B79" s="3" t="n">
        <v>385.272491455078</v>
      </c>
      <c r="C79" s="7">
        <f>IF(ROW()=2,"",LOG(B79/B78)*100)</f>
        <v/>
      </c>
      <c r="D79" s="7">
        <f>STDEV(C77:C79)</f>
        <v/>
      </c>
      <c r="E79" s="7">
        <f>STDEV(C68:C79)</f>
        <v/>
      </c>
    </row>
    <row r="80">
      <c r="A80" s="6" t="n">
        <v>35247</v>
      </c>
      <c r="B80" s="3" t="n">
        <v>383.586364746094</v>
      </c>
      <c r="C80" s="7">
        <f>IF(ROW()=2,"",LOG(B80/B79)*100)</f>
        <v/>
      </c>
      <c r="D80" s="7">
        <f>STDEV(C78:C80)</f>
        <v/>
      </c>
      <c r="E80" s="7">
        <f>STDEV(C69:C80)</f>
        <v/>
      </c>
    </row>
    <row r="81">
      <c r="A81" s="6" t="n">
        <v>35278</v>
      </c>
      <c r="B81" s="3" t="n">
        <v>387.471435546875</v>
      </c>
      <c r="C81" s="7">
        <f>IF(ROW()=2,"",LOG(B81/B80)*100)</f>
        <v/>
      </c>
      <c r="D81" s="7">
        <f>STDEV(C79:C81)</f>
        <v/>
      </c>
      <c r="E81" s="7">
        <f>STDEV(C70:C81)</f>
        <v/>
      </c>
    </row>
    <row r="82">
      <c r="A82" s="6" t="n">
        <v>35309</v>
      </c>
      <c r="B82" s="3" t="n">
        <v>382.964996337891</v>
      </c>
      <c r="C82" s="7">
        <f>IF(ROW()=2,"",LOG(B82/B81)*100)</f>
        <v/>
      </c>
      <c r="D82" s="7">
        <f>STDEV(C80:C82)</f>
        <v/>
      </c>
      <c r="E82" s="7">
        <f>STDEV(C71:C82)</f>
        <v/>
      </c>
    </row>
    <row r="83">
      <c r="A83" s="6" t="n">
        <v>35339</v>
      </c>
      <c r="B83" s="3" t="n">
        <v>381.072723388672</v>
      </c>
      <c r="C83" s="7">
        <f>IF(ROW()=2,"",LOG(B83/B82)*100)</f>
        <v/>
      </c>
      <c r="D83" s="7">
        <f>STDEV(C81:C83)</f>
        <v/>
      </c>
      <c r="E83" s="7">
        <f>STDEV(C72:C83)</f>
        <v/>
      </c>
    </row>
    <row r="84">
      <c r="A84" s="6" t="n">
        <v>35370</v>
      </c>
      <c r="B84" s="3" t="n">
        <v>378.516662597656</v>
      </c>
      <c r="C84" s="7">
        <f>IF(ROW()=2,"",LOG(B84/B83)*100)</f>
        <v/>
      </c>
      <c r="D84" s="7">
        <f>STDEV(C82:C84)</f>
        <v/>
      </c>
      <c r="E84" s="7">
        <f>STDEV(C73:C84)</f>
        <v/>
      </c>
    </row>
    <row r="85">
      <c r="A85" s="6" t="n">
        <v>35400</v>
      </c>
      <c r="B85" s="3" t="n">
        <v>368.977661132813</v>
      </c>
      <c r="C85" s="7">
        <f>IF(ROW()=2,"",LOG(B85/B84)*100)</f>
        <v/>
      </c>
      <c r="D85" s="7">
        <f>STDEV(C83:C85)</f>
        <v/>
      </c>
      <c r="E85" s="7">
        <f>STDEV(C74:C85)</f>
        <v/>
      </c>
    </row>
    <row r="86">
      <c r="A86" s="6" t="n">
        <v>35431</v>
      </c>
      <c r="B86" s="3" t="n">
        <v>355.200012207031</v>
      </c>
      <c r="C86" s="7">
        <f>IF(ROW()=2,"",LOG(B86/B85)*100)</f>
        <v/>
      </c>
      <c r="D86" s="7">
        <f>STDEV(C84:C86)</f>
        <v/>
      </c>
      <c r="E86" s="7">
        <f>STDEV(C75:C86)</f>
        <v/>
      </c>
    </row>
    <row r="87">
      <c r="A87" s="6" t="n">
        <v>35462</v>
      </c>
      <c r="B87" s="3" t="n">
        <v>346.713195800781</v>
      </c>
      <c r="C87" s="7">
        <f>IF(ROW()=2,"",LOG(B87/B86)*100)</f>
        <v/>
      </c>
      <c r="D87" s="7">
        <f>STDEV(C85:C87)</f>
        <v/>
      </c>
      <c r="E87" s="7">
        <f>STDEV(C76:C87)</f>
        <v/>
      </c>
    </row>
    <row r="88">
      <c r="A88" s="6" t="n">
        <v>35490</v>
      </c>
      <c r="B88" s="3" t="n">
        <v>351.805267333984</v>
      </c>
      <c r="C88" s="7">
        <f>IF(ROW()=2,"",LOG(B88/B87)*100)</f>
        <v/>
      </c>
      <c r="D88" s="7">
        <f>STDEV(C86:C88)</f>
        <v/>
      </c>
      <c r="E88" s="7">
        <f>STDEV(C77:C88)</f>
        <v/>
      </c>
    </row>
    <row r="89">
      <c r="A89" s="6" t="n">
        <v>35521</v>
      </c>
      <c r="B89" s="3" t="n">
        <v>344.583343505859</v>
      </c>
      <c r="C89" s="7">
        <f>IF(ROW()=2,"",LOG(B89/B88)*100)</f>
        <v/>
      </c>
      <c r="D89" s="7">
        <f>STDEV(C87:C89)</f>
        <v/>
      </c>
      <c r="E89" s="7">
        <f>STDEV(C78:C89)</f>
        <v/>
      </c>
    </row>
    <row r="90">
      <c r="A90" s="6" t="n">
        <v>35551</v>
      </c>
      <c r="B90" s="3" t="n">
        <v>343.702789306641</v>
      </c>
      <c r="C90" s="7">
        <f>IF(ROW()=2,"",LOG(B90/B89)*100)</f>
        <v/>
      </c>
      <c r="D90" s="7">
        <f>STDEV(C88:C90)</f>
        <v/>
      </c>
      <c r="E90" s="7">
        <f>STDEV(C79:C90)</f>
        <v/>
      </c>
    </row>
    <row r="91">
      <c r="A91" s="6" t="n">
        <v>35582</v>
      </c>
      <c r="B91" s="3" t="n">
        <v>340.476318359375</v>
      </c>
      <c r="C91" s="7">
        <f>IF(ROW()=2,"",LOG(B91/B90)*100)</f>
        <v/>
      </c>
      <c r="D91" s="7">
        <f>STDEV(C89:C91)</f>
        <v/>
      </c>
      <c r="E91" s="7">
        <f>STDEV(C80:C91)</f>
        <v/>
      </c>
    </row>
    <row r="92">
      <c r="A92" s="6" t="n">
        <v>35612</v>
      </c>
      <c r="B92" s="3" t="n">
        <v>324.088623046875</v>
      </c>
      <c r="C92" s="7">
        <f>IF(ROW()=2,"",LOG(B92/B91)*100)</f>
        <v/>
      </c>
      <c r="D92" s="7">
        <f>STDEV(C90:C92)</f>
        <v/>
      </c>
      <c r="E92" s="7">
        <f>STDEV(C81:C92)</f>
        <v/>
      </c>
    </row>
    <row r="93">
      <c r="A93" s="6" t="n">
        <v>35643</v>
      </c>
      <c r="B93" s="3" t="n">
        <v>324.049987792969</v>
      </c>
      <c r="C93" s="7">
        <f>IF(ROW()=2,"",LOG(B93/B92)*100)</f>
        <v/>
      </c>
      <c r="D93" s="7">
        <f>STDEV(C91:C93)</f>
        <v/>
      </c>
      <c r="E93" s="7">
        <f>STDEV(C82:C93)</f>
        <v/>
      </c>
    </row>
    <row r="94">
      <c r="A94" s="6" t="n">
        <v>35674</v>
      </c>
      <c r="B94" s="3" t="n">
        <v>324.476196289063</v>
      </c>
      <c r="C94" s="7">
        <f>IF(ROW()=2,"",LOG(B94/B93)*100)</f>
        <v/>
      </c>
      <c r="D94" s="7">
        <f>STDEV(C92:C94)</f>
        <v/>
      </c>
      <c r="E94" s="7">
        <f>STDEV(C83:C94)</f>
        <v/>
      </c>
    </row>
    <row r="95">
      <c r="A95" s="6" t="n">
        <v>35704</v>
      </c>
      <c r="B95" s="3" t="n">
        <v>323.883331298828</v>
      </c>
      <c r="C95" s="7">
        <f>IF(ROW()=2,"",LOG(B95/B94)*100)</f>
        <v/>
      </c>
      <c r="D95" s="7">
        <f>STDEV(C93:C95)</f>
        <v/>
      </c>
      <c r="E95" s="7">
        <f>STDEV(C84:C95)</f>
        <v/>
      </c>
    </row>
    <row r="96">
      <c r="A96" s="6" t="n">
        <v>35735</v>
      </c>
      <c r="B96" s="3" t="n">
        <v>305.346160888672</v>
      </c>
      <c r="C96" s="7">
        <f>IF(ROW()=2,"",LOG(B96/B95)*100)</f>
        <v/>
      </c>
      <c r="D96" s="7">
        <f>STDEV(C94:C96)</f>
        <v/>
      </c>
      <c r="E96" s="7">
        <f>STDEV(C85:C96)</f>
        <v/>
      </c>
    </row>
    <row r="97">
      <c r="A97" s="6" t="n">
        <v>35765</v>
      </c>
      <c r="B97" s="3" t="n">
        <v>287.619995117188</v>
      </c>
      <c r="C97" s="7">
        <f>IF(ROW()=2,"",LOG(B97/B96)*100)</f>
        <v/>
      </c>
      <c r="D97" s="7">
        <f>STDEV(C95:C97)</f>
        <v/>
      </c>
      <c r="E97" s="7">
        <f>STDEV(C86:C97)</f>
        <v/>
      </c>
    </row>
    <row r="98">
      <c r="A98" s="6" t="n">
        <v>35796</v>
      </c>
      <c r="B98" s="3" t="n">
        <v>289.5</v>
      </c>
      <c r="C98" s="7">
        <f>IF(ROW()=2,"",LOG(B98/B97)*100)</f>
        <v/>
      </c>
      <c r="D98" s="7">
        <f>STDEV(C96:C98)</f>
        <v/>
      </c>
      <c r="E98" s="7">
        <f>STDEV(C87:C98)</f>
        <v/>
      </c>
    </row>
    <row r="99">
      <c r="A99" s="6" t="n">
        <v>35827</v>
      </c>
      <c r="B99" s="3" t="n">
        <v>297.455261230469</v>
      </c>
      <c r="C99" s="7">
        <f>IF(ROW()=2,"",LOG(B99/B98)*100)</f>
        <v/>
      </c>
      <c r="D99" s="7">
        <f>STDEV(C97:C99)</f>
        <v/>
      </c>
      <c r="E99" s="7">
        <f>STDEV(C88:C99)</f>
        <v/>
      </c>
    </row>
    <row r="100">
      <c r="A100" s="6" t="n">
        <v>35855</v>
      </c>
      <c r="B100" s="3" t="n">
        <v>295.954559326172</v>
      </c>
      <c r="C100" s="7">
        <f>IF(ROW()=2,"",LOG(B100/B99)*100)</f>
        <v/>
      </c>
      <c r="D100" s="7">
        <f>STDEV(C98:C100)</f>
        <v/>
      </c>
      <c r="E100" s="7">
        <f>STDEV(C89:C100)</f>
        <v/>
      </c>
    </row>
    <row r="101">
      <c r="A101" s="6" t="n">
        <v>35886</v>
      </c>
      <c r="B101" s="3" t="n">
        <v>308.285003662109</v>
      </c>
      <c r="C101" s="7">
        <f>IF(ROW()=2,"",LOG(B101/B100)*100)</f>
        <v/>
      </c>
      <c r="D101" s="7">
        <f>STDEV(C99:C101)</f>
        <v/>
      </c>
      <c r="E101" s="7">
        <f>STDEV(C90:C101)</f>
        <v/>
      </c>
    </row>
    <row r="102">
      <c r="A102" s="6" t="n">
        <v>35916</v>
      </c>
      <c r="B102" s="3" t="n">
        <v>298.978942871094</v>
      </c>
      <c r="C102" s="7">
        <f>IF(ROW()=2,"",LOG(B102/B101)*100)</f>
        <v/>
      </c>
      <c r="D102" s="7">
        <f>STDEV(C100:C102)</f>
        <v/>
      </c>
      <c r="E102" s="7">
        <f>STDEV(C91:C102)</f>
        <v/>
      </c>
    </row>
    <row r="103">
      <c r="A103" s="6" t="n">
        <v>35947</v>
      </c>
      <c r="B103" s="3" t="n">
        <v>292.538635253906</v>
      </c>
      <c r="C103" s="7">
        <f>IF(ROW()=2,"",LOG(B103/B102)*100)</f>
        <v/>
      </c>
      <c r="D103" s="7">
        <f>STDEV(C101:C103)</f>
        <v/>
      </c>
      <c r="E103" s="7">
        <f>STDEV(C92:C103)</f>
        <v/>
      </c>
    </row>
    <row r="104">
      <c r="A104" s="6" t="n">
        <v>35977</v>
      </c>
      <c r="B104" s="3" t="n">
        <v>292.752258300781</v>
      </c>
      <c r="C104" s="7">
        <f>IF(ROW()=2,"",LOG(B104/B103)*100)</f>
        <v/>
      </c>
      <c r="D104" s="7">
        <f>STDEV(C102:C104)</f>
        <v/>
      </c>
      <c r="E104" s="7">
        <f>STDEV(C93:C104)</f>
        <v/>
      </c>
    </row>
    <row r="105">
      <c r="A105" s="6" t="n">
        <v>36008</v>
      </c>
      <c r="B105" s="3" t="n">
        <v>284.109985351563</v>
      </c>
      <c r="C105" s="7">
        <f>IF(ROW()=2,"",LOG(B105/B104)*100)</f>
        <v/>
      </c>
      <c r="D105" s="7">
        <f>STDEV(C103:C105)</f>
        <v/>
      </c>
      <c r="E105" s="7">
        <f>STDEV(C94:C105)</f>
        <v/>
      </c>
    </row>
    <row r="106">
      <c r="A106" s="6" t="n">
        <v>36039</v>
      </c>
      <c r="B106" s="3" t="n">
        <v>288.981811523438</v>
      </c>
      <c r="C106" s="7">
        <f>IF(ROW()=2,"",LOG(B106/B105)*100)</f>
        <v/>
      </c>
      <c r="D106" s="7">
        <f>STDEV(C104:C106)</f>
        <v/>
      </c>
      <c r="E106" s="7">
        <f>STDEV(C95:C106)</f>
        <v/>
      </c>
    </row>
    <row r="107">
      <c r="A107" s="6" t="n">
        <v>36069</v>
      </c>
      <c r="B107" s="3" t="n">
        <v>295.714996337891</v>
      </c>
      <c r="C107" s="7">
        <f>IF(ROW()=2,"",LOG(B107/B106)*100)</f>
        <v/>
      </c>
      <c r="D107" s="7">
        <f>STDEV(C105:C107)</f>
        <v/>
      </c>
      <c r="E107" s="7">
        <f>STDEV(C96:C107)</f>
        <v/>
      </c>
    </row>
    <row r="108">
      <c r="A108" s="6" t="n">
        <v>36100</v>
      </c>
      <c r="B108" s="3" t="n">
        <v>293.716674804688</v>
      </c>
      <c r="C108" s="7">
        <f>IF(ROW()=2,"",LOG(B108/B107)*100)</f>
        <v/>
      </c>
      <c r="D108" s="7">
        <f>STDEV(C106:C108)</f>
        <v/>
      </c>
      <c r="E108" s="7">
        <f>STDEV(C97:C108)</f>
        <v/>
      </c>
    </row>
    <row r="109">
      <c r="A109" s="6" t="n">
        <v>36130</v>
      </c>
      <c r="B109" s="3" t="n">
        <v>291.678955078125</v>
      </c>
      <c r="C109" s="7">
        <f>IF(ROW()=2,"",LOG(B109/B108)*100)</f>
        <v/>
      </c>
      <c r="D109" s="7">
        <f>STDEV(C107:C109)</f>
        <v/>
      </c>
      <c r="E109" s="7">
        <f>STDEV(C98:C109)</f>
        <v/>
      </c>
    </row>
    <row r="110">
      <c r="A110" s="6" t="n">
        <v>36161</v>
      </c>
      <c r="B110" s="3" t="n">
        <v>286.9368286</v>
      </c>
      <c r="C110" s="7">
        <f>IF(ROW()=2,"",LOG(B110/B109)*100)</f>
        <v/>
      </c>
      <c r="D110" s="7">
        <f>STDEV(C108:C110)</f>
        <v/>
      </c>
      <c r="E110" s="7">
        <f>STDEV(C99:C110)</f>
        <v/>
      </c>
    </row>
    <row r="111">
      <c r="A111" s="6" t="n">
        <v>36192</v>
      </c>
      <c r="B111" s="3" t="n">
        <v>287.655</v>
      </c>
      <c r="C111" s="7">
        <f>IF(ROW()=2,"",LOG(B111/B110)*100)</f>
        <v/>
      </c>
      <c r="D111" s="7">
        <f>STDEV(C109:C111)</f>
        <v/>
      </c>
      <c r="E111" s="7">
        <f>STDEV(C100:C111)</f>
        <v/>
      </c>
    </row>
    <row r="112">
      <c r="A112" s="6" t="n">
        <v>36220</v>
      </c>
      <c r="B112" s="3" t="n">
        <v>286.2136364</v>
      </c>
      <c r="C112" s="7">
        <f>IF(ROW()=2,"",LOG(B112/B111)*100)</f>
        <v/>
      </c>
      <c r="D112" s="7">
        <f>STDEV(C110:C112)</f>
        <v/>
      </c>
      <c r="E112" s="7">
        <f>STDEV(C101:C112)</f>
        <v/>
      </c>
    </row>
    <row r="113">
      <c r="A113" s="6" t="n">
        <v>36251</v>
      </c>
      <c r="B113" s="3" t="n">
        <v>282.6175</v>
      </c>
      <c r="C113" s="7">
        <f>IF(ROW()=2,"",LOG(B113/B112)*100)</f>
        <v/>
      </c>
      <c r="D113" s="7">
        <f>STDEV(C111:C113)</f>
        <v/>
      </c>
      <c r="E113" s="7">
        <f>STDEV(C102:C113)</f>
        <v/>
      </c>
    </row>
    <row r="114">
      <c r="A114" s="6" t="n">
        <v>36281</v>
      </c>
      <c r="B114" s="3" t="n">
        <v>276.91</v>
      </c>
      <c r="C114" s="7">
        <f>IF(ROW()=2,"",LOG(B114/B113)*100)</f>
        <v/>
      </c>
      <c r="D114" s="7">
        <f>STDEV(C112:C114)</f>
        <v/>
      </c>
      <c r="E114" s="7">
        <f>STDEV(C103:C114)</f>
        <v/>
      </c>
    </row>
    <row r="115">
      <c r="A115" s="6" t="n">
        <v>36312</v>
      </c>
      <c r="B115" s="3" t="n">
        <v>261.3136364</v>
      </c>
      <c r="C115" s="7">
        <f>IF(ROW()=2,"",LOG(B115/B114)*100)</f>
        <v/>
      </c>
      <c r="D115" s="7">
        <f>STDEV(C113:C115)</f>
        <v/>
      </c>
      <c r="E115" s="7">
        <f>STDEV(C104:C115)</f>
        <v/>
      </c>
    </row>
    <row r="116">
      <c r="A116" s="6" t="n">
        <v>36342</v>
      </c>
      <c r="B116" s="3" t="n">
        <v>256.6931818</v>
      </c>
      <c r="C116" s="7">
        <f>IF(ROW()=2,"",LOG(B116/B115)*100)</f>
        <v/>
      </c>
      <c r="D116" s="7">
        <f>STDEV(C114:C116)</f>
        <v/>
      </c>
      <c r="E116" s="7">
        <f>STDEV(C105:C116)</f>
        <v/>
      </c>
    </row>
    <row r="117">
      <c r="A117" s="6" t="n">
        <v>36373</v>
      </c>
      <c r="B117" s="3" t="n">
        <v>256.9052632</v>
      </c>
      <c r="C117" s="7">
        <f>IF(ROW()=2,"",LOG(B117/B116)*100)</f>
        <v/>
      </c>
      <c r="D117" s="7">
        <f>STDEV(C115:C117)</f>
        <v/>
      </c>
      <c r="E117" s="7">
        <f>STDEV(C106:C117)</f>
        <v/>
      </c>
    </row>
    <row r="118">
      <c r="A118" s="6" t="n">
        <v>36404</v>
      </c>
      <c r="B118" s="3" t="n">
        <v>264.3108696</v>
      </c>
      <c r="C118" s="7">
        <f>IF(ROW()=2,"",LOG(B118/B117)*100)</f>
        <v/>
      </c>
      <c r="D118" s="7">
        <f>STDEV(C116:C118)</f>
        <v/>
      </c>
      <c r="E118" s="7">
        <f>STDEV(C107:C118)</f>
        <v/>
      </c>
    </row>
    <row r="119">
      <c r="A119" s="6" t="n">
        <v>36434</v>
      </c>
      <c r="B119" s="3" t="n">
        <v>310.7815789</v>
      </c>
      <c r="C119" s="7">
        <f>IF(ROW()=2,"",LOG(B119/B118)*100)</f>
        <v/>
      </c>
      <c r="D119" s="7">
        <f>STDEV(C117:C119)</f>
        <v/>
      </c>
      <c r="E119" s="7">
        <f>STDEV(C108:C119)</f>
        <v/>
      </c>
    </row>
    <row r="120">
      <c r="A120" s="6" t="n">
        <v>36465</v>
      </c>
      <c r="B120" s="3" t="n">
        <v>293.1840909</v>
      </c>
      <c r="C120" s="7">
        <f>IF(ROW()=2,"",LOG(B120/B119)*100)</f>
        <v/>
      </c>
      <c r="D120" s="7">
        <f>STDEV(C118:C120)</f>
        <v/>
      </c>
      <c r="E120" s="7">
        <f>STDEV(C109:C120)</f>
        <v/>
      </c>
    </row>
    <row r="121">
      <c r="A121" s="6" t="n">
        <v>36495</v>
      </c>
      <c r="B121" s="3" t="n">
        <v>282.9526316</v>
      </c>
      <c r="C121" s="7">
        <f>IF(ROW()=2,"",LOG(B121/B120)*100)</f>
        <v/>
      </c>
      <c r="D121" s="7">
        <f>STDEV(C119:C121)</f>
        <v/>
      </c>
      <c r="E121" s="7">
        <f>STDEV(C110:C121)</f>
        <v/>
      </c>
    </row>
    <row r="122">
      <c r="A122" s="6" t="n">
        <v>36526</v>
      </c>
      <c r="B122" s="3" t="n">
        <v>284.065625</v>
      </c>
      <c r="C122" s="7">
        <f>IF(ROW()=2,"",LOG(B122/B121)*100)</f>
        <v/>
      </c>
      <c r="D122" s="7">
        <f>STDEV(C120:C122)</f>
        <v/>
      </c>
      <c r="E122" s="7">
        <f>STDEV(C111:C122)</f>
        <v/>
      </c>
    </row>
    <row r="123">
      <c r="A123" s="6" t="n">
        <v>36557</v>
      </c>
      <c r="B123" s="3" t="n">
        <v>299.715</v>
      </c>
      <c r="C123" s="7">
        <f>IF(ROW()=2,"",LOG(B123/B122)*100)</f>
        <v/>
      </c>
      <c r="D123" s="7">
        <f>STDEV(C121:C123)</f>
        <v/>
      </c>
      <c r="E123" s="7">
        <f>STDEV(C112:C123)</f>
        <v/>
      </c>
    </row>
    <row r="124">
      <c r="A124" s="6" t="n">
        <v>36586</v>
      </c>
      <c r="B124" s="3" t="n">
        <v>286.924</v>
      </c>
      <c r="C124" s="7">
        <f>IF(ROW()=2,"",LOG(B124/B123)*100)</f>
        <v/>
      </c>
      <c r="D124" s="7">
        <f>STDEV(C122:C124)</f>
        <v/>
      </c>
      <c r="E124" s="7">
        <f>STDEV(C113:C124)</f>
        <v/>
      </c>
    </row>
    <row r="125">
      <c r="A125" s="6" t="n">
        <v>36617</v>
      </c>
      <c r="B125" s="3" t="n">
        <v>279.6526316</v>
      </c>
      <c r="C125" s="7">
        <f>IF(ROW()=2,"",LOG(B125/B124)*100)</f>
        <v/>
      </c>
      <c r="D125" s="7">
        <f>STDEV(C123:C125)</f>
        <v/>
      </c>
      <c r="E125" s="7">
        <f>STDEV(C114:C125)</f>
        <v/>
      </c>
    </row>
    <row r="126">
      <c r="A126" s="6" t="n">
        <v>36647</v>
      </c>
      <c r="B126" s="3" t="n">
        <v>276.7409091</v>
      </c>
      <c r="C126" s="7">
        <f>IF(ROW()=2,"",LOG(B126/B125)*100)</f>
        <v/>
      </c>
      <c r="D126" s="7">
        <f>STDEV(C124:C126)</f>
        <v/>
      </c>
      <c r="E126" s="7">
        <f>STDEV(C115:C126)</f>
        <v/>
      </c>
    </row>
    <row r="127">
      <c r="A127" s="6" t="n">
        <v>36678</v>
      </c>
      <c r="B127" s="3" t="n">
        <v>285.7318182</v>
      </c>
      <c r="C127" s="7">
        <f>IF(ROW()=2,"",LOG(B127/B126)*100)</f>
        <v/>
      </c>
      <c r="D127" s="7">
        <f>STDEV(C125:C127)</f>
        <v/>
      </c>
      <c r="E127" s="7">
        <f>STDEV(C116:C127)</f>
        <v/>
      </c>
    </row>
    <row r="128">
      <c r="A128" s="6" t="n">
        <v>36708</v>
      </c>
      <c r="B128" s="3" t="n">
        <v>281.5857143</v>
      </c>
      <c r="C128" s="7">
        <f>IF(ROW()=2,"",LOG(B128/B127)*100)</f>
        <v/>
      </c>
      <c r="D128" s="7">
        <f>STDEV(C126:C128)</f>
        <v/>
      </c>
      <c r="E128" s="7">
        <f>STDEV(C117:C128)</f>
        <v/>
      </c>
    </row>
    <row r="129">
      <c r="A129" s="6" t="n">
        <v>36739</v>
      </c>
      <c r="B129" s="3" t="n">
        <v>274.425</v>
      </c>
      <c r="C129" s="7">
        <f>IF(ROW()=2,"",LOG(B129/B128)*100)</f>
        <v/>
      </c>
      <c r="D129" s="7">
        <f>STDEV(C127:C129)</f>
        <v/>
      </c>
      <c r="E129" s="7">
        <f>STDEV(C118:C129)</f>
        <v/>
      </c>
    </row>
    <row r="130">
      <c r="A130" s="6" t="n">
        <v>36770</v>
      </c>
      <c r="B130" s="3" t="n">
        <v>273.53</v>
      </c>
      <c r="C130" s="7">
        <f>IF(ROW()=2,"",LOG(B130/B129)*100)</f>
        <v/>
      </c>
      <c r="D130" s="7">
        <f>STDEV(C128:C130)</f>
        <v/>
      </c>
      <c r="E130" s="7">
        <f>STDEV(C119:C130)</f>
        <v/>
      </c>
    </row>
    <row r="131">
      <c r="A131" s="6" t="n">
        <v>36800</v>
      </c>
      <c r="B131" s="3" t="n">
        <v>269.9285714</v>
      </c>
      <c r="C131" s="7">
        <f>IF(ROW()=2,"",LOG(B131/B130)*100)</f>
        <v/>
      </c>
      <c r="D131" s="7">
        <f>STDEV(C129:C131)</f>
        <v/>
      </c>
      <c r="E131" s="7">
        <f>STDEV(C120:C131)</f>
        <v/>
      </c>
    </row>
    <row r="132">
      <c r="A132" s="6" t="n">
        <v>36831</v>
      </c>
      <c r="B132" s="3" t="n">
        <v>266.2973684</v>
      </c>
      <c r="C132" s="7">
        <f>IF(ROW()=2,"",LOG(B132/B131)*100)</f>
        <v/>
      </c>
      <c r="D132" s="7">
        <f>STDEV(C130:C132)</f>
        <v/>
      </c>
      <c r="E132" s="7">
        <f>STDEV(C121:C132)</f>
        <v/>
      </c>
    </row>
    <row r="133">
      <c r="A133" s="6" t="n">
        <v>36861</v>
      </c>
      <c r="B133" s="3" t="n">
        <v>271.45</v>
      </c>
      <c r="C133" s="7">
        <f>IF(ROW()=2,"",LOG(B133/B132)*100)</f>
        <v/>
      </c>
      <c r="D133" s="7">
        <f>STDEV(C131:C133)</f>
        <v/>
      </c>
      <c r="E133" s="7">
        <f>STDEV(C122:C133)</f>
        <v/>
      </c>
    </row>
    <row r="134">
      <c r="A134" s="6" t="n">
        <v>36892</v>
      </c>
      <c r="B134" s="3" t="n">
        <v>265.4863636</v>
      </c>
      <c r="C134" s="7">
        <f>IF(ROW()=2,"",LOG(B134/B133)*100)</f>
        <v/>
      </c>
      <c r="D134" s="7">
        <f>STDEV(C132:C134)</f>
        <v/>
      </c>
      <c r="E134" s="7">
        <f>STDEV(C123:C134)</f>
        <v/>
      </c>
    </row>
    <row r="135">
      <c r="A135" s="6" t="n">
        <v>36923</v>
      </c>
      <c r="B135" s="3" t="n">
        <v>262.0894737</v>
      </c>
      <c r="C135" s="7">
        <f>IF(ROW()=2,"",LOG(B135/B134)*100)</f>
        <v/>
      </c>
      <c r="D135" s="7">
        <f>STDEV(C133:C135)</f>
        <v/>
      </c>
      <c r="E135" s="7">
        <f>STDEV(C124:C135)</f>
        <v/>
      </c>
    </row>
    <row r="136">
      <c r="A136" s="6" t="n">
        <v>36951</v>
      </c>
      <c r="B136" s="3" t="n">
        <v>263.0272727</v>
      </c>
      <c r="C136" s="7">
        <f>IF(ROW()=2,"",LOG(B136/B135)*100)</f>
        <v/>
      </c>
      <c r="D136" s="7">
        <f>STDEV(C134:C136)</f>
        <v/>
      </c>
      <c r="E136" s="7">
        <f>STDEV(C125:C136)</f>
        <v/>
      </c>
    </row>
    <row r="137">
      <c r="A137" s="6" t="n">
        <v>36982</v>
      </c>
      <c r="B137" s="3" t="n">
        <v>260.3305556</v>
      </c>
      <c r="C137" s="7">
        <f>IF(ROW()=2,"",LOG(B137/B136)*100)</f>
        <v/>
      </c>
      <c r="D137" s="7">
        <f>STDEV(C135:C137)</f>
        <v/>
      </c>
      <c r="E137" s="7">
        <f>STDEV(C126:C137)</f>
        <v/>
      </c>
    </row>
    <row r="138">
      <c r="A138" s="6" t="n">
        <v>37012</v>
      </c>
      <c r="B138" s="3" t="n">
        <v>272.0931818</v>
      </c>
      <c r="C138" s="7">
        <f>IF(ROW()=2,"",LOG(B138/B137)*100)</f>
        <v/>
      </c>
      <c r="D138" s="7">
        <f>STDEV(C136:C138)</f>
        <v/>
      </c>
      <c r="E138" s="7">
        <f>STDEV(C127:C138)</f>
        <v/>
      </c>
    </row>
    <row r="139">
      <c r="A139" s="6" t="n">
        <v>37043</v>
      </c>
      <c r="B139" s="3" t="n">
        <v>270.202381</v>
      </c>
      <c r="C139" s="7">
        <f>IF(ROW()=2,"",LOG(B139/B138)*100)</f>
        <v/>
      </c>
      <c r="D139" s="7">
        <f>STDEV(C137:C139)</f>
        <v/>
      </c>
      <c r="E139" s="7">
        <f>STDEV(C128:C139)</f>
        <v/>
      </c>
    </row>
    <row r="140">
      <c r="A140" s="6" t="n">
        <v>37073</v>
      </c>
      <c r="B140" s="3" t="n">
        <v>267.5261905</v>
      </c>
      <c r="C140" s="7">
        <f>IF(ROW()=2,"",LOG(B140/B139)*100)</f>
        <v/>
      </c>
      <c r="D140" s="7">
        <f>STDEV(C138:C140)</f>
        <v/>
      </c>
      <c r="E140" s="7">
        <f>STDEV(C129:C140)</f>
        <v/>
      </c>
    </row>
    <row r="141">
      <c r="A141" s="6" t="n">
        <v>37104</v>
      </c>
      <c r="B141" s="3" t="n">
        <v>272.0921053</v>
      </c>
      <c r="C141" s="7">
        <f>IF(ROW()=2,"",LOG(B141/B140)*100)</f>
        <v/>
      </c>
      <c r="D141" s="7">
        <f>STDEV(C139:C141)</f>
        <v/>
      </c>
      <c r="E141" s="7">
        <f>STDEV(C130:C141)</f>
        <v/>
      </c>
    </row>
    <row r="142">
      <c r="A142" s="6" t="n">
        <v>37135</v>
      </c>
      <c r="B142" s="3" t="n">
        <v>284.4723529</v>
      </c>
      <c r="C142" s="7">
        <f>IF(ROW()=2,"",LOG(B142/B141)*100)</f>
        <v/>
      </c>
      <c r="D142" s="7">
        <f>STDEV(C140:C142)</f>
        <v/>
      </c>
      <c r="E142" s="7">
        <f>STDEV(C131:C142)</f>
        <v/>
      </c>
    </row>
    <row r="143">
      <c r="A143" s="6" t="n">
        <v>37165</v>
      </c>
      <c r="B143" s="3" t="n">
        <v>282.2671429</v>
      </c>
      <c r="C143" s="7">
        <f>IF(ROW()=2,"",LOG(B143/B142)*100)</f>
        <v/>
      </c>
      <c r="D143" s="7">
        <f>STDEV(C141:C143)</f>
        <v/>
      </c>
      <c r="E143" s="7">
        <f>STDEV(C132:C143)</f>
        <v/>
      </c>
    </row>
    <row r="144">
      <c r="A144" s="6" t="n">
        <v>37196</v>
      </c>
      <c r="B144" s="3" t="n">
        <v>277.184375</v>
      </c>
      <c r="C144" s="7">
        <f>IF(ROW()=2,"",LOG(B144/B143)*100)</f>
        <v/>
      </c>
      <c r="D144" s="7">
        <f>STDEV(C142:C144)</f>
        <v/>
      </c>
      <c r="E144" s="7">
        <f>STDEV(C133:C144)</f>
        <v/>
      </c>
    </row>
    <row r="145">
      <c r="A145" s="6" t="n">
        <v>37226</v>
      </c>
      <c r="B145" s="3" t="n">
        <v>275.8357143</v>
      </c>
      <c r="C145" s="7">
        <f>IF(ROW()=2,"",LOG(B145/B144)*100)</f>
        <v/>
      </c>
      <c r="D145" s="7">
        <f>STDEV(C143:C145)</f>
        <v/>
      </c>
      <c r="E145" s="7">
        <f>STDEV(C134:C145)</f>
        <v/>
      </c>
    </row>
    <row r="146">
      <c r="A146" s="6" t="n">
        <v>37257</v>
      </c>
      <c r="B146" s="3" t="n">
        <v>281</v>
      </c>
      <c r="C146" s="7">
        <f>IF(ROW()=2,"",LOG(B146/B145)*100)</f>
        <v/>
      </c>
      <c r="D146" s="7">
        <f>STDEV(C144:C146)</f>
        <v/>
      </c>
      <c r="E146" s="7">
        <f>STDEV(C135:C146)</f>
        <v/>
      </c>
    </row>
    <row r="147">
      <c r="A147" s="6" t="n">
        <v>37288</v>
      </c>
      <c r="B147" s="3" t="n">
        <v>295.2875</v>
      </c>
      <c r="C147" s="7">
        <f>IF(ROW()=2,"",LOG(B147/B146)*100)</f>
        <v/>
      </c>
      <c r="D147" s="7">
        <f>STDEV(C145:C147)</f>
        <v/>
      </c>
      <c r="E147" s="7">
        <f>STDEV(C136:C147)</f>
        <v/>
      </c>
    </row>
    <row r="148">
      <c r="A148" s="6" t="n">
        <v>37316</v>
      </c>
      <c r="B148" s="3" t="n">
        <v>294.0475</v>
      </c>
      <c r="C148" s="7">
        <f>IF(ROW()=2,"",LOG(B148/B147)*100)</f>
        <v/>
      </c>
      <c r="D148" s="7">
        <f>STDEV(C146:C148)</f>
        <v/>
      </c>
      <c r="E148" s="7">
        <f>STDEV(C137:C148)</f>
        <v/>
      </c>
    </row>
    <row r="149">
      <c r="A149" s="6" t="n">
        <v>37347</v>
      </c>
      <c r="B149" s="3" t="n">
        <v>302.6833333</v>
      </c>
      <c r="C149" s="7">
        <f>IF(ROW()=2,"",LOG(B149/B148)*100)</f>
        <v/>
      </c>
      <c r="D149" s="7">
        <f>STDEV(C147:C149)</f>
        <v/>
      </c>
      <c r="E149" s="7">
        <f>STDEV(C138:C149)</f>
        <v/>
      </c>
    </row>
    <row r="150">
      <c r="A150" s="6" t="n">
        <v>37377</v>
      </c>
      <c r="B150" s="3" t="n">
        <v>314.4931818</v>
      </c>
      <c r="C150" s="7">
        <f>IF(ROW()=2,"",LOG(B150/B149)*100)</f>
        <v/>
      </c>
      <c r="D150" s="7">
        <f>STDEV(C148:C150)</f>
        <v/>
      </c>
      <c r="E150" s="7">
        <f>STDEV(C139:C150)</f>
        <v/>
      </c>
    </row>
    <row r="151">
      <c r="A151" s="6" t="n">
        <v>37408</v>
      </c>
      <c r="B151" s="3" t="n">
        <v>321.1777778</v>
      </c>
      <c r="C151" s="7">
        <f>IF(ROW()=2,"",LOG(B151/B150)*100)</f>
        <v/>
      </c>
      <c r="D151" s="7">
        <f>STDEV(C149:C151)</f>
        <v/>
      </c>
      <c r="E151" s="7">
        <f>STDEV(C140:C151)</f>
        <v/>
      </c>
    </row>
    <row r="152">
      <c r="A152" s="6" t="n">
        <v>37438</v>
      </c>
      <c r="B152" s="3" t="n">
        <v>313.2913043</v>
      </c>
      <c r="C152" s="7">
        <f>IF(ROW()=2,"",LOG(B152/B151)*100)</f>
        <v/>
      </c>
      <c r="D152" s="7">
        <f>STDEV(C150:C152)</f>
        <v/>
      </c>
      <c r="E152" s="7">
        <f>STDEV(C141:C152)</f>
        <v/>
      </c>
    </row>
    <row r="153">
      <c r="A153" s="6" t="n">
        <v>37469</v>
      </c>
      <c r="B153" s="3" t="n">
        <v>310.2809524</v>
      </c>
      <c r="C153" s="7">
        <f>IF(ROW()=2,"",LOG(B153/B152)*100)</f>
        <v/>
      </c>
      <c r="D153" s="7">
        <f>STDEV(C151:C153)</f>
        <v/>
      </c>
      <c r="E153" s="7">
        <f>STDEV(C142:C153)</f>
        <v/>
      </c>
    </row>
    <row r="154">
      <c r="A154" s="6" t="n">
        <v>37500</v>
      </c>
      <c r="B154" s="3" t="n">
        <v>319.1357143</v>
      </c>
      <c r="C154" s="7">
        <f>IF(ROW()=2,"",LOG(B154/B153)*100)</f>
        <v/>
      </c>
      <c r="D154" s="7">
        <f>STDEV(C152:C154)</f>
        <v/>
      </c>
      <c r="E154" s="7">
        <f>STDEV(C143:C154)</f>
        <v/>
      </c>
    </row>
    <row r="155">
      <c r="A155" s="6" t="n">
        <v>37530</v>
      </c>
      <c r="B155" s="3" t="n">
        <v>316.5565217</v>
      </c>
      <c r="C155" s="7">
        <f>IF(ROW()=2,"",LOG(B155/B154)*100)</f>
        <v/>
      </c>
      <c r="D155" s="7">
        <f>STDEV(C153:C155)</f>
        <v/>
      </c>
      <c r="E155" s="7">
        <f>STDEV(C144:C155)</f>
        <v/>
      </c>
    </row>
    <row r="156">
      <c r="A156" s="6" t="n">
        <v>37561</v>
      </c>
      <c r="B156" s="3" t="n">
        <v>320.4357143</v>
      </c>
      <c r="C156" s="7">
        <f>IF(ROW()=2,"",LOG(B156/B155)*100)</f>
        <v/>
      </c>
      <c r="D156" s="7">
        <f>STDEV(C154:C156)</f>
        <v/>
      </c>
      <c r="E156" s="7">
        <f>STDEV(C145:C156)</f>
        <v/>
      </c>
    </row>
    <row r="157">
      <c r="A157" s="6" t="n">
        <v>37591</v>
      </c>
      <c r="B157" s="3" t="n">
        <v>332.0361111</v>
      </c>
      <c r="C157" s="7">
        <f>IF(ROW()=2,"",LOG(B157/B156)*100)</f>
        <v/>
      </c>
      <c r="D157" s="7">
        <f>STDEV(C155:C157)</f>
        <v/>
      </c>
      <c r="E157" s="7">
        <f>STDEV(C146:C157)</f>
        <v/>
      </c>
    </row>
    <row r="158">
      <c r="A158" s="6" t="n">
        <v>37622</v>
      </c>
      <c r="B158" s="3" t="n">
        <v>356.8590909090909</v>
      </c>
      <c r="C158" s="7">
        <f>IF(ROW()=2,"",LOG(B158/B157)*100)</f>
        <v/>
      </c>
      <c r="D158" s="7">
        <f>STDEV(C156:C158)</f>
        <v/>
      </c>
      <c r="E158" s="7">
        <f>STDEV(C147:C158)</f>
        <v/>
      </c>
    </row>
    <row r="159">
      <c r="A159" s="6" t="n">
        <v>37653</v>
      </c>
      <c r="B159" s="3" t="n">
        <v>358.97</v>
      </c>
      <c r="C159" s="7">
        <f>IF(ROW()=2,"",LOG(B159/B158)*100)</f>
        <v/>
      </c>
      <c r="D159" s="7">
        <f>STDEV(C157:C159)</f>
        <v/>
      </c>
      <c r="E159" s="7">
        <f>STDEV(C148:C159)</f>
        <v/>
      </c>
    </row>
    <row r="160">
      <c r="A160" s="6" t="n">
        <v>37681</v>
      </c>
      <c r="B160" s="3" t="n">
        <v>340.55</v>
      </c>
      <c r="C160" s="7">
        <f>IF(ROW()=2,"",LOG(B160/B159)*100)</f>
        <v/>
      </c>
      <c r="D160" s="7">
        <f>STDEV(C158:C160)</f>
        <v/>
      </c>
      <c r="E160" s="7">
        <f>STDEV(C149:C160)</f>
        <v/>
      </c>
    </row>
    <row r="161">
      <c r="A161" s="6" t="n">
        <v>37712</v>
      </c>
      <c r="B161" s="3" t="n">
        <v>328.18</v>
      </c>
      <c r="C161" s="7">
        <f>IF(ROW()=2,"",LOG(B161/B160)*100)</f>
        <v/>
      </c>
      <c r="D161" s="7">
        <f>STDEV(C159:C161)</f>
        <v/>
      </c>
      <c r="E161" s="7">
        <f>STDEV(C150:C161)</f>
        <v/>
      </c>
    </row>
    <row r="162">
      <c r="A162" s="6" t="n">
        <v>37742</v>
      </c>
      <c r="B162" s="3" t="n">
        <v>355.6825</v>
      </c>
      <c r="C162" s="7">
        <f>IF(ROW()=2,"",LOG(B162/B161)*100)</f>
        <v/>
      </c>
      <c r="D162" s="7">
        <f>STDEV(C160:C162)</f>
        <v/>
      </c>
      <c r="E162" s="7">
        <f>STDEV(C151:C162)</f>
        <v/>
      </c>
    </row>
    <row r="163">
      <c r="A163" s="6" t="n">
        <v>37773</v>
      </c>
      <c r="B163" s="3" t="n">
        <v>356.352380952381</v>
      </c>
      <c r="C163" s="7">
        <f>IF(ROW()=2,"",LOG(B163/B162)*100)</f>
        <v/>
      </c>
      <c r="D163" s="7">
        <f>STDEV(C161:C163)</f>
        <v/>
      </c>
      <c r="E163" s="7">
        <f>STDEV(C152:C163)</f>
        <v/>
      </c>
    </row>
    <row r="164">
      <c r="A164" s="6" t="n">
        <v>37803</v>
      </c>
      <c r="B164" s="3" t="n">
        <v>351.0195652173913</v>
      </c>
      <c r="C164" s="7">
        <f>IF(ROW()=2,"",LOG(B164/B163)*100)</f>
        <v/>
      </c>
      <c r="D164" s="7">
        <f>STDEV(C162:C164)</f>
        <v/>
      </c>
      <c r="E164" s="7">
        <f>STDEV(C153:C164)</f>
        <v/>
      </c>
    </row>
    <row r="165">
      <c r="A165" s="6" t="n">
        <v>37834</v>
      </c>
      <c r="B165" s="3" t="n">
        <v>359.7675</v>
      </c>
      <c r="C165" s="7">
        <f>IF(ROW()=2,"",LOG(B165/B164)*100)</f>
        <v/>
      </c>
      <c r="D165" s="7">
        <f>STDEV(C163:C165)</f>
        <v/>
      </c>
      <c r="E165" s="7">
        <f>STDEV(C154:C165)</f>
        <v/>
      </c>
    </row>
    <row r="166">
      <c r="A166" s="6" t="n">
        <v>37865</v>
      </c>
      <c r="B166" s="3" t="n">
        <v>378.9454545454546</v>
      </c>
      <c r="C166" s="7">
        <f>IF(ROW()=2,"",LOG(B166/B165)*100)</f>
        <v/>
      </c>
      <c r="D166" s="7">
        <f>STDEV(C164:C166)</f>
        <v/>
      </c>
      <c r="E166" s="7">
        <f>STDEV(C155:C166)</f>
        <v/>
      </c>
    </row>
    <row r="167">
      <c r="A167" s="6" t="n">
        <v>37895</v>
      </c>
      <c r="B167" s="3" t="n">
        <v>378.9195652173912</v>
      </c>
      <c r="C167" s="7">
        <f>IF(ROW()=2,"",LOG(B167/B166)*100)</f>
        <v/>
      </c>
      <c r="D167" s="7">
        <f>STDEV(C165:C167)</f>
        <v/>
      </c>
      <c r="E167" s="7">
        <f>STDEV(C156:C167)</f>
        <v/>
      </c>
    </row>
    <row r="168">
      <c r="A168" s="6" t="n">
        <v>37926</v>
      </c>
      <c r="B168" s="3" t="n">
        <v>389.91</v>
      </c>
      <c r="C168" s="7">
        <f>IF(ROW()=2,"",LOG(B168/B167)*100)</f>
        <v/>
      </c>
      <c r="D168" s="7">
        <f>STDEV(C166:C168)</f>
        <v/>
      </c>
      <c r="E168" s="7">
        <f>STDEV(C157:C168)</f>
        <v/>
      </c>
    </row>
    <row r="169">
      <c r="A169" s="6" t="n">
        <v>37956</v>
      </c>
      <c r="B169" s="3" t="n">
        <v>406.9526315789473</v>
      </c>
      <c r="C169" s="7">
        <f>IF(ROW()=2,"",LOG(B169/B168)*100)</f>
        <v/>
      </c>
      <c r="D169" s="7">
        <f>STDEV(C167:C169)</f>
        <v/>
      </c>
      <c r="E169" s="7">
        <f>STDEV(C158:C169)</f>
        <v/>
      </c>
    </row>
    <row r="170">
      <c r="A170" s="6" t="n">
        <v>37987</v>
      </c>
      <c r="B170" s="3" t="n">
        <v>413.7880952380953</v>
      </c>
      <c r="C170" s="7">
        <f>IF(ROW()=2,"",LOG(B170/B169)*100)</f>
        <v/>
      </c>
      <c r="D170" s="7">
        <f>STDEV(C168:C170)</f>
        <v/>
      </c>
      <c r="E170" s="7">
        <f>STDEV(C159:C170)</f>
        <v/>
      </c>
    </row>
    <row r="171">
      <c r="A171" s="6" t="n">
        <v>38018</v>
      </c>
      <c r="B171" s="3" t="n">
        <v>404.8775</v>
      </c>
      <c r="C171" s="7">
        <f>IF(ROW()=2,"",LOG(B171/B170)*100)</f>
        <v/>
      </c>
      <c r="D171" s="7">
        <f>STDEV(C169:C171)</f>
        <v/>
      </c>
      <c r="E171" s="7">
        <f>STDEV(C160:C171)</f>
        <v/>
      </c>
    </row>
    <row r="172">
      <c r="A172" s="6" t="n">
        <v>38047</v>
      </c>
      <c r="B172" s="3" t="n">
        <v>406.6673913043479</v>
      </c>
      <c r="C172" s="7">
        <f>IF(ROW()=2,"",LOG(B172/B171)*100)</f>
        <v/>
      </c>
      <c r="D172" s="7">
        <f>STDEV(C170:C172)</f>
        <v/>
      </c>
      <c r="E172" s="7">
        <f>STDEV(C161:C172)</f>
        <v/>
      </c>
    </row>
    <row r="173">
      <c r="A173" s="6" t="n">
        <v>38078</v>
      </c>
      <c r="B173" s="3" t="n">
        <v>403.26</v>
      </c>
      <c r="C173" s="7">
        <f>IF(ROW()=2,"",LOG(B173/B172)*100)</f>
        <v/>
      </c>
      <c r="D173" s="7">
        <f>STDEV(C171:C173)</f>
        <v/>
      </c>
      <c r="E173" s="7">
        <f>STDEV(C162:C173)</f>
        <v/>
      </c>
    </row>
    <row r="174">
      <c r="A174" s="6" t="n">
        <v>38108</v>
      </c>
      <c r="B174" s="3" t="n">
        <v>383.778947368421</v>
      </c>
      <c r="C174" s="7">
        <f>IF(ROW()=2,"",LOG(B174/B173)*100)</f>
        <v/>
      </c>
      <c r="D174" s="7">
        <f>STDEV(C172:C174)</f>
        <v/>
      </c>
      <c r="E174" s="7">
        <f>STDEV(C163:C174)</f>
        <v/>
      </c>
    </row>
    <row r="175">
      <c r="A175" s="6" t="n">
        <v>38139</v>
      </c>
      <c r="B175" s="3" t="n">
        <v>392.3727272727272</v>
      </c>
      <c r="C175" s="7">
        <f>IF(ROW()=2,"",LOG(B175/B174)*100)</f>
        <v/>
      </c>
      <c r="D175" s="7">
        <f>STDEV(C173:C175)</f>
        <v/>
      </c>
      <c r="E175" s="7">
        <f>STDEV(C164:C175)</f>
        <v/>
      </c>
    </row>
    <row r="176">
      <c r="A176" s="6" t="n">
        <v>38169</v>
      </c>
      <c r="B176" s="3" t="n">
        <v>398.0909090909091</v>
      </c>
      <c r="C176" s="7">
        <f>IF(ROW()=2,"",LOG(B176/B175)*100)</f>
        <v/>
      </c>
      <c r="D176" s="7">
        <f>STDEV(C174:C176)</f>
        <v/>
      </c>
      <c r="E176" s="7">
        <f>STDEV(C165:C176)</f>
        <v/>
      </c>
    </row>
    <row r="177">
      <c r="A177" s="6" t="n">
        <v>38200</v>
      </c>
      <c r="B177" s="3" t="n">
        <v>400.5095238095238</v>
      </c>
      <c r="C177" s="7">
        <f>IF(ROW()=2,"",LOG(B177/B176)*100)</f>
        <v/>
      </c>
      <c r="D177" s="7">
        <f>STDEV(C175:C177)</f>
        <v/>
      </c>
      <c r="E177" s="7">
        <f>STDEV(C166:C177)</f>
        <v/>
      </c>
    </row>
    <row r="178">
      <c r="A178" s="6" t="n">
        <v>38231</v>
      </c>
      <c r="B178" s="3" t="n">
        <v>405.275</v>
      </c>
      <c r="C178" s="7">
        <f>IF(ROW()=2,"",LOG(B178/B177)*100)</f>
        <v/>
      </c>
      <c r="D178" s="7">
        <f>STDEV(C176:C178)</f>
        <v/>
      </c>
      <c r="E178" s="7">
        <f>STDEV(C167:C178)</f>
        <v/>
      </c>
    </row>
    <row r="179">
      <c r="A179" s="6" t="n">
        <v>38261</v>
      </c>
      <c r="B179" s="3" t="n">
        <v>420.4642857142857</v>
      </c>
      <c r="C179" s="7">
        <f>IF(ROW()=2,"",LOG(B179/B178)*100)</f>
        <v/>
      </c>
      <c r="D179" s="7">
        <f>STDEV(C177:C179)</f>
        <v/>
      </c>
      <c r="E179" s="7">
        <f>STDEV(C168:C179)</f>
        <v/>
      </c>
    </row>
    <row r="180">
      <c r="A180" s="6" t="n">
        <v>38292</v>
      </c>
      <c r="B180" s="3" t="n">
        <v>439.375</v>
      </c>
      <c r="C180" s="7">
        <f>IF(ROW()=2,"",LOG(B180/B179)*100)</f>
        <v/>
      </c>
      <c r="D180" s="7">
        <f>STDEV(C178:C180)</f>
        <v/>
      </c>
      <c r="E180" s="7">
        <f>STDEV(C169:C180)</f>
        <v/>
      </c>
    </row>
    <row r="181">
      <c r="A181" s="6" t="n">
        <v>38322</v>
      </c>
      <c r="B181" s="3" t="n">
        <v>442.078947368421</v>
      </c>
      <c r="C181" s="7">
        <f>IF(ROW()=2,"",LOG(B181/B180)*100)</f>
        <v/>
      </c>
      <c r="D181" s="7">
        <f>STDEV(C179:C181)</f>
        <v/>
      </c>
      <c r="E181" s="7">
        <f>STDEV(C170:C181)</f>
        <v/>
      </c>
    </row>
    <row r="182">
      <c r="A182" s="6" t="n">
        <v>38353</v>
      </c>
      <c r="B182" s="3" t="n">
        <v>424.03</v>
      </c>
      <c r="C182" s="7">
        <f>IF(ROW()=2,"",LOG(B182/B181)*100)</f>
        <v/>
      </c>
      <c r="D182" s="7">
        <f>STDEV(C180:C182)</f>
        <v/>
      </c>
      <c r="E182" s="7">
        <f>STDEV(C171:C182)</f>
        <v/>
      </c>
    </row>
    <row r="183">
      <c r="A183" s="6" t="n">
        <v>38384</v>
      </c>
      <c r="B183" s="3" t="n">
        <v>423.35</v>
      </c>
      <c r="C183" s="7">
        <f>IF(ROW()=2,"",LOG(B183/B182)*100)</f>
        <v/>
      </c>
      <c r="D183" s="7">
        <f>STDEV(C181:C183)</f>
        <v/>
      </c>
      <c r="E183" s="7">
        <f>STDEV(C172:C183)</f>
        <v/>
      </c>
    </row>
    <row r="184">
      <c r="A184" s="6" t="n">
        <v>38412</v>
      </c>
      <c r="B184" s="3" t="n">
        <v>434.3214285714286</v>
      </c>
      <c r="C184" s="7">
        <f>IF(ROW()=2,"",LOG(B184/B183)*100)</f>
        <v/>
      </c>
      <c r="D184" s="7">
        <f>STDEV(C182:C184)</f>
        <v/>
      </c>
      <c r="E184" s="7">
        <f>STDEV(C173:C184)</f>
        <v/>
      </c>
    </row>
    <row r="185">
      <c r="A185" s="6" t="n">
        <v>38443</v>
      </c>
      <c r="B185" s="3" t="n">
        <v>429.2333333333334</v>
      </c>
      <c r="C185" s="7">
        <f>IF(ROW()=2,"",LOG(B185/B184)*100)</f>
        <v/>
      </c>
      <c r="D185" s="7">
        <f>STDEV(C183:C185)</f>
        <v/>
      </c>
      <c r="E185" s="7">
        <f>STDEV(C174:C185)</f>
        <v/>
      </c>
    </row>
    <row r="186">
      <c r="A186" s="6" t="n">
        <v>38473</v>
      </c>
      <c r="B186" s="3" t="n">
        <v>421.8725</v>
      </c>
      <c r="C186" s="7">
        <f>IF(ROW()=2,"",LOG(B186/B185)*100)</f>
        <v/>
      </c>
      <c r="D186" s="7">
        <f>STDEV(C184:C186)</f>
        <v/>
      </c>
      <c r="E186" s="7">
        <f>STDEV(C175:C186)</f>
        <v/>
      </c>
    </row>
    <row r="187">
      <c r="A187" s="6" t="n">
        <v>38504</v>
      </c>
      <c r="B187" s="3" t="n">
        <v>430.6568181818182</v>
      </c>
      <c r="C187" s="7">
        <f>IF(ROW()=2,"",LOG(B187/B186)*100)</f>
        <v/>
      </c>
      <c r="D187" s="7">
        <f>STDEV(C185:C187)</f>
        <v/>
      </c>
      <c r="E187" s="7">
        <f>STDEV(C176:C187)</f>
        <v/>
      </c>
    </row>
    <row r="188">
      <c r="A188" s="6" t="n">
        <v>38534</v>
      </c>
      <c r="B188" s="3" t="n">
        <v>424.4785714285714</v>
      </c>
      <c r="C188" s="7">
        <f>IF(ROW()=2,"",LOG(B188/B187)*100)</f>
        <v/>
      </c>
      <c r="D188" s="7">
        <f>STDEV(C186:C188)</f>
        <v/>
      </c>
      <c r="E188" s="7">
        <f>STDEV(C177:C188)</f>
        <v/>
      </c>
    </row>
    <row r="189">
      <c r="A189" s="6" t="n">
        <v>38565</v>
      </c>
      <c r="B189" s="3" t="n">
        <v>437.9295454545454</v>
      </c>
      <c r="C189" s="7">
        <f>IF(ROW()=2,"",LOG(B189/B188)*100)</f>
        <v/>
      </c>
      <c r="D189" s="7">
        <f>STDEV(C187:C189)</f>
        <v/>
      </c>
      <c r="E189" s="7">
        <f>STDEV(C178:C189)</f>
        <v/>
      </c>
    </row>
    <row r="190">
      <c r="A190" s="6" t="n">
        <v>38596</v>
      </c>
      <c r="B190" s="3" t="n">
        <v>456.0477272727272</v>
      </c>
      <c r="C190" s="7">
        <f>IF(ROW()=2,"",LOG(B190/B189)*100)</f>
        <v/>
      </c>
      <c r="D190" s="7">
        <f>STDEV(C188:C190)</f>
        <v/>
      </c>
      <c r="E190" s="7">
        <f>STDEV(C179:C190)</f>
        <v/>
      </c>
    </row>
    <row r="191">
      <c r="A191" s="6" t="n">
        <v>38626</v>
      </c>
      <c r="B191" s="3" t="n">
        <v>469.8976190476191</v>
      </c>
      <c r="C191" s="7">
        <f>IF(ROW()=2,"",LOG(B191/B190)*100)</f>
        <v/>
      </c>
      <c r="D191" s="7">
        <f>STDEV(C189:C191)</f>
        <v/>
      </c>
      <c r="E191" s="7">
        <f>STDEV(C180:C191)</f>
        <v/>
      </c>
    </row>
    <row r="192">
      <c r="A192" s="6" t="n">
        <v>38657</v>
      </c>
      <c r="B192" s="3" t="n">
        <v>476.6659090909091</v>
      </c>
      <c r="C192" s="7">
        <f>IF(ROW()=2,"",LOG(B192/B191)*100)</f>
        <v/>
      </c>
      <c r="D192" s="7">
        <f>STDEV(C190:C192)</f>
        <v/>
      </c>
      <c r="E192" s="7">
        <f>STDEV(C181:C192)</f>
        <v/>
      </c>
    </row>
    <row r="193">
      <c r="A193" s="6" t="n">
        <v>38687</v>
      </c>
      <c r="B193" s="3" t="n">
        <v>510.0972222222222</v>
      </c>
      <c r="C193" s="7">
        <f>IF(ROW()=2,"",LOG(B193/B192)*100)</f>
        <v/>
      </c>
      <c r="D193" s="7">
        <f>STDEV(C191:C193)</f>
        <v/>
      </c>
      <c r="E193" s="7">
        <f>STDEV(C182:C193)</f>
        <v/>
      </c>
    </row>
    <row r="194">
      <c r="A194" s="6" t="n">
        <v>38718</v>
      </c>
      <c r="B194" s="3" t="n">
        <v>549.8642857142856</v>
      </c>
      <c r="C194" s="7">
        <f>IF(ROW()=2,"",LOG(B194/B193)*100)</f>
        <v/>
      </c>
      <c r="D194" s="7">
        <f>STDEV(C192:C194)</f>
        <v/>
      </c>
      <c r="E194" s="7">
        <f>STDEV(C183:C194)</f>
        <v/>
      </c>
    </row>
    <row r="195">
      <c r="A195" s="6" t="n">
        <v>38749</v>
      </c>
      <c r="B195" s="3" t="n">
        <v>554.995</v>
      </c>
      <c r="C195" s="7">
        <f>IF(ROW()=2,"",LOG(B195/B194)*100)</f>
        <v/>
      </c>
      <c r="D195" s="7">
        <f>STDEV(C193:C195)</f>
        <v/>
      </c>
      <c r="E195" s="7">
        <f>STDEV(C184:C195)</f>
        <v/>
      </c>
    </row>
    <row r="196">
      <c r="A196" s="6" t="n">
        <v>38777</v>
      </c>
      <c r="B196" s="3" t="n">
        <v>557.0934782608696</v>
      </c>
      <c r="C196" s="7">
        <f>IF(ROW()=2,"",LOG(B196/B195)*100)</f>
        <v/>
      </c>
      <c r="D196" s="7">
        <f>STDEV(C194:C196)</f>
        <v/>
      </c>
      <c r="E196" s="7">
        <f>STDEV(C185:C196)</f>
        <v/>
      </c>
    </row>
    <row r="197">
      <c r="A197" s="6" t="n">
        <v>38808</v>
      </c>
      <c r="B197" s="3" t="n">
        <v>610.6527777777778</v>
      </c>
      <c r="C197" s="7">
        <f>IF(ROW()=2,"",LOG(B197/B196)*100)</f>
        <v/>
      </c>
      <c r="D197" s="7">
        <f>STDEV(C195:C197)</f>
        <v/>
      </c>
      <c r="E197" s="7">
        <f>STDEV(C186:C197)</f>
        <v/>
      </c>
    </row>
    <row r="198">
      <c r="A198" s="6" t="n">
        <v>38838</v>
      </c>
      <c r="B198" s="3" t="n">
        <v>675.3928571428571</v>
      </c>
      <c r="C198" s="7">
        <f>IF(ROW()=2,"",LOG(B198/B197)*100)</f>
        <v/>
      </c>
      <c r="D198" s="7">
        <f>STDEV(C196:C198)</f>
        <v/>
      </c>
      <c r="E198" s="7">
        <f>STDEV(C187:C198)</f>
        <v/>
      </c>
    </row>
    <row r="199">
      <c r="A199" s="6" t="n">
        <v>38869</v>
      </c>
      <c r="B199" s="3" t="n">
        <v>596.1454545454545</v>
      </c>
      <c r="C199" s="7">
        <f>IF(ROW()=2,"",LOG(B199/B198)*100)</f>
        <v/>
      </c>
      <c r="D199" s="7">
        <f>STDEV(C197:C199)</f>
        <v/>
      </c>
      <c r="E199" s="7">
        <f>STDEV(C188:C199)</f>
        <v/>
      </c>
    </row>
    <row r="200">
      <c r="A200" s="6" t="n">
        <v>38899</v>
      </c>
      <c r="B200" s="3" t="n">
        <v>633.7095238095238</v>
      </c>
      <c r="C200" s="7">
        <f>IF(ROW()=2,"",LOG(B200/B199)*100)</f>
        <v/>
      </c>
      <c r="D200" s="7">
        <f>STDEV(C198:C200)</f>
        <v/>
      </c>
      <c r="E200" s="7">
        <f>STDEV(C189:C200)</f>
        <v/>
      </c>
    </row>
    <row r="201">
      <c r="A201" s="6" t="n">
        <v>38930</v>
      </c>
      <c r="B201" s="3" t="n">
        <v>632.5931818181818</v>
      </c>
      <c r="C201" s="7">
        <f>IF(ROW()=2,"",LOG(B201/B200)*100)</f>
        <v/>
      </c>
      <c r="D201" s="7">
        <f>STDEV(C199:C201)</f>
        <v/>
      </c>
      <c r="E201" s="7">
        <f>STDEV(C190:C201)</f>
        <v/>
      </c>
    </row>
    <row r="202">
      <c r="A202" s="6" t="n">
        <v>38961</v>
      </c>
      <c r="B202" s="3" t="n">
        <v>598.1857142857143</v>
      </c>
      <c r="C202" s="7">
        <f>IF(ROW()=2,"",LOG(B202/B201)*100)</f>
        <v/>
      </c>
      <c r="D202" s="7">
        <f>STDEV(C200:C202)</f>
        <v/>
      </c>
      <c r="E202" s="7">
        <f>STDEV(C191:C202)</f>
        <v/>
      </c>
    </row>
    <row r="203">
      <c r="A203" s="6" t="n">
        <v>38991</v>
      </c>
      <c r="B203" s="3" t="n">
        <v>585.7795454545455</v>
      </c>
      <c r="C203" s="7">
        <f>IF(ROW()=2,"",LOG(B203/B202)*100)</f>
        <v/>
      </c>
      <c r="D203" s="7">
        <f>STDEV(C201:C203)</f>
        <v/>
      </c>
      <c r="E203" s="7">
        <f>STDEV(C192:C203)</f>
        <v/>
      </c>
    </row>
    <row r="204">
      <c r="A204" s="6" t="n">
        <v>39022</v>
      </c>
      <c r="B204" s="3" t="n">
        <v>627.8272727272728</v>
      </c>
      <c r="C204" s="7">
        <f>IF(ROW()=2,"",LOG(B204/B203)*100)</f>
        <v/>
      </c>
      <c r="D204" s="7">
        <f>STDEV(C202:C204)</f>
        <v/>
      </c>
      <c r="E204" s="7">
        <f>STDEV(C193:C204)</f>
        <v/>
      </c>
    </row>
    <row r="205">
      <c r="A205" s="6" t="n">
        <v>39052</v>
      </c>
      <c r="B205" s="3" t="n">
        <v>629.7911764705883</v>
      </c>
      <c r="C205" s="7">
        <f>IF(ROW()=2,"",LOG(B205/B204)*100)</f>
        <v/>
      </c>
      <c r="D205" s="7">
        <f>STDEV(C203:C205)</f>
        <v/>
      </c>
      <c r="E205" s="7">
        <f>STDEV(C194:C205)</f>
        <v/>
      </c>
    </row>
    <row r="206">
      <c r="A206" s="6" t="n">
        <v>39083</v>
      </c>
      <c r="B206" s="3" t="n">
        <v>631.1659090909092</v>
      </c>
      <c r="C206" s="7">
        <f>IF(ROW()=2,"",LOG(B206/B205)*100)</f>
        <v/>
      </c>
      <c r="D206" s="7">
        <f>STDEV(C204:C206)</f>
        <v/>
      </c>
      <c r="E206" s="7">
        <f>STDEV(C195:C206)</f>
        <v/>
      </c>
    </row>
    <row r="207">
      <c r="A207" s="6" t="n">
        <v>39114</v>
      </c>
      <c r="B207" s="3" t="n">
        <v>664.745</v>
      </c>
      <c r="C207" s="7">
        <f>IF(ROW()=2,"",LOG(B207/B206)*100)</f>
        <v/>
      </c>
      <c r="D207" s="7">
        <f>STDEV(C205:C207)</f>
        <v/>
      </c>
      <c r="E207" s="7">
        <f>STDEV(C196:C207)</f>
        <v/>
      </c>
    </row>
    <row r="208">
      <c r="A208" s="6" t="n">
        <v>39142</v>
      </c>
      <c r="B208" s="3" t="n">
        <v>654.8954545454545</v>
      </c>
      <c r="C208" s="7">
        <f>IF(ROW()=2,"",LOG(B208/B207)*100)</f>
        <v/>
      </c>
      <c r="D208" s="7">
        <f>STDEV(C206:C208)</f>
        <v/>
      </c>
      <c r="E208" s="7">
        <f>STDEV(C197:C208)</f>
        <v/>
      </c>
    </row>
    <row r="209">
      <c r="A209" s="6" t="n">
        <v>39173</v>
      </c>
      <c r="B209" s="3" t="n">
        <v>679.3684210526316</v>
      </c>
      <c r="C209" s="7">
        <f>IF(ROW()=2,"",LOG(B209/B208)*100)</f>
        <v/>
      </c>
      <c r="D209" s="7">
        <f>STDEV(C207:C209)</f>
        <v/>
      </c>
      <c r="E209" s="7">
        <f>STDEV(C198:C209)</f>
        <v/>
      </c>
    </row>
    <row r="210">
      <c r="A210" s="6" t="n">
        <v>39203</v>
      </c>
      <c r="B210" s="3" t="n">
        <v>666.8595238095237</v>
      </c>
      <c r="C210" s="7">
        <f>IF(ROW()=2,"",LOG(B210/B209)*100)</f>
        <v/>
      </c>
      <c r="D210" s="7">
        <f>STDEV(C208:C210)</f>
        <v/>
      </c>
      <c r="E210" s="7">
        <f>STDEV(C199:C210)</f>
        <v/>
      </c>
    </row>
    <row r="211">
      <c r="A211" s="6" t="n">
        <v>39234</v>
      </c>
      <c r="B211" s="3" t="n">
        <v>655.4904761904762</v>
      </c>
      <c r="C211" s="7">
        <f>IF(ROW()=2,"",LOG(B211/B210)*100)</f>
        <v/>
      </c>
      <c r="D211" s="7">
        <f>STDEV(C209:C211)</f>
        <v/>
      </c>
      <c r="E211" s="7">
        <f>STDEV(C200:C211)</f>
        <v/>
      </c>
    </row>
    <row r="212">
      <c r="A212" s="6" t="n">
        <v>39264</v>
      </c>
      <c r="B212" s="3" t="n">
        <v>665.2954545454545</v>
      </c>
      <c r="C212" s="7">
        <f>IF(ROW()=2,"",LOG(B212/B211)*100)</f>
        <v/>
      </c>
      <c r="D212" s="7">
        <f>STDEV(C210:C212)</f>
        <v/>
      </c>
      <c r="E212" s="7">
        <f>STDEV(C201:C212)</f>
        <v/>
      </c>
    </row>
    <row r="213">
      <c r="A213" s="6" t="n">
        <v>39295</v>
      </c>
      <c r="B213" s="3" t="n">
        <v>665.4113636363637</v>
      </c>
      <c r="C213" s="7">
        <f>IF(ROW()=2,"",LOG(B213/B212)*100)</f>
        <v/>
      </c>
      <c r="D213" s="7">
        <f>STDEV(C211:C213)</f>
        <v/>
      </c>
      <c r="E213" s="7">
        <f>STDEV(C202:C213)</f>
        <v/>
      </c>
    </row>
    <row r="214">
      <c r="A214" s="6" t="n">
        <v>39326</v>
      </c>
      <c r="B214" s="3" t="n">
        <v>712.6525</v>
      </c>
      <c r="C214" s="7">
        <f>IF(ROW()=2,"",LOG(B214/B213)*100)</f>
        <v/>
      </c>
      <c r="D214" s="7">
        <f>STDEV(C212:C214)</f>
        <v/>
      </c>
      <c r="E214" s="7">
        <f>STDEV(C203:C214)</f>
        <v/>
      </c>
    </row>
    <row r="215">
      <c r="A215" s="6" t="n">
        <v>39356</v>
      </c>
      <c r="B215" s="3" t="n">
        <v>754.6043478260871</v>
      </c>
      <c r="C215" s="7">
        <f>IF(ROW()=2,"",LOG(B215/B214)*100)</f>
        <v/>
      </c>
      <c r="D215" s="7">
        <f>STDEV(C213:C215)</f>
        <v/>
      </c>
      <c r="E215" s="7">
        <f>STDEV(C204:C215)</f>
        <v/>
      </c>
    </row>
    <row r="216">
      <c r="A216" s="6" t="n">
        <v>39387</v>
      </c>
      <c r="B216" s="3" t="n">
        <v>806.2477272727273</v>
      </c>
      <c r="C216" s="7">
        <f>IF(ROW()=2,"",LOG(B216/B215)*100)</f>
        <v/>
      </c>
      <c r="D216" s="7">
        <f>STDEV(C214:C216)</f>
        <v/>
      </c>
      <c r="E216" s="7">
        <f>STDEV(C205:C216)</f>
        <v/>
      </c>
    </row>
    <row r="217">
      <c r="A217" s="6" t="n">
        <v>39417</v>
      </c>
      <c r="B217" s="3" t="n">
        <v>803.2029411764706</v>
      </c>
      <c r="C217" s="7">
        <f>IF(ROW()=2,"",LOG(B217/B216)*100)</f>
        <v/>
      </c>
      <c r="D217" s="7">
        <f>STDEV(C215:C217)</f>
        <v/>
      </c>
      <c r="E217" s="7">
        <f>STDEV(C206:C217)</f>
        <v/>
      </c>
    </row>
    <row r="218">
      <c r="A218" s="6" t="n">
        <v>39448</v>
      </c>
      <c r="B218" s="3" t="n">
        <v>889.5954545454545</v>
      </c>
      <c r="C218" s="7">
        <f>IF(ROW()=2,"",LOG(B218/B217)*100)</f>
        <v/>
      </c>
      <c r="D218" s="7">
        <f>STDEV(C216:C218)</f>
        <v/>
      </c>
      <c r="E218" s="7">
        <f>STDEV(C207:C218)</f>
        <v/>
      </c>
    </row>
    <row r="219">
      <c r="A219" s="6" t="n">
        <v>39479</v>
      </c>
      <c r="B219" s="3" t="n">
        <v>922.297619047619</v>
      </c>
      <c r="C219" s="7">
        <f>IF(ROW()=2,"",LOG(B219/B218)*100)</f>
        <v/>
      </c>
      <c r="D219" s="7">
        <f>STDEV(C217:C219)</f>
        <v/>
      </c>
      <c r="E219" s="7">
        <f>STDEV(C208:C219)</f>
        <v/>
      </c>
    </row>
    <row r="220">
      <c r="A220" s="6" t="n">
        <v>39508</v>
      </c>
      <c r="B220" s="3" t="n">
        <v>968.4342105263158</v>
      </c>
      <c r="C220" s="7">
        <f>IF(ROW()=2,"",LOG(B220/B219)*100)</f>
        <v/>
      </c>
      <c r="D220" s="7">
        <f>STDEV(C218:C220)</f>
        <v/>
      </c>
      <c r="E220" s="7">
        <f>STDEV(C209:C220)</f>
        <v/>
      </c>
    </row>
    <row r="221">
      <c r="A221" s="6" t="n">
        <v>39539</v>
      </c>
      <c r="B221" s="3" t="n">
        <v>909.7045454545456</v>
      </c>
      <c r="C221" s="7">
        <f>IF(ROW()=2,"",LOG(B221/B220)*100)</f>
        <v/>
      </c>
      <c r="D221" s="7">
        <f>STDEV(C219:C221)</f>
        <v/>
      </c>
      <c r="E221" s="7">
        <f>STDEV(C210:C221)</f>
        <v/>
      </c>
    </row>
    <row r="222">
      <c r="A222" s="6" t="n">
        <v>39569</v>
      </c>
      <c r="B222" s="3" t="n">
        <v>888.6625</v>
      </c>
      <c r="C222" s="7">
        <f>IF(ROW()=2,"",LOG(B222/B221)*100)</f>
        <v/>
      </c>
      <c r="D222" s="7">
        <f>STDEV(C220:C222)</f>
        <v/>
      </c>
      <c r="E222" s="7">
        <f>STDEV(C211:C222)</f>
        <v/>
      </c>
    </row>
    <row r="223">
      <c r="A223" s="6" t="n">
        <v>39600</v>
      </c>
      <c r="B223" s="3" t="n">
        <v>889.4880952380952</v>
      </c>
      <c r="C223" s="7">
        <f>IF(ROW()=2,"",LOG(B223/B222)*100)</f>
        <v/>
      </c>
      <c r="D223" s="7">
        <f>STDEV(C221:C223)</f>
        <v/>
      </c>
      <c r="E223" s="7">
        <f>STDEV(C212:C223)</f>
        <v/>
      </c>
    </row>
    <row r="224">
      <c r="A224" s="6" t="n">
        <v>39630</v>
      </c>
      <c r="B224" s="3" t="n">
        <v>939.7717391304348</v>
      </c>
      <c r="C224" s="7">
        <f>IF(ROW()=2,"",LOG(B224/B223)*100)</f>
        <v/>
      </c>
      <c r="D224" s="7">
        <f>STDEV(C222:C224)</f>
        <v/>
      </c>
      <c r="E224" s="7">
        <f>STDEV(C213:C224)</f>
        <v/>
      </c>
    </row>
    <row r="225">
      <c r="A225" s="6" t="n">
        <v>39661</v>
      </c>
      <c r="B225" s="3" t="n">
        <v>839.025</v>
      </c>
      <c r="C225" s="7">
        <f>IF(ROW()=2,"",LOG(B225/B224)*100)</f>
        <v/>
      </c>
      <c r="D225" s="7">
        <f>STDEV(C223:C225)</f>
        <v/>
      </c>
      <c r="E225" s="7">
        <f>STDEV(C214:C225)</f>
        <v/>
      </c>
    </row>
    <row r="226">
      <c r="A226" s="6" t="n">
        <v>39692</v>
      </c>
      <c r="B226" s="3" t="n">
        <v>829.9318181818181</v>
      </c>
      <c r="C226" s="7">
        <f>IF(ROW()=2,"",LOG(B226/B225)*100)</f>
        <v/>
      </c>
      <c r="D226" s="7">
        <f>STDEV(C224:C226)</f>
        <v/>
      </c>
      <c r="E226" s="7">
        <f>STDEV(C215:C226)</f>
        <v/>
      </c>
    </row>
    <row r="227">
      <c r="A227" s="6" t="n">
        <v>39722</v>
      </c>
      <c r="B227" s="3" t="n">
        <v>806.6195652173913</v>
      </c>
      <c r="C227" s="7">
        <f>IF(ROW()=2,"",LOG(B227/B226)*100)</f>
        <v/>
      </c>
      <c r="D227" s="7">
        <f>STDEV(C225:C227)</f>
        <v/>
      </c>
      <c r="E227" s="7">
        <f>STDEV(C216:C227)</f>
        <v/>
      </c>
    </row>
    <row r="228">
      <c r="A228" s="6" t="n">
        <v>39753</v>
      </c>
      <c r="B228" s="3" t="n">
        <v>760.8625</v>
      </c>
      <c r="C228" s="7">
        <f>IF(ROW()=2,"",LOG(B228/B227)*100)</f>
        <v/>
      </c>
      <c r="D228" s="7">
        <f>STDEV(C226:C228)</f>
        <v/>
      </c>
      <c r="E228" s="7">
        <f>STDEV(C217:C228)</f>
        <v/>
      </c>
    </row>
    <row r="229">
      <c r="A229" s="6" t="n">
        <v>39783</v>
      </c>
      <c r="B229" s="3" t="n">
        <v>816.0921052631579</v>
      </c>
      <c r="C229" s="7">
        <f>IF(ROW()=2,"",LOG(B229/B228)*100)</f>
        <v/>
      </c>
      <c r="D229" s="7">
        <f>STDEV(C227:C229)</f>
        <v/>
      </c>
      <c r="E229" s="7">
        <f>STDEV(C218:C229)</f>
        <v/>
      </c>
    </row>
    <row r="230">
      <c r="A230" s="6" t="n">
        <v>39814</v>
      </c>
      <c r="B230" s="3" t="n">
        <v>858.6904761904761</v>
      </c>
      <c r="C230" s="7">
        <f>IF(ROW()=2,"",LOG(B230/B229)*100)</f>
        <v/>
      </c>
      <c r="D230" s="7">
        <f>STDEV(C228:C230)</f>
        <v/>
      </c>
      <c r="E230" s="7">
        <f>STDEV(C219:C230)</f>
        <v/>
      </c>
    </row>
    <row r="231">
      <c r="A231" s="6" t="n">
        <v>39845</v>
      </c>
      <c r="B231" s="3" t="n">
        <v>943.1625</v>
      </c>
      <c r="C231" s="7">
        <f>IF(ROW()=2,"",LOG(B231/B230)*100)</f>
        <v/>
      </c>
      <c r="D231" s="7">
        <f>STDEV(C229:C231)</f>
        <v/>
      </c>
      <c r="E231" s="7">
        <f>STDEV(C220:C231)</f>
        <v/>
      </c>
    </row>
    <row r="232">
      <c r="A232" s="6" t="n">
        <v>39873</v>
      </c>
      <c r="B232" s="3" t="n">
        <v>924.2727272727273</v>
      </c>
      <c r="C232" s="7">
        <f>IF(ROW()=2,"",LOG(B232/B231)*100)</f>
        <v/>
      </c>
      <c r="D232" s="7">
        <f>STDEV(C230:C232)</f>
        <v/>
      </c>
      <c r="E232" s="7">
        <f>STDEV(C221:C232)</f>
        <v/>
      </c>
    </row>
    <row r="233">
      <c r="A233" s="6" t="n">
        <v>39904</v>
      </c>
      <c r="B233" s="3" t="n">
        <v>890.2</v>
      </c>
      <c r="C233" s="7">
        <f>IF(ROW()=2,"",LOG(B233/B232)*100)</f>
        <v/>
      </c>
      <c r="D233" s="7">
        <f>STDEV(C231:C233)</f>
        <v/>
      </c>
      <c r="E233" s="7">
        <f>STDEV(C222:C233)</f>
        <v/>
      </c>
    </row>
    <row r="234">
      <c r="A234" s="6" t="n">
        <v>39934</v>
      </c>
      <c r="B234" s="3" t="n">
        <v>928.6447368421052</v>
      </c>
      <c r="C234" s="7">
        <f>IF(ROW()=2,"",LOG(B234/B233)*100)</f>
        <v/>
      </c>
      <c r="D234" s="7">
        <f>STDEV(C232:C234)</f>
        <v/>
      </c>
      <c r="E234" s="7">
        <f>STDEV(C223:C234)</f>
        <v/>
      </c>
    </row>
    <row r="235">
      <c r="A235" s="6" t="n">
        <v>39965</v>
      </c>
      <c r="B235" s="3" t="n">
        <v>945.6704545454544</v>
      </c>
      <c r="C235" s="7">
        <f>IF(ROW()=2,"",LOG(B235/B234)*100)</f>
        <v/>
      </c>
      <c r="D235" s="7">
        <f>STDEV(C233:C235)</f>
        <v/>
      </c>
      <c r="E235" s="7">
        <f>STDEV(C224:C235)</f>
        <v/>
      </c>
    </row>
    <row r="236">
      <c r="A236" s="6" t="n">
        <v>39995</v>
      </c>
      <c r="B236" s="3" t="n">
        <v>934.2282608695652</v>
      </c>
      <c r="C236" s="7">
        <f>IF(ROW()=2,"",LOG(B236/B235)*100)</f>
        <v/>
      </c>
      <c r="D236" s="7">
        <f>STDEV(C234:C236)</f>
        <v/>
      </c>
      <c r="E236" s="7">
        <f>STDEV(C225:C236)</f>
        <v/>
      </c>
    </row>
    <row r="237">
      <c r="A237" s="6" t="n">
        <v>40026</v>
      </c>
      <c r="B237" s="3" t="n">
        <v>949.375</v>
      </c>
      <c r="C237" s="7">
        <f>IF(ROW()=2,"",LOG(B237/B236)*100)</f>
        <v/>
      </c>
      <c r="D237" s="7">
        <f>STDEV(C235:C237)</f>
        <v/>
      </c>
      <c r="E237" s="7">
        <f>STDEV(C226:C237)</f>
        <v/>
      </c>
    </row>
    <row r="238">
      <c r="A238" s="6" t="n">
        <v>40057</v>
      </c>
      <c r="B238" s="3" t="n">
        <v>996.5909090909092</v>
      </c>
      <c r="C238" s="7">
        <f>IF(ROW()=2,"",LOG(B238/B237)*100)</f>
        <v/>
      </c>
      <c r="D238" s="7">
        <f>STDEV(C236:C238)</f>
        <v/>
      </c>
      <c r="E238" s="7">
        <f>STDEV(C227:C238)</f>
        <v/>
      </c>
    </row>
    <row r="239">
      <c r="A239" s="6" t="n">
        <v>40087</v>
      </c>
      <c r="B239" s="3" t="n">
        <v>1043.159090909091</v>
      </c>
      <c r="C239" s="7">
        <f>IF(ROW()=2,"",LOG(B239/B238)*100)</f>
        <v/>
      </c>
      <c r="D239" s="7">
        <f>STDEV(C237:C239)</f>
        <v/>
      </c>
      <c r="E239" s="7">
        <f>STDEV(C228:C239)</f>
        <v/>
      </c>
    </row>
    <row r="240">
      <c r="A240" s="6" t="n">
        <v>40118</v>
      </c>
      <c r="B240" s="3" t="n">
        <v>1127.035714285714</v>
      </c>
      <c r="C240" s="7">
        <f>IF(ROW()=2,"",LOG(B240/B239)*100)</f>
        <v/>
      </c>
      <c r="D240" s="7">
        <f>STDEV(C238:C240)</f>
        <v/>
      </c>
      <c r="E240" s="7">
        <f>STDEV(C229:C240)</f>
        <v/>
      </c>
    </row>
    <row r="241">
      <c r="A241" s="6" t="n">
        <v>40148</v>
      </c>
      <c r="B241" s="3" t="n">
        <v>1134.723684210526</v>
      </c>
      <c r="C241" s="7">
        <f>IF(ROW()=2,"",LOG(B241/B240)*100)</f>
        <v/>
      </c>
      <c r="D241" s="7">
        <f>STDEV(C239:C241)</f>
        <v/>
      </c>
      <c r="E241" s="7">
        <f>STDEV(C230:C241)</f>
        <v/>
      </c>
    </row>
    <row r="242">
      <c r="A242" s="6" t="n">
        <v>40179</v>
      </c>
      <c r="B242" s="3" t="n">
        <v>1117.9625</v>
      </c>
      <c r="C242" s="7">
        <f>IF(ROW()=2,"",LOG(B242/B241)*100)</f>
        <v/>
      </c>
      <c r="D242" s="7">
        <f>STDEV(C240:C242)</f>
        <v/>
      </c>
      <c r="E242" s="7">
        <f>STDEV(C231:C242)</f>
        <v/>
      </c>
    </row>
    <row r="243">
      <c r="A243" s="6" t="n">
        <v>40210</v>
      </c>
      <c r="B243" s="3" t="n">
        <v>1095.4125</v>
      </c>
      <c r="C243" s="7">
        <f>IF(ROW()=2,"",LOG(B243/B242)*100)</f>
        <v/>
      </c>
      <c r="D243" s="7">
        <f>STDEV(C241:C243)</f>
        <v/>
      </c>
      <c r="E243" s="7">
        <f>STDEV(C232:C243)</f>
        <v/>
      </c>
    </row>
    <row r="244">
      <c r="A244" s="6" t="n">
        <v>40238</v>
      </c>
      <c r="B244" s="3" t="n">
        <v>1113.336956521739</v>
      </c>
      <c r="C244" s="7">
        <f>IF(ROW()=2,"",LOG(B244/B243)*100)</f>
        <v/>
      </c>
      <c r="D244" s="7">
        <f>STDEV(C242:C244)</f>
        <v/>
      </c>
      <c r="E244" s="7">
        <f>STDEV(C233:C244)</f>
        <v/>
      </c>
    </row>
    <row r="245">
      <c r="A245" s="6" t="n">
        <v>40269</v>
      </c>
      <c r="B245" s="3" t="n">
        <v>1148.6875</v>
      </c>
      <c r="C245" s="7">
        <f>IF(ROW()=2,"",LOG(B245/B244)*100)</f>
        <v/>
      </c>
      <c r="D245" s="7">
        <f>STDEV(C243:C245)</f>
        <v/>
      </c>
      <c r="E245" s="7">
        <f>STDEV(C234:C245)</f>
        <v/>
      </c>
    </row>
    <row r="246">
      <c r="A246" s="6" t="n">
        <v>40299</v>
      </c>
      <c r="B246" s="3" t="n">
        <v>1205.434210526316</v>
      </c>
      <c r="C246" s="7">
        <f>IF(ROW()=2,"",LOG(B246/B245)*100)</f>
        <v/>
      </c>
      <c r="D246" s="7">
        <f>STDEV(C244:C246)</f>
        <v/>
      </c>
      <c r="E246" s="7">
        <f>STDEV(C235:C246)</f>
        <v/>
      </c>
    </row>
    <row r="247">
      <c r="A247" s="6" t="n">
        <v>40330</v>
      </c>
      <c r="B247" s="3" t="n">
        <v>1232.920454545455</v>
      </c>
      <c r="C247" s="7">
        <f>IF(ROW()=2,"",LOG(B247/B246)*100)</f>
        <v/>
      </c>
      <c r="D247" s="7">
        <f>STDEV(C245:C247)</f>
        <v/>
      </c>
      <c r="E247" s="7">
        <f>STDEV(C236:C247)</f>
        <v/>
      </c>
    </row>
    <row r="248">
      <c r="A248" s="6" t="n">
        <v>40360</v>
      </c>
      <c r="B248" s="3" t="n">
        <v>1192.965909090909</v>
      </c>
      <c r="C248" s="7">
        <f>IF(ROW()=2,"",LOG(B248/B247)*100)</f>
        <v/>
      </c>
      <c r="D248" s="7">
        <f>STDEV(C246:C248)</f>
        <v/>
      </c>
      <c r="E248" s="7">
        <f>STDEV(C237:C248)</f>
        <v/>
      </c>
    </row>
    <row r="249">
      <c r="A249" s="6" t="n">
        <v>40391</v>
      </c>
      <c r="B249" s="3" t="n">
        <v>1215.809523809524</v>
      </c>
      <c r="C249" s="7">
        <f>IF(ROW()=2,"",LOG(B249/B248)*100)</f>
        <v/>
      </c>
      <c r="D249" s="7">
        <f>STDEV(C247:C249)</f>
        <v/>
      </c>
      <c r="E249" s="7">
        <f>STDEV(C238:C249)</f>
        <v/>
      </c>
    </row>
    <row r="250">
      <c r="A250" s="6" t="n">
        <v>40422</v>
      </c>
      <c r="B250" s="3" t="n">
        <v>1270.977272727273</v>
      </c>
      <c r="C250" s="7">
        <f>IF(ROW()=2,"",LOG(B250/B249)*100)</f>
        <v/>
      </c>
      <c r="D250" s="7">
        <f>STDEV(C248:C250)</f>
        <v/>
      </c>
      <c r="E250" s="7">
        <f>STDEV(C239:C250)</f>
        <v/>
      </c>
    </row>
    <row r="251">
      <c r="A251" s="6" t="n">
        <v>40452</v>
      </c>
      <c r="B251" s="3" t="n">
        <v>1342.02380952381</v>
      </c>
      <c r="C251" s="7">
        <f>IF(ROW()=2,"",LOG(B251/B250)*100)</f>
        <v/>
      </c>
      <c r="D251" s="7">
        <f>STDEV(C249:C251)</f>
        <v/>
      </c>
      <c r="E251" s="7">
        <f>STDEV(C240:C251)</f>
        <v/>
      </c>
    </row>
    <row r="252">
      <c r="A252" s="6" t="n">
        <v>40483</v>
      </c>
      <c r="B252" s="3" t="n">
        <v>1369.886363636364</v>
      </c>
      <c r="C252" s="7">
        <f>IF(ROW()=2,"",LOG(B252/B251)*100)</f>
        <v/>
      </c>
      <c r="D252" s="7">
        <f>STDEV(C250:C252)</f>
        <v/>
      </c>
      <c r="E252" s="7">
        <f>STDEV(C241:C252)</f>
        <v/>
      </c>
    </row>
    <row r="253">
      <c r="A253" s="6" t="n">
        <v>40513</v>
      </c>
      <c r="B253" s="3" t="n">
        <v>1390.552631578947</v>
      </c>
      <c r="C253" s="7">
        <f>IF(ROW()=2,"",LOG(B253/B252)*100)</f>
        <v/>
      </c>
      <c r="D253" s="7">
        <f>STDEV(C251:C253)</f>
        <v/>
      </c>
      <c r="E253" s="7">
        <f>STDEV(C242:C253)</f>
        <v/>
      </c>
    </row>
    <row r="254">
      <c r="A254" s="6" t="n">
        <v>40544</v>
      </c>
      <c r="B254" s="3" t="n">
        <v>1356.4</v>
      </c>
      <c r="C254" s="7">
        <f>IF(ROW()=2,"",LOG(B254/B253)*100)</f>
        <v/>
      </c>
      <c r="D254" s="7">
        <f>STDEV(C252:C254)</f>
        <v/>
      </c>
      <c r="E254" s="7">
        <f>STDEV(C243:C254)</f>
        <v/>
      </c>
    </row>
    <row r="255">
      <c r="A255" s="6" t="n">
        <v>40575</v>
      </c>
      <c r="B255" s="3" t="n">
        <v>1372.725</v>
      </c>
      <c r="C255" s="7">
        <f>IF(ROW()=2,"",LOG(B255/B254)*100)</f>
        <v/>
      </c>
      <c r="D255" s="7">
        <f>STDEV(C253:C255)</f>
        <v/>
      </c>
      <c r="E255" s="7">
        <f>STDEV(C244:C255)</f>
        <v/>
      </c>
    </row>
    <row r="256">
      <c r="A256" s="6" t="n">
        <v>40603</v>
      </c>
      <c r="B256" s="3" t="n">
        <v>1424.010869565217</v>
      </c>
      <c r="C256" s="7">
        <f>IF(ROW()=2,"",LOG(B256/B255)*100)</f>
        <v/>
      </c>
      <c r="D256" s="7">
        <f>STDEV(C254:C256)</f>
        <v/>
      </c>
      <c r="E256" s="7">
        <f>STDEV(C245:C256)</f>
        <v/>
      </c>
    </row>
    <row r="257">
      <c r="A257" s="6" t="n">
        <v>40634</v>
      </c>
      <c r="B257" s="3" t="n">
        <v>1473.805555555556</v>
      </c>
      <c r="C257" s="7">
        <f>IF(ROW()=2,"",LOG(B257/B256)*100)</f>
        <v/>
      </c>
      <c r="D257" s="7">
        <f>STDEV(C255:C257)</f>
        <v/>
      </c>
      <c r="E257" s="7">
        <f>STDEV(C246:C257)</f>
        <v/>
      </c>
    </row>
    <row r="258">
      <c r="A258" s="6" t="n">
        <v>40664</v>
      </c>
      <c r="B258" s="3" t="n">
        <v>1510.4375</v>
      </c>
      <c r="C258" s="7">
        <f>IF(ROW()=2,"",LOG(B258/B257)*100)</f>
        <v/>
      </c>
      <c r="D258" s="7">
        <f>STDEV(C256:C258)</f>
        <v/>
      </c>
      <c r="E258" s="7">
        <f>STDEV(C247:C258)</f>
        <v/>
      </c>
    </row>
    <row r="259">
      <c r="A259" s="6" t="n">
        <v>40695</v>
      </c>
      <c r="B259" s="3" t="n">
        <v>1528.659090909091</v>
      </c>
      <c r="C259" s="7">
        <f>IF(ROW()=2,"",LOG(B259/B258)*100)</f>
        <v/>
      </c>
      <c r="D259" s="7">
        <f>STDEV(C257:C259)</f>
        <v/>
      </c>
      <c r="E259" s="7">
        <f>STDEV(C248:C259)</f>
        <v/>
      </c>
    </row>
    <row r="260">
      <c r="A260" s="6" t="n">
        <v>40725</v>
      </c>
      <c r="B260" s="3" t="n">
        <v>1572.809523809524</v>
      </c>
      <c r="C260" s="7">
        <f>IF(ROW()=2,"",LOG(B260/B259)*100)</f>
        <v/>
      </c>
      <c r="D260" s="7">
        <f>STDEV(C258:C260)</f>
        <v/>
      </c>
      <c r="E260" s="7">
        <f>STDEV(C249:C260)</f>
        <v/>
      </c>
    </row>
    <row r="261">
      <c r="A261" s="6" t="n">
        <v>40756</v>
      </c>
      <c r="B261" s="3" t="n">
        <v>1755.806818181818</v>
      </c>
      <c r="C261" s="7">
        <f>IF(ROW()=2,"",LOG(B261/B260)*100)</f>
        <v/>
      </c>
      <c r="D261" s="7">
        <f>STDEV(C259:C261)</f>
        <v/>
      </c>
      <c r="E261" s="7">
        <f>STDEV(C250:C261)</f>
        <v/>
      </c>
    </row>
    <row r="262">
      <c r="A262" s="6" t="n">
        <v>40787</v>
      </c>
      <c r="B262" s="3" t="n">
        <v>1771.852272727273</v>
      </c>
      <c r="C262" s="7">
        <f>IF(ROW()=2,"",LOG(B262/B261)*100)</f>
        <v/>
      </c>
      <c r="D262" s="7">
        <f>STDEV(C260:C262)</f>
        <v/>
      </c>
      <c r="E262" s="7">
        <f>STDEV(C251:C262)</f>
        <v/>
      </c>
    </row>
    <row r="263">
      <c r="A263" s="6" t="n">
        <v>40817</v>
      </c>
      <c r="B263" s="3" t="n">
        <v>1665.214285714286</v>
      </c>
      <c r="C263" s="7">
        <f>IF(ROW()=2,"",LOG(B263/B262)*100)</f>
        <v/>
      </c>
      <c r="D263" s="7">
        <f>STDEV(C261:C263)</f>
        <v/>
      </c>
      <c r="E263" s="7">
        <f>STDEV(C252:C263)</f>
        <v/>
      </c>
    </row>
    <row r="264">
      <c r="A264" s="6" t="n">
        <v>40848</v>
      </c>
      <c r="B264" s="3" t="n">
        <v>1738.977272727273</v>
      </c>
      <c r="C264" s="7">
        <f>IF(ROW()=2,"",LOG(B264/B263)*100)</f>
        <v/>
      </c>
      <c r="D264" s="7">
        <f>STDEV(C262:C264)</f>
        <v/>
      </c>
      <c r="E264" s="7">
        <f>STDEV(C253:C264)</f>
        <v/>
      </c>
    </row>
    <row r="265">
      <c r="A265" s="6" t="n">
        <v>40878</v>
      </c>
      <c r="B265" s="3" t="n">
        <v>1652.305555555556</v>
      </c>
      <c r="C265" s="7">
        <f>IF(ROW()=2,"",LOG(B265/B264)*100)</f>
        <v/>
      </c>
      <c r="D265" s="7">
        <f>STDEV(C263:C265)</f>
        <v/>
      </c>
      <c r="E265" s="7">
        <f>STDEV(C254:C265)</f>
        <v/>
      </c>
    </row>
    <row r="266">
      <c r="A266" s="6" t="n">
        <v>40909</v>
      </c>
      <c r="B266" s="3" t="n">
        <v>1656.119047619048</v>
      </c>
      <c r="C266" s="7">
        <f>IF(ROW()=2,"",LOG(B266/B265)*100)</f>
        <v/>
      </c>
      <c r="D266" s="7">
        <f>STDEV(C264:C266)</f>
        <v/>
      </c>
      <c r="E266" s="7">
        <f>STDEV(C255:C266)</f>
        <v/>
      </c>
    </row>
    <row r="267">
      <c r="A267" s="6" t="n">
        <v>40940</v>
      </c>
      <c r="B267" s="3" t="n">
        <v>1742.619047619048</v>
      </c>
      <c r="C267" s="7">
        <f>IF(ROW()=2,"",LOG(B267/B266)*100)</f>
        <v/>
      </c>
      <c r="D267" s="7">
        <f>STDEV(C265:C267)</f>
        <v/>
      </c>
      <c r="E267" s="7">
        <f>STDEV(C256:C267)</f>
        <v/>
      </c>
    </row>
    <row r="268">
      <c r="A268" s="6" t="n">
        <v>40969</v>
      </c>
      <c r="B268" s="3" t="n">
        <v>1673.772727272727</v>
      </c>
      <c r="C268" s="7">
        <f>IF(ROW()=2,"",LOG(B268/B267)*100)</f>
        <v/>
      </c>
      <c r="D268" s="7">
        <f>STDEV(C266:C268)</f>
        <v/>
      </c>
      <c r="E268" s="7">
        <f>STDEV(C257:C268)</f>
        <v/>
      </c>
    </row>
    <row r="269">
      <c r="A269" s="6" t="n">
        <v>41000</v>
      </c>
      <c r="B269" s="3" t="n">
        <v>1650.065789473684</v>
      </c>
      <c r="C269" s="7">
        <f>IF(ROW()=2,"",LOG(B269/B268)*100)</f>
        <v/>
      </c>
      <c r="D269" s="7">
        <f>STDEV(C267:C269)</f>
        <v/>
      </c>
      <c r="E269" s="7">
        <f>STDEV(C258:C269)</f>
        <v/>
      </c>
    </row>
    <row r="270">
      <c r="A270" s="6" t="n">
        <v>41030</v>
      </c>
      <c r="B270" s="3" t="n">
        <v>1585.504545454546</v>
      </c>
      <c r="C270" s="7">
        <f>IF(ROW()=2,"",LOG(B270/B269)*100)</f>
        <v/>
      </c>
      <c r="D270" s="7">
        <f>STDEV(C268:C270)</f>
        <v/>
      </c>
      <c r="E270" s="7">
        <f>STDEV(C259:C270)</f>
        <v/>
      </c>
    </row>
    <row r="271">
      <c r="A271" s="6" t="n">
        <v>41061</v>
      </c>
      <c r="B271" s="3" t="n">
        <v>1596.697368421053</v>
      </c>
      <c r="C271" s="7">
        <f>IF(ROW()=2,"",LOG(B271/B270)*100)</f>
        <v/>
      </c>
      <c r="D271" s="7">
        <f>STDEV(C269:C271)</f>
        <v/>
      </c>
      <c r="E271" s="7">
        <f>STDEV(C260:C271)</f>
        <v/>
      </c>
    </row>
    <row r="272">
      <c r="A272" s="6" t="n">
        <v>41091</v>
      </c>
      <c r="B272" s="3" t="n">
        <v>1593.909090909091</v>
      </c>
      <c r="C272" s="7">
        <f>IF(ROW()=2,"",LOG(B272/B271)*100)</f>
        <v/>
      </c>
      <c r="D272" s="7">
        <f>STDEV(C270:C272)</f>
        <v/>
      </c>
      <c r="E272" s="7">
        <f>STDEV(C261:C272)</f>
        <v/>
      </c>
    </row>
    <row r="273">
      <c r="A273" s="6" t="n">
        <v>41122</v>
      </c>
      <c r="B273" s="3" t="n">
        <v>1626.034090909091</v>
      </c>
      <c r="C273" s="7">
        <f>IF(ROW()=2,"",LOG(B273/B272)*100)</f>
        <v/>
      </c>
      <c r="D273" s="7">
        <f>STDEV(C271:C273)</f>
        <v/>
      </c>
      <c r="E273" s="7">
        <f>STDEV(C262:C273)</f>
        <v/>
      </c>
    </row>
    <row r="274">
      <c r="A274" s="6" t="n">
        <v>41153</v>
      </c>
      <c r="B274" s="3" t="n">
        <v>1744.45</v>
      </c>
      <c r="C274" s="7">
        <f>IF(ROW()=2,"",LOG(B274/B273)*100)</f>
        <v/>
      </c>
      <c r="D274" s="7">
        <f>STDEV(C272:C274)</f>
        <v/>
      </c>
      <c r="E274" s="7">
        <f>STDEV(C263:C274)</f>
        <v/>
      </c>
    </row>
    <row r="275">
      <c r="A275" s="6" t="n">
        <v>41183</v>
      </c>
      <c r="B275" s="3" t="n">
        <v>1747.010869565217</v>
      </c>
      <c r="C275" s="7">
        <f>IF(ROW()=2,"",LOG(B275/B274)*100)</f>
        <v/>
      </c>
      <c r="D275" s="7">
        <f>STDEV(C273:C275)</f>
        <v/>
      </c>
      <c r="E275" s="7">
        <f>STDEV(C264:C275)</f>
        <v/>
      </c>
    </row>
    <row r="276">
      <c r="A276" s="6" t="n">
        <v>41214</v>
      </c>
      <c r="B276" s="3" t="n">
        <v>1721.136363636364</v>
      </c>
      <c r="C276" s="7">
        <f>IF(ROW()=2,"",LOG(B276/B275)*100)</f>
        <v/>
      </c>
      <c r="D276" s="7">
        <f>STDEV(C274:C276)</f>
        <v/>
      </c>
      <c r="E276" s="7">
        <f>STDEV(C265:C276)</f>
        <v/>
      </c>
    </row>
    <row r="277">
      <c r="A277" s="6" t="n">
        <v>41244</v>
      </c>
      <c r="B277" s="3" t="n">
        <v>1688.529411764706</v>
      </c>
      <c r="C277" s="7">
        <f>IF(ROW()=2,"",LOG(B277/B276)*100)</f>
        <v/>
      </c>
      <c r="D277" s="7">
        <f>STDEV(C275:C277)</f>
        <v/>
      </c>
      <c r="E277" s="7">
        <f>STDEV(C266:C277)</f>
        <v/>
      </c>
    </row>
    <row r="278">
      <c r="A278" s="6" t="n">
        <v>41275</v>
      </c>
      <c r="B278" s="3" t="n">
        <v>1670.954545454545</v>
      </c>
      <c r="C278" s="7">
        <f>IF(ROW()=2,"",LOG(B278/B277)*100)</f>
        <v/>
      </c>
      <c r="D278" s="7">
        <f>STDEV(C276:C278)</f>
        <v/>
      </c>
      <c r="E278" s="7">
        <f>STDEV(C267:C278)</f>
        <v/>
      </c>
    </row>
    <row r="279">
      <c r="A279" s="6" t="n">
        <v>41306</v>
      </c>
      <c r="B279" s="3" t="n">
        <v>1627.5875</v>
      </c>
      <c r="C279" s="7">
        <f>IF(ROW()=2,"",LOG(B279/B278)*100)</f>
        <v/>
      </c>
      <c r="D279" s="7">
        <f>STDEV(C277:C279)</f>
        <v/>
      </c>
      <c r="E279" s="7">
        <f>STDEV(C268:C279)</f>
        <v/>
      </c>
    </row>
    <row r="280">
      <c r="A280" s="6" t="n">
        <v>41334</v>
      </c>
      <c r="B280" s="3" t="n">
        <v>1592.8625</v>
      </c>
      <c r="C280" s="7">
        <f>IF(ROW()=2,"",LOG(B280/B279)*100)</f>
        <v/>
      </c>
      <c r="D280" s="7">
        <f>STDEV(C278:C280)</f>
        <v/>
      </c>
      <c r="E280" s="7">
        <f>STDEV(C269:C280)</f>
        <v/>
      </c>
    </row>
    <row r="281">
      <c r="A281" s="6" t="n">
        <v>41365</v>
      </c>
      <c r="B281" s="3" t="n">
        <v>1485.083333333333</v>
      </c>
      <c r="C281" s="7">
        <f>IF(ROW()=2,"",LOG(B281/B280)*100)</f>
        <v/>
      </c>
      <c r="D281" s="7">
        <f>STDEV(C279:C281)</f>
        <v/>
      </c>
      <c r="E281" s="7">
        <f>STDEV(C270:C281)</f>
        <v/>
      </c>
    </row>
    <row r="282">
      <c r="A282" s="6" t="n">
        <v>41395</v>
      </c>
      <c r="B282" s="3" t="n">
        <v>1413.5</v>
      </c>
      <c r="C282" s="7">
        <f>IF(ROW()=2,"",LOG(B282/B281)*100)</f>
        <v/>
      </c>
      <c r="D282" s="7">
        <f>STDEV(C280:C282)</f>
        <v/>
      </c>
      <c r="E282" s="7">
        <f>STDEV(C271:C282)</f>
        <v/>
      </c>
    </row>
    <row r="283">
      <c r="A283" s="6" t="n">
        <v>41426</v>
      </c>
      <c r="B283" s="3" t="n">
        <v>1342.3625</v>
      </c>
      <c r="C283" s="7">
        <f>IF(ROW()=2,"",LOG(B283/B282)*100)</f>
        <v/>
      </c>
      <c r="D283" s="7">
        <f>STDEV(C281:C283)</f>
        <v/>
      </c>
      <c r="E283" s="7">
        <f>STDEV(C272:C283)</f>
        <v/>
      </c>
    </row>
    <row r="284">
      <c r="A284" s="6" t="n">
        <v>41456</v>
      </c>
      <c r="B284" s="3" t="n">
        <v>1286.723913043478</v>
      </c>
      <c r="C284" s="7">
        <f>IF(ROW()=2,"",LOG(B284/B283)*100)</f>
        <v/>
      </c>
      <c r="D284" s="7">
        <f>STDEV(C282:C284)</f>
        <v/>
      </c>
      <c r="E284" s="7">
        <f>STDEV(C273:C284)</f>
        <v/>
      </c>
    </row>
    <row r="285">
      <c r="A285" s="6" t="n">
        <v>41487</v>
      </c>
      <c r="B285" s="3" t="n">
        <v>1347.095238095238</v>
      </c>
      <c r="C285" s="7">
        <f>IF(ROW()=2,"",LOG(B285/B284)*100)</f>
        <v/>
      </c>
      <c r="D285" s="7">
        <f>STDEV(C283:C285)</f>
        <v/>
      </c>
      <c r="E285" s="7">
        <f>STDEV(C274:C285)</f>
        <v/>
      </c>
    </row>
    <row r="286">
      <c r="A286" s="6" t="n">
        <v>41518</v>
      </c>
      <c r="B286" s="3" t="n">
        <v>1348.797619047619</v>
      </c>
      <c r="C286" s="7">
        <f>IF(ROW()=2,"",LOG(B286/B285)*100)</f>
        <v/>
      </c>
      <c r="D286" s="7">
        <f>STDEV(C284:C286)</f>
        <v/>
      </c>
      <c r="E286" s="7">
        <f>STDEV(C275:C286)</f>
        <v/>
      </c>
    </row>
    <row r="287">
      <c r="A287" s="6" t="n">
        <v>41548</v>
      </c>
      <c r="B287" s="3" t="n">
        <v>1316.184782608696</v>
      </c>
      <c r="C287" s="7">
        <f>IF(ROW()=2,"",LOG(B287/B286)*100)</f>
        <v/>
      </c>
      <c r="D287" s="7">
        <f>STDEV(C285:C287)</f>
        <v/>
      </c>
      <c r="E287" s="7">
        <f>STDEV(C276:C287)</f>
        <v/>
      </c>
    </row>
    <row r="288">
      <c r="A288" s="6" t="n">
        <v>41579</v>
      </c>
      <c r="B288" s="3" t="n">
        <v>1275.821428571429</v>
      </c>
      <c r="C288" s="7">
        <f>IF(ROW()=2,"",LOG(B288/B287)*100)</f>
        <v/>
      </c>
      <c r="D288" s="7">
        <f>STDEV(C286:C288)</f>
        <v/>
      </c>
      <c r="E288" s="7">
        <f>STDEV(C277:C288)</f>
        <v/>
      </c>
    </row>
    <row r="289">
      <c r="A289" s="6" t="n">
        <v>41609</v>
      </c>
      <c r="B289" s="3" t="n">
        <v>1225.402777777778</v>
      </c>
      <c r="C289" s="7">
        <f>IF(ROW()=2,"",LOG(B289/B288)*100)</f>
        <v/>
      </c>
      <c r="D289" s="7">
        <f>STDEV(C287:C289)</f>
        <v/>
      </c>
      <c r="E289" s="7">
        <f>STDEV(C278:C289)</f>
        <v/>
      </c>
    </row>
    <row r="290">
      <c r="A290" s="6" t="n">
        <v>41640</v>
      </c>
      <c r="B290" s="3" t="n">
        <v>1244.795454545455</v>
      </c>
      <c r="C290" s="7">
        <f>IF(ROW()=2,"",LOG(B290/B289)*100)</f>
        <v/>
      </c>
      <c r="D290" s="7">
        <f>STDEV(C288:C290)</f>
        <v/>
      </c>
      <c r="E290" s="7">
        <f>STDEV(C279:C290)</f>
        <v/>
      </c>
    </row>
    <row r="291">
      <c r="A291" s="6" t="n">
        <v>41671</v>
      </c>
      <c r="B291" s="3" t="n">
        <v>1300.975</v>
      </c>
      <c r="C291" s="7">
        <f>IF(ROW()=2,"",LOG(B291/B290)*100)</f>
        <v/>
      </c>
      <c r="D291" s="7">
        <f>STDEV(C289:C291)</f>
        <v/>
      </c>
      <c r="E291" s="7">
        <f>STDEV(C280:C291)</f>
        <v/>
      </c>
    </row>
    <row r="292">
      <c r="A292" s="6" t="n">
        <v>41699</v>
      </c>
      <c r="B292" s="3" t="n">
        <v>1336.083333333333</v>
      </c>
      <c r="C292" s="7">
        <f>IF(ROW()=2,"",LOG(B292/B291)*100)</f>
        <v/>
      </c>
      <c r="D292" s="7">
        <f>STDEV(C290:C292)</f>
        <v/>
      </c>
      <c r="E292" s="7">
        <f>STDEV(C281:C292)</f>
        <v/>
      </c>
    </row>
    <row r="293">
      <c r="A293" s="6" t="n">
        <v>41730</v>
      </c>
      <c r="B293" s="3" t="n">
        <v>1299</v>
      </c>
      <c r="C293" s="7">
        <f>IF(ROW()=2,"",LOG(B293/B292)*100)</f>
        <v/>
      </c>
      <c r="D293" s="7">
        <f>STDEV(C291:C293)</f>
        <v/>
      </c>
      <c r="E293" s="7">
        <f>STDEV(C282:C293)</f>
        <v/>
      </c>
    </row>
    <row r="294">
      <c r="A294" s="6" t="n">
        <v>41760</v>
      </c>
      <c r="B294" s="3" t="n">
        <v>1287.525</v>
      </c>
      <c r="C294" s="7">
        <f>IF(ROW()=2,"",LOG(B294/B293)*100)</f>
        <v/>
      </c>
      <c r="D294" s="7">
        <f>STDEV(C292:C294)</f>
        <v/>
      </c>
      <c r="E294" s="7">
        <f>STDEV(C283:C294)</f>
        <v/>
      </c>
    </row>
    <row r="295">
      <c r="A295" s="6" t="n">
        <v>41791</v>
      </c>
      <c r="B295" s="3" t="n">
        <v>1279.095238095238</v>
      </c>
      <c r="C295" s="7">
        <f>IF(ROW()=2,"",LOG(B295/B294)*100)</f>
        <v/>
      </c>
      <c r="D295" s="7">
        <f>STDEV(C293:C295)</f>
        <v/>
      </c>
      <c r="E295" s="7">
        <f>STDEV(C284:C295)</f>
        <v/>
      </c>
    </row>
    <row r="296">
      <c r="A296" s="6" t="n">
        <v>41821</v>
      </c>
      <c r="B296" s="3" t="n">
        <v>1310.967391304348</v>
      </c>
      <c r="C296" s="7">
        <f>IF(ROW()=2,"",LOG(B296/B295)*100)</f>
        <v/>
      </c>
      <c r="D296" s="7">
        <f>STDEV(C294:C296)</f>
        <v/>
      </c>
      <c r="E296" s="7">
        <f>STDEV(C285:C296)</f>
        <v/>
      </c>
    </row>
    <row r="297">
      <c r="A297" s="6" t="n">
        <v>41852</v>
      </c>
      <c r="B297" s="3" t="n">
        <v>1295.9875</v>
      </c>
      <c r="C297" s="7">
        <f>IF(ROW()=2,"",LOG(B297/B296)*100)</f>
        <v/>
      </c>
      <c r="D297" s="7">
        <f>STDEV(C295:C297)</f>
        <v/>
      </c>
      <c r="E297" s="7">
        <f>STDEV(C286:C297)</f>
        <v/>
      </c>
    </row>
    <row r="298">
      <c r="A298" s="6" t="n">
        <v>41883</v>
      </c>
      <c r="B298" s="3" t="n">
        <v>1238.818181818182</v>
      </c>
      <c r="C298" s="7">
        <f>IF(ROW()=2,"",LOG(B298/B297)*100)</f>
        <v/>
      </c>
      <c r="D298" s="7">
        <f>STDEV(C296:C298)</f>
        <v/>
      </c>
      <c r="E298" s="7">
        <f>STDEV(C287:C298)</f>
        <v/>
      </c>
    </row>
    <row r="299">
      <c r="A299" s="6" t="n">
        <v>41913</v>
      </c>
      <c r="B299" s="3" t="n">
        <v>1222.489130434783</v>
      </c>
      <c r="C299" s="7">
        <f>IF(ROW()=2,"",LOG(B299/B298)*100)</f>
        <v/>
      </c>
      <c r="D299" s="7">
        <f>STDEV(C297:C299)</f>
        <v/>
      </c>
      <c r="E299" s="7">
        <f>STDEV(C288:C299)</f>
        <v/>
      </c>
    </row>
    <row r="300">
      <c r="A300" s="6" t="n">
        <v>41944</v>
      </c>
      <c r="B300" s="3" t="n">
        <v>1176.3</v>
      </c>
      <c r="C300" s="7">
        <f>IF(ROW()=2,"",LOG(B300/B299)*100)</f>
        <v/>
      </c>
      <c r="D300" s="7">
        <f>STDEV(C298:C300)</f>
        <v/>
      </c>
      <c r="E300" s="7">
        <f>STDEV(C289:C300)</f>
        <v/>
      </c>
    </row>
    <row r="301">
      <c r="A301" s="6" t="n">
        <v>41974</v>
      </c>
      <c r="B301" s="3" t="n">
        <v>1202.289473684211</v>
      </c>
      <c r="C301" s="7">
        <f>IF(ROW()=2,"",LOG(B301/B300)*100)</f>
        <v/>
      </c>
      <c r="D301" s="7">
        <f>STDEV(C299:C301)</f>
        <v/>
      </c>
      <c r="E301" s="7">
        <f>STDEV(C290:C301)</f>
        <v/>
      </c>
    </row>
    <row r="302">
      <c r="A302" s="6" t="n">
        <v>42005</v>
      </c>
      <c r="B302" s="3" t="n">
        <v>1251.845238095238</v>
      </c>
      <c r="C302" s="7">
        <f>IF(ROW()=2,"",LOG(B302/B301)*100)</f>
        <v/>
      </c>
      <c r="D302" s="7">
        <f>STDEV(C300:C302)</f>
        <v/>
      </c>
      <c r="E302" s="7">
        <f>STDEV(C291:C302)</f>
        <v/>
      </c>
    </row>
    <row r="303">
      <c r="A303" s="6" t="n">
        <v>42036</v>
      </c>
      <c r="B303" s="3" t="n">
        <v>1227.1875</v>
      </c>
      <c r="C303" s="7">
        <f>IF(ROW()=2,"",LOG(B303/B302)*100)</f>
        <v/>
      </c>
      <c r="D303" s="7">
        <f>STDEV(C301:C303)</f>
        <v/>
      </c>
      <c r="E303" s="7">
        <f>STDEV(C292:C303)</f>
        <v/>
      </c>
    </row>
    <row r="304">
      <c r="A304" s="6" t="n">
        <v>42064</v>
      </c>
      <c r="B304" s="3" t="n">
        <v>1178.629545454546</v>
      </c>
      <c r="C304" s="7">
        <f>IF(ROW()=2,"",LOG(B304/B303)*100)</f>
        <v/>
      </c>
      <c r="D304" s="7">
        <f>STDEV(C302:C304)</f>
        <v/>
      </c>
      <c r="E304" s="7">
        <f>STDEV(C293:C304)</f>
        <v/>
      </c>
    </row>
    <row r="305">
      <c r="A305" s="6" t="n">
        <v>42095</v>
      </c>
      <c r="B305" s="3" t="n">
        <v>1197.91</v>
      </c>
      <c r="C305" s="7">
        <f>IF(ROW()=2,"",LOG(B305/B304)*100)</f>
        <v/>
      </c>
      <c r="D305" s="7">
        <f>STDEV(C303:C305)</f>
        <v/>
      </c>
      <c r="E305" s="7">
        <f>STDEV(C294:C305)</f>
        <v/>
      </c>
    </row>
    <row r="306">
      <c r="A306" s="6" t="n">
        <v>42125</v>
      </c>
      <c r="B306" s="3" t="n">
        <v>1199.052631578947</v>
      </c>
      <c r="C306" s="7">
        <f>IF(ROW()=2,"",LOG(B306/B305)*100)</f>
        <v/>
      </c>
      <c r="D306" s="7">
        <f>STDEV(C304:C306)</f>
        <v/>
      </c>
      <c r="E306" s="7">
        <f>STDEV(C295:C306)</f>
        <v/>
      </c>
    </row>
    <row r="307">
      <c r="A307" s="6" t="n">
        <v>42156</v>
      </c>
      <c r="B307" s="3" t="n">
        <v>1181.504545454546</v>
      </c>
      <c r="C307" s="7">
        <f>IF(ROW()=2,"",LOG(B307/B306)*100)</f>
        <v/>
      </c>
      <c r="D307" s="7">
        <f>STDEV(C305:C307)</f>
        <v/>
      </c>
      <c r="E307" s="7">
        <f>STDEV(C296:C307)</f>
        <v/>
      </c>
    </row>
    <row r="308">
      <c r="A308" s="6" t="n">
        <v>42186</v>
      </c>
      <c r="B308" s="3" t="n">
        <v>1130.036956521739</v>
      </c>
      <c r="C308" s="7">
        <f>IF(ROW()=2,"",LOG(B308/B307)*100)</f>
        <v/>
      </c>
      <c r="D308" s="7">
        <f>STDEV(C306:C308)</f>
        <v/>
      </c>
      <c r="E308" s="7">
        <f>STDEV(C297:C308)</f>
        <v/>
      </c>
    </row>
    <row r="309">
      <c r="A309" s="6" t="n">
        <v>42217</v>
      </c>
      <c r="B309" s="3" t="n">
        <v>1117.475</v>
      </c>
      <c r="C309" s="7">
        <f>IF(ROW()=2,"",LOG(B309/B308)*100)</f>
        <v/>
      </c>
      <c r="D309" s="7">
        <f>STDEV(C307:C309)</f>
        <v/>
      </c>
      <c r="E309" s="7">
        <f>STDEV(C298:C309)</f>
        <v/>
      </c>
    </row>
    <row r="310">
      <c r="A310" s="6" t="n">
        <v>42248</v>
      </c>
      <c r="B310" s="3" t="n">
        <v>1124.531818181818</v>
      </c>
      <c r="C310" s="7">
        <f>IF(ROW()=2,"",LOG(B310/B309)*100)</f>
        <v/>
      </c>
      <c r="D310" s="7">
        <f>STDEV(C308:C310)</f>
        <v/>
      </c>
      <c r="E310" s="7">
        <f>STDEV(C299:C310)</f>
        <v/>
      </c>
    </row>
    <row r="311">
      <c r="A311" s="6" t="n">
        <v>42278</v>
      </c>
      <c r="B311" s="3" t="n">
        <v>1159.245454545454</v>
      </c>
      <c r="C311" s="7">
        <f>IF(ROW()=2,"",LOG(B311/B310)*100)</f>
        <v/>
      </c>
      <c r="D311" s="7">
        <f>STDEV(C309:C311)</f>
        <v/>
      </c>
      <c r="E311" s="7">
        <f>STDEV(C300:C311)</f>
        <v/>
      </c>
    </row>
    <row r="312">
      <c r="A312" s="6" t="n">
        <v>42309</v>
      </c>
      <c r="B312" s="3" t="n">
        <v>1085.702380952381</v>
      </c>
      <c r="C312" s="7">
        <f>IF(ROW()=2,"",LOG(B312/B311)*100)</f>
        <v/>
      </c>
      <c r="D312" s="7">
        <f>STDEV(C310:C312)</f>
        <v/>
      </c>
      <c r="E312" s="7">
        <f>STDEV(C301:C312)</f>
        <v/>
      </c>
    </row>
    <row r="313">
      <c r="A313" s="6" t="n">
        <v>42339</v>
      </c>
      <c r="B313" s="3" t="n">
        <v>1068.252631578947</v>
      </c>
      <c r="C313" s="7">
        <f>IF(ROW()=2,"",LOG(B313/B312)*100)</f>
        <v/>
      </c>
      <c r="D313" s="7">
        <f>STDEV(C311:C313)</f>
        <v/>
      </c>
      <c r="E313" s="7">
        <f>STDEV(C302:C313)</f>
        <v/>
      </c>
    </row>
    <row r="314">
      <c r="A314" s="6" t="n">
        <v>42370</v>
      </c>
      <c r="B314" s="3" t="n">
        <v>1097.375</v>
      </c>
      <c r="C314" s="7">
        <f>IF(ROW()=2,"",LOG(B314/B313)*100)</f>
        <v/>
      </c>
      <c r="D314" s="7">
        <f>STDEV(C312:C314)</f>
        <v/>
      </c>
      <c r="E314" s="7">
        <f>STDEV(C303:C314)</f>
        <v/>
      </c>
    </row>
    <row r="315">
      <c r="A315" s="6" t="n">
        <v>42401</v>
      </c>
      <c r="B315" s="3" t="n">
        <v>1199.911904761905</v>
      </c>
      <c r="C315" s="7">
        <f>IF(ROW()=2,"",LOG(B315/B314)*100)</f>
        <v/>
      </c>
      <c r="D315" s="7">
        <f>STDEV(C313:C315)</f>
        <v/>
      </c>
      <c r="E315" s="7">
        <f>STDEV(C304:C315)</f>
        <v/>
      </c>
    </row>
    <row r="316">
      <c r="A316" s="6" t="n">
        <v>42430</v>
      </c>
      <c r="B316" s="3" t="n">
        <v>1246.338095238095</v>
      </c>
      <c r="C316" s="7">
        <f>IF(ROW()=2,"",LOG(B316/B315)*100)</f>
        <v/>
      </c>
      <c r="D316" s="7">
        <f>STDEV(C314:C316)</f>
        <v/>
      </c>
      <c r="E316" s="7">
        <f>STDEV(C305:C316)</f>
        <v/>
      </c>
    </row>
    <row r="317">
      <c r="A317" s="6" t="n">
        <v>42461</v>
      </c>
      <c r="B317" s="3" t="n">
        <v>1242.261904761905</v>
      </c>
      <c r="C317" s="7">
        <f>IF(ROW()=2,"",LOG(B317/B316)*100)</f>
        <v/>
      </c>
      <c r="D317" s="7">
        <f>STDEV(C315:C317)</f>
        <v/>
      </c>
      <c r="E317" s="7">
        <f>STDEV(C306:C317)</f>
        <v/>
      </c>
    </row>
    <row r="318">
      <c r="A318" s="6" t="n">
        <v>42491</v>
      </c>
      <c r="B318" s="3" t="n">
        <v>1259.3975</v>
      </c>
      <c r="C318" s="7">
        <f>IF(ROW()=2,"",LOG(B318/B317)*100)</f>
        <v/>
      </c>
      <c r="D318" s="7">
        <f>STDEV(C316:C318)</f>
        <v/>
      </c>
      <c r="E318" s="7">
        <f>STDEV(C307:C318)</f>
        <v/>
      </c>
    </row>
    <row r="319">
      <c r="A319" s="6" t="n">
        <v>42522</v>
      </c>
      <c r="B319" s="3" t="n">
        <v>1276.404545454545</v>
      </c>
      <c r="C319" s="7">
        <f>IF(ROW()=2,"",LOG(B319/B318)*100)</f>
        <v/>
      </c>
      <c r="D319" s="7">
        <f>STDEV(C317:C319)</f>
        <v/>
      </c>
      <c r="E319" s="7">
        <f>STDEV(C308:C319)</f>
        <v/>
      </c>
    </row>
    <row r="320">
      <c r="A320" s="6" t="n">
        <v>42552</v>
      </c>
      <c r="B320" s="3" t="n">
        <v>1337.326190476191</v>
      </c>
      <c r="C320" s="7">
        <f>IF(ROW()=2,"",LOG(B320/B319)*100)</f>
        <v/>
      </c>
      <c r="D320" s="7">
        <f>STDEV(C318:C320)</f>
        <v/>
      </c>
      <c r="E320" s="7">
        <f>STDEV(C309:C320)</f>
        <v/>
      </c>
    </row>
    <row r="321">
      <c r="A321" s="6" t="n">
        <v>42583</v>
      </c>
      <c r="B321" s="3" t="n">
        <v>1341.088636363637</v>
      </c>
      <c r="C321" s="7">
        <f>IF(ROW()=2,"",LOG(B321/B320)*100)</f>
        <v/>
      </c>
      <c r="D321" s="7">
        <f>STDEV(C319:C321)</f>
        <v/>
      </c>
      <c r="E321" s="7">
        <f>STDEV(C310:C321)</f>
        <v/>
      </c>
    </row>
    <row r="322">
      <c r="A322" s="6" t="n">
        <v>42614</v>
      </c>
      <c r="B322" s="3" t="n">
        <v>1326.029545454545</v>
      </c>
      <c r="C322" s="7">
        <f>IF(ROW()=2,"",LOG(B322/B321)*100)</f>
        <v/>
      </c>
      <c r="D322" s="7">
        <f>STDEV(C320:C322)</f>
        <v/>
      </c>
      <c r="E322" s="7">
        <f>STDEV(C311:C322)</f>
        <v/>
      </c>
    </row>
    <row r="323">
      <c r="A323" s="6" t="n">
        <v>42644</v>
      </c>
      <c r="B323" s="3" t="n">
        <v>1266.569047619048</v>
      </c>
      <c r="C323" s="7">
        <f>IF(ROW()=2,"",LOG(B323/B322)*100)</f>
        <v/>
      </c>
      <c r="D323" s="7">
        <f>STDEV(C321:C323)</f>
        <v/>
      </c>
      <c r="E323" s="7">
        <f>STDEV(C312:C323)</f>
        <v/>
      </c>
    </row>
    <row r="324">
      <c r="A324" s="6" t="n">
        <v>42675</v>
      </c>
      <c r="B324" s="3" t="n">
        <v>1235.979545454545</v>
      </c>
      <c r="C324" s="7">
        <f>IF(ROW()=2,"",LOG(B324/B323)*100)</f>
        <v/>
      </c>
      <c r="D324" s="7">
        <f>STDEV(C322:C324)</f>
        <v/>
      </c>
      <c r="E324" s="7">
        <f>STDEV(C313:C324)</f>
        <v/>
      </c>
    </row>
    <row r="325">
      <c r="A325" s="6" t="n">
        <v>42705</v>
      </c>
      <c r="B325" s="3" t="n">
        <v>1151.402777777778</v>
      </c>
      <c r="C325" s="7">
        <f>IF(ROW()=2,"",LOG(B325/B324)*100)</f>
        <v/>
      </c>
      <c r="D325" s="7">
        <f>STDEV(C323:C325)</f>
        <v/>
      </c>
      <c r="E325" s="7">
        <f>STDEV(C314:C325)</f>
        <v/>
      </c>
    </row>
    <row r="326">
      <c r="A326" s="6" t="n">
        <v>42736</v>
      </c>
      <c r="B326" s="3" t="n">
        <v>1192.616666666666</v>
      </c>
      <c r="C326" s="7">
        <f>IF(ROW()=2,"",LOG(B326/B325)*100)</f>
        <v/>
      </c>
      <c r="D326" s="7">
        <f>STDEV(C324:C326)</f>
        <v/>
      </c>
      <c r="E326" s="7">
        <f>STDEV(C315:C326)</f>
        <v/>
      </c>
    </row>
    <row r="327">
      <c r="A327" s="6" t="n">
        <v>42767</v>
      </c>
      <c r="B327" s="3" t="n">
        <v>1234.3575</v>
      </c>
      <c r="C327" s="7">
        <f>IF(ROW()=2,"",LOG(B327/B326)*100)</f>
        <v/>
      </c>
      <c r="D327" s="7">
        <f>STDEV(C325:C327)</f>
        <v/>
      </c>
      <c r="E327" s="7">
        <f>STDEV(C316:C327)</f>
        <v/>
      </c>
    </row>
    <row r="328">
      <c r="A328" s="6" t="n">
        <v>42795</v>
      </c>
      <c r="B328" s="3" t="n">
        <v>1231.093478260869</v>
      </c>
      <c r="C328" s="7">
        <f>IF(ROW()=2,"",LOG(B328/B327)*100)</f>
        <v/>
      </c>
      <c r="D328" s="7">
        <f>STDEV(C326:C328)</f>
        <v/>
      </c>
      <c r="E328" s="7">
        <f>STDEV(C317:C328)</f>
        <v/>
      </c>
    </row>
    <row r="329">
      <c r="A329" s="6" t="n">
        <v>42826</v>
      </c>
      <c r="B329" s="3" t="n">
        <v>1265.627777777778</v>
      </c>
      <c r="C329" s="7">
        <f>IF(ROW()=2,"",LOG(B329/B328)*100)</f>
        <v/>
      </c>
      <c r="D329" s="7">
        <f>STDEV(C327:C329)</f>
        <v/>
      </c>
      <c r="E329" s="7">
        <f>STDEV(C318:C329)</f>
        <v/>
      </c>
    </row>
    <row r="330">
      <c r="A330" s="6" t="n">
        <v>42856</v>
      </c>
      <c r="B330" s="3" t="n">
        <v>1245.004761904762</v>
      </c>
      <c r="C330" s="7">
        <f>IF(ROW()=2,"",LOG(B330/B329)*100)</f>
        <v/>
      </c>
      <c r="D330" s="7">
        <f>STDEV(C328:C330)</f>
        <v/>
      </c>
      <c r="E330" s="7">
        <f>STDEV(C319:C330)</f>
        <v/>
      </c>
    </row>
    <row r="331">
      <c r="A331" s="6" t="n">
        <v>42887</v>
      </c>
      <c r="B331" s="3" t="n">
        <v>1260.256818181818</v>
      </c>
      <c r="C331" s="7">
        <f>IF(ROW()=2,"",LOG(B331/B330)*100)</f>
        <v/>
      </c>
      <c r="D331" s="7">
        <f>STDEV(C329:C331)</f>
        <v/>
      </c>
      <c r="E331" s="7">
        <f>STDEV(C320:C331)</f>
        <v/>
      </c>
    </row>
    <row r="332">
      <c r="A332" s="6" t="n">
        <v>42917</v>
      </c>
      <c r="B332" s="3" t="n">
        <v>1236.221428571428</v>
      </c>
      <c r="C332" s="7">
        <f>IF(ROW()=2,"",LOG(B332/B331)*100)</f>
        <v/>
      </c>
      <c r="D332" s="7">
        <f>STDEV(C330:C332)</f>
        <v/>
      </c>
      <c r="E332" s="7">
        <f>STDEV(C321:C332)</f>
        <v/>
      </c>
    </row>
    <row r="333">
      <c r="A333" s="6" t="n">
        <v>42948</v>
      </c>
      <c r="B333" s="3" t="n">
        <v>1282.315909090909</v>
      </c>
      <c r="C333" s="7">
        <f>IF(ROW()=2,"",LOG(B333/B332)*100)</f>
        <v/>
      </c>
      <c r="D333" s="7">
        <f>STDEV(C331:C333)</f>
        <v/>
      </c>
      <c r="E333" s="7">
        <f>STDEV(C322:C333)</f>
        <v/>
      </c>
    </row>
    <row r="334">
      <c r="A334" s="6" t="n">
        <v>42979</v>
      </c>
      <c r="B334" s="3" t="n">
        <v>1314.978571428571</v>
      </c>
      <c r="C334" s="7">
        <f>IF(ROW()=2,"",LOG(B334/B333)*100)</f>
        <v/>
      </c>
      <c r="D334" s="7">
        <f>STDEV(C332:C334)</f>
        <v/>
      </c>
      <c r="E334" s="7">
        <f>STDEV(C323:C334)</f>
        <v/>
      </c>
    </row>
    <row r="335">
      <c r="A335" s="6" t="n">
        <v>43009</v>
      </c>
      <c r="B335" s="3" t="n">
        <v>1279.513636363637</v>
      </c>
      <c r="C335" s="7">
        <f>IF(ROW()=2,"",LOG(B335/B334)*100)</f>
        <v/>
      </c>
      <c r="D335" s="7">
        <f>STDEV(C333:C335)</f>
        <v/>
      </c>
      <c r="E335" s="7">
        <f>STDEV(C324:C335)</f>
        <v/>
      </c>
    </row>
    <row r="336">
      <c r="A336" s="6" t="n">
        <v>43040</v>
      </c>
      <c r="B336" s="3" t="n">
        <v>1282.284090909091</v>
      </c>
      <c r="C336" s="7">
        <f>IF(ROW()=2,"",LOG(B336/B335)*100)</f>
        <v/>
      </c>
      <c r="D336" s="7">
        <f>STDEV(C334:C336)</f>
        <v/>
      </c>
      <c r="E336" s="7">
        <f>STDEV(C325:C336)</f>
        <v/>
      </c>
    </row>
    <row r="337">
      <c r="A337" s="6" t="n">
        <v>43070</v>
      </c>
      <c r="B337" s="3" t="n">
        <v>1261.255882352941</v>
      </c>
      <c r="C337" s="7">
        <f>IF(ROW()=2,"",LOG(B337/B336)*100)</f>
        <v/>
      </c>
      <c r="D337" s="7">
        <f>STDEV(C335:C337)</f>
        <v/>
      </c>
      <c r="E337" s="7">
        <f>STDEV(C326:C337)</f>
        <v/>
      </c>
    </row>
    <row r="338">
      <c r="A338" s="6" t="n">
        <v>43101</v>
      </c>
      <c r="B338" s="3" t="n">
        <v>1331.665909090909</v>
      </c>
      <c r="C338" s="7">
        <f>IF(ROW()=2,"",LOG(B338/B337)*100)</f>
        <v/>
      </c>
      <c r="D338" s="7">
        <f>STDEV(C336:C338)</f>
        <v/>
      </c>
      <c r="E338" s="7">
        <f>STDEV(C327:C338)</f>
        <v/>
      </c>
    </row>
    <row r="339">
      <c r="A339" s="6" t="n">
        <v>43132</v>
      </c>
      <c r="B339" s="3" t="n">
        <v>1331.525</v>
      </c>
      <c r="C339" s="7">
        <f>IF(ROW()=2,"",LOG(B339/B338)*100)</f>
        <v/>
      </c>
      <c r="D339" s="7">
        <f>STDEV(C337:C339)</f>
        <v/>
      </c>
      <c r="E339" s="7">
        <f>STDEV(C328:C339)</f>
        <v/>
      </c>
    </row>
    <row r="340">
      <c r="A340" s="6" t="n">
        <v>43160</v>
      </c>
      <c r="B340" s="3" t="n">
        <v>1324.657142857143</v>
      </c>
      <c r="C340" s="7">
        <f>IF(ROW()=2,"",LOG(B340/B339)*100)</f>
        <v/>
      </c>
      <c r="D340" s="7">
        <f>STDEV(C338:C340)</f>
        <v/>
      </c>
      <c r="E340" s="7">
        <f>STDEV(C329:C340)</f>
        <v/>
      </c>
    </row>
    <row r="341">
      <c r="A341" s="6" t="n">
        <v>43191</v>
      </c>
      <c r="B341" s="3" t="n">
        <v>1334.74</v>
      </c>
      <c r="C341" s="7">
        <f>IF(ROW()=2,"",LOG(B341/B340)*100)</f>
        <v/>
      </c>
      <c r="D341" s="7">
        <f>STDEV(C339:C341)</f>
        <v/>
      </c>
      <c r="E341" s="7">
        <f>STDEV(C330:C341)</f>
        <v/>
      </c>
    </row>
    <row r="342">
      <c r="A342" s="6" t="n">
        <v>43221</v>
      </c>
      <c r="B342" s="3" t="n">
        <v>1303.02619047619</v>
      </c>
      <c r="C342" s="7">
        <f>IF(ROW()=2,"",LOG(B342/B341)*100)</f>
        <v/>
      </c>
      <c r="D342" s="7">
        <f>STDEV(C340:C342)</f>
        <v/>
      </c>
      <c r="E342" s="7">
        <f>STDEV(C331:C342)</f>
        <v/>
      </c>
    </row>
    <row r="343">
      <c r="A343" s="6" t="n">
        <v>43252</v>
      </c>
      <c r="B343" s="3" t="n">
        <v>1281.566666666667</v>
      </c>
      <c r="C343" s="7">
        <f>IF(ROW()=2,"",LOG(B343/B342)*100)</f>
        <v/>
      </c>
      <c r="D343" s="7">
        <f>STDEV(C341:C343)</f>
        <v/>
      </c>
      <c r="E343" s="7">
        <f>STDEV(C332:C343)</f>
        <v/>
      </c>
    </row>
    <row r="344">
      <c r="A344" s="6" t="n">
        <v>43282</v>
      </c>
      <c r="B344" s="3" t="n">
        <v>1238.525</v>
      </c>
      <c r="C344" s="7">
        <f>IF(ROW()=2,"",LOG(B344/B343)*100)</f>
        <v/>
      </c>
      <c r="D344" s="7">
        <f>STDEV(C342:C344)</f>
        <v/>
      </c>
      <c r="E344" s="7">
        <f>STDEV(C333:C344)</f>
        <v/>
      </c>
    </row>
    <row r="345">
      <c r="A345" s="6" t="n">
        <v>43313</v>
      </c>
      <c r="B345" s="3" t="n">
        <v>1201.245454545454</v>
      </c>
      <c r="C345" s="7">
        <f>IF(ROW()=2,"",LOG(B345/B344)*100)</f>
        <v/>
      </c>
      <c r="D345" s="7">
        <f>STDEV(C343:C345)</f>
        <v/>
      </c>
      <c r="E345" s="7">
        <f>STDEV(C334:C345)</f>
        <v/>
      </c>
    </row>
    <row r="346">
      <c r="A346" s="6" t="n">
        <v>43344</v>
      </c>
      <c r="B346" s="3" t="n">
        <v>1198.4725</v>
      </c>
      <c r="C346" s="7">
        <f>IF(ROW()=2,"",LOG(B346/B345)*100)</f>
        <v/>
      </c>
      <c r="D346" s="7">
        <f>STDEV(C344:C346)</f>
        <v/>
      </c>
      <c r="E346" s="7">
        <f>STDEV(C335:C346)</f>
        <v/>
      </c>
    </row>
    <row r="347">
      <c r="A347" s="6" t="n">
        <v>43374</v>
      </c>
      <c r="B347" s="3" t="n">
        <v>1215.393478260869</v>
      </c>
      <c r="C347" s="7">
        <f>IF(ROW()=2,"",LOG(B347/B346)*100)</f>
        <v/>
      </c>
      <c r="D347" s="7">
        <f>STDEV(C345:C347)</f>
        <v/>
      </c>
      <c r="E347" s="7">
        <f>STDEV(C336:C347)</f>
        <v/>
      </c>
    </row>
    <row r="348">
      <c r="A348" s="6" t="n">
        <v>43405</v>
      </c>
      <c r="B348" s="3" t="n">
        <v>1220.945454545455</v>
      </c>
      <c r="C348" s="7">
        <f>IF(ROW()=2,"",LOG(B348/B347)*100)</f>
        <v/>
      </c>
      <c r="D348" s="7">
        <f>STDEV(C346:C348)</f>
        <v/>
      </c>
      <c r="E348" s="7">
        <f>STDEV(C337:C348)</f>
        <v/>
      </c>
    </row>
    <row r="349">
      <c r="A349" s="6" t="n">
        <v>43435</v>
      </c>
      <c r="B349" s="3" t="n">
        <v>1247.923529411765</v>
      </c>
      <c r="C349" s="7">
        <f>IF(ROW()=2,"",LOG(B349/B348)*100)</f>
        <v/>
      </c>
      <c r="D349" s="7">
        <f>STDEV(C347:C349)</f>
        <v/>
      </c>
      <c r="E349" s="7">
        <f>STDEV(C338:C349)</f>
        <v/>
      </c>
    </row>
    <row r="350">
      <c r="A350" s="6" t="n">
        <v>43466</v>
      </c>
      <c r="B350" s="3" t="n">
        <v>1291.745454545454</v>
      </c>
      <c r="C350" s="7">
        <f>IF(ROW()=2,"",LOG(B350/B349)*100)</f>
        <v/>
      </c>
      <c r="D350" s="7">
        <f>STDEV(C348:C350)</f>
        <v/>
      </c>
      <c r="E350" s="7">
        <f>STDEV(C339:C350)</f>
        <v/>
      </c>
    </row>
    <row r="351">
      <c r="A351" s="6" t="n">
        <v>43497</v>
      </c>
      <c r="B351" s="3" t="n">
        <v>1320.065</v>
      </c>
      <c r="C351" s="7">
        <f>IF(ROW()=2,"",LOG(B351/B350)*100)</f>
        <v/>
      </c>
      <c r="D351" s="7">
        <f>STDEV(C349:C351)</f>
        <v/>
      </c>
      <c r="E351" s="7">
        <f>STDEV(C340:C351)</f>
        <v/>
      </c>
    </row>
    <row r="352">
      <c r="A352" s="6" t="n">
        <v>43525</v>
      </c>
      <c r="B352" s="3" t="n">
        <v>1300.897619047619</v>
      </c>
      <c r="C352" s="7">
        <f>IF(ROW()=2,"",LOG(B352/B351)*100)</f>
        <v/>
      </c>
      <c r="D352" s="7">
        <f>STDEV(C350:C352)</f>
        <v/>
      </c>
      <c r="E352" s="7">
        <f>STDEV(C341:C352)</f>
        <v/>
      </c>
    </row>
    <row r="353">
      <c r="A353" s="6" t="n">
        <v>43556</v>
      </c>
      <c r="B353" s="3" t="n">
        <v>1286.445</v>
      </c>
      <c r="C353" s="7">
        <f>IF(ROW()=2,"",LOG(B353/B352)*100)</f>
        <v/>
      </c>
      <c r="D353" s="7">
        <f>STDEV(C351:C353)</f>
        <v/>
      </c>
      <c r="E353" s="7">
        <f>STDEV(C342:C353)</f>
        <v/>
      </c>
    </row>
    <row r="354">
      <c r="A354" s="6" t="n">
        <v>43586</v>
      </c>
      <c r="B354" s="3" t="n">
        <v>1283.947619047619</v>
      </c>
      <c r="C354" s="7">
        <f>IF(ROW()=2,"",LOG(B354/B353)*100)</f>
        <v/>
      </c>
      <c r="D354" s="7">
        <f>STDEV(C352:C354)</f>
        <v/>
      </c>
      <c r="E354" s="7">
        <f>STDEV(C343:C354)</f>
        <v/>
      </c>
    </row>
    <row r="355">
      <c r="A355" s="6" t="n">
        <v>43617</v>
      </c>
      <c r="B355" s="3" t="n">
        <v>1359.0425</v>
      </c>
      <c r="C355" s="7">
        <f>IF(ROW()=2,"",LOG(B355/B354)*100)</f>
        <v/>
      </c>
      <c r="D355" s="7">
        <f>STDEV(C353:C355)</f>
        <v/>
      </c>
      <c r="E355" s="7">
        <f>STDEV(C344:C355)</f>
        <v/>
      </c>
    </row>
    <row r="356">
      <c r="A356" s="6" t="n">
        <v>43647</v>
      </c>
      <c r="B356" s="3" t="n">
        <v>1412.978260869565</v>
      </c>
      <c r="C356" s="7">
        <f>IF(ROW()=2,"",LOG(B356/B355)*100)</f>
        <v/>
      </c>
      <c r="D356" s="7">
        <f>STDEV(C354:C356)</f>
        <v/>
      </c>
      <c r="E356" s="7">
        <f>STDEV(C345:C356)</f>
        <v/>
      </c>
    </row>
    <row r="357">
      <c r="A357" s="6" t="n">
        <v>43678</v>
      </c>
      <c r="B357" s="3" t="n">
        <v>1498.797619047619</v>
      </c>
      <c r="C357" s="7">
        <f>IF(ROW()=2,"",LOG(B357/B356)*100)</f>
        <v/>
      </c>
      <c r="D357" s="7">
        <f>STDEV(C355:C357)</f>
        <v/>
      </c>
      <c r="E357" s="7">
        <f>STDEV(C346:C357)</f>
        <v/>
      </c>
    </row>
    <row r="358">
      <c r="A358" s="6" t="n">
        <v>43709</v>
      </c>
      <c r="B358" s="3" t="n">
        <v>1511.314285714286</v>
      </c>
      <c r="C358" s="7">
        <f>IF(ROW()=2,"",LOG(B358/B357)*100)</f>
        <v/>
      </c>
      <c r="D358" s="7">
        <f>STDEV(C356:C358)</f>
        <v/>
      </c>
      <c r="E358" s="7">
        <f>STDEV(C347:C358)</f>
        <v/>
      </c>
    </row>
    <row r="359">
      <c r="A359" s="6" t="n">
        <v>43739</v>
      </c>
      <c r="B359" s="3" t="n">
        <v>1494.8</v>
      </c>
      <c r="C359" s="7">
        <f>IF(ROW()=2,"",LOG(B359/B358)*100)</f>
        <v/>
      </c>
      <c r="D359" s="7">
        <f>STDEV(C357:C359)</f>
        <v/>
      </c>
      <c r="E359" s="7">
        <f>STDEV(C348:C359)</f>
        <v/>
      </c>
    </row>
    <row r="360">
      <c r="A360" s="6" t="n">
        <v>43770</v>
      </c>
      <c r="B360" s="3" t="n">
        <v>1470.016666666667</v>
      </c>
      <c r="C360" s="7">
        <f>IF(ROW()=2,"",LOG(B360/B359)*100)</f>
        <v/>
      </c>
      <c r="D360" s="7">
        <f>STDEV(C358:C360)</f>
        <v/>
      </c>
      <c r="E360" s="7">
        <f>STDEV(C349:C360)</f>
        <v/>
      </c>
    </row>
    <row r="361">
      <c r="A361" s="6" t="n">
        <v>43800</v>
      </c>
      <c r="B361" s="3" t="n">
        <v>1476.044444444444</v>
      </c>
      <c r="C361" s="7">
        <f>IF(ROW()=2,"",LOG(B361/B360)*100)</f>
        <v/>
      </c>
      <c r="D361" s="7">
        <f>STDEV(C359:C361)</f>
        <v/>
      </c>
      <c r="E361" s="7">
        <f>STDEV(C350:C361)</f>
        <v/>
      </c>
    </row>
    <row r="362">
      <c r="A362" s="6" t="n">
        <v>43831</v>
      </c>
      <c r="B362" s="3" t="n">
        <v>1560.672727272727</v>
      </c>
      <c r="C362" s="7">
        <f>IF(ROW()=2,"",LOG(B362/B361)*100)</f>
        <v/>
      </c>
      <c r="D362" s="7">
        <f>STDEV(C360:C362)</f>
        <v/>
      </c>
      <c r="E362" s="7">
        <f>STDEV(C351:C362)</f>
        <v/>
      </c>
    </row>
    <row r="363">
      <c r="A363" s="6" t="n">
        <v>43862</v>
      </c>
      <c r="B363" s="3" t="n">
        <v>1597.1025</v>
      </c>
      <c r="C363" s="7">
        <f>IF(ROW()=2,"",LOG(B363/B362)*100)</f>
        <v/>
      </c>
      <c r="D363" s="7">
        <f>STDEV(C361:C363)</f>
        <v/>
      </c>
      <c r="E363" s="7">
        <f>STDEV(C352:C363)</f>
        <v/>
      </c>
    </row>
    <row r="364">
      <c r="A364" s="6" t="n">
        <v>43891</v>
      </c>
      <c r="B364" s="3" t="n">
        <v>1591.927272727273</v>
      </c>
      <c r="C364" s="7">
        <f>IF(ROW()=2,"",LOG(B364/B363)*100)</f>
        <v/>
      </c>
      <c r="D364" s="7">
        <f>STDEV(C362:C364)</f>
        <v/>
      </c>
      <c r="E364" s="7">
        <f>STDEV(C353:C364)</f>
        <v/>
      </c>
    </row>
    <row r="365">
      <c r="A365" s="6" t="n">
        <v>43922</v>
      </c>
      <c r="B365" s="3" t="n">
        <v>1682.93</v>
      </c>
      <c r="C365" s="7">
        <f>IF(ROW()=2,"",LOG(B365/B364)*100)</f>
        <v/>
      </c>
      <c r="D365" s="7">
        <f>STDEV(C363:C365)</f>
        <v/>
      </c>
      <c r="E365" s="7">
        <f>STDEV(C354:C365)</f>
        <v/>
      </c>
    </row>
    <row r="366">
      <c r="A366" s="6" t="n">
        <v>43952</v>
      </c>
      <c r="B366" s="3" t="n">
        <v>1716.381578947368</v>
      </c>
      <c r="C366" s="7">
        <f>IF(ROW()=2,"",LOG(B366/B365)*100)</f>
        <v/>
      </c>
      <c r="D366" s="7">
        <f>STDEV(C364:C366)</f>
        <v/>
      </c>
      <c r="E366" s="7">
        <f>STDEV(C355:C366)</f>
        <v/>
      </c>
    </row>
    <row r="367">
      <c r="A367" s="6" t="n">
        <v>43983</v>
      </c>
      <c r="B367" s="3" t="n">
        <v>1732.218181818182</v>
      </c>
      <c r="C367" s="7">
        <f>IF(ROW()=2,"",LOG(B367/B366)*100)</f>
        <v/>
      </c>
      <c r="D367" s="7">
        <f>STDEV(C365:C367)</f>
        <v/>
      </c>
      <c r="E367" s="7">
        <f>STDEV(C356:C367)</f>
        <v/>
      </c>
    </row>
    <row r="368">
      <c r="A368" s="6" t="n">
        <v>44013</v>
      </c>
      <c r="B368" s="3" t="n">
        <v>1843.313043478261</v>
      </c>
      <c r="C368" s="7">
        <f>IF(ROW()=2,"",LOG(B368/B367)*100)</f>
        <v/>
      </c>
      <c r="D368" s="7">
        <f>STDEV(C366:C368)</f>
        <v/>
      </c>
      <c r="E368" s="7">
        <f>STDEV(C357:C368)</f>
        <v/>
      </c>
    </row>
    <row r="369">
      <c r="A369" s="6" t="n">
        <v>44044</v>
      </c>
      <c r="B369" s="3" t="n">
        <v>1968.030952380952</v>
      </c>
      <c r="C369" s="7">
        <f>IF(ROW()=2,"",LOG(B369/B368)*100)</f>
        <v/>
      </c>
      <c r="D369" s="7">
        <f>STDEV(C367:C369)</f>
        <v/>
      </c>
      <c r="E369" s="7">
        <f>STDEV(C358:C369)</f>
        <v/>
      </c>
    </row>
    <row r="370">
      <c r="A370" s="6" t="n">
        <v>44075</v>
      </c>
      <c r="B370" s="3" t="n">
        <v>1922.213636363636</v>
      </c>
      <c r="C370" s="7">
        <f>IF(ROW()=2,"",LOG(B370/B369)*100)</f>
        <v/>
      </c>
      <c r="D370" s="7">
        <f>STDEV(C368:C370)</f>
        <v/>
      </c>
      <c r="E370" s="7">
        <f>STDEV(C359:C370)</f>
        <v/>
      </c>
    </row>
    <row r="371">
      <c r="A371" s="6" t="n">
        <v>44105</v>
      </c>
      <c r="B371" s="3" t="n">
        <v>1900.275</v>
      </c>
      <c r="C371" s="7">
        <f>IF(ROW()=2,"",LOG(B371/B370)*100)</f>
        <v/>
      </c>
      <c r="D371" s="7">
        <f>STDEV(C369:C371)</f>
        <v/>
      </c>
      <c r="E371" s="7">
        <f>STDEV(C360:C371)</f>
        <v/>
      </c>
    </row>
    <row r="372">
      <c r="A372" s="6" t="n">
        <v>44136</v>
      </c>
      <c r="B372" s="3" t="n">
        <v>1863.492857142857</v>
      </c>
      <c r="C372" s="7">
        <f>IF(ROW()=2,"",LOG(B372/B371)*100)</f>
        <v/>
      </c>
      <c r="D372" s="7">
        <f>STDEV(C370:C372)</f>
        <v/>
      </c>
      <c r="E372" s="7">
        <f>STDEV(C361:C372)</f>
        <v/>
      </c>
    </row>
    <row r="373">
      <c r="A373" s="6" t="n">
        <v>44166</v>
      </c>
      <c r="B373" s="3" t="n">
        <v>1855.955263157895</v>
      </c>
      <c r="C373" s="7">
        <f>IF(ROW()=2,"",LOG(B373/B372)*100)</f>
        <v/>
      </c>
      <c r="D373" s="7">
        <f>STDEV(C371:C373)</f>
        <v/>
      </c>
      <c r="E373" s="7">
        <f>STDEV(C362:C373)</f>
        <v/>
      </c>
    </row>
    <row r="374">
      <c r="A374" s="6" t="n">
        <v>44197</v>
      </c>
      <c r="B374" s="3" t="n">
        <v>1866.985</v>
      </c>
      <c r="C374" s="7">
        <f>IF(ROW()=2,"",LOG(B374/B373)*100)</f>
        <v/>
      </c>
      <c r="D374" s="7">
        <f>STDEV(C372:C374)</f>
        <v/>
      </c>
      <c r="E374" s="7">
        <f>STDEV(C363:C374)</f>
        <v/>
      </c>
    </row>
    <row r="375">
      <c r="A375" s="6" t="n">
        <v>44228</v>
      </c>
      <c r="B375" s="3" t="n">
        <v>1808.175</v>
      </c>
      <c r="C375" s="7">
        <f>IF(ROW()=2,"",LOG(B375/B374)*100)</f>
        <v/>
      </c>
      <c r="D375" s="7">
        <f>STDEV(C373:C375)</f>
        <v/>
      </c>
      <c r="E375" s="7">
        <f>STDEV(C364:C375)</f>
        <v/>
      </c>
    </row>
    <row r="376">
      <c r="A376" s="6" t="n">
        <v>44256</v>
      </c>
      <c r="B376" s="3" t="n">
        <v>1718.228260869566</v>
      </c>
      <c r="C376" s="7">
        <f>IF(ROW()=2,"",LOG(B376/B375)*100)</f>
        <v/>
      </c>
      <c r="D376" s="7">
        <f>STDEV(C374:C376)</f>
        <v/>
      </c>
      <c r="E376" s="7">
        <f>STDEV(C365:C376)</f>
        <v/>
      </c>
    </row>
    <row r="377">
      <c r="A377" s="6" t="n">
        <v>44287</v>
      </c>
      <c r="B377" s="3" t="n">
        <v>1761.6775</v>
      </c>
      <c r="C377" s="7">
        <f>IF(ROW()=2,"",LOG(B377/B376)*100)</f>
        <v/>
      </c>
      <c r="D377" s="7">
        <f>STDEV(C375:C377)</f>
        <v/>
      </c>
      <c r="E377" s="7">
        <f>STDEV(C366:C377)</f>
        <v/>
      </c>
    </row>
    <row r="378">
      <c r="A378" s="6" t="n">
        <v>44317</v>
      </c>
      <c r="B378" s="3" t="n">
        <v>1855.56</v>
      </c>
      <c r="C378" s="7">
        <f>IF(ROW()=2,"",LOG(B378/B377)*100)</f>
        <v/>
      </c>
      <c r="D378" s="7">
        <f>STDEV(C376:C378)</f>
        <v/>
      </c>
      <c r="E378" s="7">
        <f>STDEV(C367:C378)</f>
        <v/>
      </c>
    </row>
    <row r="379">
      <c r="A379" s="6" t="n">
        <v>44348</v>
      </c>
      <c r="B379" s="3" t="n">
        <v>1834.565909090909</v>
      </c>
      <c r="C379" s="7">
        <f>IF(ROW()=2,"",LOG(B379/B378)*100)</f>
        <v/>
      </c>
      <c r="D379" s="7">
        <f>STDEV(C377:C379)</f>
        <v/>
      </c>
      <c r="E379" s="7">
        <f>STDEV(C368:C379)</f>
        <v/>
      </c>
    </row>
    <row r="380">
      <c r="A380" s="6" t="n">
        <v>44378</v>
      </c>
      <c r="B380" s="3" t="n">
        <v>1807.093181818182</v>
      </c>
      <c r="C380" s="7">
        <f>IF(ROW()=2,"",LOG(B380/B379)*100)</f>
        <v/>
      </c>
      <c r="D380" s="7">
        <f>STDEV(C378:C380)</f>
        <v/>
      </c>
      <c r="E380" s="7">
        <f>STDEV(C369:C380)</f>
        <v/>
      </c>
    </row>
    <row r="381">
      <c r="A381" s="6" t="n">
        <v>44409</v>
      </c>
      <c r="B381" s="3" t="n">
        <v>1783.969047619048</v>
      </c>
      <c r="C381" s="7">
        <f>IF(ROW()=2,"",LOG(B381/B380)*100)</f>
        <v/>
      </c>
      <c r="D381" s="7">
        <f>STDEV(C379:C381)</f>
        <v/>
      </c>
      <c r="E381" s="7">
        <f>STDEV(C370:C381)</f>
        <v/>
      </c>
    </row>
    <row r="382">
      <c r="A382" s="6" t="n">
        <v>44440</v>
      </c>
      <c r="B382" s="3" t="n">
        <v>1777.252272727273</v>
      </c>
      <c r="C382" s="7">
        <f>IF(ROW()=2,"",LOG(B382/B381)*100)</f>
        <v/>
      </c>
      <c r="D382" s="7">
        <f>STDEV(C380:C382)</f>
        <v/>
      </c>
      <c r="E382" s="7">
        <f>STDEV(C371:C382)</f>
        <v/>
      </c>
    </row>
    <row r="383">
      <c r="A383" s="6" t="n">
        <v>44470</v>
      </c>
      <c r="B383" s="3" t="n">
        <v>1776.854761904762</v>
      </c>
      <c r="C383" s="7">
        <f>IF(ROW()=2,"",LOG(B383/B382)*100)</f>
        <v/>
      </c>
      <c r="D383" s="7">
        <f>STDEV(C381:C383)</f>
        <v/>
      </c>
      <c r="E383" s="7">
        <f>STDEV(C372:C383)</f>
        <v/>
      </c>
    </row>
    <row r="384">
      <c r="A384" s="6" t="n">
        <v>44501</v>
      </c>
      <c r="B384" s="3" t="n">
        <v>1820.234090909091</v>
      </c>
      <c r="C384" s="7">
        <f>IF(ROW()=2,"",LOG(B384/B383)*100)</f>
        <v/>
      </c>
      <c r="D384" s="7">
        <f>STDEV(C382:C384)</f>
        <v/>
      </c>
      <c r="E384" s="7">
        <f>STDEV(C373:C384)</f>
        <v/>
      </c>
    </row>
    <row r="385">
      <c r="A385" s="6" t="n">
        <v>44531</v>
      </c>
      <c r="B385" s="3" t="n">
        <v>1786.652631578947</v>
      </c>
      <c r="C385" s="7">
        <f>IF(ROW()=2,"",LOG(B385/B384)*100)</f>
        <v/>
      </c>
      <c r="D385" s="7">
        <f>STDEV(C383:C385)</f>
        <v/>
      </c>
      <c r="E385" s="7">
        <f>STDEV(C374:C385)</f>
        <v/>
      </c>
    </row>
    <row r="386">
      <c r="A386" s="6" t="n">
        <v>44562</v>
      </c>
      <c r="B386" s="3" t="n">
        <v>1816.765</v>
      </c>
      <c r="C386" s="7">
        <f>IF(ROW()=2,"",LOG(B386/B385)*100)</f>
        <v/>
      </c>
      <c r="D386" s="7">
        <f>STDEV(C384:C386)</f>
        <v/>
      </c>
      <c r="E386" s="7">
        <f>STDEV(C375:C386)</f>
        <v/>
      </c>
    </row>
    <row r="387">
      <c r="A387" s="6" t="n">
        <v>44593</v>
      </c>
      <c r="B387" s="3" t="n">
        <v>1856.295</v>
      </c>
      <c r="C387" s="7">
        <f>IF(ROW()=2,"",LOG(B387/B386)*100)</f>
        <v/>
      </c>
      <c r="D387" s="7">
        <f>STDEV(C385:C387)</f>
        <v/>
      </c>
      <c r="E387" s="7">
        <f>STDEV(C376:C387)</f>
        <v/>
      </c>
    </row>
    <row r="388">
      <c r="A388" s="6" t="n">
        <v>44621</v>
      </c>
      <c r="B388" s="3" t="n">
        <v>1947.828260869565</v>
      </c>
      <c r="C388" s="7">
        <f>IF(ROW()=2,"",LOG(B388/B387)*100)</f>
        <v/>
      </c>
      <c r="D388" s="7">
        <f>STDEV(C386:C388)</f>
        <v/>
      </c>
      <c r="E388" s="7">
        <f>STDEV(C377:C388)</f>
        <v/>
      </c>
    </row>
    <row r="389">
      <c r="A389" s="6" t="n">
        <v>44652</v>
      </c>
      <c r="B389" s="3" t="n">
        <v>1933.9</v>
      </c>
      <c r="C389" s="7">
        <f>IF(ROW()=2,"",LOG(B389/B388)*100)</f>
        <v/>
      </c>
      <c r="D389" s="7">
        <f>STDEV(C387:C389)</f>
        <v/>
      </c>
      <c r="E389" s="7">
        <f>STDEV(C378:C389)</f>
        <v/>
      </c>
    </row>
    <row r="390">
      <c r="A390" s="6" t="n">
        <v>44682</v>
      </c>
      <c r="B390" s="3" t="n">
        <v>1849.833181818182</v>
      </c>
      <c r="C390" s="7">
        <f>IF(ROW()=2,"",LOG(B390/B389)*100)</f>
        <v/>
      </c>
      <c r="D390" s="7">
        <f>STDEV(C388:C390)</f>
        <v/>
      </c>
      <c r="E390" s="7">
        <f>STDEV(C379:C390)</f>
        <v/>
      </c>
    </row>
    <row r="391">
      <c r="A391" s="6" t="n">
        <v>44713</v>
      </c>
      <c r="B391" s="3" t="n">
        <v>1837.064090909091</v>
      </c>
      <c r="C391" s="7">
        <f>IF(ROW()=2,"",LOG(B391/B390)*100)</f>
        <v/>
      </c>
      <c r="D391" s="7">
        <f>STDEV(C389:C391)</f>
        <v/>
      </c>
      <c r="E391" s="7">
        <f>STDEV(C380:C391)</f>
        <v/>
      </c>
    </row>
    <row r="392">
      <c r="A392" s="6" t="n">
        <v>44743</v>
      </c>
      <c r="B392" s="3" t="n">
        <v>1737.380476190476</v>
      </c>
      <c r="C392" s="7">
        <f>IF(ROW()=2,"",LOG(B392/B391)*100)</f>
        <v/>
      </c>
      <c r="D392" s="7">
        <f>STDEV(C390:C392)</f>
        <v/>
      </c>
      <c r="E392" s="7">
        <f>STDEV(C381:C392)</f>
        <v/>
      </c>
    </row>
    <row r="393">
      <c r="A393" s="6" t="n">
        <v>44774</v>
      </c>
      <c r="B393" s="3" t="n">
        <v>1764.132608695652</v>
      </c>
      <c r="C393" s="7">
        <f>IF(ROW()=2,"",LOG(B393/B392)*100)</f>
        <v/>
      </c>
      <c r="D393" s="7">
        <f>STDEV(C391:C393)</f>
        <v/>
      </c>
      <c r="E393" s="7">
        <f>STDEV(C382:C393)</f>
        <v/>
      </c>
    </row>
    <row r="394">
      <c r="A394" s="6" t="n">
        <v>44805</v>
      </c>
      <c r="B394" s="3" t="n">
        <v>1683.208181818181</v>
      </c>
      <c r="C394" s="7">
        <f>IF(ROW()=2,"",LOG(B394/B393)*100)</f>
        <v/>
      </c>
      <c r="D394" s="7">
        <f>STDEV(C392:C394)</f>
        <v/>
      </c>
      <c r="E394" s="7">
        <f>STDEV(C383:C394)</f>
        <v/>
      </c>
    </row>
    <row r="395">
      <c r="A395" s="6" t="n">
        <v>44835</v>
      </c>
      <c r="B395" s="3" t="n">
        <v>1666.626666666667</v>
      </c>
      <c r="C395" s="7">
        <f>IF(ROW()=2,"",LOG(B395/B394)*100)</f>
        <v/>
      </c>
      <c r="D395" s="7">
        <f>STDEV(C393:C395)</f>
        <v/>
      </c>
      <c r="E395" s="7">
        <f>STDEV(C384:C395)</f>
        <v/>
      </c>
    </row>
    <row r="396">
      <c r="A396" s="6" t="n">
        <v>44866</v>
      </c>
      <c r="B396" s="3" t="n">
        <v>1727.898636363636</v>
      </c>
      <c r="C396" s="7">
        <f>IF(ROW()=2,"",LOG(B396/B395)*100)</f>
        <v/>
      </c>
      <c r="D396" s="7">
        <f>STDEV(C394:C396)</f>
        <v/>
      </c>
      <c r="E396" s="7">
        <f>STDEV(C385:C396)</f>
        <v/>
      </c>
    </row>
    <row r="397">
      <c r="A397" s="6" t="n">
        <v>44896</v>
      </c>
      <c r="B397" s="3" t="n">
        <v>1797.408181818182</v>
      </c>
      <c r="C397" s="7">
        <f>IF(ROW()=2,"",LOG(B397/B396)*100)</f>
        <v/>
      </c>
      <c r="D397" s="7">
        <f>STDEV(C395:C397)</f>
        <v/>
      </c>
      <c r="E397" s="7">
        <f>STDEV(C386:C397)</f>
        <v/>
      </c>
    </row>
    <row r="398">
      <c r="A398" s="6" t="n">
        <v>44927</v>
      </c>
      <c r="B398" s="3" t="n">
        <v>1896.059545454545</v>
      </c>
      <c r="C398" s="7">
        <f>IF(ROW()=2,"",LOG(B398/B397)*100)</f>
        <v/>
      </c>
      <c r="D398" s="7">
        <f>STDEV(C396:C398)</f>
        <v/>
      </c>
      <c r="E398" s="7">
        <f>STDEV(C387:C398)</f>
        <v/>
      </c>
    </row>
    <row r="399">
      <c r="A399" s="6" t="n">
        <v>44958</v>
      </c>
      <c r="B399" s="3" t="n">
        <v>1853.409</v>
      </c>
      <c r="C399" s="7">
        <f>IF(ROW()=2,"",LOG(B399/B398)*100)</f>
        <v/>
      </c>
      <c r="D399" s="7">
        <f>STDEV(C397:C399)</f>
        <v/>
      </c>
      <c r="E399" s="7">
        <f>STDEV(C388:C399)</f>
        <v/>
      </c>
    </row>
    <row r="400">
      <c r="A400" s="6" t="n">
        <v>44986</v>
      </c>
      <c r="B400" s="3" t="n">
        <v>1913.648260869565</v>
      </c>
      <c r="C400" s="7">
        <f>IF(ROW()=2,"",LOG(B400/B399)*100)</f>
        <v/>
      </c>
      <c r="D400" s="7">
        <f>STDEV(C398:C400)</f>
        <v/>
      </c>
      <c r="E400" s="7">
        <f>STDEV(C389:C400)</f>
        <v/>
      </c>
    </row>
    <row r="401">
      <c r="A401" s="6" t="n">
        <v>45017</v>
      </c>
      <c r="B401" s="3" t="n">
        <v>1999.6685</v>
      </c>
      <c r="C401" s="7">
        <f>IF(ROW()=2,"",LOG(B401/B400)*100)</f>
        <v/>
      </c>
      <c r="D401" s="7">
        <f>STDEV(C399:C401)</f>
        <v/>
      </c>
      <c r="E401" s="7">
        <f>STDEV(C390:C401)</f>
        <v/>
      </c>
    </row>
    <row r="402">
      <c r="A402" s="6" t="n">
        <v>45047</v>
      </c>
      <c r="B402" s="3" t="n">
        <v>1989.826956521739</v>
      </c>
      <c r="C402" s="7">
        <f>IF(ROW()=2,"",LOG(B402/B401)*100)</f>
        <v/>
      </c>
      <c r="D402" s="7">
        <f>STDEV(C400:C402)</f>
        <v/>
      </c>
      <c r="E402" s="7">
        <f>STDEV(C391:C402)</f>
        <v/>
      </c>
    </row>
    <row r="403">
      <c r="A403" s="6" t="n">
        <v>45078</v>
      </c>
      <c r="B403" s="3" t="n">
        <v>1944.728636363636</v>
      </c>
      <c r="C403" s="7">
        <f>IF(ROW()=2,"",LOG(B403/B402)*100)</f>
        <v/>
      </c>
      <c r="D403" s="7">
        <f>STDEV(C401:C403)</f>
        <v/>
      </c>
      <c r="E403" s="7">
        <f>STDEV(C392:C403)</f>
        <v/>
      </c>
    </row>
    <row r="404">
      <c r="A404" s="6" t="n">
        <v>45108</v>
      </c>
      <c r="B404" s="3" t="n">
        <v>1950.27</v>
      </c>
      <c r="C404" s="7">
        <f>IF(ROW()=2,"",LOG(B404/B403)*100)</f>
        <v/>
      </c>
      <c r="D404" s="7">
        <f>STDEV(C402:C404)</f>
        <v/>
      </c>
      <c r="E404" s="7">
        <f>STDEV(C393:C404)</f>
        <v/>
      </c>
    </row>
    <row r="405">
      <c r="A405" s="6" t="n">
        <v>45139</v>
      </c>
      <c r="B405" s="3" t="n">
        <v>1919.302173913044</v>
      </c>
      <c r="C405" s="7">
        <f>IF(ROW()=2,"",LOG(B405/B404)*100)</f>
        <v/>
      </c>
      <c r="D405" s="7">
        <f>STDEV(C403:C405)</f>
        <v/>
      </c>
      <c r="E405" s="7">
        <f>STDEV(C394:C405)</f>
        <v/>
      </c>
    </row>
    <row r="406">
      <c r="A406" s="6" t="n">
        <v>45170</v>
      </c>
      <c r="B406" s="3" t="n">
        <v>1915.434761904762</v>
      </c>
      <c r="C406" s="7">
        <f>IF(ROW()=2,"",LOG(B406/B405)*100)</f>
        <v/>
      </c>
      <c r="D406" s="7">
        <f>STDEV(C404:C406)</f>
        <v/>
      </c>
      <c r="E406" s="7">
        <f>STDEV(C395:C406)</f>
        <v/>
      </c>
    </row>
    <row r="407">
      <c r="A407" s="6" t="n">
        <v>45200</v>
      </c>
      <c r="B407" s="3" t="n">
        <v>1913.984545454546</v>
      </c>
      <c r="C407" s="7">
        <f>IF(ROW()=2,"",LOG(B407/B406)*100)</f>
        <v/>
      </c>
      <c r="D407" s="7">
        <f>STDEV(C405:C407)</f>
        <v/>
      </c>
      <c r="E407" s="7">
        <f>STDEV(C396:C407)</f>
        <v/>
      </c>
    </row>
    <row r="408">
      <c r="A408" s="6" t="n">
        <v>45231</v>
      </c>
      <c r="B408" s="3" t="n">
        <v>1985.777727272728</v>
      </c>
      <c r="C408" s="7">
        <f>IF(ROW()=2,"",LOG(B408/B407)*100)</f>
        <v/>
      </c>
      <c r="D408" s="7">
        <f>STDEV(C406:C408)</f>
        <v/>
      </c>
      <c r="E408" s="7">
        <f>STDEV(C397:C408)</f>
        <v/>
      </c>
    </row>
    <row r="409">
      <c r="A409" s="6" t="n">
        <v>45261</v>
      </c>
      <c r="B409" s="3" t="n">
        <v>2034.704285714285</v>
      </c>
      <c r="C409" s="7">
        <f>IF(ROW()=2,"",LOG(B409/B408)*100)</f>
        <v/>
      </c>
      <c r="D409" s="7">
        <f>STDEV(C407:C409)</f>
        <v/>
      </c>
      <c r="E409" s="7">
        <f>STDEV(C398:C409)</f>
        <v/>
      </c>
    </row>
    <row r="410">
      <c r="A410" s="6" t="n">
        <v>45292</v>
      </c>
      <c r="B410" s="3" t="n">
        <v>2034.006086956522</v>
      </c>
      <c r="C410" s="7">
        <f>IF(ROW()=2,"",LOG(B410/B409)*100)</f>
        <v/>
      </c>
      <c r="D410" s="7">
        <f>STDEV(C408:C410)</f>
        <v/>
      </c>
      <c r="E410" s="7">
        <f>STDEV(C399:C410)</f>
        <v/>
      </c>
    </row>
    <row r="411">
      <c r="A411" s="6" t="n">
        <v>45323</v>
      </c>
      <c r="B411" s="3" t="n">
        <v>2024.44619047619</v>
      </c>
      <c r="C411" s="7">
        <f>IF(ROW()=2,"",LOG(B411/B410)*100)</f>
        <v/>
      </c>
      <c r="D411" s="7">
        <f>STDEV(C409:C411)</f>
        <v/>
      </c>
      <c r="E411" s="7">
        <f>STDEV(C400:C411)</f>
        <v/>
      </c>
    </row>
    <row r="412">
      <c r="A412" s="6" t="n">
        <v>45352</v>
      </c>
      <c r="B412" s="3" t="n">
        <v>2162.346190476191</v>
      </c>
      <c r="C412" s="7">
        <f>IF(ROW()=2,"",LOG(B412/B411)*100)</f>
        <v/>
      </c>
      <c r="D412" s="7">
        <f>STDEV(C410:C412)</f>
        <v/>
      </c>
      <c r="E412" s="7">
        <f>STDEV(C401:C412)</f>
        <v/>
      </c>
    </row>
    <row r="413">
      <c r="A413" s="6" t="n">
        <v>45383</v>
      </c>
      <c r="B413" s="3" t="n">
        <v>2333.550454545454</v>
      </c>
      <c r="C413" s="7">
        <f>IF(ROW()=2,"",LOG(B413/B412)*100)</f>
        <v/>
      </c>
      <c r="D413" s="7">
        <f>STDEV(C411:C413)</f>
        <v/>
      </c>
      <c r="E413" s="7">
        <f>STDEV(C402:C413)</f>
        <v/>
      </c>
    </row>
    <row r="414">
      <c r="A414" s="6" t="n">
        <v>45413</v>
      </c>
      <c r="B414" s="3" t="n">
        <v>2350.596521739131</v>
      </c>
      <c r="C414" s="7">
        <f>IF(ROW()=2,"",LOG(B414/B413)*100)</f>
        <v/>
      </c>
      <c r="D414" s="7">
        <f>STDEV(C412:C414)</f>
        <v/>
      </c>
      <c r="E414" s="7">
        <f>STDEV(C403:C414)</f>
        <v/>
      </c>
    </row>
    <row r="415">
      <c r="A415" s="6" t="n">
        <v>45444</v>
      </c>
      <c r="B415" s="3" t="n">
        <v>2328.2625</v>
      </c>
      <c r="C415" s="7">
        <f>IF(ROW()=2,"",LOG(B415/B414)*100)</f>
        <v/>
      </c>
      <c r="D415" s="7">
        <f>STDEV(C413:C415)</f>
        <v/>
      </c>
      <c r="E415" s="7">
        <f>STDEV(C404:C415)</f>
        <v/>
      </c>
    </row>
    <row r="416">
      <c r="A416" s="6" t="n">
        <v>45474</v>
      </c>
      <c r="B416" s="3" t="n">
        <v>2393.962173913043</v>
      </c>
      <c r="C416" s="7">
        <f>IF(ROW()=2,"",LOG(B416/B415)*100)</f>
        <v/>
      </c>
      <c r="D416" s="7">
        <f>STDEV(C414:C416)</f>
        <v/>
      </c>
      <c r="E416" s="7">
        <f>STDEV(C405:C416)</f>
        <v/>
      </c>
    </row>
    <row r="417">
      <c r="A417" s="6" t="n">
        <v>45505</v>
      </c>
      <c r="B417" s="3" t="n">
        <v>2468.328636363637</v>
      </c>
      <c r="C417" s="7">
        <f>IF(ROW()=2,"",LOG(B417/B416)*100)</f>
        <v/>
      </c>
      <c r="D417" s="7">
        <f>STDEV(C415:C417)</f>
        <v/>
      </c>
      <c r="E417" s="7">
        <f>STDEV(C406:C417)</f>
        <v/>
      </c>
    </row>
    <row r="418">
      <c r="A418" s="6" t="n">
        <v>45536</v>
      </c>
      <c r="B418" s="3" t="n">
        <v>2569.049047619048</v>
      </c>
      <c r="C418" s="7">
        <f>IF(ROW()=2,"",LOG(B418/B417)*100)</f>
        <v/>
      </c>
      <c r="D418" s="7">
        <f>STDEV(C416:C418)</f>
        <v/>
      </c>
      <c r="E418" s="7">
        <f>STDEV(C407:C418)</f>
        <v/>
      </c>
    </row>
    <row r="419">
      <c r="A419" s="6" t="n">
        <v>45566</v>
      </c>
      <c r="B419" s="3" t="n">
        <v>2689.128695652173</v>
      </c>
      <c r="C419" s="7">
        <f>IF(ROW()=2,"",LOG(B419/B418)*100)</f>
        <v/>
      </c>
      <c r="D419" s="7">
        <f>STDEV(C417:C419)</f>
        <v/>
      </c>
      <c r="E419" s="7">
        <f>STDEV(C408:C419)</f>
        <v/>
      </c>
    </row>
    <row r="420">
      <c r="A420" s="6" t="n">
        <v>45597</v>
      </c>
      <c r="B420" s="3" t="n">
        <v>2652.199523809524</v>
      </c>
      <c r="C420" s="7">
        <f>IF(ROW()=2,"",LOG(B420/B419)*100)</f>
        <v/>
      </c>
      <c r="D420" s="7">
        <f>STDEV(C418:C420)</f>
        <v/>
      </c>
      <c r="E420" s="7">
        <f>STDEV(C409:C420)</f>
        <v/>
      </c>
    </row>
    <row r="421">
      <c r="A421" s="6" t="n">
        <v>45627</v>
      </c>
      <c r="B421" s="3" t="n">
        <v>2640.605454545455</v>
      </c>
      <c r="C421" s="7">
        <f>IF(ROW()=2,"",LOG(B421/B420)*100)</f>
        <v/>
      </c>
      <c r="D421" s="7">
        <f>STDEV(C419:C421)</f>
        <v/>
      </c>
      <c r="E421" s="7">
        <f>STDEV(C410:C421)</f>
        <v/>
      </c>
    </row>
    <row r="422">
      <c r="A422" s="6" t="n">
        <v>45658</v>
      </c>
      <c r="B422" s="3" t="n">
        <v>2707.467391304348</v>
      </c>
      <c r="C422" s="7">
        <f>IF(ROW()=2,"",LOG(B422/B421)*100)</f>
        <v/>
      </c>
      <c r="D422" s="7">
        <f>STDEV(C420:C422)</f>
        <v/>
      </c>
      <c r="E422" s="7">
        <f>STDEV(C411:C422)</f>
        <v/>
      </c>
    </row>
    <row r="423">
      <c r="A423" s="6" t="n">
        <v>45689</v>
      </c>
      <c r="B423" s="3" t="n">
        <v>2894.38</v>
      </c>
      <c r="C423" s="7">
        <f>IF(ROW()=2,"",LOG(B423/B422)*100)</f>
        <v/>
      </c>
      <c r="D423" s="7">
        <f>STDEV(C421:C423)</f>
        <v/>
      </c>
      <c r="E423" s="7">
        <f>STDEV(C412:C423)</f>
        <v/>
      </c>
    </row>
    <row r="424">
      <c r="A424" s="6" t="n">
        <v>45717</v>
      </c>
      <c r="B424" s="3" t="n">
        <v>2986.256190476191</v>
      </c>
      <c r="C424" s="7">
        <f>IF(ROW()=2,"",LOG(B424/B423)*100)</f>
        <v/>
      </c>
      <c r="D424" s="7">
        <f>STDEV(C422:C424)</f>
        <v/>
      </c>
      <c r="E424" s="7">
        <f>STDEV(C413:C424)</f>
        <v/>
      </c>
    </row>
    <row r="425">
      <c r="A425" s="6" t="n">
        <v>45748</v>
      </c>
      <c r="B425" s="3" t="n">
        <v>3222.011818181818</v>
      </c>
      <c r="C425" s="7">
        <f>IF(ROW()=2,"",LOG(B425/B424)*100)</f>
        <v/>
      </c>
      <c r="D425" s="7">
        <f>STDEV(C423:C425)</f>
        <v/>
      </c>
      <c r="E425" s="7">
        <f>STDEV(C414:C425)</f>
        <v/>
      </c>
    </row>
    <row r="426">
      <c r="A426" s="6" t="n">
        <v>45778</v>
      </c>
      <c r="B426" s="3" t="n">
        <v>3288.009545454546</v>
      </c>
      <c r="C426" s="7">
        <f>IF(ROW()=2,"",LOG(B426/B425)*100)</f>
        <v/>
      </c>
      <c r="D426" s="7">
        <f>STDEV(C424:C426)</f>
        <v/>
      </c>
      <c r="E426" s="7">
        <f>STDEV(C415:C426)</f>
        <v/>
      </c>
    </row>
    <row r="427">
      <c r="A427" s="6" t="n">
        <v>45809</v>
      </c>
      <c r="B427" s="3" t="n">
        <v>3351.858571428571</v>
      </c>
      <c r="C427" s="7">
        <f>IF(ROW()=2,"",LOG(B427/B426)*100)</f>
        <v/>
      </c>
      <c r="D427" s="7">
        <f>STDEV(C425:C427)</f>
        <v/>
      </c>
      <c r="E427" s="7">
        <f>STDEV(C416:C427)</f>
        <v/>
      </c>
    </row>
    <row r="428">
      <c r="A428" s="6" t="n">
        <v>45839</v>
      </c>
      <c r="B428" s="3" t="n">
        <v>3341.649130434783</v>
      </c>
      <c r="C428" s="7">
        <f>IF(ROW()=2,"",LOG(B428/B427)*100)</f>
        <v/>
      </c>
      <c r="D428" s="7">
        <f>STDEV(C426:C428)</f>
        <v/>
      </c>
      <c r="E428" s="7">
        <f>STDEV(C417:C428)</f>
        <v/>
      </c>
    </row>
    <row r="429">
      <c r="A429" s="6" t="n">
        <v>45870</v>
      </c>
      <c r="B429" s="3" t="n">
        <v>3367.256190476191</v>
      </c>
      <c r="C429" s="7">
        <f>IF(ROW()=2,"",LOG(B429/B428)*100)</f>
        <v/>
      </c>
      <c r="D429" s="7">
        <f>STDEV(C427:C429)</f>
        <v/>
      </c>
      <c r="E429" s="7">
        <f>STDEV(C418:C429)</f>
        <v/>
      </c>
    </row>
    <row r="430">
      <c r="A430" s="6" t="n">
        <v>45901</v>
      </c>
      <c r="B430" s="3" t="n">
        <v>3666.523636363636</v>
      </c>
      <c r="C430" s="7">
        <f>IF(ROW()=2,"",LOG(B430/B429)*100)</f>
        <v/>
      </c>
      <c r="D430" s="7">
        <f>STDEV(C428:C430)</f>
        <v/>
      </c>
      <c r="E430" s="7">
        <f>STDEV(C419:C430)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25" customWidth="1" min="4" max="4"/>
    <col width="15" customWidth="1" min="5" max="5"/>
  </cols>
  <sheetData>
    <row r="1">
      <c r="A1" s="5" t="inlineStr">
        <is>
          <t>STEP 1: Gold Price Analysis</t>
        </is>
      </c>
    </row>
    <row r="3">
      <c r="A3" t="inlineStr">
        <is>
          <t>Latest Gold Price (US$ per troy ounce):</t>
        </is>
      </c>
      <c r="B3" s="3">
        <f>'Gold price'!B430</f>
        <v/>
      </c>
    </row>
    <row r="4">
      <c r="A4" t="inlineStr">
        <is>
          <t>3-Month Volatility (%):</t>
        </is>
      </c>
      <c r="B4" s="7">
        <f>'Gold price'!D430</f>
        <v/>
      </c>
    </row>
    <row r="5">
      <c r="A5" t="inlineStr">
        <is>
          <t>3-Month Volatility Annualized (%):</t>
        </is>
      </c>
      <c r="B5" s="7">
        <f>B4*SQRT(12)</f>
        <v/>
      </c>
    </row>
    <row r="6">
      <c r="A6" t="inlineStr">
        <is>
          <t>12-Month Volatility (%):</t>
        </is>
      </c>
      <c r="B6" s="7">
        <f>'Gold price'!E430</f>
        <v/>
      </c>
    </row>
    <row r="9">
      <c r="A9" s="5" t="inlineStr">
        <is>
          <t>STEP 2: Gold Reserves Value and Exposure</t>
        </is>
      </c>
    </row>
    <row r="11">
      <c r="A11" s="8" t="inlineStr">
        <is>
          <t>Country</t>
        </is>
      </c>
      <c r="B11" s="8" t="inlineStr">
        <is>
          <t>Gold Reserves (million troy ounces)</t>
        </is>
      </c>
      <c r="C11" s="8" t="inlineStr">
        <is>
          <t>2025 Value (billion USD)</t>
        </is>
      </c>
    </row>
    <row r="12">
      <c r="A12" t="inlineStr">
        <is>
          <t>United States</t>
        </is>
      </c>
      <c r="B12" s="3" t="n">
        <v>261.5</v>
      </c>
      <c r="C12" s="9">
        <f>B12*3202.8236082355647/1000</f>
        <v/>
      </c>
    </row>
    <row r="13">
      <c r="A13" t="inlineStr">
        <is>
          <t>Germany</t>
        </is>
      </c>
      <c r="B13" s="3" t="n">
        <v>120</v>
      </c>
      <c r="C13" s="9">
        <f>B13*3202.8236082355647/1000</f>
        <v/>
      </c>
    </row>
    <row r="14">
      <c r="A14" t="inlineStr">
        <is>
          <t>Italy</t>
        </is>
      </c>
      <c r="B14" s="3" t="n">
        <v>119.6</v>
      </c>
      <c r="C14" s="9">
        <f>B14*3202.8236082355647/1000</f>
        <v/>
      </c>
    </row>
    <row r="15">
      <c r="A15" t="inlineStr">
        <is>
          <t>France</t>
        </is>
      </c>
      <c r="B15" s="3" t="n">
        <v>97.90000000000001</v>
      </c>
      <c r="C15" s="9">
        <f>B15*3202.8236082355647/1000</f>
        <v/>
      </c>
    </row>
    <row r="16">
      <c r="A16" t="inlineStr">
        <is>
          <t>Spain</t>
        </is>
      </c>
      <c r="B16" s="3" t="n">
        <v>75.7</v>
      </c>
      <c r="C16" s="9">
        <f>B16*3202.8236082355647/1000</f>
        <v/>
      </c>
    </row>
    <row r="17">
      <c r="A17" t="inlineStr">
        <is>
          <t>Switzerland</t>
        </is>
      </c>
      <c r="B17" s="3" t="n">
        <v>42.3</v>
      </c>
      <c r="C17" s="9">
        <f>B17*3202.8236082355647/1000</f>
        <v/>
      </c>
    </row>
    <row r="18">
      <c r="A18" t="inlineStr">
        <is>
          <t>Japan</t>
        </is>
      </c>
      <c r="B18" s="3" t="n">
        <v>25.2</v>
      </c>
      <c r="C18" s="9">
        <f>B18*3202.8236082355647/1000</f>
        <v/>
      </c>
    </row>
    <row r="19">
      <c r="A19" t="inlineStr">
        <is>
          <t>Netherlands</t>
        </is>
      </c>
      <c r="B19" s="3" t="n">
        <v>24.8</v>
      </c>
      <c r="C19" s="9">
        <f>B19*3202.8236082355647/1000</f>
        <v/>
      </c>
    </row>
    <row r="20">
      <c r="A20" t="inlineStr">
        <is>
          <t>China</t>
        </is>
      </c>
      <c r="B20" s="3" t="n">
        <v>23.1</v>
      </c>
      <c r="C20" s="9">
        <f>B20*3202.8236082355647/1000</f>
        <v/>
      </c>
    </row>
    <row r="21">
      <c r="A21" t="inlineStr">
        <is>
          <t>Russia</t>
        </is>
      </c>
      <c r="B21" s="3" t="n">
        <v>23</v>
      </c>
      <c r="C21" s="9">
        <f>B21*3202.8236082355647/1000</f>
        <v/>
      </c>
    </row>
    <row r="22">
      <c r="A22" t="inlineStr">
        <is>
          <t>India</t>
        </is>
      </c>
      <c r="B22" s="3" t="n">
        <v>22.9</v>
      </c>
      <c r="C22" s="9">
        <f>B22*3202.8236082355647/1000</f>
        <v/>
      </c>
    </row>
    <row r="23">
      <c r="A23" t="inlineStr">
        <is>
          <t>Canada</t>
        </is>
      </c>
      <c r="B23" s="3" t="n">
        <v>20.3</v>
      </c>
      <c r="C23" s="9">
        <f>B23*3202.8236082355647/1000</f>
        <v/>
      </c>
    </row>
    <row r="24">
      <c r="A24" t="inlineStr">
        <is>
          <t>United Kingdom</t>
        </is>
      </c>
      <c r="B24" s="3" t="n">
        <v>19.5</v>
      </c>
      <c r="C24" s="9">
        <f>B24*3202.8236082355647/1000</f>
        <v/>
      </c>
    </row>
    <row r="25">
      <c r="A25" t="inlineStr">
        <is>
          <t>Australia</t>
        </is>
      </c>
      <c r="B25" s="3" t="n">
        <v>18.9</v>
      </c>
      <c r="C25" s="9">
        <f>B25*3202.8236082355647/1000</f>
        <v/>
      </c>
    </row>
    <row r="26">
      <c r="A26" t="inlineStr">
        <is>
          <t>Brazil</t>
        </is>
      </c>
      <c r="B26" s="3" t="n">
        <v>15.8</v>
      </c>
      <c r="C26" s="9">
        <f>B26*3202.8236082355647/1000</f>
        <v/>
      </c>
    </row>
    <row r="27">
      <c r="A27" t="inlineStr">
        <is>
          <t>Mexico</t>
        </is>
      </c>
      <c r="B27" s="3" t="n">
        <v>13.7</v>
      </c>
      <c r="C27" s="9">
        <f>B27*3202.8236082355647/1000</f>
        <v/>
      </c>
    </row>
    <row r="28">
      <c r="A28" t="inlineStr">
        <is>
          <t>Sweden</t>
        </is>
      </c>
      <c r="B28" s="3" t="n">
        <v>12.4</v>
      </c>
      <c r="C28" s="9">
        <f>B28*3202.8236082355647/1000</f>
        <v/>
      </c>
    </row>
    <row r="29">
      <c r="A29" t="inlineStr">
        <is>
          <t>Norway</t>
        </is>
      </c>
      <c r="B29" s="3" t="n">
        <v>9.699999999999999</v>
      </c>
      <c r="C29" s="9">
        <f>B29*3202.8236082355647/1000</f>
        <v/>
      </c>
    </row>
    <row r="30">
      <c r="A30" t="inlineStr">
        <is>
          <t>Belgium</t>
        </is>
      </c>
      <c r="B30" s="3" t="n">
        <v>8.699999999999999</v>
      </c>
      <c r="C30" s="9">
        <f>B30*3202.8236082355647/1000</f>
        <v/>
      </c>
    </row>
    <row r="31">
      <c r="A31" t="inlineStr">
        <is>
          <t>Austria</t>
        </is>
      </c>
      <c r="B31" s="3" t="n">
        <v>8</v>
      </c>
      <c r="C31" s="9">
        <f>B31*3202.8236082355647/1000</f>
        <v/>
      </c>
    </row>
    <row r="32">
      <c r="A32" s="10" t="inlineStr">
        <is>
          <t>Total Gold Holdings Value</t>
        </is>
      </c>
      <c r="C32" s="9">
        <f>SUM(C12:C31)</f>
        <v/>
      </c>
    </row>
    <row r="33">
      <c r="A33" s="10" t="inlineStr">
        <is>
          <t>Gold Price Exposure</t>
        </is>
      </c>
      <c r="C33" s="7">
        <f>B4*1000/1000</f>
        <v/>
      </c>
    </row>
    <row r="36">
      <c r="A36" s="5" t="inlineStr">
        <is>
          <t>STEP 3: Reserves at Risk (RaR)</t>
        </is>
      </c>
    </row>
    <row r="38">
      <c r="A38" s="8" t="inlineStr">
        <is>
          <t>Country</t>
        </is>
      </c>
      <c r="B38" s="8" t="inlineStr">
        <is>
          <t>Gold Reserves Value (billion USD)</t>
        </is>
      </c>
      <c r="C38" s="8" t="inlineStr">
        <is>
          <t>Volatility (%)</t>
        </is>
      </c>
      <c r="D38" s="8" t="inlineStr">
        <is>
          <t>Total Reserves (billion USD)</t>
        </is>
      </c>
      <c r="E38" s="8" t="inlineStr">
        <is>
          <t>RaR (%)</t>
        </is>
      </c>
    </row>
    <row r="39">
      <c r="A39" t="inlineStr">
        <is>
          <t>United States</t>
        </is>
      </c>
      <c r="B39" s="9">
        <f>B12*3202.8236082355647/1000</f>
        <v/>
      </c>
      <c r="C39" s="7">
        <f>$B$4</f>
        <v/>
      </c>
      <c r="D39" s="3">
        <f>IFERROR(INDEX('Total Reserves'!B:B,MATCH(A39,'Total Reserves'!A:A,0)),"N/A")</f>
        <v/>
      </c>
      <c r="E39" s="11">
        <f>IF(ISNUMBER(D39),(B39*C39/100)/D39,"")</f>
        <v/>
      </c>
    </row>
    <row r="40">
      <c r="A40" t="inlineStr">
        <is>
          <t>Germany</t>
        </is>
      </c>
      <c r="B40" s="9">
        <f>B13*3202.8236082355647/1000</f>
        <v/>
      </c>
      <c r="C40" s="7">
        <f>$B$4</f>
        <v/>
      </c>
      <c r="D40" s="3">
        <f>IFERROR(INDEX('Total Reserves'!B:B,MATCH(A40,'Total Reserves'!A:A,0)),"N/A")</f>
        <v/>
      </c>
      <c r="E40" s="11">
        <f>IF(ISNUMBER(D40),(B40*C40/100)/D40,"")</f>
        <v/>
      </c>
    </row>
    <row r="41">
      <c r="A41" t="inlineStr">
        <is>
          <t>Italy</t>
        </is>
      </c>
      <c r="B41" s="9">
        <f>B14*3202.8236082355647/1000</f>
        <v/>
      </c>
      <c r="C41" s="7">
        <f>$B$4</f>
        <v/>
      </c>
      <c r="D41" s="3">
        <f>IFERROR(INDEX('Total Reserves'!B:B,MATCH(A41,'Total Reserves'!A:A,0)),"N/A")</f>
        <v/>
      </c>
      <c r="E41" s="11">
        <f>IF(ISNUMBER(D41),(B41*C41/100)/D41,"")</f>
        <v/>
      </c>
    </row>
    <row r="42">
      <c r="A42" t="inlineStr">
        <is>
          <t>France</t>
        </is>
      </c>
      <c r="B42" s="9">
        <f>B15*3202.8236082355647/1000</f>
        <v/>
      </c>
      <c r="C42" s="7">
        <f>$B$4</f>
        <v/>
      </c>
      <c r="D42" s="3">
        <f>IFERROR(INDEX('Total Reserves'!B:B,MATCH(A42,'Total Reserves'!A:A,0)),"N/A")</f>
        <v/>
      </c>
      <c r="E42" s="11">
        <f>IF(ISNUMBER(D42),(B42*C42/100)/D42,"")</f>
        <v/>
      </c>
    </row>
    <row r="43">
      <c r="A43" t="inlineStr">
        <is>
          <t>Spain</t>
        </is>
      </c>
      <c r="B43" s="9">
        <f>B16*3202.8236082355647/1000</f>
        <v/>
      </c>
      <c r="C43" s="7">
        <f>$B$4</f>
        <v/>
      </c>
      <c r="D43" s="3">
        <f>IFERROR(INDEX('Total Reserves'!B:B,MATCH(A43,'Total Reserves'!A:A,0)),"N/A")</f>
        <v/>
      </c>
      <c r="E43" s="11">
        <f>IF(ISNUMBER(D43),(B43*C43/100)/D43,"")</f>
        <v/>
      </c>
    </row>
    <row r="44">
      <c r="A44" t="inlineStr">
        <is>
          <t>Switzerland</t>
        </is>
      </c>
      <c r="B44" s="9">
        <f>B17*3202.8236082355647/1000</f>
        <v/>
      </c>
      <c r="C44" s="7">
        <f>$B$4</f>
        <v/>
      </c>
      <c r="D44" s="3">
        <f>IFERROR(INDEX('Total Reserves'!B:B,MATCH(A44,'Total Reserves'!A:A,0)),"N/A")</f>
        <v/>
      </c>
      <c r="E44" s="11">
        <f>IF(ISNUMBER(D44),(B44*C44/100)/D44,"")</f>
        <v/>
      </c>
    </row>
    <row r="45">
      <c r="A45" t="inlineStr">
        <is>
          <t>Japan</t>
        </is>
      </c>
      <c r="B45" s="9">
        <f>B18*3202.8236082355647/1000</f>
        <v/>
      </c>
      <c r="C45" s="7">
        <f>$B$4</f>
        <v/>
      </c>
      <c r="D45" s="3">
        <f>IFERROR(INDEX('Total Reserves'!B:B,MATCH(A45,'Total Reserves'!A:A,0)),"N/A")</f>
        <v/>
      </c>
      <c r="E45" s="11">
        <f>IF(ISNUMBER(D45),(B45*C45/100)/D45,"")</f>
        <v/>
      </c>
    </row>
    <row r="46">
      <c r="A46" t="inlineStr">
        <is>
          <t>Netherlands</t>
        </is>
      </c>
      <c r="B46" s="9">
        <f>B19*3202.8236082355647/1000</f>
        <v/>
      </c>
      <c r="C46" s="7">
        <f>$B$4</f>
        <v/>
      </c>
      <c r="D46" s="3">
        <f>IFERROR(INDEX('Total Reserves'!B:B,MATCH(A46,'Total Reserves'!A:A,0)),"N/A")</f>
        <v/>
      </c>
      <c r="E46" s="11">
        <f>IF(ISNUMBER(D46),(B46*C46/100)/D46,"")</f>
        <v/>
      </c>
    </row>
    <row r="47">
      <c r="A47" t="inlineStr">
        <is>
          <t>China</t>
        </is>
      </c>
      <c r="B47" s="9">
        <f>B20*3202.8236082355647/1000</f>
        <v/>
      </c>
      <c r="C47" s="7">
        <f>$B$4</f>
        <v/>
      </c>
      <c r="D47" s="3">
        <f>IFERROR(INDEX('Total Reserves'!B:B,MATCH(A47,'Total Reserves'!A:A,0)),"N/A")</f>
        <v/>
      </c>
      <c r="E47" s="11">
        <f>IF(ISNUMBER(D47),(B47*C47/100)/D47,"")</f>
        <v/>
      </c>
    </row>
    <row r="48">
      <c r="A48" t="inlineStr">
        <is>
          <t>Russia</t>
        </is>
      </c>
      <c r="B48" s="9">
        <f>B21*3202.8236082355647/1000</f>
        <v/>
      </c>
      <c r="C48" s="7">
        <f>$B$4</f>
        <v/>
      </c>
      <c r="D48" s="3">
        <f>IFERROR(INDEX('Total Reserves'!B:B,MATCH(A48,'Total Reserves'!A:A,0)),"N/A")</f>
        <v/>
      </c>
      <c r="E48" s="11">
        <f>IF(ISNUMBER(D48),(B48*C48/100)/D48,"")</f>
        <v/>
      </c>
    </row>
    <row r="49">
      <c r="A49" t="inlineStr">
        <is>
          <t>India</t>
        </is>
      </c>
      <c r="B49" s="9">
        <f>B22*3202.8236082355647/1000</f>
        <v/>
      </c>
      <c r="C49" s="7">
        <f>$B$4</f>
        <v/>
      </c>
      <c r="D49" s="3">
        <f>IFERROR(INDEX('Total Reserves'!B:B,MATCH(A49,'Total Reserves'!A:A,0)),"N/A")</f>
        <v/>
      </c>
      <c r="E49" s="11">
        <f>IF(ISNUMBER(D49),(B49*C49/100)/D49,"")</f>
        <v/>
      </c>
    </row>
    <row r="50">
      <c r="A50" t="inlineStr">
        <is>
          <t>Canada</t>
        </is>
      </c>
      <c r="B50" s="9">
        <f>B23*3202.8236082355647/1000</f>
        <v/>
      </c>
      <c r="C50" s="7">
        <f>$B$4</f>
        <v/>
      </c>
      <c r="D50" s="3">
        <f>IFERROR(INDEX('Total Reserves'!B:B,MATCH(A50,'Total Reserves'!A:A,0)),"N/A")</f>
        <v/>
      </c>
      <c r="E50" s="11">
        <f>IF(ISNUMBER(D50),(B50*C50/100)/D50,"")</f>
        <v/>
      </c>
    </row>
    <row r="51">
      <c r="A51" t="inlineStr">
        <is>
          <t>United Kingdom</t>
        </is>
      </c>
      <c r="B51" s="9">
        <f>B24*3202.8236082355647/1000</f>
        <v/>
      </c>
      <c r="C51" s="7">
        <f>$B$4</f>
        <v/>
      </c>
      <c r="D51" s="3">
        <f>IFERROR(INDEX('Total Reserves'!B:B,MATCH(A51,'Total Reserves'!A:A,0)),"N/A")</f>
        <v/>
      </c>
      <c r="E51" s="11">
        <f>IF(ISNUMBER(D51),(B51*C51/100)/D51,"")</f>
        <v/>
      </c>
    </row>
    <row r="52">
      <c r="A52" t="inlineStr">
        <is>
          <t>Australia</t>
        </is>
      </c>
      <c r="B52" s="9">
        <f>B25*3202.8236082355647/1000</f>
        <v/>
      </c>
      <c r="C52" s="7">
        <f>$B$4</f>
        <v/>
      </c>
      <c r="D52" s="3">
        <f>IFERROR(INDEX('Total Reserves'!B:B,MATCH(A52,'Total Reserves'!A:A,0)),"N/A")</f>
        <v/>
      </c>
      <c r="E52" s="11">
        <f>IF(ISNUMBER(D52),(B52*C52/100)/D52,"")</f>
        <v/>
      </c>
    </row>
    <row r="53">
      <c r="A53" t="inlineStr">
        <is>
          <t>Brazil</t>
        </is>
      </c>
      <c r="B53" s="9">
        <f>B26*3202.8236082355647/1000</f>
        <v/>
      </c>
      <c r="C53" s="7">
        <f>$B$4</f>
        <v/>
      </c>
      <c r="D53" s="3">
        <f>IFERROR(INDEX('Total Reserves'!B:B,MATCH(A53,'Total Reserves'!A:A,0)),"N/A")</f>
        <v/>
      </c>
      <c r="E53" s="11">
        <f>IF(ISNUMBER(D53),(B53*C53/100)/D53,"")</f>
        <v/>
      </c>
    </row>
    <row r="54">
      <c r="A54" t="inlineStr">
        <is>
          <t>Mexico</t>
        </is>
      </c>
      <c r="B54" s="9">
        <f>B27*3202.8236082355647/1000</f>
        <v/>
      </c>
      <c r="C54" s="7">
        <f>$B$4</f>
        <v/>
      </c>
      <c r="D54" s="3">
        <f>IFERROR(INDEX('Total Reserves'!B:B,MATCH(A54,'Total Reserves'!A:A,0)),"N/A")</f>
        <v/>
      </c>
      <c r="E54" s="11">
        <f>IF(ISNUMBER(D54),(B54*C54/100)/D54,"")</f>
        <v/>
      </c>
    </row>
    <row r="55">
      <c r="A55" t="inlineStr">
        <is>
          <t>Sweden</t>
        </is>
      </c>
      <c r="B55" s="9">
        <f>B28*3202.8236082355647/1000</f>
        <v/>
      </c>
      <c r="C55" s="7">
        <f>$B$4</f>
        <v/>
      </c>
      <c r="D55" s="3">
        <f>IFERROR(INDEX('Total Reserves'!B:B,MATCH(A55,'Total Reserves'!A:A,0)),"N/A")</f>
        <v/>
      </c>
      <c r="E55" s="11">
        <f>IF(ISNUMBER(D55),(B55*C55/100)/D55,"")</f>
        <v/>
      </c>
    </row>
    <row r="56">
      <c r="A56" t="inlineStr">
        <is>
          <t>Norway</t>
        </is>
      </c>
      <c r="B56" s="9">
        <f>B29*3202.8236082355647/1000</f>
        <v/>
      </c>
      <c r="C56" s="7">
        <f>$B$4</f>
        <v/>
      </c>
      <c r="D56" s="3">
        <f>IFERROR(INDEX('Total Reserves'!B:B,MATCH(A56,'Total Reserves'!A:A,0)),"N/A")</f>
        <v/>
      </c>
      <c r="E56" s="11">
        <f>IF(ISNUMBER(D56),(B56*C56/100)/D56,"")</f>
        <v/>
      </c>
    </row>
    <row r="57">
      <c r="A57" t="inlineStr">
        <is>
          <t>Belgium</t>
        </is>
      </c>
      <c r="B57" s="9">
        <f>B30*3202.8236082355647/1000</f>
        <v/>
      </c>
      <c r="C57" s="7">
        <f>$B$4</f>
        <v/>
      </c>
      <c r="D57" s="3">
        <f>IFERROR(INDEX('Total Reserves'!B:B,MATCH(A57,'Total Reserves'!A:A,0)),"N/A")</f>
        <v/>
      </c>
      <c r="E57" s="11">
        <f>IF(ISNUMBER(D57),(B57*C57/100)/D57,"")</f>
        <v/>
      </c>
    </row>
    <row r="58">
      <c r="A58" t="inlineStr">
        <is>
          <t>Austria</t>
        </is>
      </c>
      <c r="B58" s="9">
        <f>B31*3202.8236082355647/1000</f>
        <v/>
      </c>
      <c r="C58" s="7">
        <f>$B$4</f>
        <v/>
      </c>
      <c r="D58" s="3">
        <f>IFERROR(INDEX('Total Reserves'!B:B,MATCH(A58,'Total Reserves'!A:A,0)),"N/A")</f>
        <v/>
      </c>
      <c r="E58" s="11">
        <f>IF(ISNUMBER(D58),(B58*C58/100)/D58,"")</f>
        <v/>
      </c>
    </row>
    <row r="59">
      <c r="A59" s="10" t="inlineStr">
        <is>
          <t>Total RaR</t>
        </is>
      </c>
      <c r="E59" s="11">
        <f>SUM(E39:E58)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t="inlineStr">
        <is>
          <t>Country</t>
        </is>
      </c>
      <c r="B1" t="inlineStr">
        <is>
          <t>Gold Reserves (million troy ounces)</t>
        </is>
      </c>
      <c r="C1" t="inlineStr">
        <is>
          <t>2025 Value (billion USD)</t>
        </is>
      </c>
    </row>
    <row r="2">
      <c r="A2" t="inlineStr">
        <is>
          <t>United States</t>
        </is>
      </c>
      <c r="B2" s="3" t="n">
        <v>261.5</v>
      </c>
      <c r="C2" s="3" t="n"/>
    </row>
    <row r="3">
      <c r="A3" t="inlineStr">
        <is>
          <t>Germany</t>
        </is>
      </c>
      <c r="B3" s="3" t="n">
        <v>120</v>
      </c>
      <c r="C3" s="3" t="n"/>
    </row>
    <row r="4">
      <c r="A4" t="inlineStr">
        <is>
          <t>Italy</t>
        </is>
      </c>
      <c r="B4" s="3" t="n">
        <v>119.6</v>
      </c>
      <c r="C4" s="3" t="n"/>
    </row>
    <row r="5">
      <c r="A5" t="inlineStr">
        <is>
          <t>France</t>
        </is>
      </c>
      <c r="B5" s="3" t="n">
        <v>97.90000000000001</v>
      </c>
      <c r="C5" s="3" t="n"/>
    </row>
    <row r="6">
      <c r="A6" t="inlineStr">
        <is>
          <t>Spain</t>
        </is>
      </c>
      <c r="B6" s="3" t="n">
        <v>75.7</v>
      </c>
      <c r="C6" s="3" t="n"/>
    </row>
    <row r="7">
      <c r="A7" t="inlineStr">
        <is>
          <t>Switzerland</t>
        </is>
      </c>
      <c r="B7" s="3" t="n">
        <v>42.3</v>
      </c>
      <c r="C7" s="3" t="n"/>
    </row>
    <row r="8">
      <c r="A8" t="inlineStr">
        <is>
          <t>Japan</t>
        </is>
      </c>
      <c r="B8" s="3" t="n">
        <v>25.2</v>
      </c>
      <c r="C8" s="3" t="n"/>
    </row>
    <row r="9">
      <c r="A9" t="inlineStr">
        <is>
          <t>Netherlands</t>
        </is>
      </c>
      <c r="B9" s="3" t="n">
        <v>24.8</v>
      </c>
      <c r="C9" s="3" t="n"/>
    </row>
    <row r="10">
      <c r="A10" t="inlineStr">
        <is>
          <t>China</t>
        </is>
      </c>
      <c r="B10" s="3" t="n">
        <v>23.1</v>
      </c>
      <c r="C10" s="3" t="n"/>
    </row>
    <row r="11">
      <c r="A11" t="inlineStr">
        <is>
          <t>Russia</t>
        </is>
      </c>
      <c r="B11" s="3" t="n">
        <v>23</v>
      </c>
      <c r="C11" s="3" t="n"/>
    </row>
    <row r="12">
      <c r="A12" t="inlineStr">
        <is>
          <t>India</t>
        </is>
      </c>
      <c r="B12" s="3" t="n">
        <v>22.9</v>
      </c>
      <c r="C12" s="3" t="n"/>
    </row>
    <row r="13">
      <c r="A13" t="inlineStr">
        <is>
          <t>Canada</t>
        </is>
      </c>
      <c r="B13" s="3" t="n">
        <v>20.3</v>
      </c>
      <c r="C13" s="3" t="n"/>
    </row>
    <row r="14">
      <c r="A14" t="inlineStr">
        <is>
          <t>United Kingdom</t>
        </is>
      </c>
      <c r="B14" s="3" t="n">
        <v>19.5</v>
      </c>
      <c r="C14" s="3" t="n"/>
    </row>
    <row r="15">
      <c r="A15" t="inlineStr">
        <is>
          <t>Australia</t>
        </is>
      </c>
      <c r="B15" s="3" t="n">
        <v>18.9</v>
      </c>
      <c r="C15" s="3" t="n"/>
    </row>
    <row r="16">
      <c r="A16" t="inlineStr">
        <is>
          <t>Brazil</t>
        </is>
      </c>
      <c r="B16" s="3" t="n">
        <v>15.8</v>
      </c>
      <c r="C16" s="3" t="n"/>
    </row>
    <row r="17">
      <c r="A17" t="inlineStr">
        <is>
          <t>Mexico</t>
        </is>
      </c>
      <c r="B17" s="3" t="n">
        <v>13.7</v>
      </c>
      <c r="C17" s="3" t="n"/>
    </row>
    <row r="18">
      <c r="A18" t="inlineStr">
        <is>
          <t>Sweden</t>
        </is>
      </c>
      <c r="B18" s="3" t="n">
        <v>12.4</v>
      </c>
      <c r="C18" s="3" t="n"/>
    </row>
    <row r="19">
      <c r="A19" t="inlineStr">
        <is>
          <t>Norway</t>
        </is>
      </c>
      <c r="B19" s="3" t="n">
        <v>9.699999999999999</v>
      </c>
      <c r="C19" s="3" t="n"/>
    </row>
    <row r="20">
      <c r="A20" t="inlineStr">
        <is>
          <t>Belgium</t>
        </is>
      </c>
      <c r="B20" s="3" t="n">
        <v>8.699999999999999</v>
      </c>
      <c r="C20" s="3" t="n"/>
    </row>
    <row r="21">
      <c r="A21" t="inlineStr">
        <is>
          <t>Austria</t>
        </is>
      </c>
      <c r="B21" s="3" t="n">
        <v>8</v>
      </c>
      <c r="C21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t="inlineStr">
        <is>
          <t>Country</t>
        </is>
      </c>
      <c r="B1" t="inlineStr">
        <is>
          <t>Gold Reserves 2025 (million troy ounces)</t>
        </is>
      </c>
    </row>
    <row r="2">
      <c r="A2" t="inlineStr">
        <is>
          <t>United States</t>
        </is>
      </c>
      <c r="B2" s="3" t="n">
        <v>261.5</v>
      </c>
    </row>
    <row r="3">
      <c r="A3" t="inlineStr">
        <is>
          <t>Germany</t>
        </is>
      </c>
      <c r="B3" s="3" t="n">
        <v>120</v>
      </c>
    </row>
    <row r="4">
      <c r="A4" t="inlineStr">
        <is>
          <t>Italy</t>
        </is>
      </c>
      <c r="B4" s="3" t="n">
        <v>119.6</v>
      </c>
    </row>
    <row r="5">
      <c r="A5" t="inlineStr">
        <is>
          <t>France</t>
        </is>
      </c>
      <c r="B5" s="3" t="n">
        <v>97.90000000000001</v>
      </c>
    </row>
    <row r="6">
      <c r="A6" t="inlineStr">
        <is>
          <t>Spain</t>
        </is>
      </c>
      <c r="B6" s="3" t="n">
        <v>75.7</v>
      </c>
    </row>
    <row r="7">
      <c r="A7" t="inlineStr">
        <is>
          <t>Switzerland</t>
        </is>
      </c>
      <c r="B7" s="3" t="n">
        <v>42.3</v>
      </c>
    </row>
    <row r="8">
      <c r="A8" t="inlineStr">
        <is>
          <t>Japan</t>
        </is>
      </c>
      <c r="B8" s="3" t="n">
        <v>25.2</v>
      </c>
    </row>
    <row r="9">
      <c r="A9" t="inlineStr">
        <is>
          <t>Netherlands</t>
        </is>
      </c>
      <c r="B9" s="3" t="n">
        <v>24.8</v>
      </c>
    </row>
    <row r="10">
      <c r="A10" t="inlineStr">
        <is>
          <t>China</t>
        </is>
      </c>
      <c r="B10" s="3" t="n">
        <v>23.1</v>
      </c>
    </row>
    <row r="11">
      <c r="A11" t="inlineStr">
        <is>
          <t>Russia</t>
        </is>
      </c>
      <c r="B11" s="3" t="n">
        <v>23</v>
      </c>
    </row>
    <row r="12">
      <c r="A12" t="inlineStr">
        <is>
          <t>India</t>
        </is>
      </c>
      <c r="B12" s="3" t="n">
        <v>22.9</v>
      </c>
    </row>
    <row r="13">
      <c r="A13" t="inlineStr">
        <is>
          <t>Canada</t>
        </is>
      </c>
      <c r="B13" s="3" t="n">
        <v>20.3</v>
      </c>
    </row>
    <row r="14">
      <c r="A14" t="inlineStr">
        <is>
          <t>United Kingdom</t>
        </is>
      </c>
      <c r="B14" s="3" t="n">
        <v>19.5</v>
      </c>
    </row>
    <row r="15">
      <c r="A15" t="inlineStr">
        <is>
          <t>Australia</t>
        </is>
      </c>
      <c r="B15" s="3" t="n">
        <v>18.9</v>
      </c>
    </row>
    <row r="16">
      <c r="A16" t="inlineStr">
        <is>
          <t>Brazil</t>
        </is>
      </c>
      <c r="B16" s="3" t="n">
        <v>15.8</v>
      </c>
    </row>
    <row r="17">
      <c r="A17" t="inlineStr">
        <is>
          <t>Mexico</t>
        </is>
      </c>
      <c r="B17" s="3" t="n">
        <v>13.7</v>
      </c>
    </row>
    <row r="18">
      <c r="A18" t="inlineStr">
        <is>
          <t>Sweden</t>
        </is>
      </c>
      <c r="B18" s="3" t="n">
        <v>12.4</v>
      </c>
    </row>
    <row r="19">
      <c r="A19" t="inlineStr">
        <is>
          <t>Norway</t>
        </is>
      </c>
      <c r="B19" s="3" t="n">
        <v>9.699999999999999</v>
      </c>
    </row>
    <row r="20">
      <c r="A20" t="inlineStr">
        <is>
          <t>Belgium</t>
        </is>
      </c>
      <c r="B20" s="3" t="n">
        <v>8.699999999999999</v>
      </c>
    </row>
    <row r="21">
      <c r="A21" t="inlineStr">
        <is>
          <t>Austria</t>
        </is>
      </c>
      <c r="B21" s="3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t="inlineStr">
        <is>
          <t>Country</t>
        </is>
      </c>
      <c r="B1" t="inlineStr">
        <is>
          <t>Total Reserves 2025 (billion USD)</t>
        </is>
      </c>
    </row>
    <row r="2">
      <c r="A2" t="inlineStr">
        <is>
          <t>United States</t>
        </is>
      </c>
      <c r="B2" s="3" t="n">
        <v>1300.5</v>
      </c>
    </row>
    <row r="3">
      <c r="A3" t="inlineStr">
        <is>
          <t>Germany</t>
        </is>
      </c>
      <c r="B3" s="3" t="n">
        <v>250.3</v>
      </c>
    </row>
    <row r="4">
      <c r="A4" t="inlineStr">
        <is>
          <t>Italy</t>
        </is>
      </c>
      <c r="B4" s="3" t="n">
        <v>230.5</v>
      </c>
    </row>
    <row r="5">
      <c r="A5" t="inlineStr">
        <is>
          <t>France</t>
        </is>
      </c>
      <c r="B5" s="3" t="n">
        <v>280.1</v>
      </c>
    </row>
    <row r="6">
      <c r="A6" t="inlineStr">
        <is>
          <t>Spain</t>
        </is>
      </c>
      <c r="B6" s="3" t="n">
        <v>95.2</v>
      </c>
    </row>
    <row r="7">
      <c r="A7" t="inlineStr">
        <is>
          <t>Switzerland</t>
        </is>
      </c>
      <c r="B7" s="3" t="n">
        <v>180.5</v>
      </c>
    </row>
    <row r="8">
      <c r="A8" t="inlineStr">
        <is>
          <t>Japan</t>
        </is>
      </c>
      <c r="B8" s="3" t="n">
        <v>1200.8</v>
      </c>
    </row>
    <row r="9">
      <c r="A9" t="inlineStr">
        <is>
          <t>Netherlands</t>
        </is>
      </c>
      <c r="B9" s="3" t="n">
        <v>115.3</v>
      </c>
    </row>
    <row r="10">
      <c r="A10" t="inlineStr">
        <is>
          <t>China</t>
        </is>
      </c>
      <c r="B10" s="3" t="n">
        <v>3200.5</v>
      </c>
    </row>
    <row r="11">
      <c r="A11" t="inlineStr">
        <is>
          <t>Russia</t>
        </is>
      </c>
      <c r="B11" s="3" t="n">
        <v>550.3</v>
      </c>
    </row>
    <row r="12">
      <c r="A12" t="inlineStr">
        <is>
          <t>India</t>
        </is>
      </c>
      <c r="B12" s="3" t="n">
        <v>620.5</v>
      </c>
    </row>
    <row r="13">
      <c r="A13" t="inlineStr">
        <is>
          <t>Canada</t>
        </is>
      </c>
      <c r="B13" s="3" t="n">
        <v>85.3</v>
      </c>
    </row>
    <row r="14">
      <c r="A14" t="inlineStr">
        <is>
          <t>United Kingdom</t>
        </is>
      </c>
      <c r="B14" s="3" t="n">
        <v>125.6</v>
      </c>
    </row>
    <row r="15">
      <c r="A15" t="inlineStr">
        <is>
          <t>Australia</t>
        </is>
      </c>
      <c r="B15" s="3" t="n">
        <v>85.2</v>
      </c>
    </row>
    <row r="16">
      <c r="A16" t="inlineStr">
        <is>
          <t>Brazil</t>
        </is>
      </c>
      <c r="B16" s="3" t="n">
        <v>355.1</v>
      </c>
    </row>
    <row r="17">
      <c r="A17" t="inlineStr">
        <is>
          <t>Mexico</t>
        </is>
      </c>
      <c r="B17" s="3" t="n">
        <v>200.2</v>
      </c>
    </row>
    <row r="18">
      <c r="A18" t="inlineStr">
        <is>
          <t>Sweden</t>
        </is>
      </c>
      <c r="B18" s="3" t="n">
        <v>68.3</v>
      </c>
    </row>
    <row r="19">
      <c r="A19" t="inlineStr">
        <is>
          <t>Norway</t>
        </is>
      </c>
      <c r="B19" s="3" t="n">
        <v>95.09999999999999</v>
      </c>
    </row>
    <row r="20">
      <c r="A20" t="inlineStr">
        <is>
          <t>Belgium</t>
        </is>
      </c>
      <c r="B20" s="3" t="n">
        <v>45.2</v>
      </c>
    </row>
    <row r="21">
      <c r="A21" t="inlineStr">
        <is>
          <t>Austria</t>
        </is>
      </c>
      <c r="B21" s="3" t="n">
        <v>25.3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2026-01-28T01:06:58Z</dcterms:created>
  <dcterms:modified xsi:type="dcterms:W3CDTF">2026-01-28T01:08:25Z</dcterms:modified>
</cp:coreProperties>
</file>