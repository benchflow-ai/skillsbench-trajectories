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'Gold price'!D430*SQRT(12)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>
        <f>1.019*'Gold price'!G2</f>
        <v/>
      </c>
    </row>
    <row r="13">
      <c r="B13" t="inlineStr">
        <is>
          <t>Gold valuation exposure (95% one-sided shock)</t>
        </is>
      </c>
      <c r="C13">
        <f>C12*$C$3*$C$6/100</f>
        <v/>
      </c>
      <c r="D13">
        <f>D12*$C$3*$C$6/100</f>
        <v/>
      </c>
      <c r="E13">
        <f>E12*$C$3*$C$6/100</f>
        <v/>
      </c>
      <c r="F13">
        <f>F12*$C$3*$C$6/100</f>
        <v/>
      </c>
      <c r="G13">
        <f>G12*$C$3*$C$6/100</f>
        <v/>
      </c>
      <c r="H13">
        <f>H12*$C$3*$C$6/100</f>
        <v/>
      </c>
      <c r="I13">
        <f>I12*$C$3*$C$6/100</f>
        <v/>
      </c>
      <c r="J13">
        <f>J12*$C$3*$C$6/100</f>
        <v/>
      </c>
      <c r="K13">
        <f>K12*$C$3*$C$6/100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>
        <f>C21*$C$3*$C$6/100</f>
        <v/>
      </c>
      <c r="D22">
        <f>D21*$C$3*$C$6/100</f>
        <v/>
      </c>
      <c r="E22">
        <f>E21*$C$3*$C$6/100</f>
        <v/>
      </c>
      <c r="F22">
        <f>F21*$C$3*$C$6/100</f>
        <v/>
      </c>
      <c r="G22">
        <f>G21*$C$3*$C$6/100</f>
        <v/>
      </c>
      <c r="H22">
        <f>H21*$C$3*$C$6/100</f>
        <v/>
      </c>
      <c r="I22">
        <f>I21*$C$3*$C$6/100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Reserves'!H18</f>
        <v/>
      </c>
      <c r="F23">
        <f>'Total Reserves'!I18</f>
        <v/>
      </c>
      <c r="G23">
        <f>'Total Reserves'!J18</f>
        <v/>
      </c>
      <c r="H23">
        <f>'Total Reserves'!K18</f>
        <v/>
      </c>
      <c r="I23">
        <f>'Total Reserves'!N18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  <c r="G1" t="inlineStr">
        <is>
          <t>Avg Price Jan-Sep 2025</t>
        </is>
      </c>
    </row>
    <row r="2">
      <c r="A2" s="6" t="inlineStr">
        <is>
          <t>1990M1</t>
        </is>
      </c>
      <c r="B2" t="n">
        <v>409.819061279297</v>
      </c>
      <c r="G2">
        <f>AVERAGE(B422:B430)</f>
        <v/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2026-01-28T01:05:59Z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