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WEO_Data" sheetId="1" state="visible" r:id="rId1"/>
    <sheet name="NA" sheetId="2" state="visible" r:id="rId2"/>
    <sheet name="SUPPLY" sheetId="3" state="visible" r:id="rId3"/>
    <sheet name="USE" sheetId="4" state="visible" r:id="rId4"/>
    <sheet name="SUT Calc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"/>
  </numFmts>
  <fonts count="6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3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(Billion Lari)</t>
        </is>
      </c>
      <c r="C1" t="inlineStr">
        <is>
          <t>Nominal GDP (Billion Lari)</t>
        </is>
      </c>
      <c r="D1" t="inlineStr">
        <is>
          <t>GDP Deflator (2015=100)</t>
        </is>
      </c>
      <c r="E1" t="inlineStr">
        <is>
          <t>Real GDP Growth (%)</t>
        </is>
      </c>
      <c r="F1" t="inlineStr">
        <is>
          <t>Inflation (%)</t>
        </is>
      </c>
      <c r="G1" t="inlineStr">
        <is>
          <t>GDP Deflator Growth (%)</t>
        </is>
      </c>
    </row>
    <row r="2">
      <c r="A2" t="n">
        <v>2020</v>
      </c>
      <c r="B2" t="n">
        <v>57.6</v>
      </c>
      <c r="C2" t="n">
        <v>56.2</v>
      </c>
      <c r="D2" t="n">
        <v>123.5</v>
      </c>
      <c r="E2" t="n">
        <v>-6.8</v>
      </c>
      <c r="F2" t="n">
        <v>5.2</v>
      </c>
      <c r="G2" t="n">
        <v>4.8</v>
      </c>
    </row>
    <row r="3">
      <c r="A3" t="n">
        <v>2021</v>
      </c>
      <c r="B3" t="n">
        <v>62.8</v>
      </c>
      <c r="C3" t="n">
        <v>64.3</v>
      </c>
      <c r="D3" t="n">
        <v>129.4</v>
      </c>
      <c r="E3" t="n">
        <v>10.5</v>
      </c>
      <c r="F3" t="n">
        <v>9.6</v>
      </c>
      <c r="G3" t="n">
        <v>4.8</v>
      </c>
    </row>
    <row r="4">
      <c r="A4" t="n">
        <v>2022</v>
      </c>
      <c r="B4" t="n">
        <v>68.5</v>
      </c>
      <c r="C4" t="n">
        <v>75.8</v>
      </c>
      <c r="D4" t="n">
        <v>140.1</v>
      </c>
      <c r="E4" t="n">
        <v>11</v>
      </c>
      <c r="F4" t="n">
        <v>11.9</v>
      </c>
      <c r="G4" t="n">
        <v>8.300000000000001</v>
      </c>
    </row>
    <row r="5">
      <c r="A5" t="n">
        <v>2023</v>
      </c>
      <c r="B5" t="n">
        <v>73.2</v>
      </c>
      <c r="C5" t="n">
        <v>86</v>
      </c>
      <c r="D5" t="n">
        <v>148.7</v>
      </c>
      <c r="E5" t="n">
        <v>7</v>
      </c>
      <c r="F5" t="n">
        <v>2.5</v>
      </c>
      <c r="G5" t="n">
        <v>6.1</v>
      </c>
    </row>
    <row r="6">
      <c r="A6" t="n">
        <v>2024</v>
      </c>
      <c r="B6" t="n">
        <v>78.5</v>
      </c>
      <c r="C6" t="n">
        <v>95.8</v>
      </c>
      <c r="D6" t="n">
        <v>154.4</v>
      </c>
      <c r="E6" t="n">
        <v>7</v>
      </c>
      <c r="F6" t="n">
        <v>3.5</v>
      </c>
      <c r="G6" t="n">
        <v>3.8</v>
      </c>
    </row>
    <row r="7">
      <c r="A7" t="n">
        <v>2025</v>
      </c>
      <c r="B7" t="n">
        <v>83.40000000000001</v>
      </c>
      <c r="C7" t="n">
        <v>105.2</v>
      </c>
      <c r="D7" t="n">
        <v>159.6</v>
      </c>
      <c r="E7" t="n">
        <v>6</v>
      </c>
      <c r="F7" t="n">
        <v>3</v>
      </c>
      <c r="G7" t="n">
        <v>3.4</v>
      </c>
    </row>
    <row r="8">
      <c r="A8" t="n">
        <v>2026</v>
      </c>
      <c r="B8" t="n">
        <v>88.40000000000001</v>
      </c>
      <c r="C8" t="n">
        <v>115</v>
      </c>
      <c r="D8" t="n">
        <v>164.6</v>
      </c>
      <c r="E8" t="n">
        <v>6</v>
      </c>
      <c r="F8" t="n">
        <v>3</v>
      </c>
      <c r="G8" t="n">
        <v>3.1</v>
      </c>
    </row>
    <row r="9">
      <c r="A9" t="n">
        <v>2027</v>
      </c>
      <c r="B9" t="n">
        <v>93.7</v>
      </c>
      <c r="C9" t="n">
        <v>125.5</v>
      </c>
      <c r="D9" t="n">
        <v>169.8</v>
      </c>
      <c r="E9" t="n">
        <v>6</v>
      </c>
      <c r="F9" t="n">
        <v>3</v>
      </c>
      <c r="G9" t="n">
        <v>3.2</v>
      </c>
    </row>
    <row r="10">
      <c r="A10" t="n">
        <v>2028</v>
      </c>
      <c r="B10">
        <f>B9*(1+E10/100)</f>
        <v/>
      </c>
      <c r="C10">
        <f>B10*D10/100</f>
        <v/>
      </c>
      <c r="D10">
        <f>D9*(1+G10/100)</f>
        <v/>
      </c>
      <c r="E10" t="n">
        <v>6</v>
      </c>
      <c r="F10">
        <f>G10</f>
        <v/>
      </c>
      <c r="G10">
        <f>AVERAGE(G6:G9)</f>
        <v/>
      </c>
    </row>
    <row r="11">
      <c r="A11" t="n">
        <v>2029</v>
      </c>
      <c r="B11">
        <f>B10*(1+E11/100)</f>
        <v/>
      </c>
      <c r="C11">
        <f>B11*D11/100</f>
        <v/>
      </c>
      <c r="D11">
        <f>D10*(1+G11/100)</f>
        <v/>
      </c>
      <c r="E11" t="n">
        <v>6</v>
      </c>
      <c r="F11">
        <f>G11</f>
        <v/>
      </c>
      <c r="G11">
        <f>AVERAGE(G6:G9)</f>
        <v/>
      </c>
    </row>
    <row r="12">
      <c r="A12" t="n">
        <v>2030</v>
      </c>
      <c r="B12">
        <f>B11*(1+E12/100)</f>
        <v/>
      </c>
      <c r="C12">
        <f>B12*D12/100</f>
        <v/>
      </c>
      <c r="D12">
        <f>D11*(1+G12/100)</f>
        <v/>
      </c>
      <c r="E12" t="n">
        <v>6</v>
      </c>
      <c r="F12">
        <f>G12</f>
        <v/>
      </c>
      <c r="G12">
        <f>AVERAGE(G6:G9)</f>
        <v/>
      </c>
    </row>
    <row r="13">
      <c r="A13" t="n">
        <v>2031</v>
      </c>
      <c r="B13">
        <f>B12*(1+E13/100)</f>
        <v/>
      </c>
      <c r="C13">
        <f>B13*D13/100</f>
        <v/>
      </c>
      <c r="D13">
        <f>D12*(1+G13/100)</f>
        <v/>
      </c>
      <c r="E13" t="n">
        <v>6</v>
      </c>
      <c r="F13">
        <f>G13</f>
        <v/>
      </c>
      <c r="G13">
        <f>AVERAGE(G6:G9)</f>
        <v/>
      </c>
    </row>
    <row r="14">
      <c r="A14" t="n">
        <v>2032</v>
      </c>
      <c r="B14">
        <f>B13*(1+E14/100)</f>
        <v/>
      </c>
      <c r="C14">
        <f>B14*D14/100</f>
        <v/>
      </c>
      <c r="D14">
        <f>D13*(1+G14/100)</f>
        <v/>
      </c>
      <c r="E14" t="n">
        <v>6</v>
      </c>
      <c r="F14">
        <f>G14</f>
        <v/>
      </c>
      <c r="G14">
        <f>AVERAGE(G6:G9)</f>
        <v/>
      </c>
    </row>
    <row r="15">
      <c r="A15" t="n">
        <v>2033</v>
      </c>
      <c r="B15">
        <f>B14*(1+E15/100)</f>
        <v/>
      </c>
      <c r="C15">
        <f>B15*D15/100</f>
        <v/>
      </c>
      <c r="D15">
        <f>D14*(1+G15/100)</f>
        <v/>
      </c>
      <c r="E15" t="n">
        <v>6</v>
      </c>
      <c r="F15">
        <f>G15</f>
        <v/>
      </c>
      <c r="G15">
        <f>AVERAGE(G6:G9)</f>
        <v/>
      </c>
    </row>
    <row r="16">
      <c r="A16" t="n">
        <v>2034</v>
      </c>
      <c r="B16">
        <f>B15*(1+E16/100)</f>
        <v/>
      </c>
      <c r="C16">
        <f>B16*D16/100</f>
        <v/>
      </c>
      <c r="D16">
        <f>D15*(1+G16/100)</f>
        <v/>
      </c>
      <c r="E16" t="n">
        <v>6</v>
      </c>
      <c r="F16">
        <f>G16</f>
        <v/>
      </c>
      <c r="G16">
        <f>AVERAGE(G6:G9)</f>
        <v/>
      </c>
    </row>
    <row r="17">
      <c r="A17" t="n">
        <v>2035</v>
      </c>
      <c r="B17">
        <f>B16*(1+E17/100)</f>
        <v/>
      </c>
      <c r="C17">
        <f>B17*D17/100</f>
        <v/>
      </c>
      <c r="D17">
        <f>D16*(1+G17/100)</f>
        <v/>
      </c>
      <c r="E17" t="n">
        <v>6</v>
      </c>
      <c r="F17">
        <f>G17</f>
        <v/>
      </c>
      <c r="G17">
        <f>AVERAGE(G6:G9)</f>
        <v/>
      </c>
    </row>
    <row r="18">
      <c r="A18" t="n">
        <v>2036</v>
      </c>
      <c r="B18">
        <f>B17*(1+E18/100)</f>
        <v/>
      </c>
      <c r="C18">
        <f>B18*D18/100</f>
        <v/>
      </c>
      <c r="D18">
        <f>D17*(1+G18/100)</f>
        <v/>
      </c>
      <c r="E18" t="n">
        <v>6</v>
      </c>
      <c r="F18">
        <f>G18</f>
        <v/>
      </c>
      <c r="G18">
        <f>AVERAGE(G6:G9)</f>
        <v/>
      </c>
    </row>
    <row r="19">
      <c r="A19" t="n">
        <v>2037</v>
      </c>
      <c r="B19">
        <f>B18*(1+E19/100)</f>
        <v/>
      </c>
      <c r="C19">
        <f>B19*D19/100</f>
        <v/>
      </c>
      <c r="D19">
        <f>D18*(1+G19/100)</f>
        <v/>
      </c>
      <c r="E19" t="n">
        <v>6</v>
      </c>
      <c r="F19">
        <f>G19</f>
        <v/>
      </c>
      <c r="G19">
        <f>AVERAGE(G6:G9)</f>
        <v/>
      </c>
    </row>
    <row r="20">
      <c r="A20" t="n">
        <v>2038</v>
      </c>
      <c r="B20">
        <f>B19*(1+E20/100)</f>
        <v/>
      </c>
      <c r="C20">
        <f>B20*D20/100</f>
        <v/>
      </c>
      <c r="D20">
        <f>D19*(1+G20/100)</f>
        <v/>
      </c>
      <c r="E20" t="n">
        <v>6</v>
      </c>
      <c r="F20">
        <f>G20</f>
        <v/>
      </c>
      <c r="G20">
        <f>AVERAGE(G6:G9)</f>
        <v/>
      </c>
    </row>
    <row r="21">
      <c r="A21" t="n">
        <v>2039</v>
      </c>
      <c r="B21">
        <f>B20*(1+E21/100)</f>
        <v/>
      </c>
      <c r="C21">
        <f>B21*D21/100</f>
        <v/>
      </c>
      <c r="D21">
        <f>D20*(1+G21/100)</f>
        <v/>
      </c>
      <c r="E21" t="n">
        <v>6</v>
      </c>
      <c r="F21">
        <f>G21</f>
        <v/>
      </c>
      <c r="G21">
        <f>AVERAGE(G6:G9)</f>
        <v/>
      </c>
    </row>
    <row r="22">
      <c r="A22" t="n">
        <v>2040</v>
      </c>
      <c r="B22">
        <f>B21*(1+E22/100)</f>
        <v/>
      </c>
      <c r="C22">
        <f>B22*D22/100</f>
        <v/>
      </c>
      <c r="D22">
        <f>D21*(1+G22/100)</f>
        <v/>
      </c>
      <c r="E22" t="n">
        <v>6</v>
      </c>
      <c r="F22">
        <f>G22</f>
        <v/>
      </c>
      <c r="G22">
        <f>AVERAGE(G6:G9)</f>
        <v/>
      </c>
    </row>
    <row r="23">
      <c r="A23" t="n">
        <v>2041</v>
      </c>
      <c r="B23">
        <f>B22*(1+E23/100)</f>
        <v/>
      </c>
      <c r="C23">
        <f>B23*D23/100</f>
        <v/>
      </c>
      <c r="D23">
        <f>D22*(1+G23/100)</f>
        <v/>
      </c>
      <c r="E23" t="n">
        <v>6</v>
      </c>
      <c r="F23">
        <f>G23</f>
        <v/>
      </c>
      <c r="G23">
        <f>AVERAGE(G6:G9)</f>
        <v/>
      </c>
    </row>
    <row r="24">
      <c r="A24" t="n">
        <v>2042</v>
      </c>
      <c r="B24">
        <f>B23*(1+E24/100)</f>
        <v/>
      </c>
      <c r="C24">
        <f>B24*D24/100</f>
        <v/>
      </c>
      <c r="D24">
        <f>D23*(1+G24/100)</f>
        <v/>
      </c>
      <c r="E24" t="n">
        <v>6</v>
      </c>
      <c r="F24">
        <f>G24</f>
        <v/>
      </c>
      <c r="G24">
        <f>AVERAGE(G6:G9)</f>
        <v/>
      </c>
    </row>
    <row r="25">
      <c r="A25" t="n">
        <v>2043</v>
      </c>
      <c r="B25">
        <f>B24*(1+E25/100)</f>
        <v/>
      </c>
      <c r="C25">
        <f>B25*D25/100</f>
        <v/>
      </c>
      <c r="D25">
        <f>D24*(1+G25/100)</f>
        <v/>
      </c>
      <c r="E25" t="n">
        <v>6</v>
      </c>
      <c r="F25">
        <f>G25</f>
        <v/>
      </c>
      <c r="G25">
        <f>AVERAGE(G6:G9)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4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A1" t="inlineStr">
        <is>
          <t>SCENARIO 1: Base Case (Multiplier=0.8, Import Content from SUT)</t>
        </is>
      </c>
    </row>
    <row r="2">
      <c r="B2" s="30" t="inlineStr">
        <is>
          <t>Year</t>
        </is>
      </c>
      <c r="C2" s="2" t="inlineStr">
        <is>
          <t>Real GDP</t>
        </is>
      </c>
      <c r="D2" s="30" t="inlineStr">
        <is>
          <t>Project Allocation (%)</t>
        </is>
      </c>
      <c r="E2" s="30" t="inlineStr">
        <is>
          <t>Project Investment</t>
        </is>
      </c>
      <c r="F2" s="30" t="inlineStr">
        <is>
          <t>Imports</t>
        </is>
      </c>
      <c r="G2" s="30" t="inlineStr">
        <is>
          <t>GDP impact</t>
        </is>
      </c>
      <c r="J2" s="30" t="inlineStr">
        <is>
          <t>Baseline GDP Growth</t>
        </is>
      </c>
      <c r="K2" s="30" t="inlineStr">
        <is>
          <t>Projected Growth</t>
        </is>
      </c>
    </row>
    <row r="3">
      <c r="B3" s="9" t="n"/>
      <c r="C3" s="5" t="n"/>
      <c r="D3" s="5" t="n"/>
      <c r="E3" s="5" t="n"/>
      <c r="F3" s="5" t="n"/>
      <c r="G3" s="4" t="inlineStr">
        <is>
          <t>I-M</t>
        </is>
      </c>
      <c r="H3" s="6" t="inlineStr">
        <is>
          <t>Multiplier</t>
        </is>
      </c>
      <c r="I3" s="4" t="inlineStr">
        <is>
          <t>% of GDP</t>
        </is>
      </c>
      <c r="J3" s="7" t="n"/>
      <c r="K3" s="8" t="n"/>
    </row>
    <row r="4">
      <c r="B4" s="9" t="n">
        <v>2020</v>
      </c>
      <c r="C4" s="10">
        <f>WEO_Data!B2</f>
        <v/>
      </c>
      <c r="D4" s="10" t="n">
        <v>0</v>
      </c>
      <c r="E4" s="10">
        <f>D3*$D$30*$D$29</f>
        <v/>
      </c>
      <c r="F4" s="10">
        <f>E3*$D$31</f>
        <v/>
      </c>
      <c r="G4" s="10">
        <f>(E3-F3)*$D$32</f>
        <v/>
      </c>
      <c r="H4" s="10" t="n"/>
      <c r="I4" s="10">
        <f>G3/C3*100</f>
        <v/>
      </c>
      <c r="J4" s="11">
        <f>WEO_Data!E2</f>
        <v/>
      </c>
      <c r="K4" s="12">
        <f>J3+I3</f>
        <v/>
      </c>
    </row>
    <row r="5">
      <c r="B5" s="13" t="n">
        <v>2021</v>
      </c>
      <c r="C5">
        <f>WEO_Data!B3</f>
        <v/>
      </c>
      <c r="D5" t="n">
        <v>0</v>
      </c>
      <c r="E5">
        <f>D4*$D$30*$D$29</f>
        <v/>
      </c>
      <c r="F5">
        <f>E4*$D$31</f>
        <v/>
      </c>
      <c r="G5">
        <f>(E4-F4)*$D$32</f>
        <v/>
      </c>
      <c r="I5">
        <f>G4/C4*100</f>
        <v/>
      </c>
      <c r="J5">
        <f>WEO_Data!E3</f>
        <v/>
      </c>
      <c r="K5" s="15">
        <f>J4+I4</f>
        <v/>
      </c>
    </row>
    <row r="6">
      <c r="B6" s="13" t="n">
        <v>2022</v>
      </c>
      <c r="C6">
        <f>WEO_Data!B4</f>
        <v/>
      </c>
      <c r="D6" t="n">
        <v>0</v>
      </c>
      <c r="E6">
        <f>D5*$D$30*$D$29</f>
        <v/>
      </c>
      <c r="F6">
        <f>E5*$D$31</f>
        <v/>
      </c>
      <c r="G6">
        <f>(E5-F5)*$D$32</f>
        <v/>
      </c>
      <c r="I6">
        <f>G5/C5*100</f>
        <v/>
      </c>
      <c r="J6">
        <f>WEO_Data!E4</f>
        <v/>
      </c>
      <c r="K6" s="15">
        <f>J5+I5</f>
        <v/>
      </c>
    </row>
    <row r="7">
      <c r="B7" s="13" t="n">
        <v>2023</v>
      </c>
      <c r="C7">
        <f>WEO_Data!B5</f>
        <v/>
      </c>
      <c r="D7" t="n">
        <v>0</v>
      </c>
      <c r="E7">
        <f>D6*$D$30*$D$29</f>
        <v/>
      </c>
      <c r="F7">
        <f>E6*$D$31</f>
        <v/>
      </c>
      <c r="G7">
        <f>(E6-F6)*$D$32</f>
        <v/>
      </c>
      <c r="I7">
        <f>G6/C6*100</f>
        <v/>
      </c>
      <c r="J7">
        <f>WEO_Data!E5</f>
        <v/>
      </c>
      <c r="K7" s="15">
        <f>J6+I6</f>
        <v/>
      </c>
    </row>
    <row r="8">
      <c r="B8" s="13" t="n">
        <v>2024</v>
      </c>
      <c r="C8">
        <f>WEO_Data!B6</f>
        <v/>
      </c>
      <c r="D8" t="n">
        <v>0</v>
      </c>
      <c r="E8">
        <f>D7*$D$30*$D$29</f>
        <v/>
      </c>
      <c r="F8">
        <f>E7*$D$31</f>
        <v/>
      </c>
      <c r="G8">
        <f>(E7-F7)*$D$32</f>
        <v/>
      </c>
      <c r="I8">
        <f>G7/C7*100</f>
        <v/>
      </c>
      <c r="J8">
        <f>WEO_Data!E6</f>
        <v/>
      </c>
      <c r="K8" s="15">
        <f>J7+I7</f>
        <v/>
      </c>
    </row>
    <row r="9">
      <c r="B9" s="13" t="n">
        <v>2025</v>
      </c>
      <c r="C9">
        <f>WEO_Data!B7</f>
        <v/>
      </c>
      <c r="D9" t="n">
        <v>0</v>
      </c>
      <c r="E9">
        <f>D8*$D$30*$D$29</f>
        <v/>
      </c>
      <c r="F9">
        <f>E8*$D$31</f>
        <v/>
      </c>
      <c r="G9">
        <f>(E8-F8)*$D$32</f>
        <v/>
      </c>
      <c r="I9">
        <f>G8/C8*100</f>
        <v/>
      </c>
      <c r="J9">
        <f>WEO_Data!E7</f>
        <v/>
      </c>
      <c r="K9" s="15">
        <f>J8+I8</f>
        <v/>
      </c>
    </row>
    <row r="10">
      <c r="B10" s="13" t="n">
        <v>2026</v>
      </c>
      <c r="C10">
        <f>WEO_Data!B8</f>
        <v/>
      </c>
      <c r="D10" t="n">
        <v>0.05</v>
      </c>
      <c r="E10">
        <f>D9*$D$30*$D$29</f>
        <v/>
      </c>
      <c r="F10">
        <f>E9*$D$31</f>
        <v/>
      </c>
      <c r="G10">
        <f>(E9-F9)*$D$32</f>
        <v/>
      </c>
      <c r="I10">
        <f>G9/C9*100</f>
        <v/>
      </c>
      <c r="J10" s="16">
        <f>WEO_Data!E8</f>
        <v/>
      </c>
      <c r="K10" s="15">
        <f>J9+I9</f>
        <v/>
      </c>
    </row>
    <row r="11">
      <c r="B11" s="13" t="n">
        <v>2027</v>
      </c>
      <c r="C11">
        <f>WEO_Data!B9</f>
        <v/>
      </c>
      <c r="D11" t="n">
        <v>0.1</v>
      </c>
      <c r="E11">
        <f>D10*$D$30*$D$29</f>
        <v/>
      </c>
      <c r="F11">
        <f>E10*$D$31</f>
        <v/>
      </c>
      <c r="G11">
        <f>(E10-F10)*$D$32</f>
        <v/>
      </c>
      <c r="I11">
        <f>G10/C10*100</f>
        <v/>
      </c>
      <c r="J11">
        <f>WEO_Data!E9</f>
        <v/>
      </c>
      <c r="K11" s="15">
        <f>J10+I10</f>
        <v/>
      </c>
    </row>
    <row r="12">
      <c r="B12" s="13" t="n">
        <v>2028</v>
      </c>
      <c r="C12">
        <f>WEO_Data!B10</f>
        <v/>
      </c>
      <c r="D12" t="n">
        <v>0.2</v>
      </c>
      <c r="E12">
        <f>D11*$D$30*$D$29</f>
        <v/>
      </c>
      <c r="F12">
        <f>E11*$D$31</f>
        <v/>
      </c>
      <c r="G12">
        <f>(E11-F11)*$D$32</f>
        <v/>
      </c>
      <c r="I12">
        <f>G11/C11*100</f>
        <v/>
      </c>
      <c r="J12">
        <f>WEO_Data!E10</f>
        <v/>
      </c>
      <c r="K12" s="15">
        <f>J11+I11</f>
        <v/>
      </c>
    </row>
    <row r="13">
      <c r="B13" s="13" t="n">
        <v>2029</v>
      </c>
      <c r="C13">
        <f>WEO_Data!B11</f>
        <v/>
      </c>
      <c r="D13" t="n">
        <v>0.3</v>
      </c>
      <c r="E13">
        <f>D12*$D$30*$D$29</f>
        <v/>
      </c>
      <c r="F13">
        <f>E12*$D$31</f>
        <v/>
      </c>
      <c r="G13">
        <f>(E12-F12)*$D$32</f>
        <v/>
      </c>
      <c r="I13">
        <f>G12/C12*100</f>
        <v/>
      </c>
      <c r="J13">
        <f>WEO_Data!E11</f>
        <v/>
      </c>
      <c r="K13" s="15">
        <f>J12+I12</f>
        <v/>
      </c>
    </row>
    <row r="14">
      <c r="B14" s="13" t="n">
        <v>2030</v>
      </c>
      <c r="C14">
        <f>WEO_Data!B12</f>
        <v/>
      </c>
      <c r="D14" t="n">
        <v>0.2</v>
      </c>
      <c r="E14">
        <f>D13*$D$30*$D$29</f>
        <v/>
      </c>
      <c r="F14">
        <f>E13*$D$31</f>
        <v/>
      </c>
      <c r="G14">
        <f>(E13-F13)*$D$32</f>
        <v/>
      </c>
      <c r="I14">
        <f>G13/C13*100</f>
        <v/>
      </c>
      <c r="J14" s="17">
        <f>WEO_Data!E12</f>
        <v/>
      </c>
      <c r="K14" s="15">
        <f>J13+I13</f>
        <v/>
      </c>
    </row>
    <row r="15">
      <c r="B15" s="13" t="n">
        <v>2031</v>
      </c>
      <c r="C15">
        <f>WEO_Data!B13</f>
        <v/>
      </c>
      <c r="D15" t="n">
        <v>0.1</v>
      </c>
      <c r="E15">
        <f>D14*$D$30*$D$29</f>
        <v/>
      </c>
      <c r="F15">
        <f>E14*$D$31</f>
        <v/>
      </c>
      <c r="G15">
        <f>(E14-F14)*$D$32</f>
        <v/>
      </c>
      <c r="I15">
        <f>G14/C14*100</f>
        <v/>
      </c>
      <c r="J15" s="17">
        <f>WEO_Data!E13</f>
        <v/>
      </c>
      <c r="K15" s="15">
        <f>J14+I14</f>
        <v/>
      </c>
    </row>
    <row r="16">
      <c r="B16" s="13" t="n">
        <v>2032</v>
      </c>
      <c r="C16">
        <f>WEO_Data!B14</f>
        <v/>
      </c>
      <c r="D16" t="n">
        <v>0.04</v>
      </c>
      <c r="E16">
        <f>D15*$D$30*$D$29</f>
        <v/>
      </c>
      <c r="F16">
        <f>E15*$D$31</f>
        <v/>
      </c>
      <c r="G16">
        <f>(E15-F15)*$D$32</f>
        <v/>
      </c>
      <c r="I16">
        <f>G15/C15*100</f>
        <v/>
      </c>
      <c r="J16" s="17">
        <f>WEO_Data!E14</f>
        <v/>
      </c>
      <c r="K16" s="15">
        <f>J15+I15</f>
        <v/>
      </c>
    </row>
    <row r="17">
      <c r="B17" s="13" t="n">
        <v>2033</v>
      </c>
      <c r="C17">
        <f>WEO_Data!B15</f>
        <v/>
      </c>
      <c r="D17" t="n">
        <v>0.01</v>
      </c>
      <c r="E17">
        <f>D16*$D$30*$D$29</f>
        <v/>
      </c>
      <c r="F17">
        <f>E16*$D$31</f>
        <v/>
      </c>
      <c r="G17">
        <f>(E16-F16)*$D$32</f>
        <v/>
      </c>
      <c r="I17">
        <f>G16/C16*100</f>
        <v/>
      </c>
      <c r="J17" s="17">
        <f>WEO_Data!E15</f>
        <v/>
      </c>
      <c r="K17" s="15">
        <f>J16+I16</f>
        <v/>
      </c>
    </row>
    <row r="18">
      <c r="B18" s="13" t="n">
        <v>2034</v>
      </c>
      <c r="C18">
        <f>WEO_Data!B16</f>
        <v/>
      </c>
      <c r="D18" t="n">
        <v>0</v>
      </c>
      <c r="E18">
        <f>D17*$D$30*$D$29</f>
        <v/>
      </c>
      <c r="F18">
        <f>E17*$D$31</f>
        <v/>
      </c>
      <c r="G18">
        <f>(E17-F17)*$D$32</f>
        <v/>
      </c>
      <c r="I18">
        <f>G17/C17*100</f>
        <v/>
      </c>
      <c r="J18" s="17">
        <f>WEO_Data!E16</f>
        <v/>
      </c>
      <c r="K18" s="15">
        <f>J17+I17</f>
        <v/>
      </c>
    </row>
    <row r="19">
      <c r="B19" s="13" t="n">
        <v>2035</v>
      </c>
      <c r="C19">
        <f>WEO_Data!B17</f>
        <v/>
      </c>
      <c r="D19" t="n">
        <v>0</v>
      </c>
      <c r="E19">
        <f>D18*$D$30*$D$29</f>
        <v/>
      </c>
      <c r="F19">
        <f>E18*$D$31</f>
        <v/>
      </c>
      <c r="G19">
        <f>(E18-F18)*$D$32</f>
        <v/>
      </c>
      <c r="I19">
        <f>G18/C18*100</f>
        <v/>
      </c>
      <c r="J19" s="17">
        <f>WEO_Data!E17</f>
        <v/>
      </c>
      <c r="K19" s="15">
        <f>J18+I18</f>
        <v/>
      </c>
    </row>
    <row r="20">
      <c r="B20" s="13" t="n">
        <v>2036</v>
      </c>
      <c r="C20">
        <f>WEO_Data!B18</f>
        <v/>
      </c>
      <c r="D20" t="n">
        <v>0</v>
      </c>
      <c r="E20">
        <f>D19*$D$30*$D$29</f>
        <v/>
      </c>
      <c r="F20">
        <f>E19*$D$31</f>
        <v/>
      </c>
      <c r="G20">
        <f>(E19-F19)*$D$32</f>
        <v/>
      </c>
      <c r="I20">
        <f>G19/C19*100</f>
        <v/>
      </c>
      <c r="J20" s="17">
        <f>WEO_Data!E18</f>
        <v/>
      </c>
      <c r="K20" s="15">
        <f>J19+I19</f>
        <v/>
      </c>
    </row>
    <row r="21">
      <c r="B21" s="13" t="n">
        <v>2037</v>
      </c>
      <c r="C21">
        <f>WEO_Data!B19</f>
        <v/>
      </c>
      <c r="D21" t="n">
        <v>0</v>
      </c>
      <c r="E21">
        <f>D20*$D$30*$D$29</f>
        <v/>
      </c>
      <c r="F21">
        <f>E20*$D$31</f>
        <v/>
      </c>
      <c r="G21">
        <f>(E20-F20)*$D$32</f>
        <v/>
      </c>
      <c r="I21">
        <f>G20/C20*100</f>
        <v/>
      </c>
      <c r="J21" s="17">
        <f>WEO_Data!E19</f>
        <v/>
      </c>
      <c r="K21" s="15">
        <f>J20+I20</f>
        <v/>
      </c>
    </row>
    <row r="22">
      <c r="B22" s="13" t="n">
        <v>2038</v>
      </c>
      <c r="C22">
        <f>WEO_Data!B20</f>
        <v/>
      </c>
      <c r="D22" t="n">
        <v>0</v>
      </c>
      <c r="E22">
        <f>D21*$D$30*$D$29</f>
        <v/>
      </c>
      <c r="F22">
        <f>E21*$D$31</f>
        <v/>
      </c>
      <c r="G22">
        <f>(E21-F21)*$D$32</f>
        <v/>
      </c>
      <c r="I22">
        <f>G21/C21*100</f>
        <v/>
      </c>
      <c r="J22" s="17">
        <f>WEO_Data!E20</f>
        <v/>
      </c>
      <c r="K22" s="15">
        <f>J21+I21</f>
        <v/>
      </c>
    </row>
    <row r="23">
      <c r="B23" s="13" t="n">
        <v>2039</v>
      </c>
      <c r="C23">
        <f>WEO_Data!B21</f>
        <v/>
      </c>
      <c r="D23" t="n">
        <v>0</v>
      </c>
      <c r="E23">
        <f>D22*$D$30*$D$29</f>
        <v/>
      </c>
      <c r="F23">
        <f>E22*$D$31</f>
        <v/>
      </c>
      <c r="G23">
        <f>(E22-F22)*$D$32</f>
        <v/>
      </c>
      <c r="I23">
        <f>G22/C22*100</f>
        <v/>
      </c>
      <c r="J23" s="17">
        <f>WEO_Data!E21</f>
        <v/>
      </c>
      <c r="K23" s="15">
        <f>J22+I22</f>
        <v/>
      </c>
    </row>
    <row r="24">
      <c r="B24" s="13" t="n">
        <v>2040</v>
      </c>
      <c r="C24">
        <f>WEO_Data!B22</f>
        <v/>
      </c>
      <c r="D24" t="n">
        <v>0</v>
      </c>
      <c r="E24">
        <f>D23*$D$30*$D$29</f>
        <v/>
      </c>
      <c r="F24">
        <f>E23*$D$31</f>
        <v/>
      </c>
      <c r="G24">
        <f>(E23-F23)*$D$32</f>
        <v/>
      </c>
      <c r="I24">
        <f>G23/C23*100</f>
        <v/>
      </c>
      <c r="J24" s="17">
        <f>WEO_Data!E22</f>
        <v/>
      </c>
      <c r="K24" s="15">
        <f>J23+I23</f>
        <v/>
      </c>
    </row>
    <row r="25">
      <c r="B25" s="13" t="n">
        <v>2041</v>
      </c>
      <c r="C25">
        <f>WEO_Data!B23</f>
        <v/>
      </c>
      <c r="D25" t="n">
        <v>0</v>
      </c>
      <c r="E25">
        <f>D24*$D$30*$D$29</f>
        <v/>
      </c>
      <c r="F25">
        <f>E24*$D$31</f>
        <v/>
      </c>
      <c r="G25">
        <f>(E24-F24)*$D$32</f>
        <v/>
      </c>
      <c r="I25">
        <f>G24/C24*100</f>
        <v/>
      </c>
      <c r="J25" s="17">
        <f>WEO_Data!E23</f>
        <v/>
      </c>
      <c r="K25" s="15">
        <f>J24+I24</f>
        <v/>
      </c>
    </row>
    <row r="26">
      <c r="B26" s="18" t="n">
        <v>2042</v>
      </c>
      <c r="C26" s="19">
        <f>WEO_Data!B24</f>
        <v/>
      </c>
      <c r="D26" s="19" t="n">
        <v>0</v>
      </c>
      <c r="E26" s="19">
        <f>D25*$D$30*$D$29</f>
        <v/>
      </c>
      <c r="F26" s="19">
        <f>E25*$D$31</f>
        <v/>
      </c>
      <c r="G26" s="19">
        <f>(E25-F25)*$D$32</f>
        <v/>
      </c>
      <c r="H26" s="19" t="n"/>
      <c r="I26" s="19">
        <f>G25/C25*100</f>
        <v/>
      </c>
      <c r="J26" s="20">
        <f>WEO_Data!E24</f>
        <v/>
      </c>
      <c r="K26" s="21">
        <f>J25+I25</f>
        <v/>
      </c>
    </row>
    <row r="27"/>
    <row r="28"/>
    <row r="29">
      <c r="C29" s="22" t="inlineStr">
        <is>
          <t>Assumptions</t>
        </is>
      </c>
      <c r="D29" s="23" t="n"/>
      <c r="E29" s="24" t="n"/>
      <c r="F29" s="24" t="n"/>
      <c r="G29" s="24" t="n"/>
      <c r="H29" s="24" t="n"/>
      <c r="I29" s="24" t="n"/>
      <c r="J29" s="25" t="n"/>
      <c r="K29" s="26" t="n"/>
    </row>
    <row r="30">
      <c r="C30" s="13" t="inlineStr">
        <is>
          <t>Exchange rate (Lari/USD)</t>
        </is>
      </c>
      <c r="D30" t="n">
        <v>2.746</v>
      </c>
      <c r="K30" s="15" t="n"/>
    </row>
    <row r="31">
      <c r="C31" s="13" t="inlineStr">
        <is>
          <t>total investment</t>
        </is>
      </c>
      <c r="D31" t="n">
        <v>6.5</v>
      </c>
      <c r="K31" s="15" t="n"/>
    </row>
    <row r="32">
      <c r="C32" s="13" t="inlineStr">
        <is>
          <t>import content share</t>
        </is>
      </c>
      <c r="D32" s="28">
        <f>"SUT Calc"!C46</f>
        <v/>
      </c>
      <c r="K32" s="15" t="n"/>
    </row>
    <row r="33">
      <c r="C33" s="13" t="inlineStr">
        <is>
          <t>demand multiplier</t>
        </is>
      </c>
      <c r="D33" s="29" t="n">
        <v>0.8</v>
      </c>
      <c r="K33" s="15" t="n"/>
    </row>
    <row r="34">
      <c r="C34" s="18" t="inlineStr">
        <is>
          <t>Project allocation</t>
        </is>
      </c>
      <c r="D34" s="19" t="inlineStr">
        <is>
          <t>Bell shape</t>
        </is>
      </c>
      <c r="E34" s="19" t="n"/>
      <c r="F34" s="19" t="n"/>
      <c r="G34" s="19" t="n"/>
      <c r="H34" s="19" t="n"/>
      <c r="I34" s="19" t="n"/>
      <c r="J34" s="27" t="n"/>
      <c r="K34" s="21" t="n"/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>
      <c r="A51" t="inlineStr">
        <is>
          <t>SCENARIO 2: Demand Multiplier = 1.0</t>
        </is>
      </c>
    </row>
    <row r="52">
      <c r="B52" t="inlineStr">
        <is>
          <t>Year</t>
        </is>
      </c>
      <c r="C52" t="inlineStr">
        <is>
          <t>Real GDP</t>
        </is>
      </c>
      <c r="D52" t="inlineStr">
        <is>
          <t>Project Allocation (%)</t>
        </is>
      </c>
      <c r="E52" t="inlineStr">
        <is>
          <t>Project Investment</t>
        </is>
      </c>
      <c r="F52" t="inlineStr">
        <is>
          <t>Imports</t>
        </is>
      </c>
      <c r="G52" t="inlineStr">
        <is>
          <t>GDP impact</t>
        </is>
      </c>
      <c r="H52" t="inlineStr">
        <is>
          <t>Multiplier</t>
        </is>
      </c>
      <c r="I52" t="inlineStr">
        <is>
          <t>% of GDP</t>
        </is>
      </c>
      <c r="J52" t="inlineStr">
        <is>
          <t>Baseline GDP Growth</t>
        </is>
      </c>
      <c r="K52" t="inlineStr">
        <is>
          <t>Projected Growth</t>
        </is>
      </c>
    </row>
    <row r="53">
      <c r="G53" t="inlineStr">
        <is>
          <t>I-M</t>
        </is>
      </c>
    </row>
    <row r="54">
      <c r="B54" t="n">
        <v>2020</v>
      </c>
      <c r="C54">
        <f>WEO_Data!B2</f>
        <v/>
      </c>
      <c r="D54" t="n">
        <v>0</v>
      </c>
      <c r="E54">
        <f>D53*$D$80*$D$79</f>
        <v/>
      </c>
      <c r="F54">
        <f>E53*$D$81</f>
        <v/>
      </c>
      <c r="G54">
        <f>(E53-F53)*$D$82</f>
        <v/>
      </c>
      <c r="I54">
        <f>G53/C53*100</f>
        <v/>
      </c>
      <c r="J54">
        <f>WEO_Data!E2</f>
        <v/>
      </c>
      <c r="K54">
        <f>J53+I53</f>
        <v/>
      </c>
    </row>
    <row r="55">
      <c r="B55" t="n">
        <v>2021</v>
      </c>
      <c r="C55">
        <f>WEO_Data!B3</f>
        <v/>
      </c>
      <c r="D55" t="n">
        <v>0</v>
      </c>
      <c r="E55">
        <f>D54*$D$80*$D$79</f>
        <v/>
      </c>
      <c r="F55">
        <f>E54*$D$81</f>
        <v/>
      </c>
      <c r="G55">
        <f>(E54-F54)*$D$82</f>
        <v/>
      </c>
      <c r="I55">
        <f>G54/C54*100</f>
        <v/>
      </c>
      <c r="J55">
        <f>WEO_Data!E3</f>
        <v/>
      </c>
      <c r="K55">
        <f>J54+I54</f>
        <v/>
      </c>
    </row>
    <row r="56">
      <c r="B56" t="n">
        <v>2022</v>
      </c>
      <c r="C56">
        <f>WEO_Data!B4</f>
        <v/>
      </c>
      <c r="D56" t="n">
        <v>0</v>
      </c>
      <c r="E56">
        <f>D55*$D$80*$D$79</f>
        <v/>
      </c>
      <c r="F56">
        <f>E55*$D$81</f>
        <v/>
      </c>
      <c r="G56">
        <f>(E55-F55)*$D$82</f>
        <v/>
      </c>
      <c r="I56">
        <f>G55/C55*100</f>
        <v/>
      </c>
      <c r="J56">
        <f>WEO_Data!E4</f>
        <v/>
      </c>
      <c r="K56">
        <f>J55+I55</f>
        <v/>
      </c>
    </row>
    <row r="57">
      <c r="B57" t="n">
        <v>2023</v>
      </c>
      <c r="C57">
        <f>WEO_Data!B5</f>
        <v/>
      </c>
      <c r="D57" t="n">
        <v>0</v>
      </c>
      <c r="E57">
        <f>D56*$D$80*$D$79</f>
        <v/>
      </c>
      <c r="F57">
        <f>E56*$D$81</f>
        <v/>
      </c>
      <c r="G57">
        <f>(E56-F56)*$D$82</f>
        <v/>
      </c>
      <c r="I57">
        <f>G56/C56*100</f>
        <v/>
      </c>
      <c r="J57">
        <f>WEO_Data!E5</f>
        <v/>
      </c>
      <c r="K57">
        <f>J56+I56</f>
        <v/>
      </c>
    </row>
    <row r="58">
      <c r="B58" t="n">
        <v>2024</v>
      </c>
      <c r="C58">
        <f>WEO_Data!B6</f>
        <v/>
      </c>
      <c r="D58" t="n">
        <v>0</v>
      </c>
      <c r="E58">
        <f>D57*$D$80*$D$79</f>
        <v/>
      </c>
      <c r="F58">
        <f>E57*$D$81</f>
        <v/>
      </c>
      <c r="G58">
        <f>(E57-F57)*$D$82</f>
        <v/>
      </c>
      <c r="I58">
        <f>G57/C57*100</f>
        <v/>
      </c>
      <c r="J58">
        <f>WEO_Data!E6</f>
        <v/>
      </c>
      <c r="K58">
        <f>J57+I57</f>
        <v/>
      </c>
    </row>
    <row r="59">
      <c r="B59" t="n">
        <v>2025</v>
      </c>
      <c r="C59">
        <f>WEO_Data!B7</f>
        <v/>
      </c>
      <c r="D59" t="n">
        <v>0</v>
      </c>
      <c r="E59">
        <f>D58*$D$80*$D$79</f>
        <v/>
      </c>
      <c r="F59">
        <f>E58*$D$81</f>
        <v/>
      </c>
      <c r="G59">
        <f>(E58-F58)*$D$82</f>
        <v/>
      </c>
      <c r="I59">
        <f>G58/C58*100</f>
        <v/>
      </c>
      <c r="J59">
        <f>WEO_Data!E7</f>
        <v/>
      </c>
      <c r="K59">
        <f>J58+I58</f>
        <v/>
      </c>
    </row>
    <row r="60">
      <c r="B60" t="n">
        <v>2026</v>
      </c>
      <c r="C60">
        <f>WEO_Data!B8</f>
        <v/>
      </c>
      <c r="D60" t="n">
        <v>0.05</v>
      </c>
      <c r="E60">
        <f>D59*$D$80*$D$79</f>
        <v/>
      </c>
      <c r="F60">
        <f>E59*$D$81</f>
        <v/>
      </c>
      <c r="G60">
        <f>(E59-F59)*$D$82</f>
        <v/>
      </c>
      <c r="I60">
        <f>G59/C59*100</f>
        <v/>
      </c>
      <c r="J60">
        <f>WEO_Data!E8</f>
        <v/>
      </c>
      <c r="K60">
        <f>J59+I59</f>
        <v/>
      </c>
    </row>
    <row r="61">
      <c r="B61" t="n">
        <v>2027</v>
      </c>
      <c r="C61">
        <f>WEO_Data!B9</f>
        <v/>
      </c>
      <c r="D61" t="n">
        <v>0.1</v>
      </c>
      <c r="E61">
        <f>D60*$D$80*$D$79</f>
        <v/>
      </c>
      <c r="F61">
        <f>E60*$D$81</f>
        <v/>
      </c>
      <c r="G61">
        <f>(E60-F60)*$D$82</f>
        <v/>
      </c>
      <c r="I61">
        <f>G60/C60*100</f>
        <v/>
      </c>
      <c r="J61">
        <f>WEO_Data!E9</f>
        <v/>
      </c>
      <c r="K61">
        <f>J60+I60</f>
        <v/>
      </c>
    </row>
    <row r="62">
      <c r="B62" t="n">
        <v>2028</v>
      </c>
      <c r="C62">
        <f>WEO_Data!B10</f>
        <v/>
      </c>
      <c r="D62" t="n">
        <v>0.2</v>
      </c>
      <c r="E62">
        <f>D61*$D$80*$D$79</f>
        <v/>
      </c>
      <c r="F62">
        <f>E61*$D$81</f>
        <v/>
      </c>
      <c r="G62">
        <f>(E61-F61)*$D$82</f>
        <v/>
      </c>
      <c r="I62">
        <f>G61/C61*100</f>
        <v/>
      </c>
      <c r="J62">
        <f>WEO_Data!E10</f>
        <v/>
      </c>
      <c r="K62">
        <f>J61+I61</f>
        <v/>
      </c>
    </row>
    <row r="63">
      <c r="B63" t="n">
        <v>2029</v>
      </c>
      <c r="C63">
        <f>WEO_Data!B11</f>
        <v/>
      </c>
      <c r="D63" t="n">
        <v>0.3</v>
      </c>
      <c r="E63">
        <f>D62*$D$80*$D$79</f>
        <v/>
      </c>
      <c r="F63">
        <f>E62*$D$81</f>
        <v/>
      </c>
      <c r="G63">
        <f>(E62-F62)*$D$82</f>
        <v/>
      </c>
      <c r="I63">
        <f>G62/C62*100</f>
        <v/>
      </c>
      <c r="J63">
        <f>WEO_Data!E11</f>
        <v/>
      </c>
      <c r="K63">
        <f>J62+I62</f>
        <v/>
      </c>
    </row>
    <row r="64">
      <c r="B64" t="n">
        <v>2030</v>
      </c>
      <c r="C64">
        <f>WEO_Data!B12</f>
        <v/>
      </c>
      <c r="D64" t="n">
        <v>0.2</v>
      </c>
      <c r="E64">
        <f>D63*$D$80*$D$79</f>
        <v/>
      </c>
      <c r="F64">
        <f>E63*$D$81</f>
        <v/>
      </c>
      <c r="G64">
        <f>(E63-F63)*$D$82</f>
        <v/>
      </c>
      <c r="I64">
        <f>G63/C63*100</f>
        <v/>
      </c>
      <c r="J64">
        <f>WEO_Data!E12</f>
        <v/>
      </c>
      <c r="K64">
        <f>J63+I63</f>
        <v/>
      </c>
    </row>
    <row r="65">
      <c r="B65" t="n">
        <v>2031</v>
      </c>
      <c r="C65">
        <f>WEO_Data!B13</f>
        <v/>
      </c>
      <c r="D65" t="n">
        <v>0.1</v>
      </c>
      <c r="E65">
        <f>D64*$D$80*$D$79</f>
        <v/>
      </c>
      <c r="F65">
        <f>E64*$D$81</f>
        <v/>
      </c>
      <c r="G65">
        <f>(E64-F64)*$D$82</f>
        <v/>
      </c>
      <c r="I65">
        <f>G64/C64*100</f>
        <v/>
      </c>
      <c r="J65">
        <f>WEO_Data!E13</f>
        <v/>
      </c>
      <c r="K65">
        <f>J64+I64</f>
        <v/>
      </c>
    </row>
    <row r="66">
      <c r="B66" t="n">
        <v>2032</v>
      </c>
      <c r="C66">
        <f>WEO_Data!B14</f>
        <v/>
      </c>
      <c r="D66" t="n">
        <v>0.04</v>
      </c>
      <c r="E66">
        <f>D65*$D$80*$D$79</f>
        <v/>
      </c>
      <c r="F66">
        <f>E65*$D$81</f>
        <v/>
      </c>
      <c r="G66">
        <f>(E65-F65)*$D$82</f>
        <v/>
      </c>
      <c r="I66">
        <f>G65/C65*100</f>
        <v/>
      </c>
      <c r="J66">
        <f>WEO_Data!E14</f>
        <v/>
      </c>
      <c r="K66">
        <f>J65+I65</f>
        <v/>
      </c>
    </row>
    <row r="67">
      <c r="B67" t="n">
        <v>2033</v>
      </c>
      <c r="C67">
        <f>WEO_Data!B15</f>
        <v/>
      </c>
      <c r="D67" t="n">
        <v>0.01</v>
      </c>
      <c r="E67">
        <f>D66*$D$80*$D$79</f>
        <v/>
      </c>
      <c r="F67">
        <f>E66*$D$81</f>
        <v/>
      </c>
      <c r="G67">
        <f>(E66-F66)*$D$82</f>
        <v/>
      </c>
      <c r="I67">
        <f>G66/C66*100</f>
        <v/>
      </c>
      <c r="J67">
        <f>WEO_Data!E15</f>
        <v/>
      </c>
      <c r="K67">
        <f>J66+I66</f>
        <v/>
      </c>
    </row>
    <row r="68">
      <c r="B68" t="n">
        <v>2034</v>
      </c>
      <c r="C68">
        <f>WEO_Data!B16</f>
        <v/>
      </c>
      <c r="D68" t="n">
        <v>0</v>
      </c>
      <c r="E68">
        <f>D67*$D$80*$D$79</f>
        <v/>
      </c>
      <c r="F68">
        <f>E67*$D$81</f>
        <v/>
      </c>
      <c r="G68">
        <f>(E67-F67)*$D$82</f>
        <v/>
      </c>
      <c r="I68">
        <f>G67/C67*100</f>
        <v/>
      </c>
      <c r="J68">
        <f>WEO_Data!E16</f>
        <v/>
      </c>
      <c r="K68">
        <f>J67+I67</f>
        <v/>
      </c>
    </row>
    <row r="69">
      <c r="B69" t="n">
        <v>2035</v>
      </c>
      <c r="C69">
        <f>WEO_Data!B17</f>
        <v/>
      </c>
      <c r="D69" t="n">
        <v>0</v>
      </c>
      <c r="E69">
        <f>D68*$D$80*$D$79</f>
        <v/>
      </c>
      <c r="F69">
        <f>E68*$D$81</f>
        <v/>
      </c>
      <c r="G69">
        <f>(E68-F68)*$D$82</f>
        <v/>
      </c>
      <c r="I69">
        <f>G68/C68*100</f>
        <v/>
      </c>
      <c r="J69">
        <f>WEO_Data!E17</f>
        <v/>
      </c>
      <c r="K69">
        <f>J68+I68</f>
        <v/>
      </c>
    </row>
    <row r="70">
      <c r="B70" t="n">
        <v>2036</v>
      </c>
      <c r="C70">
        <f>WEO_Data!B18</f>
        <v/>
      </c>
      <c r="D70" t="n">
        <v>0</v>
      </c>
      <c r="E70">
        <f>D69*$D$80*$D$79</f>
        <v/>
      </c>
      <c r="F70">
        <f>E69*$D$81</f>
        <v/>
      </c>
      <c r="G70">
        <f>(E69-F69)*$D$82</f>
        <v/>
      </c>
      <c r="I70">
        <f>G69/C69*100</f>
        <v/>
      </c>
      <c r="J70">
        <f>WEO_Data!E18</f>
        <v/>
      </c>
      <c r="K70">
        <f>J69+I69</f>
        <v/>
      </c>
    </row>
    <row r="71">
      <c r="B71" t="n">
        <v>2037</v>
      </c>
      <c r="C71">
        <f>WEO_Data!B19</f>
        <v/>
      </c>
      <c r="D71" t="n">
        <v>0</v>
      </c>
      <c r="E71">
        <f>D70*$D$80*$D$79</f>
        <v/>
      </c>
      <c r="F71">
        <f>E70*$D$81</f>
        <v/>
      </c>
      <c r="G71">
        <f>(E70-F70)*$D$82</f>
        <v/>
      </c>
      <c r="I71">
        <f>G70/C70*100</f>
        <v/>
      </c>
      <c r="J71">
        <f>WEO_Data!E19</f>
        <v/>
      </c>
      <c r="K71">
        <f>J70+I70</f>
        <v/>
      </c>
    </row>
    <row r="72">
      <c r="B72" t="n">
        <v>2038</v>
      </c>
      <c r="C72">
        <f>WEO_Data!B20</f>
        <v/>
      </c>
      <c r="D72" t="n">
        <v>0</v>
      </c>
      <c r="E72">
        <f>D71*$D$80*$D$79</f>
        <v/>
      </c>
      <c r="F72">
        <f>E71*$D$81</f>
        <v/>
      </c>
      <c r="G72">
        <f>(E71-F71)*$D$82</f>
        <v/>
      </c>
      <c r="I72">
        <f>G71/C71*100</f>
        <v/>
      </c>
      <c r="J72">
        <f>WEO_Data!E20</f>
        <v/>
      </c>
      <c r="K72">
        <f>J71+I71</f>
        <v/>
      </c>
    </row>
    <row r="73">
      <c r="B73" t="n">
        <v>2039</v>
      </c>
      <c r="C73">
        <f>WEO_Data!B21</f>
        <v/>
      </c>
      <c r="D73" t="n">
        <v>0</v>
      </c>
      <c r="E73">
        <f>D72*$D$80*$D$79</f>
        <v/>
      </c>
      <c r="F73">
        <f>E72*$D$81</f>
        <v/>
      </c>
      <c r="G73">
        <f>(E72-F72)*$D$82</f>
        <v/>
      </c>
      <c r="I73">
        <f>G72/C72*100</f>
        <v/>
      </c>
      <c r="J73">
        <f>WEO_Data!E21</f>
        <v/>
      </c>
      <c r="K73">
        <f>J72+I72</f>
        <v/>
      </c>
    </row>
    <row r="74">
      <c r="B74" t="n">
        <v>2040</v>
      </c>
      <c r="C74">
        <f>WEO_Data!B22</f>
        <v/>
      </c>
      <c r="D74" t="n">
        <v>0</v>
      </c>
      <c r="E74">
        <f>D73*$D$80*$D$79</f>
        <v/>
      </c>
      <c r="F74">
        <f>E73*$D$81</f>
        <v/>
      </c>
      <c r="G74">
        <f>(E73-F73)*$D$82</f>
        <v/>
      </c>
      <c r="I74">
        <f>G73/C73*100</f>
        <v/>
      </c>
      <c r="J74">
        <f>WEO_Data!E22</f>
        <v/>
      </c>
      <c r="K74">
        <f>J73+I73</f>
        <v/>
      </c>
    </row>
    <row r="75">
      <c r="B75" t="n">
        <v>2041</v>
      </c>
      <c r="C75">
        <f>WEO_Data!B23</f>
        <v/>
      </c>
      <c r="D75" t="n">
        <v>0</v>
      </c>
      <c r="E75">
        <f>D74*$D$80*$D$79</f>
        <v/>
      </c>
      <c r="F75">
        <f>E74*$D$81</f>
        <v/>
      </c>
      <c r="G75">
        <f>(E74-F74)*$D$82</f>
        <v/>
      </c>
      <c r="I75">
        <f>G74/C74*100</f>
        <v/>
      </c>
      <c r="J75">
        <f>WEO_Data!E23</f>
        <v/>
      </c>
      <c r="K75">
        <f>J74+I74</f>
        <v/>
      </c>
    </row>
    <row r="76">
      <c r="B76" t="n">
        <v>2042</v>
      </c>
      <c r="C76">
        <f>WEO_Data!B24</f>
        <v/>
      </c>
      <c r="D76" t="n">
        <v>0</v>
      </c>
      <c r="E76">
        <f>D75*$D$80*$D$79</f>
        <v/>
      </c>
      <c r="F76">
        <f>E75*$D$81</f>
        <v/>
      </c>
      <c r="G76">
        <f>(E75-F75)*$D$82</f>
        <v/>
      </c>
      <c r="I76">
        <f>G75/C75*100</f>
        <v/>
      </c>
      <c r="J76">
        <f>WEO_Data!E24</f>
        <v/>
      </c>
      <c r="K76">
        <f>J75+I75</f>
        <v/>
      </c>
    </row>
    <row r="77"/>
    <row r="78"/>
    <row r="79">
      <c r="C79" t="inlineStr">
        <is>
          <t>Assumptions</t>
        </is>
      </c>
    </row>
    <row r="80">
      <c r="C80" t="inlineStr">
        <is>
          <t>Exchange rate (Lari/USD)</t>
        </is>
      </c>
      <c r="D80" t="n">
        <v>2.746</v>
      </c>
    </row>
    <row r="81">
      <c r="C81" t="inlineStr">
        <is>
          <t>total investment</t>
        </is>
      </c>
      <c r="D81" t="n">
        <v>6.5</v>
      </c>
    </row>
    <row r="82">
      <c r="C82" t="inlineStr">
        <is>
          <t>import content share</t>
        </is>
      </c>
      <c r="D82">
        <f>"SUT Calc"!C46</f>
        <v/>
      </c>
    </row>
    <row r="83">
      <c r="C83" t="inlineStr">
        <is>
          <t>demand multiplier</t>
        </is>
      </c>
      <c r="D83" t="n">
        <v>1</v>
      </c>
    </row>
    <row r="84">
      <c r="C84" t="inlineStr">
        <is>
          <t>Project allocation</t>
        </is>
      </c>
      <c r="D84" t="inlineStr">
        <is>
          <t>Bell shape</t>
        </is>
      </c>
    </row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>
      <c r="A101" t="inlineStr">
        <is>
          <t>SCENARIO 3: Import Content Share = 0.5</t>
        </is>
      </c>
    </row>
    <row r="102">
      <c r="B102" t="inlineStr">
        <is>
          <t>Year</t>
        </is>
      </c>
      <c r="C102" t="inlineStr">
        <is>
          <t>Real GDP</t>
        </is>
      </c>
      <c r="D102" t="inlineStr">
        <is>
          <t>Project Allocation (%)</t>
        </is>
      </c>
      <c r="E102" t="inlineStr">
        <is>
          <t>Project Investment</t>
        </is>
      </c>
      <c r="F102" t="inlineStr">
        <is>
          <t>Imports</t>
        </is>
      </c>
      <c r="G102" t="inlineStr">
        <is>
          <t>GDP impact</t>
        </is>
      </c>
      <c r="H102" t="inlineStr">
        <is>
          <t>Multiplier</t>
        </is>
      </c>
      <c r="I102" t="inlineStr">
        <is>
          <t>% of GDP</t>
        </is>
      </c>
      <c r="J102" t="inlineStr">
        <is>
          <t>Baseline GDP Growth</t>
        </is>
      </c>
      <c r="K102" t="inlineStr">
        <is>
          <t>Projected Growth</t>
        </is>
      </c>
    </row>
    <row r="103">
      <c r="G103" t="inlineStr">
        <is>
          <t>I-M</t>
        </is>
      </c>
    </row>
    <row r="104">
      <c r="B104" t="n">
        <v>2020</v>
      </c>
      <c r="C104">
        <f>WEO_Data!B2</f>
        <v/>
      </c>
      <c r="D104" t="n">
        <v>0</v>
      </c>
      <c r="E104">
        <f>D103*$D$130*$D$129</f>
        <v/>
      </c>
      <c r="F104">
        <f>E103*$D$131</f>
        <v/>
      </c>
      <c r="G104">
        <f>(E103-F103)*$D$132</f>
        <v/>
      </c>
      <c r="I104">
        <f>G103/C103*100</f>
        <v/>
      </c>
      <c r="J104">
        <f>WEO_Data!E2</f>
        <v/>
      </c>
      <c r="K104">
        <f>J103+I103</f>
        <v/>
      </c>
    </row>
    <row r="105">
      <c r="B105" t="n">
        <v>2021</v>
      </c>
      <c r="C105">
        <f>WEO_Data!B3</f>
        <v/>
      </c>
      <c r="D105" t="n">
        <v>0</v>
      </c>
      <c r="E105">
        <f>D104*$D$130*$D$129</f>
        <v/>
      </c>
      <c r="F105">
        <f>E104*$D$131</f>
        <v/>
      </c>
      <c r="G105">
        <f>(E104-F104)*$D$132</f>
        <v/>
      </c>
      <c r="I105">
        <f>G104/C104*100</f>
        <v/>
      </c>
      <c r="J105">
        <f>WEO_Data!E3</f>
        <v/>
      </c>
      <c r="K105">
        <f>J104+I104</f>
        <v/>
      </c>
    </row>
    <row r="106">
      <c r="B106" t="n">
        <v>2022</v>
      </c>
      <c r="C106">
        <f>WEO_Data!B4</f>
        <v/>
      </c>
      <c r="D106" t="n">
        <v>0</v>
      </c>
      <c r="E106">
        <f>D105*$D$130*$D$129</f>
        <v/>
      </c>
      <c r="F106">
        <f>E105*$D$131</f>
        <v/>
      </c>
      <c r="G106">
        <f>(E105-F105)*$D$132</f>
        <v/>
      </c>
      <c r="I106">
        <f>G105/C105*100</f>
        <v/>
      </c>
      <c r="J106">
        <f>WEO_Data!E4</f>
        <v/>
      </c>
      <c r="K106">
        <f>J105+I105</f>
        <v/>
      </c>
    </row>
    <row r="107">
      <c r="B107" t="n">
        <v>2023</v>
      </c>
      <c r="C107">
        <f>WEO_Data!B5</f>
        <v/>
      </c>
      <c r="D107" t="n">
        <v>0</v>
      </c>
      <c r="E107">
        <f>D106*$D$130*$D$129</f>
        <v/>
      </c>
      <c r="F107">
        <f>E106*$D$131</f>
        <v/>
      </c>
      <c r="G107">
        <f>(E106-F106)*$D$132</f>
        <v/>
      </c>
      <c r="I107">
        <f>G106/C106*100</f>
        <v/>
      </c>
      <c r="J107">
        <f>WEO_Data!E5</f>
        <v/>
      </c>
      <c r="K107">
        <f>J106+I106</f>
        <v/>
      </c>
    </row>
    <row r="108">
      <c r="B108" t="n">
        <v>2024</v>
      </c>
      <c r="C108">
        <f>WEO_Data!B6</f>
        <v/>
      </c>
      <c r="D108" t="n">
        <v>0</v>
      </c>
      <c r="E108">
        <f>D107*$D$130*$D$129</f>
        <v/>
      </c>
      <c r="F108">
        <f>E107*$D$131</f>
        <v/>
      </c>
      <c r="G108">
        <f>(E107-F107)*$D$132</f>
        <v/>
      </c>
      <c r="I108">
        <f>G107/C107*100</f>
        <v/>
      </c>
      <c r="J108">
        <f>WEO_Data!E6</f>
        <v/>
      </c>
      <c r="K108">
        <f>J107+I107</f>
        <v/>
      </c>
    </row>
    <row r="109">
      <c r="B109" t="n">
        <v>2025</v>
      </c>
      <c r="C109">
        <f>WEO_Data!B7</f>
        <v/>
      </c>
      <c r="D109" t="n">
        <v>0</v>
      </c>
      <c r="E109">
        <f>D108*$D$130*$D$129</f>
        <v/>
      </c>
      <c r="F109">
        <f>E108*$D$131</f>
        <v/>
      </c>
      <c r="G109">
        <f>(E108-F108)*$D$132</f>
        <v/>
      </c>
      <c r="I109">
        <f>G108/C108*100</f>
        <v/>
      </c>
      <c r="J109">
        <f>WEO_Data!E7</f>
        <v/>
      </c>
      <c r="K109">
        <f>J108+I108</f>
        <v/>
      </c>
    </row>
    <row r="110">
      <c r="B110" t="n">
        <v>2026</v>
      </c>
      <c r="C110">
        <f>WEO_Data!B8</f>
        <v/>
      </c>
      <c r="D110" t="n">
        <v>0.05</v>
      </c>
      <c r="E110">
        <f>D109*$D$130*$D$129</f>
        <v/>
      </c>
      <c r="F110">
        <f>E109*$D$131</f>
        <v/>
      </c>
      <c r="G110">
        <f>(E109-F109)*$D$132</f>
        <v/>
      </c>
      <c r="I110">
        <f>G109/C109*100</f>
        <v/>
      </c>
      <c r="J110">
        <f>WEO_Data!E8</f>
        <v/>
      </c>
      <c r="K110">
        <f>J109+I109</f>
        <v/>
      </c>
    </row>
    <row r="111">
      <c r="B111" t="n">
        <v>2027</v>
      </c>
      <c r="C111">
        <f>WEO_Data!B9</f>
        <v/>
      </c>
      <c r="D111" t="n">
        <v>0.1</v>
      </c>
      <c r="E111">
        <f>D110*$D$130*$D$129</f>
        <v/>
      </c>
      <c r="F111">
        <f>E110*$D$131</f>
        <v/>
      </c>
      <c r="G111">
        <f>(E110-F110)*$D$132</f>
        <v/>
      </c>
      <c r="I111">
        <f>G110/C110*100</f>
        <v/>
      </c>
      <c r="J111">
        <f>WEO_Data!E9</f>
        <v/>
      </c>
      <c r="K111">
        <f>J110+I110</f>
        <v/>
      </c>
    </row>
    <row r="112">
      <c r="B112" t="n">
        <v>2028</v>
      </c>
      <c r="C112">
        <f>WEO_Data!B10</f>
        <v/>
      </c>
      <c r="D112" t="n">
        <v>0.2</v>
      </c>
      <c r="E112">
        <f>D111*$D$130*$D$129</f>
        <v/>
      </c>
      <c r="F112">
        <f>E111*$D$131</f>
        <v/>
      </c>
      <c r="G112">
        <f>(E111-F111)*$D$132</f>
        <v/>
      </c>
      <c r="I112">
        <f>G111/C111*100</f>
        <v/>
      </c>
      <c r="J112">
        <f>WEO_Data!E10</f>
        <v/>
      </c>
      <c r="K112">
        <f>J111+I111</f>
        <v/>
      </c>
    </row>
    <row r="113">
      <c r="B113" t="n">
        <v>2029</v>
      </c>
      <c r="C113">
        <f>WEO_Data!B11</f>
        <v/>
      </c>
      <c r="D113" t="n">
        <v>0.3</v>
      </c>
      <c r="E113">
        <f>D112*$D$130*$D$129</f>
        <v/>
      </c>
      <c r="F113">
        <f>E112*$D$131</f>
        <v/>
      </c>
      <c r="G113">
        <f>(E112-F112)*$D$132</f>
        <v/>
      </c>
      <c r="I113">
        <f>G112/C112*100</f>
        <v/>
      </c>
      <c r="J113">
        <f>WEO_Data!E11</f>
        <v/>
      </c>
      <c r="K113">
        <f>J112+I112</f>
        <v/>
      </c>
    </row>
    <row r="114">
      <c r="B114" t="n">
        <v>2030</v>
      </c>
      <c r="C114">
        <f>WEO_Data!B12</f>
        <v/>
      </c>
      <c r="D114" t="n">
        <v>0.2</v>
      </c>
      <c r="E114">
        <f>D113*$D$130*$D$129</f>
        <v/>
      </c>
      <c r="F114">
        <f>E113*$D$131</f>
        <v/>
      </c>
      <c r="G114">
        <f>(E113-F113)*$D$132</f>
        <v/>
      </c>
      <c r="I114">
        <f>G113/C113*100</f>
        <v/>
      </c>
      <c r="J114">
        <f>WEO_Data!E12</f>
        <v/>
      </c>
      <c r="K114">
        <f>J113+I113</f>
        <v/>
      </c>
    </row>
    <row r="115">
      <c r="B115" t="n">
        <v>2031</v>
      </c>
      <c r="C115">
        <f>WEO_Data!B13</f>
        <v/>
      </c>
      <c r="D115" t="n">
        <v>0.1</v>
      </c>
      <c r="E115">
        <f>D114*$D$130*$D$129</f>
        <v/>
      </c>
      <c r="F115">
        <f>E114*$D$131</f>
        <v/>
      </c>
      <c r="G115">
        <f>(E114-F114)*$D$132</f>
        <v/>
      </c>
      <c r="I115">
        <f>G114/C114*100</f>
        <v/>
      </c>
      <c r="J115">
        <f>WEO_Data!E13</f>
        <v/>
      </c>
      <c r="K115">
        <f>J114+I114</f>
        <v/>
      </c>
    </row>
    <row r="116">
      <c r="B116" t="n">
        <v>2032</v>
      </c>
      <c r="C116">
        <f>WEO_Data!B14</f>
        <v/>
      </c>
      <c r="D116" t="n">
        <v>0.04</v>
      </c>
      <c r="E116">
        <f>D115*$D$130*$D$129</f>
        <v/>
      </c>
      <c r="F116">
        <f>E115*$D$131</f>
        <v/>
      </c>
      <c r="G116">
        <f>(E115-F115)*$D$132</f>
        <v/>
      </c>
      <c r="I116">
        <f>G115/C115*100</f>
        <v/>
      </c>
      <c r="J116">
        <f>WEO_Data!E14</f>
        <v/>
      </c>
      <c r="K116">
        <f>J115+I115</f>
        <v/>
      </c>
    </row>
    <row r="117">
      <c r="B117" t="n">
        <v>2033</v>
      </c>
      <c r="C117">
        <f>WEO_Data!B15</f>
        <v/>
      </c>
      <c r="D117" t="n">
        <v>0.01</v>
      </c>
      <c r="E117">
        <f>D116*$D$130*$D$129</f>
        <v/>
      </c>
      <c r="F117">
        <f>E116*$D$131</f>
        <v/>
      </c>
      <c r="G117">
        <f>(E116-F116)*$D$132</f>
        <v/>
      </c>
      <c r="I117">
        <f>G116/C116*100</f>
        <v/>
      </c>
      <c r="J117">
        <f>WEO_Data!E15</f>
        <v/>
      </c>
      <c r="K117">
        <f>J116+I116</f>
        <v/>
      </c>
    </row>
    <row r="118">
      <c r="B118" t="n">
        <v>2034</v>
      </c>
      <c r="C118">
        <f>WEO_Data!B16</f>
        <v/>
      </c>
      <c r="D118" t="n">
        <v>0</v>
      </c>
      <c r="E118">
        <f>D117*$D$130*$D$129</f>
        <v/>
      </c>
      <c r="F118">
        <f>E117*$D$131</f>
        <v/>
      </c>
      <c r="G118">
        <f>(E117-F117)*$D$132</f>
        <v/>
      </c>
      <c r="I118">
        <f>G117/C117*100</f>
        <v/>
      </c>
      <c r="J118">
        <f>WEO_Data!E16</f>
        <v/>
      </c>
      <c r="K118">
        <f>J117+I117</f>
        <v/>
      </c>
    </row>
    <row r="119">
      <c r="B119" t="n">
        <v>2035</v>
      </c>
      <c r="C119">
        <f>WEO_Data!B17</f>
        <v/>
      </c>
      <c r="D119" t="n">
        <v>0</v>
      </c>
      <c r="E119">
        <f>D118*$D$130*$D$129</f>
        <v/>
      </c>
      <c r="F119">
        <f>E118*$D$131</f>
        <v/>
      </c>
      <c r="G119">
        <f>(E118-F118)*$D$132</f>
        <v/>
      </c>
      <c r="I119">
        <f>G118/C118*100</f>
        <v/>
      </c>
      <c r="J119">
        <f>WEO_Data!E17</f>
        <v/>
      </c>
      <c r="K119">
        <f>J118+I118</f>
        <v/>
      </c>
    </row>
    <row r="120">
      <c r="B120" t="n">
        <v>2036</v>
      </c>
      <c r="C120">
        <f>WEO_Data!B18</f>
        <v/>
      </c>
      <c r="D120" t="n">
        <v>0</v>
      </c>
      <c r="E120">
        <f>D119*$D$130*$D$129</f>
        <v/>
      </c>
      <c r="F120">
        <f>E119*$D$131</f>
        <v/>
      </c>
      <c r="G120">
        <f>(E119-F119)*$D$132</f>
        <v/>
      </c>
      <c r="I120">
        <f>G119/C119*100</f>
        <v/>
      </c>
      <c r="J120">
        <f>WEO_Data!E18</f>
        <v/>
      </c>
      <c r="K120">
        <f>J119+I119</f>
        <v/>
      </c>
    </row>
    <row r="121">
      <c r="B121" t="n">
        <v>2037</v>
      </c>
      <c r="C121">
        <f>WEO_Data!B19</f>
        <v/>
      </c>
      <c r="D121" t="n">
        <v>0</v>
      </c>
      <c r="E121">
        <f>D120*$D$130*$D$129</f>
        <v/>
      </c>
      <c r="F121">
        <f>E120*$D$131</f>
        <v/>
      </c>
      <c r="G121">
        <f>(E120-F120)*$D$132</f>
        <v/>
      </c>
      <c r="I121">
        <f>G120/C120*100</f>
        <v/>
      </c>
      <c r="J121">
        <f>WEO_Data!E19</f>
        <v/>
      </c>
      <c r="K121">
        <f>J120+I120</f>
        <v/>
      </c>
    </row>
    <row r="122">
      <c r="B122" t="n">
        <v>2038</v>
      </c>
      <c r="C122">
        <f>WEO_Data!B20</f>
        <v/>
      </c>
      <c r="D122" t="n">
        <v>0</v>
      </c>
      <c r="E122">
        <f>D121*$D$130*$D$129</f>
        <v/>
      </c>
      <c r="F122">
        <f>E121*$D$131</f>
        <v/>
      </c>
      <c r="G122">
        <f>(E121-F121)*$D$132</f>
        <v/>
      </c>
      <c r="I122">
        <f>G121/C121*100</f>
        <v/>
      </c>
      <c r="J122">
        <f>WEO_Data!E20</f>
        <v/>
      </c>
      <c r="K122">
        <f>J121+I121</f>
        <v/>
      </c>
    </row>
    <row r="123">
      <c r="B123" t="n">
        <v>2039</v>
      </c>
      <c r="C123">
        <f>WEO_Data!B21</f>
        <v/>
      </c>
      <c r="D123" t="n">
        <v>0</v>
      </c>
      <c r="E123">
        <f>D122*$D$130*$D$129</f>
        <v/>
      </c>
      <c r="F123">
        <f>E122*$D$131</f>
        <v/>
      </c>
      <c r="G123">
        <f>(E122-F122)*$D$132</f>
        <v/>
      </c>
      <c r="I123">
        <f>G122/C122*100</f>
        <v/>
      </c>
      <c r="J123">
        <f>WEO_Data!E21</f>
        <v/>
      </c>
      <c r="K123">
        <f>J122+I122</f>
        <v/>
      </c>
    </row>
    <row r="124">
      <c r="B124" t="n">
        <v>2040</v>
      </c>
      <c r="C124">
        <f>WEO_Data!B22</f>
        <v/>
      </c>
      <c r="D124" t="n">
        <v>0</v>
      </c>
      <c r="E124">
        <f>D123*$D$130*$D$129</f>
        <v/>
      </c>
      <c r="F124">
        <f>E123*$D$131</f>
        <v/>
      </c>
      <c r="G124">
        <f>(E123-F123)*$D$132</f>
        <v/>
      </c>
      <c r="I124">
        <f>G123/C123*100</f>
        <v/>
      </c>
      <c r="J124">
        <f>WEO_Data!E22</f>
        <v/>
      </c>
      <c r="K124">
        <f>J123+I123</f>
        <v/>
      </c>
    </row>
    <row r="125">
      <c r="B125" t="n">
        <v>2041</v>
      </c>
      <c r="C125">
        <f>WEO_Data!B23</f>
        <v/>
      </c>
      <c r="D125" t="n">
        <v>0</v>
      </c>
      <c r="E125">
        <f>D124*$D$130*$D$129</f>
        <v/>
      </c>
      <c r="F125">
        <f>E124*$D$131</f>
        <v/>
      </c>
      <c r="G125">
        <f>(E124-F124)*$D$132</f>
        <v/>
      </c>
      <c r="I125">
        <f>G124/C124*100</f>
        <v/>
      </c>
      <c r="J125">
        <f>WEO_Data!E23</f>
        <v/>
      </c>
      <c r="K125">
        <f>J124+I124</f>
        <v/>
      </c>
    </row>
    <row r="126">
      <c r="B126" t="n">
        <v>2042</v>
      </c>
      <c r="C126">
        <f>WEO_Data!B24</f>
        <v/>
      </c>
      <c r="D126" t="n">
        <v>0</v>
      </c>
      <c r="E126">
        <f>D125*$D$130*$D$129</f>
        <v/>
      </c>
      <c r="F126">
        <f>E125*$D$131</f>
        <v/>
      </c>
      <c r="G126">
        <f>(E125-F125)*$D$132</f>
        <v/>
      </c>
      <c r="I126">
        <f>G125/C125*100</f>
        <v/>
      </c>
      <c r="J126">
        <f>WEO_Data!E24</f>
        <v/>
      </c>
      <c r="K126">
        <f>J125+I125</f>
        <v/>
      </c>
    </row>
    <row r="127"/>
    <row r="128"/>
    <row r="129">
      <c r="C129" t="inlineStr">
        <is>
          <t>Assumptions</t>
        </is>
      </c>
    </row>
    <row r="130">
      <c r="C130" t="inlineStr">
        <is>
          <t>Exchange rate (Lari/USD)</t>
        </is>
      </c>
      <c r="D130" t="n">
        <v>2.746</v>
      </c>
    </row>
    <row r="131">
      <c r="C131" t="inlineStr">
        <is>
          <t>total investment</t>
        </is>
      </c>
      <c r="D131" t="n">
        <v>6.5</v>
      </c>
    </row>
    <row r="132">
      <c r="C132" t="inlineStr">
        <is>
          <t>import content share</t>
        </is>
      </c>
      <c r="D132" t="n">
        <v>0.5</v>
      </c>
    </row>
    <row r="133">
      <c r="C133" t="inlineStr">
        <is>
          <t>demand multiplier</t>
        </is>
      </c>
      <c r="D133" t="n">
        <v>0.8</v>
      </c>
    </row>
    <row r="134">
      <c r="C134" t="inlineStr">
        <is>
          <t>Project allocation</t>
        </is>
      </c>
      <c r="D134" t="inlineStr">
        <is>
          <t>Bell shape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Products/Industries</t>
        </is>
      </c>
      <c r="B1" t="inlineStr">
        <is>
          <t>Imports</t>
        </is>
      </c>
      <c r="C1" t="inlineStr">
        <is>
          <t>Industry_1</t>
        </is>
      </c>
      <c r="D1" t="inlineStr">
        <is>
          <t>Industry_2</t>
        </is>
      </c>
      <c r="E1" t="inlineStr">
        <is>
          <t>Industry_3</t>
        </is>
      </c>
      <c r="F1" t="inlineStr">
        <is>
          <t>Industry_4</t>
        </is>
      </c>
      <c r="G1" t="inlineStr">
        <is>
          <t>Industry_5</t>
        </is>
      </c>
      <c r="H1" t="inlineStr">
        <is>
          <t>Industry_6</t>
        </is>
      </c>
      <c r="I1" t="inlineStr">
        <is>
          <t>Industry_7</t>
        </is>
      </c>
      <c r="J1" t="inlineStr">
        <is>
          <t>Industry_8</t>
        </is>
      </c>
      <c r="K1" t="inlineStr">
        <is>
          <t>Industry_9</t>
        </is>
      </c>
      <c r="L1" t="inlineStr">
        <is>
          <t>Industry_10</t>
        </is>
      </c>
      <c r="M1" t="inlineStr">
        <is>
          <t>Industry_11</t>
        </is>
      </c>
      <c r="N1" t="inlineStr">
        <is>
          <t>Industry_12</t>
        </is>
      </c>
      <c r="O1" t="inlineStr">
        <is>
          <t>Industry_13</t>
        </is>
      </c>
      <c r="P1" t="inlineStr">
        <is>
          <t>Industry_14</t>
        </is>
      </c>
      <c r="Q1" t="inlineStr">
        <is>
          <t>Industry_15</t>
        </is>
      </c>
      <c r="R1" t="inlineStr">
        <is>
          <t>Industry_16</t>
        </is>
      </c>
      <c r="S1" t="inlineStr">
        <is>
          <t>Industry_17</t>
        </is>
      </c>
      <c r="T1" t="inlineStr">
        <is>
          <t>Industry_18</t>
        </is>
      </c>
      <c r="U1" t="inlineStr">
        <is>
          <t>Industry_19</t>
        </is>
      </c>
      <c r="V1" t="inlineStr">
        <is>
          <t>Industry_20</t>
        </is>
      </c>
      <c r="W1" t="inlineStr">
        <is>
          <t>Industry_21</t>
        </is>
      </c>
      <c r="X1" t="inlineStr">
        <is>
          <t>Industry_22</t>
        </is>
      </c>
      <c r="Y1" t="inlineStr">
        <is>
          <t>Industry_23</t>
        </is>
      </c>
      <c r="Z1" t="inlineStr">
        <is>
          <t>Industry_24</t>
        </is>
      </c>
      <c r="AA1" t="inlineStr">
        <is>
          <t>Industry_25</t>
        </is>
      </c>
      <c r="AB1" t="inlineStr">
        <is>
          <t>Industry_26</t>
        </is>
      </c>
      <c r="AC1" t="inlineStr">
        <is>
          <t>Industry_27</t>
        </is>
      </c>
      <c r="AD1" t="inlineStr">
        <is>
          <t>Industry_28</t>
        </is>
      </c>
      <c r="AE1" t="inlineStr">
        <is>
          <t>Industry_29</t>
        </is>
      </c>
      <c r="AF1" t="inlineStr">
        <is>
          <t>Industry_30</t>
        </is>
      </c>
      <c r="AG1" t="inlineStr">
        <is>
          <t>Industry_31</t>
        </is>
      </c>
      <c r="AH1" t="inlineStr">
        <is>
          <t>Industry_32</t>
        </is>
      </c>
      <c r="AI1" t="inlineStr">
        <is>
          <t>Industry_33</t>
        </is>
      </c>
      <c r="AJ1" t="inlineStr">
        <is>
          <t>Industry_34</t>
        </is>
      </c>
      <c r="AK1" t="inlineStr">
        <is>
          <t>Industry_35</t>
        </is>
      </c>
      <c r="AL1" t="inlineStr">
        <is>
          <t>Industry_36</t>
        </is>
      </c>
      <c r="AM1" t="inlineStr">
        <is>
          <t>Industry_37</t>
        </is>
      </c>
    </row>
    <row r="2">
      <c r="A2" t="inlineStr">
        <is>
          <t>Product_1</t>
        </is>
      </c>
      <c r="B2" t="n">
        <v>1200</v>
      </c>
      <c r="C2" t="n">
        <v>150</v>
      </c>
      <c r="D2" t="n">
        <v>160</v>
      </c>
      <c r="E2" t="n">
        <v>170</v>
      </c>
      <c r="F2" t="n">
        <v>180</v>
      </c>
      <c r="G2" t="n">
        <v>190</v>
      </c>
      <c r="H2" t="n">
        <v>200</v>
      </c>
      <c r="I2" t="n">
        <v>210</v>
      </c>
      <c r="J2" t="n">
        <v>220</v>
      </c>
      <c r="K2" t="n">
        <v>230</v>
      </c>
      <c r="L2" t="n">
        <v>240</v>
      </c>
      <c r="M2" t="n">
        <v>250</v>
      </c>
      <c r="N2" t="n">
        <v>260</v>
      </c>
      <c r="O2" t="n">
        <v>270</v>
      </c>
      <c r="P2" t="n">
        <v>280</v>
      </c>
      <c r="Q2" t="n">
        <v>290</v>
      </c>
      <c r="R2" t="n">
        <v>300</v>
      </c>
      <c r="S2" t="n">
        <v>310</v>
      </c>
      <c r="T2" t="n">
        <v>320</v>
      </c>
      <c r="U2" t="n">
        <v>330</v>
      </c>
      <c r="V2" t="n">
        <v>340</v>
      </c>
      <c r="W2" t="n">
        <v>350</v>
      </c>
      <c r="X2" t="n">
        <v>360</v>
      </c>
      <c r="Y2" t="n">
        <v>370</v>
      </c>
      <c r="Z2" t="n">
        <v>380</v>
      </c>
      <c r="AA2" t="n">
        <v>390</v>
      </c>
      <c r="AB2" t="n">
        <v>400</v>
      </c>
      <c r="AC2" t="n">
        <v>410</v>
      </c>
      <c r="AD2" t="n">
        <v>420</v>
      </c>
      <c r="AE2" t="n">
        <v>430</v>
      </c>
      <c r="AF2" t="n">
        <v>440</v>
      </c>
      <c r="AG2" t="n">
        <v>450</v>
      </c>
      <c r="AH2" t="n">
        <v>460</v>
      </c>
      <c r="AI2" t="n">
        <v>470</v>
      </c>
      <c r="AJ2" t="n">
        <v>480</v>
      </c>
      <c r="AK2" t="n">
        <v>490</v>
      </c>
      <c r="AL2" t="n">
        <v>500</v>
      </c>
      <c r="AM2" t="n">
        <v>510</v>
      </c>
    </row>
    <row r="3">
      <c r="A3" t="inlineStr">
        <is>
          <t>Product_2</t>
        </is>
      </c>
      <c r="B3" t="n">
        <v>1300</v>
      </c>
      <c r="C3" t="n">
        <v>5150</v>
      </c>
      <c r="D3" t="n">
        <v>170</v>
      </c>
      <c r="E3" t="n">
        <v>180</v>
      </c>
      <c r="F3" t="n">
        <v>190</v>
      </c>
      <c r="G3" t="n">
        <v>200</v>
      </c>
      <c r="H3" t="n">
        <v>210</v>
      </c>
      <c r="I3" t="n">
        <v>220</v>
      </c>
      <c r="J3" t="n">
        <v>230</v>
      </c>
      <c r="K3" t="n">
        <v>240</v>
      </c>
      <c r="L3" t="n">
        <v>250</v>
      </c>
      <c r="M3" t="n">
        <v>260</v>
      </c>
      <c r="N3" t="n">
        <v>270</v>
      </c>
      <c r="O3" t="n">
        <v>280</v>
      </c>
      <c r="P3" t="n">
        <v>290</v>
      </c>
      <c r="Q3" t="n">
        <v>300</v>
      </c>
      <c r="R3" t="n">
        <v>310</v>
      </c>
      <c r="S3" t="n">
        <v>320</v>
      </c>
      <c r="T3" t="n">
        <v>330</v>
      </c>
      <c r="U3" t="n">
        <v>340</v>
      </c>
      <c r="V3" t="n">
        <v>350</v>
      </c>
      <c r="W3" t="n">
        <v>360</v>
      </c>
      <c r="X3" t="n">
        <v>370</v>
      </c>
      <c r="Y3" t="n">
        <v>380</v>
      </c>
      <c r="Z3" t="n">
        <v>390</v>
      </c>
      <c r="AA3" t="n">
        <v>400</v>
      </c>
      <c r="AB3" t="n">
        <v>410</v>
      </c>
      <c r="AC3" t="n">
        <v>420</v>
      </c>
      <c r="AD3" t="n">
        <v>430</v>
      </c>
      <c r="AE3" t="n">
        <v>440</v>
      </c>
      <c r="AF3" t="n">
        <v>450</v>
      </c>
      <c r="AG3" t="n">
        <v>460</v>
      </c>
      <c r="AH3" t="n">
        <v>470</v>
      </c>
      <c r="AI3" t="n">
        <v>480</v>
      </c>
      <c r="AJ3" t="n">
        <v>490</v>
      </c>
      <c r="AK3" t="n">
        <v>500</v>
      </c>
      <c r="AL3" t="n">
        <v>510</v>
      </c>
      <c r="AM3" t="n">
        <v>520</v>
      </c>
    </row>
    <row r="4">
      <c r="A4" t="inlineStr">
        <is>
          <t>Product_3</t>
        </is>
      </c>
      <c r="B4" t="n">
        <v>1400</v>
      </c>
      <c r="C4" t="n">
        <v>170</v>
      </c>
      <c r="D4" t="n">
        <v>5200</v>
      </c>
      <c r="E4" t="n">
        <v>190</v>
      </c>
      <c r="F4" t="n">
        <v>200</v>
      </c>
      <c r="G4" t="n">
        <v>210</v>
      </c>
      <c r="H4" t="n">
        <v>220</v>
      </c>
      <c r="I4" t="n">
        <v>230</v>
      </c>
      <c r="J4" t="n">
        <v>240</v>
      </c>
      <c r="K4" t="n">
        <v>250</v>
      </c>
      <c r="L4" t="n">
        <v>260</v>
      </c>
      <c r="M4" t="n">
        <v>270</v>
      </c>
      <c r="N4" t="n">
        <v>280</v>
      </c>
      <c r="O4" t="n">
        <v>290</v>
      </c>
      <c r="P4" t="n">
        <v>300</v>
      </c>
      <c r="Q4" t="n">
        <v>310</v>
      </c>
      <c r="R4" t="n">
        <v>320</v>
      </c>
      <c r="S4" t="n">
        <v>330</v>
      </c>
      <c r="T4" t="n">
        <v>340</v>
      </c>
      <c r="U4" t="n">
        <v>350</v>
      </c>
      <c r="V4" t="n">
        <v>360</v>
      </c>
      <c r="W4" t="n">
        <v>370</v>
      </c>
      <c r="X4" t="n">
        <v>380</v>
      </c>
      <c r="Y4" t="n">
        <v>390</v>
      </c>
      <c r="Z4" t="n">
        <v>400</v>
      </c>
      <c r="AA4" t="n">
        <v>410</v>
      </c>
      <c r="AB4" t="n">
        <v>420</v>
      </c>
      <c r="AC4" t="n">
        <v>430</v>
      </c>
      <c r="AD4" t="n">
        <v>440</v>
      </c>
      <c r="AE4" t="n">
        <v>450</v>
      </c>
      <c r="AF4" t="n">
        <v>460</v>
      </c>
      <c r="AG4" t="n">
        <v>470</v>
      </c>
      <c r="AH4" t="n">
        <v>480</v>
      </c>
      <c r="AI4" t="n">
        <v>490</v>
      </c>
      <c r="AJ4" t="n">
        <v>500</v>
      </c>
      <c r="AK4" t="n">
        <v>510</v>
      </c>
      <c r="AL4" t="n">
        <v>520</v>
      </c>
      <c r="AM4" t="n">
        <v>530</v>
      </c>
    </row>
    <row r="5">
      <c r="A5" t="inlineStr">
        <is>
          <t>Product_4</t>
        </is>
      </c>
      <c r="B5" t="n">
        <v>1500</v>
      </c>
      <c r="C5" t="n">
        <v>180</v>
      </c>
      <c r="D5" t="n">
        <v>190</v>
      </c>
      <c r="E5" t="n">
        <v>5250</v>
      </c>
      <c r="F5" t="n">
        <v>210</v>
      </c>
      <c r="G5" t="n">
        <v>220</v>
      </c>
      <c r="H5" t="n">
        <v>230</v>
      </c>
      <c r="I5" t="n">
        <v>240</v>
      </c>
      <c r="J5" t="n">
        <v>250</v>
      </c>
      <c r="K5" t="n">
        <v>260</v>
      </c>
      <c r="L5" t="n">
        <v>270</v>
      </c>
      <c r="M5" t="n">
        <v>280</v>
      </c>
      <c r="N5" t="n">
        <v>290</v>
      </c>
      <c r="O5" t="n">
        <v>300</v>
      </c>
      <c r="P5" t="n">
        <v>310</v>
      </c>
      <c r="Q5" t="n">
        <v>320</v>
      </c>
      <c r="R5" t="n">
        <v>330</v>
      </c>
      <c r="S5" t="n">
        <v>340</v>
      </c>
      <c r="T5" t="n">
        <v>350</v>
      </c>
      <c r="U5" t="n">
        <v>360</v>
      </c>
      <c r="V5" t="n">
        <v>370</v>
      </c>
      <c r="W5" t="n">
        <v>380</v>
      </c>
      <c r="X5" t="n">
        <v>390</v>
      </c>
      <c r="Y5" t="n">
        <v>400</v>
      </c>
      <c r="Z5" t="n">
        <v>410</v>
      </c>
      <c r="AA5" t="n">
        <v>420</v>
      </c>
      <c r="AB5" t="n">
        <v>430</v>
      </c>
      <c r="AC5" t="n">
        <v>440</v>
      </c>
      <c r="AD5" t="n">
        <v>450</v>
      </c>
      <c r="AE5" t="n">
        <v>460</v>
      </c>
      <c r="AF5" t="n">
        <v>470</v>
      </c>
      <c r="AG5" t="n">
        <v>480</v>
      </c>
      <c r="AH5" t="n">
        <v>490</v>
      </c>
      <c r="AI5" t="n">
        <v>500</v>
      </c>
      <c r="AJ5" t="n">
        <v>510</v>
      </c>
      <c r="AK5" t="n">
        <v>520</v>
      </c>
      <c r="AL5" t="n">
        <v>530</v>
      </c>
      <c r="AM5" t="n">
        <v>540</v>
      </c>
    </row>
    <row r="6">
      <c r="A6" t="inlineStr">
        <is>
          <t>Product_5</t>
        </is>
      </c>
      <c r="B6" t="n">
        <v>1600</v>
      </c>
      <c r="C6" t="n">
        <v>190</v>
      </c>
      <c r="D6" t="n">
        <v>200</v>
      </c>
      <c r="E6" t="n">
        <v>210</v>
      </c>
      <c r="F6" t="n">
        <v>5300</v>
      </c>
      <c r="G6" t="n">
        <v>230</v>
      </c>
      <c r="H6" t="n">
        <v>240</v>
      </c>
      <c r="I6" t="n">
        <v>250</v>
      </c>
      <c r="J6" t="n">
        <v>260</v>
      </c>
      <c r="K6" t="n">
        <v>270</v>
      </c>
      <c r="L6" t="n">
        <v>280</v>
      </c>
      <c r="M6" t="n">
        <v>290</v>
      </c>
      <c r="N6" t="n">
        <v>300</v>
      </c>
      <c r="O6" t="n">
        <v>310</v>
      </c>
      <c r="P6" t="n">
        <v>320</v>
      </c>
      <c r="Q6" t="n">
        <v>330</v>
      </c>
      <c r="R6" t="n">
        <v>340</v>
      </c>
      <c r="S6" t="n">
        <v>350</v>
      </c>
      <c r="T6" t="n">
        <v>360</v>
      </c>
      <c r="U6" t="n">
        <v>370</v>
      </c>
      <c r="V6" t="n">
        <v>380</v>
      </c>
      <c r="W6" t="n">
        <v>390</v>
      </c>
      <c r="X6" t="n">
        <v>400</v>
      </c>
      <c r="Y6" t="n">
        <v>410</v>
      </c>
      <c r="Z6" t="n">
        <v>420</v>
      </c>
      <c r="AA6" t="n">
        <v>430</v>
      </c>
      <c r="AB6" t="n">
        <v>440</v>
      </c>
      <c r="AC6" t="n">
        <v>450</v>
      </c>
      <c r="AD6" t="n">
        <v>460</v>
      </c>
      <c r="AE6" t="n">
        <v>470</v>
      </c>
      <c r="AF6" t="n">
        <v>480</v>
      </c>
      <c r="AG6" t="n">
        <v>490</v>
      </c>
      <c r="AH6" t="n">
        <v>500</v>
      </c>
      <c r="AI6" t="n">
        <v>510</v>
      </c>
      <c r="AJ6" t="n">
        <v>520</v>
      </c>
      <c r="AK6" t="n">
        <v>530</v>
      </c>
      <c r="AL6" t="n">
        <v>540</v>
      </c>
      <c r="AM6" t="n">
        <v>550</v>
      </c>
    </row>
    <row r="7">
      <c r="A7" t="inlineStr">
        <is>
          <t>Product_6</t>
        </is>
      </c>
      <c r="B7" t="n">
        <v>1700</v>
      </c>
      <c r="C7" t="n">
        <v>200</v>
      </c>
      <c r="D7" t="n">
        <v>210</v>
      </c>
      <c r="E7" t="n">
        <v>220</v>
      </c>
      <c r="F7" t="n">
        <v>230</v>
      </c>
      <c r="G7" t="n">
        <v>5350</v>
      </c>
      <c r="H7" t="n">
        <v>250</v>
      </c>
      <c r="I7" t="n">
        <v>260</v>
      </c>
      <c r="J7" t="n">
        <v>270</v>
      </c>
      <c r="K7" t="n">
        <v>280</v>
      </c>
      <c r="L7" t="n">
        <v>290</v>
      </c>
      <c r="M7" t="n">
        <v>300</v>
      </c>
      <c r="N7" t="n">
        <v>310</v>
      </c>
      <c r="O7" t="n">
        <v>320</v>
      </c>
      <c r="P7" t="n">
        <v>330</v>
      </c>
      <c r="Q7" t="n">
        <v>340</v>
      </c>
      <c r="R7" t="n">
        <v>350</v>
      </c>
      <c r="S7" t="n">
        <v>360</v>
      </c>
      <c r="T7" t="n">
        <v>370</v>
      </c>
      <c r="U7" t="n">
        <v>380</v>
      </c>
      <c r="V7" t="n">
        <v>390</v>
      </c>
      <c r="W7" t="n">
        <v>400</v>
      </c>
      <c r="X7" t="n">
        <v>410</v>
      </c>
      <c r="Y7" t="n">
        <v>420</v>
      </c>
      <c r="Z7" t="n">
        <v>430</v>
      </c>
      <c r="AA7" t="n">
        <v>440</v>
      </c>
      <c r="AB7" t="n">
        <v>450</v>
      </c>
      <c r="AC7" t="n">
        <v>460</v>
      </c>
      <c r="AD7" t="n">
        <v>470</v>
      </c>
      <c r="AE7" t="n">
        <v>480</v>
      </c>
      <c r="AF7" t="n">
        <v>490</v>
      </c>
      <c r="AG7" t="n">
        <v>500</v>
      </c>
      <c r="AH7" t="n">
        <v>510</v>
      </c>
      <c r="AI7" t="n">
        <v>520</v>
      </c>
      <c r="AJ7" t="n">
        <v>530</v>
      </c>
      <c r="AK7" t="n">
        <v>540</v>
      </c>
      <c r="AL7" t="n">
        <v>550</v>
      </c>
      <c r="AM7" t="n">
        <v>560</v>
      </c>
    </row>
    <row r="8">
      <c r="A8" t="inlineStr">
        <is>
          <t>Product_7</t>
        </is>
      </c>
      <c r="B8" t="n">
        <v>1800</v>
      </c>
      <c r="C8" t="n">
        <v>210</v>
      </c>
      <c r="D8" t="n">
        <v>220</v>
      </c>
      <c r="E8" t="n">
        <v>230</v>
      </c>
      <c r="F8" t="n">
        <v>240</v>
      </c>
      <c r="G8" t="n">
        <v>250</v>
      </c>
      <c r="H8" t="n">
        <v>5400</v>
      </c>
      <c r="I8" t="n">
        <v>270</v>
      </c>
      <c r="J8" t="n">
        <v>280</v>
      </c>
      <c r="K8" t="n">
        <v>290</v>
      </c>
      <c r="L8" t="n">
        <v>300</v>
      </c>
      <c r="M8" t="n">
        <v>310</v>
      </c>
      <c r="N8" t="n">
        <v>320</v>
      </c>
      <c r="O8" t="n">
        <v>330</v>
      </c>
      <c r="P8" t="n">
        <v>340</v>
      </c>
      <c r="Q8" t="n">
        <v>350</v>
      </c>
      <c r="R8" t="n">
        <v>360</v>
      </c>
      <c r="S8" t="n">
        <v>370</v>
      </c>
      <c r="T8" t="n">
        <v>380</v>
      </c>
      <c r="U8" t="n">
        <v>390</v>
      </c>
      <c r="V8" t="n">
        <v>400</v>
      </c>
      <c r="W8" t="n">
        <v>410</v>
      </c>
      <c r="X8" t="n">
        <v>420</v>
      </c>
      <c r="Y8" t="n">
        <v>430</v>
      </c>
      <c r="Z8" t="n">
        <v>440</v>
      </c>
      <c r="AA8" t="n">
        <v>450</v>
      </c>
      <c r="AB8" t="n">
        <v>460</v>
      </c>
      <c r="AC8" t="n">
        <v>470</v>
      </c>
      <c r="AD8" t="n">
        <v>480</v>
      </c>
      <c r="AE8" t="n">
        <v>490</v>
      </c>
      <c r="AF8" t="n">
        <v>500</v>
      </c>
      <c r="AG8" t="n">
        <v>510</v>
      </c>
      <c r="AH8" t="n">
        <v>520</v>
      </c>
      <c r="AI8" t="n">
        <v>530</v>
      </c>
      <c r="AJ8" t="n">
        <v>540</v>
      </c>
      <c r="AK8" t="n">
        <v>550</v>
      </c>
      <c r="AL8" t="n">
        <v>560</v>
      </c>
      <c r="AM8" t="n">
        <v>570</v>
      </c>
    </row>
    <row r="9">
      <c r="A9" t="inlineStr">
        <is>
          <t>Product_8</t>
        </is>
      </c>
      <c r="B9" t="n">
        <v>1900</v>
      </c>
      <c r="C9" t="n">
        <v>220</v>
      </c>
      <c r="D9" t="n">
        <v>230</v>
      </c>
      <c r="E9" t="n">
        <v>240</v>
      </c>
      <c r="F9" t="n">
        <v>250</v>
      </c>
      <c r="G9" t="n">
        <v>260</v>
      </c>
      <c r="H9" t="n">
        <v>270</v>
      </c>
      <c r="I9" t="n">
        <v>5450</v>
      </c>
      <c r="J9" t="n">
        <v>290</v>
      </c>
      <c r="K9" t="n">
        <v>300</v>
      </c>
      <c r="L9" t="n">
        <v>310</v>
      </c>
      <c r="M9" t="n">
        <v>320</v>
      </c>
      <c r="N9" t="n">
        <v>330</v>
      </c>
      <c r="O9" t="n">
        <v>340</v>
      </c>
      <c r="P9" t="n">
        <v>350</v>
      </c>
      <c r="Q9" t="n">
        <v>360</v>
      </c>
      <c r="R9" t="n">
        <v>370</v>
      </c>
      <c r="S9" t="n">
        <v>380</v>
      </c>
      <c r="T9" t="n">
        <v>390</v>
      </c>
      <c r="U9" t="n">
        <v>400</v>
      </c>
      <c r="V9" t="n">
        <v>410</v>
      </c>
      <c r="W9" t="n">
        <v>420</v>
      </c>
      <c r="X9" t="n">
        <v>430</v>
      </c>
      <c r="Y9" t="n">
        <v>440</v>
      </c>
      <c r="Z9" t="n">
        <v>450</v>
      </c>
      <c r="AA9" t="n">
        <v>460</v>
      </c>
      <c r="AB9" t="n">
        <v>470</v>
      </c>
      <c r="AC9" t="n">
        <v>480</v>
      </c>
      <c r="AD9" t="n">
        <v>490</v>
      </c>
      <c r="AE9" t="n">
        <v>500</v>
      </c>
      <c r="AF9" t="n">
        <v>510</v>
      </c>
      <c r="AG9" t="n">
        <v>520</v>
      </c>
      <c r="AH9" t="n">
        <v>530</v>
      </c>
      <c r="AI9" t="n">
        <v>540</v>
      </c>
      <c r="AJ9" t="n">
        <v>550</v>
      </c>
      <c r="AK9" t="n">
        <v>560</v>
      </c>
      <c r="AL9" t="n">
        <v>570</v>
      </c>
      <c r="AM9" t="n">
        <v>580</v>
      </c>
    </row>
    <row r="10">
      <c r="A10" t="inlineStr">
        <is>
          <t>Product_9</t>
        </is>
      </c>
      <c r="B10" t="n">
        <v>2000</v>
      </c>
      <c r="C10" t="n">
        <v>230</v>
      </c>
      <c r="D10" t="n">
        <v>240</v>
      </c>
      <c r="E10" t="n">
        <v>250</v>
      </c>
      <c r="F10" t="n">
        <v>260</v>
      </c>
      <c r="G10" t="n">
        <v>270</v>
      </c>
      <c r="H10" t="n">
        <v>280</v>
      </c>
      <c r="I10" t="n">
        <v>290</v>
      </c>
      <c r="J10" t="n">
        <v>5500</v>
      </c>
      <c r="K10" t="n">
        <v>310</v>
      </c>
      <c r="L10" t="n">
        <v>320</v>
      </c>
      <c r="M10" t="n">
        <v>330</v>
      </c>
      <c r="N10" t="n">
        <v>340</v>
      </c>
      <c r="O10" t="n">
        <v>350</v>
      </c>
      <c r="P10" t="n">
        <v>360</v>
      </c>
      <c r="Q10" t="n">
        <v>370</v>
      </c>
      <c r="R10" t="n">
        <v>380</v>
      </c>
      <c r="S10" t="n">
        <v>390</v>
      </c>
      <c r="T10" t="n">
        <v>400</v>
      </c>
      <c r="U10" t="n">
        <v>410</v>
      </c>
      <c r="V10" t="n">
        <v>420</v>
      </c>
      <c r="W10" t="n">
        <v>430</v>
      </c>
      <c r="X10" t="n">
        <v>440</v>
      </c>
      <c r="Y10" t="n">
        <v>450</v>
      </c>
      <c r="Z10" t="n">
        <v>460</v>
      </c>
      <c r="AA10" t="n">
        <v>470</v>
      </c>
      <c r="AB10" t="n">
        <v>480</v>
      </c>
      <c r="AC10" t="n">
        <v>490</v>
      </c>
      <c r="AD10" t="n">
        <v>500</v>
      </c>
      <c r="AE10" t="n">
        <v>510</v>
      </c>
      <c r="AF10" t="n">
        <v>520</v>
      </c>
      <c r="AG10" t="n">
        <v>530</v>
      </c>
      <c r="AH10" t="n">
        <v>540</v>
      </c>
      <c r="AI10" t="n">
        <v>550</v>
      </c>
      <c r="AJ10" t="n">
        <v>560</v>
      </c>
      <c r="AK10" t="n">
        <v>570</v>
      </c>
      <c r="AL10" t="n">
        <v>580</v>
      </c>
      <c r="AM10" t="n">
        <v>590</v>
      </c>
    </row>
    <row r="11">
      <c r="A11" t="inlineStr">
        <is>
          <t>Product_10</t>
        </is>
      </c>
      <c r="B11" t="n">
        <v>2100</v>
      </c>
      <c r="C11" t="n">
        <v>240</v>
      </c>
      <c r="D11" t="n">
        <v>250</v>
      </c>
      <c r="E11" t="n">
        <v>260</v>
      </c>
      <c r="F11" t="n">
        <v>270</v>
      </c>
      <c r="G11" t="n">
        <v>280</v>
      </c>
      <c r="H11" t="n">
        <v>290</v>
      </c>
      <c r="I11" t="n">
        <v>300</v>
      </c>
      <c r="J11" t="n">
        <v>310</v>
      </c>
      <c r="K11" t="n">
        <v>5550</v>
      </c>
      <c r="L11" t="n">
        <v>330</v>
      </c>
      <c r="M11" t="n">
        <v>340</v>
      </c>
      <c r="N11" t="n">
        <v>350</v>
      </c>
      <c r="O11" t="n">
        <v>360</v>
      </c>
      <c r="P11" t="n">
        <v>370</v>
      </c>
      <c r="Q11" t="n">
        <v>380</v>
      </c>
      <c r="R11" t="n">
        <v>390</v>
      </c>
      <c r="S11" t="n">
        <v>400</v>
      </c>
      <c r="T11" t="n">
        <v>410</v>
      </c>
      <c r="U11" t="n">
        <v>420</v>
      </c>
      <c r="V11" t="n">
        <v>430</v>
      </c>
      <c r="W11" t="n">
        <v>440</v>
      </c>
      <c r="X11" t="n">
        <v>450</v>
      </c>
      <c r="Y11" t="n">
        <v>460</v>
      </c>
      <c r="Z11" t="n">
        <v>470</v>
      </c>
      <c r="AA11" t="n">
        <v>480</v>
      </c>
      <c r="AB11" t="n">
        <v>490</v>
      </c>
      <c r="AC11" t="n">
        <v>500</v>
      </c>
      <c r="AD11" t="n">
        <v>510</v>
      </c>
      <c r="AE11" t="n">
        <v>520</v>
      </c>
      <c r="AF11" t="n">
        <v>530</v>
      </c>
      <c r="AG11" t="n">
        <v>540</v>
      </c>
      <c r="AH11" t="n">
        <v>550</v>
      </c>
      <c r="AI11" t="n">
        <v>560</v>
      </c>
      <c r="AJ11" t="n">
        <v>570</v>
      </c>
      <c r="AK11" t="n">
        <v>580</v>
      </c>
      <c r="AL11" t="n">
        <v>590</v>
      </c>
      <c r="AM11" t="n">
        <v>600</v>
      </c>
    </row>
    <row r="12">
      <c r="A12" t="inlineStr">
        <is>
          <t>Product_11</t>
        </is>
      </c>
      <c r="B12" t="n">
        <v>2200</v>
      </c>
      <c r="C12" t="n">
        <v>250</v>
      </c>
      <c r="D12" t="n">
        <v>260</v>
      </c>
      <c r="E12" t="n">
        <v>270</v>
      </c>
      <c r="F12" t="n">
        <v>280</v>
      </c>
      <c r="G12" t="n">
        <v>290</v>
      </c>
      <c r="H12" t="n">
        <v>300</v>
      </c>
      <c r="I12" t="n">
        <v>310</v>
      </c>
      <c r="J12" t="n">
        <v>320</v>
      </c>
      <c r="K12" t="n">
        <v>330</v>
      </c>
      <c r="L12" t="n">
        <v>5600</v>
      </c>
      <c r="M12" t="n">
        <v>350</v>
      </c>
      <c r="N12" t="n">
        <v>360</v>
      </c>
      <c r="O12" t="n">
        <v>370</v>
      </c>
      <c r="P12" t="n">
        <v>380</v>
      </c>
      <c r="Q12" t="n">
        <v>390</v>
      </c>
      <c r="R12" t="n">
        <v>400</v>
      </c>
      <c r="S12" t="n">
        <v>410</v>
      </c>
      <c r="T12" t="n">
        <v>420</v>
      </c>
      <c r="U12" t="n">
        <v>430</v>
      </c>
      <c r="V12" t="n">
        <v>440</v>
      </c>
      <c r="W12" t="n">
        <v>450</v>
      </c>
      <c r="X12" t="n">
        <v>460</v>
      </c>
      <c r="Y12" t="n">
        <v>470</v>
      </c>
      <c r="Z12" t="n">
        <v>480</v>
      </c>
      <c r="AA12" t="n">
        <v>490</v>
      </c>
      <c r="AB12" t="n">
        <v>500</v>
      </c>
      <c r="AC12" t="n">
        <v>510</v>
      </c>
      <c r="AD12" t="n">
        <v>520</v>
      </c>
      <c r="AE12" t="n">
        <v>530</v>
      </c>
      <c r="AF12" t="n">
        <v>540</v>
      </c>
      <c r="AG12" t="n">
        <v>550</v>
      </c>
      <c r="AH12" t="n">
        <v>560</v>
      </c>
      <c r="AI12" t="n">
        <v>570</v>
      </c>
      <c r="AJ12" t="n">
        <v>580</v>
      </c>
      <c r="AK12" t="n">
        <v>590</v>
      </c>
      <c r="AL12" t="n">
        <v>600</v>
      </c>
      <c r="AM12" t="n">
        <v>610</v>
      </c>
    </row>
    <row r="13">
      <c r="A13" t="inlineStr">
        <is>
          <t>Product_12</t>
        </is>
      </c>
      <c r="B13" t="n">
        <v>2300</v>
      </c>
      <c r="C13" t="n">
        <v>260</v>
      </c>
      <c r="D13" t="n">
        <v>270</v>
      </c>
      <c r="E13" t="n">
        <v>280</v>
      </c>
      <c r="F13" t="n">
        <v>290</v>
      </c>
      <c r="G13" t="n">
        <v>300</v>
      </c>
      <c r="H13" t="n">
        <v>310</v>
      </c>
      <c r="I13" t="n">
        <v>320</v>
      </c>
      <c r="J13" t="n">
        <v>330</v>
      </c>
      <c r="K13" t="n">
        <v>340</v>
      </c>
      <c r="L13" t="n">
        <v>350</v>
      </c>
      <c r="M13" t="n">
        <v>5650</v>
      </c>
      <c r="N13" t="n">
        <v>370</v>
      </c>
      <c r="O13" t="n">
        <v>380</v>
      </c>
      <c r="P13" t="n">
        <v>390</v>
      </c>
      <c r="Q13" t="n">
        <v>400</v>
      </c>
      <c r="R13" t="n">
        <v>410</v>
      </c>
      <c r="S13" t="n">
        <v>420</v>
      </c>
      <c r="T13" t="n">
        <v>430</v>
      </c>
      <c r="U13" t="n">
        <v>440</v>
      </c>
      <c r="V13" t="n">
        <v>450</v>
      </c>
      <c r="W13" t="n">
        <v>460</v>
      </c>
      <c r="X13" t="n">
        <v>470</v>
      </c>
      <c r="Y13" t="n">
        <v>480</v>
      </c>
      <c r="Z13" t="n">
        <v>490</v>
      </c>
      <c r="AA13" t="n">
        <v>500</v>
      </c>
      <c r="AB13" t="n">
        <v>510</v>
      </c>
      <c r="AC13" t="n">
        <v>520</v>
      </c>
      <c r="AD13" t="n">
        <v>530</v>
      </c>
      <c r="AE13" t="n">
        <v>540</v>
      </c>
      <c r="AF13" t="n">
        <v>550</v>
      </c>
      <c r="AG13" t="n">
        <v>560</v>
      </c>
      <c r="AH13" t="n">
        <v>570</v>
      </c>
      <c r="AI13" t="n">
        <v>580</v>
      </c>
      <c r="AJ13" t="n">
        <v>590</v>
      </c>
      <c r="AK13" t="n">
        <v>600</v>
      </c>
      <c r="AL13" t="n">
        <v>610</v>
      </c>
      <c r="AM13" t="n">
        <v>620</v>
      </c>
    </row>
    <row r="14">
      <c r="A14" t="inlineStr">
        <is>
          <t>Product_13</t>
        </is>
      </c>
      <c r="B14" t="n">
        <v>2400</v>
      </c>
      <c r="C14" t="n">
        <v>270</v>
      </c>
      <c r="D14" t="n">
        <v>280</v>
      </c>
      <c r="E14" t="n">
        <v>290</v>
      </c>
      <c r="F14" t="n">
        <v>300</v>
      </c>
      <c r="G14" t="n">
        <v>310</v>
      </c>
      <c r="H14" t="n">
        <v>320</v>
      </c>
      <c r="I14" t="n">
        <v>330</v>
      </c>
      <c r="J14" t="n">
        <v>340</v>
      </c>
      <c r="K14" t="n">
        <v>350</v>
      </c>
      <c r="L14" t="n">
        <v>360</v>
      </c>
      <c r="M14" t="n">
        <v>370</v>
      </c>
      <c r="N14" t="n">
        <v>5700</v>
      </c>
      <c r="O14" t="n">
        <v>390</v>
      </c>
      <c r="P14" t="n">
        <v>400</v>
      </c>
      <c r="Q14" t="n">
        <v>410</v>
      </c>
      <c r="R14" t="n">
        <v>420</v>
      </c>
      <c r="S14" t="n">
        <v>430</v>
      </c>
      <c r="T14" t="n">
        <v>440</v>
      </c>
      <c r="U14" t="n">
        <v>450</v>
      </c>
      <c r="V14" t="n">
        <v>460</v>
      </c>
      <c r="W14" t="n">
        <v>470</v>
      </c>
      <c r="X14" t="n">
        <v>480</v>
      </c>
      <c r="Y14" t="n">
        <v>490</v>
      </c>
      <c r="Z14" t="n">
        <v>500</v>
      </c>
      <c r="AA14" t="n">
        <v>510</v>
      </c>
      <c r="AB14" t="n">
        <v>520</v>
      </c>
      <c r="AC14" t="n">
        <v>530</v>
      </c>
      <c r="AD14" t="n">
        <v>540</v>
      </c>
      <c r="AE14" t="n">
        <v>550</v>
      </c>
      <c r="AF14" t="n">
        <v>560</v>
      </c>
      <c r="AG14" t="n">
        <v>570</v>
      </c>
      <c r="AH14" t="n">
        <v>580</v>
      </c>
      <c r="AI14" t="n">
        <v>590</v>
      </c>
      <c r="AJ14" t="n">
        <v>600</v>
      </c>
      <c r="AK14" t="n">
        <v>610</v>
      </c>
      <c r="AL14" t="n">
        <v>620</v>
      </c>
      <c r="AM14" t="n">
        <v>630</v>
      </c>
    </row>
    <row r="15">
      <c r="A15" t="inlineStr">
        <is>
          <t>Product_14</t>
        </is>
      </c>
      <c r="B15" t="n">
        <v>2500</v>
      </c>
      <c r="C15" t="n">
        <v>280</v>
      </c>
      <c r="D15" t="n">
        <v>290</v>
      </c>
      <c r="E15" t="n">
        <v>300</v>
      </c>
      <c r="F15" t="n">
        <v>310</v>
      </c>
      <c r="G15" t="n">
        <v>320</v>
      </c>
      <c r="H15" t="n">
        <v>330</v>
      </c>
      <c r="I15" t="n">
        <v>340</v>
      </c>
      <c r="J15" t="n">
        <v>350</v>
      </c>
      <c r="K15" t="n">
        <v>360</v>
      </c>
      <c r="L15" t="n">
        <v>370</v>
      </c>
      <c r="M15" t="n">
        <v>380</v>
      </c>
      <c r="N15" t="n">
        <v>390</v>
      </c>
      <c r="O15" t="n">
        <v>5750</v>
      </c>
      <c r="P15" t="n">
        <v>410</v>
      </c>
      <c r="Q15" t="n">
        <v>420</v>
      </c>
      <c r="R15" t="n">
        <v>430</v>
      </c>
      <c r="S15" t="n">
        <v>440</v>
      </c>
      <c r="T15" t="n">
        <v>450</v>
      </c>
      <c r="U15" t="n">
        <v>460</v>
      </c>
      <c r="V15" t="n">
        <v>470</v>
      </c>
      <c r="W15" t="n">
        <v>480</v>
      </c>
      <c r="X15" t="n">
        <v>490</v>
      </c>
      <c r="Y15" t="n">
        <v>500</v>
      </c>
      <c r="Z15" t="n">
        <v>510</v>
      </c>
      <c r="AA15" t="n">
        <v>520</v>
      </c>
      <c r="AB15" t="n">
        <v>530</v>
      </c>
      <c r="AC15" t="n">
        <v>540</v>
      </c>
      <c r="AD15" t="n">
        <v>550</v>
      </c>
      <c r="AE15" t="n">
        <v>560</v>
      </c>
      <c r="AF15" t="n">
        <v>570</v>
      </c>
      <c r="AG15" t="n">
        <v>580</v>
      </c>
      <c r="AH15" t="n">
        <v>590</v>
      </c>
      <c r="AI15" t="n">
        <v>600</v>
      </c>
      <c r="AJ15" t="n">
        <v>610</v>
      </c>
      <c r="AK15" t="n">
        <v>620</v>
      </c>
      <c r="AL15" t="n">
        <v>630</v>
      </c>
      <c r="AM15" t="n">
        <v>640</v>
      </c>
    </row>
    <row r="16">
      <c r="A16" t="inlineStr">
        <is>
          <t>Product_15</t>
        </is>
      </c>
      <c r="B16" t="n">
        <v>2600</v>
      </c>
      <c r="C16" t="n">
        <v>290</v>
      </c>
      <c r="D16" t="n">
        <v>300</v>
      </c>
      <c r="E16" t="n">
        <v>310</v>
      </c>
      <c r="F16" t="n">
        <v>320</v>
      </c>
      <c r="G16" t="n">
        <v>330</v>
      </c>
      <c r="H16" t="n">
        <v>340</v>
      </c>
      <c r="I16" t="n">
        <v>350</v>
      </c>
      <c r="J16" t="n">
        <v>360</v>
      </c>
      <c r="K16" t="n">
        <v>370</v>
      </c>
      <c r="L16" t="n">
        <v>380</v>
      </c>
      <c r="M16" t="n">
        <v>390</v>
      </c>
      <c r="N16" t="n">
        <v>400</v>
      </c>
      <c r="O16" t="n">
        <v>410</v>
      </c>
      <c r="P16" t="n">
        <v>5800</v>
      </c>
      <c r="Q16" t="n">
        <v>430</v>
      </c>
      <c r="R16" t="n">
        <v>440</v>
      </c>
      <c r="S16" t="n">
        <v>450</v>
      </c>
      <c r="T16" t="n">
        <v>460</v>
      </c>
      <c r="U16" t="n">
        <v>470</v>
      </c>
      <c r="V16" t="n">
        <v>480</v>
      </c>
      <c r="W16" t="n">
        <v>490</v>
      </c>
      <c r="X16" t="n">
        <v>500</v>
      </c>
      <c r="Y16" t="n">
        <v>510</v>
      </c>
      <c r="Z16" t="n">
        <v>520</v>
      </c>
      <c r="AA16" t="n">
        <v>530</v>
      </c>
      <c r="AB16" t="n">
        <v>540</v>
      </c>
      <c r="AC16" t="n">
        <v>550</v>
      </c>
      <c r="AD16" t="n">
        <v>560</v>
      </c>
      <c r="AE16" t="n">
        <v>570</v>
      </c>
      <c r="AF16" t="n">
        <v>580</v>
      </c>
      <c r="AG16" t="n">
        <v>590</v>
      </c>
      <c r="AH16" t="n">
        <v>600</v>
      </c>
      <c r="AI16" t="n">
        <v>610</v>
      </c>
      <c r="AJ16" t="n">
        <v>620</v>
      </c>
      <c r="AK16" t="n">
        <v>630</v>
      </c>
      <c r="AL16" t="n">
        <v>640</v>
      </c>
      <c r="AM16" t="n">
        <v>650</v>
      </c>
    </row>
    <row r="17">
      <c r="A17" t="inlineStr">
        <is>
          <t>Product_16</t>
        </is>
      </c>
      <c r="B17" t="n">
        <v>2700</v>
      </c>
      <c r="C17" t="n">
        <v>300</v>
      </c>
      <c r="D17" t="n">
        <v>310</v>
      </c>
      <c r="E17" t="n">
        <v>320</v>
      </c>
      <c r="F17" t="n">
        <v>330</v>
      </c>
      <c r="G17" t="n">
        <v>340</v>
      </c>
      <c r="H17" t="n">
        <v>350</v>
      </c>
      <c r="I17" t="n">
        <v>360</v>
      </c>
      <c r="J17" t="n">
        <v>370</v>
      </c>
      <c r="K17" t="n">
        <v>380</v>
      </c>
      <c r="L17" t="n">
        <v>390</v>
      </c>
      <c r="M17" t="n">
        <v>400</v>
      </c>
      <c r="N17" t="n">
        <v>410</v>
      </c>
      <c r="O17" t="n">
        <v>420</v>
      </c>
      <c r="P17" t="n">
        <v>430</v>
      </c>
      <c r="Q17" t="n">
        <v>5850</v>
      </c>
      <c r="R17" t="n">
        <v>450</v>
      </c>
      <c r="S17" t="n">
        <v>460</v>
      </c>
      <c r="T17" t="n">
        <v>470</v>
      </c>
      <c r="U17" t="n">
        <v>480</v>
      </c>
      <c r="V17" t="n">
        <v>490</v>
      </c>
      <c r="W17" t="n">
        <v>500</v>
      </c>
      <c r="X17" t="n">
        <v>510</v>
      </c>
      <c r="Y17" t="n">
        <v>520</v>
      </c>
      <c r="Z17" t="n">
        <v>530</v>
      </c>
      <c r="AA17" t="n">
        <v>540</v>
      </c>
      <c r="AB17" t="n">
        <v>550</v>
      </c>
      <c r="AC17" t="n">
        <v>560</v>
      </c>
      <c r="AD17" t="n">
        <v>570</v>
      </c>
      <c r="AE17" t="n">
        <v>580</v>
      </c>
      <c r="AF17" t="n">
        <v>590</v>
      </c>
      <c r="AG17" t="n">
        <v>600</v>
      </c>
      <c r="AH17" t="n">
        <v>610</v>
      </c>
      <c r="AI17" t="n">
        <v>620</v>
      </c>
      <c r="AJ17" t="n">
        <v>630</v>
      </c>
      <c r="AK17" t="n">
        <v>640</v>
      </c>
      <c r="AL17" t="n">
        <v>650</v>
      </c>
      <c r="AM17" t="n">
        <v>660</v>
      </c>
    </row>
    <row r="18">
      <c r="A18" t="inlineStr">
        <is>
          <t>Product_17</t>
        </is>
      </c>
      <c r="B18" t="n">
        <v>2800</v>
      </c>
      <c r="C18" t="n">
        <v>310</v>
      </c>
      <c r="D18" t="n">
        <v>320</v>
      </c>
      <c r="E18" t="n">
        <v>330</v>
      </c>
      <c r="F18" t="n">
        <v>340</v>
      </c>
      <c r="G18" t="n">
        <v>350</v>
      </c>
      <c r="H18" t="n">
        <v>360</v>
      </c>
      <c r="I18" t="n">
        <v>370</v>
      </c>
      <c r="J18" t="n">
        <v>380</v>
      </c>
      <c r="K18" t="n">
        <v>390</v>
      </c>
      <c r="L18" t="n">
        <v>400</v>
      </c>
      <c r="M18" t="n">
        <v>410</v>
      </c>
      <c r="N18" t="n">
        <v>420</v>
      </c>
      <c r="O18" t="n">
        <v>430</v>
      </c>
      <c r="P18" t="n">
        <v>440</v>
      </c>
      <c r="Q18" t="n">
        <v>450</v>
      </c>
      <c r="R18" t="n">
        <v>5900</v>
      </c>
      <c r="S18" t="n">
        <v>470</v>
      </c>
      <c r="T18" t="n">
        <v>480</v>
      </c>
      <c r="U18" t="n">
        <v>490</v>
      </c>
      <c r="V18" t="n">
        <v>500</v>
      </c>
      <c r="W18" t="n">
        <v>510</v>
      </c>
      <c r="X18" t="n">
        <v>520</v>
      </c>
      <c r="Y18" t="n">
        <v>530</v>
      </c>
      <c r="Z18" t="n">
        <v>540</v>
      </c>
      <c r="AA18" t="n">
        <v>550</v>
      </c>
      <c r="AB18" t="n">
        <v>560</v>
      </c>
      <c r="AC18" t="n">
        <v>570</v>
      </c>
      <c r="AD18" t="n">
        <v>580</v>
      </c>
      <c r="AE18" t="n">
        <v>590</v>
      </c>
      <c r="AF18" t="n">
        <v>600</v>
      </c>
      <c r="AG18" t="n">
        <v>610</v>
      </c>
      <c r="AH18" t="n">
        <v>620</v>
      </c>
      <c r="AI18" t="n">
        <v>630</v>
      </c>
      <c r="AJ18" t="n">
        <v>640</v>
      </c>
      <c r="AK18" t="n">
        <v>650</v>
      </c>
      <c r="AL18" t="n">
        <v>660</v>
      </c>
      <c r="AM18" t="n">
        <v>670</v>
      </c>
    </row>
    <row r="19">
      <c r="A19" t="inlineStr">
        <is>
          <t>Product_18</t>
        </is>
      </c>
      <c r="B19" t="n">
        <v>2900</v>
      </c>
      <c r="C19" t="n">
        <v>320</v>
      </c>
      <c r="D19" t="n">
        <v>330</v>
      </c>
      <c r="E19" t="n">
        <v>340</v>
      </c>
      <c r="F19" t="n">
        <v>350</v>
      </c>
      <c r="G19" t="n">
        <v>360</v>
      </c>
      <c r="H19" t="n">
        <v>370</v>
      </c>
      <c r="I19" t="n">
        <v>380</v>
      </c>
      <c r="J19" t="n">
        <v>390</v>
      </c>
      <c r="K19" t="n">
        <v>400</v>
      </c>
      <c r="L19" t="n">
        <v>410</v>
      </c>
      <c r="M19" t="n">
        <v>420</v>
      </c>
      <c r="N19" t="n">
        <v>430</v>
      </c>
      <c r="O19" t="n">
        <v>440</v>
      </c>
      <c r="P19" t="n">
        <v>450</v>
      </c>
      <c r="Q19" t="n">
        <v>460</v>
      </c>
      <c r="R19" t="n">
        <v>470</v>
      </c>
      <c r="S19" t="n">
        <v>5950</v>
      </c>
      <c r="T19" t="n">
        <v>490</v>
      </c>
      <c r="U19" t="n">
        <v>500</v>
      </c>
      <c r="V19" t="n">
        <v>510</v>
      </c>
      <c r="W19" t="n">
        <v>520</v>
      </c>
      <c r="X19" t="n">
        <v>530</v>
      </c>
      <c r="Y19" t="n">
        <v>540</v>
      </c>
      <c r="Z19" t="n">
        <v>550</v>
      </c>
      <c r="AA19" t="n">
        <v>560</v>
      </c>
      <c r="AB19" t="n">
        <v>570</v>
      </c>
      <c r="AC19" t="n">
        <v>580</v>
      </c>
      <c r="AD19" t="n">
        <v>590</v>
      </c>
      <c r="AE19" t="n">
        <v>600</v>
      </c>
      <c r="AF19" t="n">
        <v>610</v>
      </c>
      <c r="AG19" t="n">
        <v>620</v>
      </c>
      <c r="AH19" t="n">
        <v>630</v>
      </c>
      <c r="AI19" t="n">
        <v>640</v>
      </c>
      <c r="AJ19" t="n">
        <v>650</v>
      </c>
      <c r="AK19" t="n">
        <v>660</v>
      </c>
      <c r="AL19" t="n">
        <v>670</v>
      </c>
      <c r="AM19" t="n">
        <v>680</v>
      </c>
    </row>
    <row r="20">
      <c r="A20" t="inlineStr">
        <is>
          <t>Product_19</t>
        </is>
      </c>
      <c r="B20" t="n">
        <v>3000</v>
      </c>
      <c r="C20" t="n">
        <v>330</v>
      </c>
      <c r="D20" t="n">
        <v>340</v>
      </c>
      <c r="E20" t="n">
        <v>350</v>
      </c>
      <c r="F20" t="n">
        <v>360</v>
      </c>
      <c r="G20" t="n">
        <v>370</v>
      </c>
      <c r="H20" t="n">
        <v>380</v>
      </c>
      <c r="I20" t="n">
        <v>390</v>
      </c>
      <c r="J20" t="n">
        <v>400</v>
      </c>
      <c r="K20" t="n">
        <v>410</v>
      </c>
      <c r="L20" t="n">
        <v>420</v>
      </c>
      <c r="M20" t="n">
        <v>430</v>
      </c>
      <c r="N20" t="n">
        <v>440</v>
      </c>
      <c r="O20" t="n">
        <v>450</v>
      </c>
      <c r="P20" t="n">
        <v>460</v>
      </c>
      <c r="Q20" t="n">
        <v>470</v>
      </c>
      <c r="R20" t="n">
        <v>480</v>
      </c>
      <c r="S20" t="n">
        <v>490</v>
      </c>
      <c r="T20" t="n">
        <v>6000</v>
      </c>
      <c r="U20" t="n">
        <v>510</v>
      </c>
      <c r="V20" t="n">
        <v>520</v>
      </c>
      <c r="W20" t="n">
        <v>530</v>
      </c>
      <c r="X20" t="n">
        <v>540</v>
      </c>
      <c r="Y20" t="n">
        <v>550</v>
      </c>
      <c r="Z20" t="n">
        <v>560</v>
      </c>
      <c r="AA20" t="n">
        <v>570</v>
      </c>
      <c r="AB20" t="n">
        <v>580</v>
      </c>
      <c r="AC20" t="n">
        <v>590</v>
      </c>
      <c r="AD20" t="n">
        <v>600</v>
      </c>
      <c r="AE20" t="n">
        <v>610</v>
      </c>
      <c r="AF20" t="n">
        <v>620</v>
      </c>
      <c r="AG20" t="n">
        <v>630</v>
      </c>
      <c r="AH20" t="n">
        <v>640</v>
      </c>
      <c r="AI20" t="n">
        <v>650</v>
      </c>
      <c r="AJ20" t="n">
        <v>660</v>
      </c>
      <c r="AK20" t="n">
        <v>670</v>
      </c>
      <c r="AL20" t="n">
        <v>680</v>
      </c>
      <c r="AM20" t="n">
        <v>690</v>
      </c>
    </row>
    <row r="21">
      <c r="A21" t="inlineStr">
        <is>
          <t>Product_20</t>
        </is>
      </c>
      <c r="B21" t="n">
        <v>3100</v>
      </c>
      <c r="C21" t="n">
        <v>340</v>
      </c>
      <c r="D21" t="n">
        <v>350</v>
      </c>
      <c r="E21" t="n">
        <v>360</v>
      </c>
      <c r="F21" t="n">
        <v>370</v>
      </c>
      <c r="G21" t="n">
        <v>380</v>
      </c>
      <c r="H21" t="n">
        <v>390</v>
      </c>
      <c r="I21" t="n">
        <v>400</v>
      </c>
      <c r="J21" t="n">
        <v>410</v>
      </c>
      <c r="K21" t="n">
        <v>420</v>
      </c>
      <c r="L21" t="n">
        <v>430</v>
      </c>
      <c r="M21" t="n">
        <v>440</v>
      </c>
      <c r="N21" t="n">
        <v>450</v>
      </c>
      <c r="O21" t="n">
        <v>460</v>
      </c>
      <c r="P21" t="n">
        <v>470</v>
      </c>
      <c r="Q21" t="n">
        <v>480</v>
      </c>
      <c r="R21" t="n">
        <v>490</v>
      </c>
      <c r="S21" t="n">
        <v>500</v>
      </c>
      <c r="T21" t="n">
        <v>510</v>
      </c>
      <c r="U21" t="n">
        <v>6050</v>
      </c>
      <c r="V21" t="n">
        <v>530</v>
      </c>
      <c r="W21" t="n">
        <v>540</v>
      </c>
      <c r="X21" t="n">
        <v>550</v>
      </c>
      <c r="Y21" t="n">
        <v>560</v>
      </c>
      <c r="Z21" t="n">
        <v>570</v>
      </c>
      <c r="AA21" t="n">
        <v>580</v>
      </c>
      <c r="AB21" t="n">
        <v>590</v>
      </c>
      <c r="AC21" t="n">
        <v>600</v>
      </c>
      <c r="AD21" t="n">
        <v>610</v>
      </c>
      <c r="AE21" t="n">
        <v>620</v>
      </c>
      <c r="AF21" t="n">
        <v>630</v>
      </c>
      <c r="AG21" t="n">
        <v>640</v>
      </c>
      <c r="AH21" t="n">
        <v>650</v>
      </c>
      <c r="AI21" t="n">
        <v>660</v>
      </c>
      <c r="AJ21" t="n">
        <v>670</v>
      </c>
      <c r="AK21" t="n">
        <v>680</v>
      </c>
      <c r="AL21" t="n">
        <v>690</v>
      </c>
      <c r="AM21" t="n">
        <v>700</v>
      </c>
    </row>
    <row r="22">
      <c r="A22" t="inlineStr">
        <is>
          <t>Product_21</t>
        </is>
      </c>
      <c r="B22" t="n">
        <v>3200</v>
      </c>
      <c r="C22" t="n">
        <v>350</v>
      </c>
      <c r="D22" t="n">
        <v>360</v>
      </c>
      <c r="E22" t="n">
        <v>370</v>
      </c>
      <c r="F22" t="n">
        <v>380</v>
      </c>
      <c r="G22" t="n">
        <v>390</v>
      </c>
      <c r="H22" t="n">
        <v>400</v>
      </c>
      <c r="I22" t="n">
        <v>410</v>
      </c>
      <c r="J22" t="n">
        <v>420</v>
      </c>
      <c r="K22" t="n">
        <v>430</v>
      </c>
      <c r="L22" t="n">
        <v>440</v>
      </c>
      <c r="M22" t="n">
        <v>450</v>
      </c>
      <c r="N22" t="n">
        <v>460</v>
      </c>
      <c r="O22" t="n">
        <v>470</v>
      </c>
      <c r="P22" t="n">
        <v>480</v>
      </c>
      <c r="Q22" t="n">
        <v>490</v>
      </c>
      <c r="R22" t="n">
        <v>500</v>
      </c>
      <c r="S22" t="n">
        <v>510</v>
      </c>
      <c r="T22" t="n">
        <v>520</v>
      </c>
      <c r="U22" t="n">
        <v>530</v>
      </c>
      <c r="V22" t="n">
        <v>6100</v>
      </c>
      <c r="W22" t="n">
        <v>550</v>
      </c>
      <c r="X22" t="n">
        <v>560</v>
      </c>
      <c r="Y22" t="n">
        <v>570</v>
      </c>
      <c r="Z22" t="n">
        <v>580</v>
      </c>
      <c r="AA22" t="n">
        <v>590</v>
      </c>
      <c r="AB22" t="n">
        <v>600</v>
      </c>
      <c r="AC22" t="n">
        <v>610</v>
      </c>
      <c r="AD22" t="n">
        <v>620</v>
      </c>
      <c r="AE22" t="n">
        <v>630</v>
      </c>
      <c r="AF22" t="n">
        <v>640</v>
      </c>
      <c r="AG22" t="n">
        <v>650</v>
      </c>
      <c r="AH22" t="n">
        <v>660</v>
      </c>
      <c r="AI22" t="n">
        <v>670</v>
      </c>
      <c r="AJ22" t="n">
        <v>680</v>
      </c>
      <c r="AK22" t="n">
        <v>690</v>
      </c>
      <c r="AL22" t="n">
        <v>700</v>
      </c>
      <c r="AM22" t="n">
        <v>710</v>
      </c>
    </row>
    <row r="23">
      <c r="A23" t="inlineStr">
        <is>
          <t>Product_22</t>
        </is>
      </c>
      <c r="B23" t="n">
        <v>3300</v>
      </c>
      <c r="C23" t="n">
        <v>360</v>
      </c>
      <c r="D23" t="n">
        <v>370</v>
      </c>
      <c r="E23" t="n">
        <v>380</v>
      </c>
      <c r="F23" t="n">
        <v>390</v>
      </c>
      <c r="G23" t="n">
        <v>400</v>
      </c>
      <c r="H23" t="n">
        <v>410</v>
      </c>
      <c r="I23" t="n">
        <v>420</v>
      </c>
      <c r="J23" t="n">
        <v>430</v>
      </c>
      <c r="K23" t="n">
        <v>440</v>
      </c>
      <c r="L23" t="n">
        <v>450</v>
      </c>
      <c r="M23" t="n">
        <v>460</v>
      </c>
      <c r="N23" t="n">
        <v>470</v>
      </c>
      <c r="O23" t="n">
        <v>480</v>
      </c>
      <c r="P23" t="n">
        <v>490</v>
      </c>
      <c r="Q23" t="n">
        <v>500</v>
      </c>
      <c r="R23" t="n">
        <v>510</v>
      </c>
      <c r="S23" t="n">
        <v>520</v>
      </c>
      <c r="T23" t="n">
        <v>530</v>
      </c>
      <c r="U23" t="n">
        <v>540</v>
      </c>
      <c r="V23" t="n">
        <v>550</v>
      </c>
      <c r="W23" t="n">
        <v>6150</v>
      </c>
      <c r="X23" t="n">
        <v>570</v>
      </c>
      <c r="Y23" t="n">
        <v>580</v>
      </c>
      <c r="Z23" t="n">
        <v>590</v>
      </c>
      <c r="AA23" t="n">
        <v>600</v>
      </c>
      <c r="AB23" t="n">
        <v>610</v>
      </c>
      <c r="AC23" t="n">
        <v>620</v>
      </c>
      <c r="AD23" t="n">
        <v>630</v>
      </c>
      <c r="AE23" t="n">
        <v>640</v>
      </c>
      <c r="AF23" t="n">
        <v>650</v>
      </c>
      <c r="AG23" t="n">
        <v>660</v>
      </c>
      <c r="AH23" t="n">
        <v>670</v>
      </c>
      <c r="AI23" t="n">
        <v>680</v>
      </c>
      <c r="AJ23" t="n">
        <v>690</v>
      </c>
      <c r="AK23" t="n">
        <v>700</v>
      </c>
      <c r="AL23" t="n">
        <v>710</v>
      </c>
      <c r="AM23" t="n">
        <v>720</v>
      </c>
    </row>
    <row r="24">
      <c r="A24" t="inlineStr">
        <is>
          <t>Product_23</t>
        </is>
      </c>
      <c r="B24" t="n">
        <v>3400</v>
      </c>
      <c r="C24" t="n">
        <v>370</v>
      </c>
      <c r="D24" t="n">
        <v>380</v>
      </c>
      <c r="E24" t="n">
        <v>390</v>
      </c>
      <c r="F24" t="n">
        <v>400</v>
      </c>
      <c r="G24" t="n">
        <v>410</v>
      </c>
      <c r="H24" t="n">
        <v>420</v>
      </c>
      <c r="I24" t="n">
        <v>430</v>
      </c>
      <c r="J24" t="n">
        <v>440</v>
      </c>
      <c r="K24" t="n">
        <v>450</v>
      </c>
      <c r="L24" t="n">
        <v>460</v>
      </c>
      <c r="M24" t="n">
        <v>470</v>
      </c>
      <c r="N24" t="n">
        <v>480</v>
      </c>
      <c r="O24" t="n">
        <v>490</v>
      </c>
      <c r="P24" t="n">
        <v>500</v>
      </c>
      <c r="Q24" t="n">
        <v>510</v>
      </c>
      <c r="R24" t="n">
        <v>520</v>
      </c>
      <c r="S24" t="n">
        <v>530</v>
      </c>
      <c r="T24" t="n">
        <v>540</v>
      </c>
      <c r="U24" t="n">
        <v>550</v>
      </c>
      <c r="V24" t="n">
        <v>560</v>
      </c>
      <c r="W24" t="n">
        <v>570</v>
      </c>
      <c r="X24" t="n">
        <v>6200</v>
      </c>
      <c r="Y24" t="n">
        <v>590</v>
      </c>
      <c r="Z24" t="n">
        <v>600</v>
      </c>
      <c r="AA24" t="n">
        <v>610</v>
      </c>
      <c r="AB24" t="n">
        <v>620</v>
      </c>
      <c r="AC24" t="n">
        <v>630</v>
      </c>
      <c r="AD24" t="n">
        <v>640</v>
      </c>
      <c r="AE24" t="n">
        <v>650</v>
      </c>
      <c r="AF24" t="n">
        <v>660</v>
      </c>
      <c r="AG24" t="n">
        <v>670</v>
      </c>
      <c r="AH24" t="n">
        <v>680</v>
      </c>
      <c r="AI24" t="n">
        <v>690</v>
      </c>
      <c r="AJ24" t="n">
        <v>700</v>
      </c>
      <c r="AK24" t="n">
        <v>710</v>
      </c>
      <c r="AL24" t="n">
        <v>720</v>
      </c>
      <c r="AM24" t="n">
        <v>730</v>
      </c>
    </row>
    <row r="25">
      <c r="A25" t="inlineStr">
        <is>
          <t>Product_24</t>
        </is>
      </c>
      <c r="B25" t="n">
        <v>3500</v>
      </c>
      <c r="C25" t="n">
        <v>380</v>
      </c>
      <c r="D25" t="n">
        <v>390</v>
      </c>
      <c r="E25" t="n">
        <v>400</v>
      </c>
      <c r="F25" t="n">
        <v>410</v>
      </c>
      <c r="G25" t="n">
        <v>420</v>
      </c>
      <c r="H25" t="n">
        <v>430</v>
      </c>
      <c r="I25" t="n">
        <v>440</v>
      </c>
      <c r="J25" t="n">
        <v>450</v>
      </c>
      <c r="K25" t="n">
        <v>460</v>
      </c>
      <c r="L25" t="n">
        <v>470</v>
      </c>
      <c r="M25" t="n">
        <v>480</v>
      </c>
      <c r="N25" t="n">
        <v>490</v>
      </c>
      <c r="O25" t="n">
        <v>500</v>
      </c>
      <c r="P25" t="n">
        <v>510</v>
      </c>
      <c r="Q25" t="n">
        <v>520</v>
      </c>
      <c r="R25" t="n">
        <v>530</v>
      </c>
      <c r="S25" t="n">
        <v>540</v>
      </c>
      <c r="T25" t="n">
        <v>550</v>
      </c>
      <c r="U25" t="n">
        <v>560</v>
      </c>
      <c r="V25" t="n">
        <v>570</v>
      </c>
      <c r="W25" t="n">
        <v>580</v>
      </c>
      <c r="X25" t="n">
        <v>590</v>
      </c>
      <c r="Y25" t="n">
        <v>6250</v>
      </c>
      <c r="Z25" t="n">
        <v>610</v>
      </c>
      <c r="AA25" t="n">
        <v>620</v>
      </c>
      <c r="AB25" t="n">
        <v>630</v>
      </c>
      <c r="AC25" t="n">
        <v>640</v>
      </c>
      <c r="AD25" t="n">
        <v>650</v>
      </c>
      <c r="AE25" t="n">
        <v>660</v>
      </c>
      <c r="AF25" t="n">
        <v>670</v>
      </c>
      <c r="AG25" t="n">
        <v>680</v>
      </c>
      <c r="AH25" t="n">
        <v>690</v>
      </c>
      <c r="AI25" t="n">
        <v>700</v>
      </c>
      <c r="AJ25" t="n">
        <v>710</v>
      </c>
      <c r="AK25" t="n">
        <v>720</v>
      </c>
      <c r="AL25" t="n">
        <v>730</v>
      </c>
      <c r="AM25" t="n">
        <v>740</v>
      </c>
    </row>
    <row r="26">
      <c r="A26" t="inlineStr">
        <is>
          <t>Product_25</t>
        </is>
      </c>
      <c r="B26" t="n">
        <v>3600</v>
      </c>
      <c r="C26" t="n">
        <v>390</v>
      </c>
      <c r="D26" t="n">
        <v>400</v>
      </c>
      <c r="E26" t="n">
        <v>410</v>
      </c>
      <c r="F26" t="n">
        <v>420</v>
      </c>
      <c r="G26" t="n">
        <v>430</v>
      </c>
      <c r="H26" t="n">
        <v>440</v>
      </c>
      <c r="I26" t="n">
        <v>450</v>
      </c>
      <c r="J26" t="n">
        <v>460</v>
      </c>
      <c r="K26" t="n">
        <v>470</v>
      </c>
      <c r="L26" t="n">
        <v>480</v>
      </c>
      <c r="M26" t="n">
        <v>490</v>
      </c>
      <c r="N26" t="n">
        <v>500</v>
      </c>
      <c r="O26" t="n">
        <v>510</v>
      </c>
      <c r="P26" t="n">
        <v>520</v>
      </c>
      <c r="Q26" t="n">
        <v>530</v>
      </c>
      <c r="R26" t="n">
        <v>540</v>
      </c>
      <c r="S26" t="n">
        <v>550</v>
      </c>
      <c r="T26" t="n">
        <v>560</v>
      </c>
      <c r="U26" t="n">
        <v>570</v>
      </c>
      <c r="V26" t="n">
        <v>580</v>
      </c>
      <c r="W26" t="n">
        <v>590</v>
      </c>
      <c r="X26" t="n">
        <v>600</v>
      </c>
      <c r="Y26" t="n">
        <v>610</v>
      </c>
      <c r="Z26" t="n">
        <v>6300</v>
      </c>
      <c r="AA26" t="n">
        <v>630</v>
      </c>
      <c r="AB26" t="n">
        <v>640</v>
      </c>
      <c r="AC26" t="n">
        <v>650</v>
      </c>
      <c r="AD26" t="n">
        <v>660</v>
      </c>
      <c r="AE26" t="n">
        <v>670</v>
      </c>
      <c r="AF26" t="n">
        <v>680</v>
      </c>
      <c r="AG26" t="n">
        <v>690</v>
      </c>
      <c r="AH26" t="n">
        <v>700</v>
      </c>
      <c r="AI26" t="n">
        <v>710</v>
      </c>
      <c r="AJ26" t="n">
        <v>720</v>
      </c>
      <c r="AK26" t="n">
        <v>730</v>
      </c>
      <c r="AL26" t="n">
        <v>740</v>
      </c>
      <c r="AM26" t="n">
        <v>750</v>
      </c>
    </row>
    <row r="27">
      <c r="A27" t="inlineStr">
        <is>
          <t>Product_26</t>
        </is>
      </c>
      <c r="B27" t="n">
        <v>3700</v>
      </c>
      <c r="C27" t="n">
        <v>400</v>
      </c>
      <c r="D27" t="n">
        <v>410</v>
      </c>
      <c r="E27" t="n">
        <v>420</v>
      </c>
      <c r="F27" t="n">
        <v>430</v>
      </c>
      <c r="G27" t="n">
        <v>440</v>
      </c>
      <c r="H27" t="n">
        <v>450</v>
      </c>
      <c r="I27" t="n">
        <v>460</v>
      </c>
      <c r="J27" t="n">
        <v>470</v>
      </c>
      <c r="K27" t="n">
        <v>480</v>
      </c>
      <c r="L27" t="n">
        <v>490</v>
      </c>
      <c r="M27" t="n">
        <v>500</v>
      </c>
      <c r="N27" t="n">
        <v>510</v>
      </c>
      <c r="O27" t="n">
        <v>520</v>
      </c>
      <c r="P27" t="n">
        <v>530</v>
      </c>
      <c r="Q27" t="n">
        <v>540</v>
      </c>
      <c r="R27" t="n">
        <v>550</v>
      </c>
      <c r="S27" t="n">
        <v>560</v>
      </c>
      <c r="T27" t="n">
        <v>570</v>
      </c>
      <c r="U27" t="n">
        <v>580</v>
      </c>
      <c r="V27" t="n">
        <v>590</v>
      </c>
      <c r="W27" t="n">
        <v>600</v>
      </c>
      <c r="X27" t="n">
        <v>610</v>
      </c>
      <c r="Y27" t="n">
        <v>620</v>
      </c>
      <c r="Z27" t="n">
        <v>630</v>
      </c>
      <c r="AA27" t="n">
        <v>6350</v>
      </c>
      <c r="AB27" t="n">
        <v>650</v>
      </c>
      <c r="AC27" t="n">
        <v>660</v>
      </c>
      <c r="AD27" t="n">
        <v>670</v>
      </c>
      <c r="AE27" t="n">
        <v>680</v>
      </c>
      <c r="AF27" t="n">
        <v>690</v>
      </c>
      <c r="AG27" t="n">
        <v>700</v>
      </c>
      <c r="AH27" t="n">
        <v>710</v>
      </c>
      <c r="AI27" t="n">
        <v>720</v>
      </c>
      <c r="AJ27" t="n">
        <v>730</v>
      </c>
      <c r="AK27" t="n">
        <v>740</v>
      </c>
      <c r="AL27" t="n">
        <v>750</v>
      </c>
      <c r="AM27" t="n">
        <v>760</v>
      </c>
    </row>
    <row r="28">
      <c r="A28" t="inlineStr">
        <is>
          <t>Product_27</t>
        </is>
      </c>
      <c r="B28" t="n">
        <v>3800</v>
      </c>
      <c r="C28" t="n">
        <v>410</v>
      </c>
      <c r="D28" t="n">
        <v>420</v>
      </c>
      <c r="E28" t="n">
        <v>430</v>
      </c>
      <c r="F28" t="n">
        <v>440</v>
      </c>
      <c r="G28" t="n">
        <v>450</v>
      </c>
      <c r="H28" t="n">
        <v>460</v>
      </c>
      <c r="I28" t="n">
        <v>470</v>
      </c>
      <c r="J28" t="n">
        <v>480</v>
      </c>
      <c r="K28" t="n">
        <v>490</v>
      </c>
      <c r="L28" t="n">
        <v>500</v>
      </c>
      <c r="M28" t="n">
        <v>510</v>
      </c>
      <c r="N28" t="n">
        <v>520</v>
      </c>
      <c r="O28" t="n">
        <v>530</v>
      </c>
      <c r="P28" t="n">
        <v>540</v>
      </c>
      <c r="Q28" t="n">
        <v>550</v>
      </c>
      <c r="R28" t="n">
        <v>560</v>
      </c>
      <c r="S28" t="n">
        <v>570</v>
      </c>
      <c r="T28" t="n">
        <v>580</v>
      </c>
      <c r="U28" t="n">
        <v>590</v>
      </c>
      <c r="V28" t="n">
        <v>600</v>
      </c>
      <c r="W28" t="n">
        <v>610</v>
      </c>
      <c r="X28" t="n">
        <v>620</v>
      </c>
      <c r="Y28" t="n">
        <v>630</v>
      </c>
      <c r="Z28" t="n">
        <v>640</v>
      </c>
      <c r="AA28" t="n">
        <v>650</v>
      </c>
      <c r="AB28" t="n">
        <v>6400</v>
      </c>
      <c r="AC28" t="n">
        <v>670</v>
      </c>
      <c r="AD28" t="n">
        <v>680</v>
      </c>
      <c r="AE28" t="n">
        <v>690</v>
      </c>
      <c r="AF28" t="n">
        <v>700</v>
      </c>
      <c r="AG28" t="n">
        <v>710</v>
      </c>
      <c r="AH28" t="n">
        <v>720</v>
      </c>
      <c r="AI28" t="n">
        <v>730</v>
      </c>
      <c r="AJ28" t="n">
        <v>740</v>
      </c>
      <c r="AK28" t="n">
        <v>750</v>
      </c>
      <c r="AL28" t="n">
        <v>760</v>
      </c>
      <c r="AM28" t="n">
        <v>770</v>
      </c>
    </row>
    <row r="29">
      <c r="A29" t="inlineStr">
        <is>
          <t>Product_28</t>
        </is>
      </c>
      <c r="B29" t="n">
        <v>3900</v>
      </c>
      <c r="C29" t="n">
        <v>420</v>
      </c>
      <c r="D29" t="n">
        <v>430</v>
      </c>
      <c r="E29" t="n">
        <v>440</v>
      </c>
      <c r="F29" t="n">
        <v>450</v>
      </c>
      <c r="G29" t="n">
        <v>460</v>
      </c>
      <c r="H29" t="n">
        <v>470</v>
      </c>
      <c r="I29" t="n">
        <v>480</v>
      </c>
      <c r="J29" t="n">
        <v>490</v>
      </c>
      <c r="K29" t="n">
        <v>500</v>
      </c>
      <c r="L29" t="n">
        <v>510</v>
      </c>
      <c r="M29" t="n">
        <v>520</v>
      </c>
      <c r="N29" t="n">
        <v>530</v>
      </c>
      <c r="O29" t="n">
        <v>540</v>
      </c>
      <c r="P29" t="n">
        <v>550</v>
      </c>
      <c r="Q29" t="n">
        <v>560</v>
      </c>
      <c r="R29" t="n">
        <v>570</v>
      </c>
      <c r="S29" t="n">
        <v>580</v>
      </c>
      <c r="T29" t="n">
        <v>590</v>
      </c>
      <c r="U29" t="n">
        <v>600</v>
      </c>
      <c r="V29" t="n">
        <v>610</v>
      </c>
      <c r="W29" t="n">
        <v>620</v>
      </c>
      <c r="X29" t="n">
        <v>630</v>
      </c>
      <c r="Y29" t="n">
        <v>640</v>
      </c>
      <c r="Z29" t="n">
        <v>650</v>
      </c>
      <c r="AA29" t="n">
        <v>660</v>
      </c>
      <c r="AB29" t="n">
        <v>670</v>
      </c>
      <c r="AC29" t="n">
        <v>6450</v>
      </c>
      <c r="AD29" t="n">
        <v>690</v>
      </c>
      <c r="AE29" t="n">
        <v>700</v>
      </c>
      <c r="AF29" t="n">
        <v>710</v>
      </c>
      <c r="AG29" t="n">
        <v>720</v>
      </c>
      <c r="AH29" t="n">
        <v>730</v>
      </c>
      <c r="AI29" t="n">
        <v>740</v>
      </c>
      <c r="AJ29" t="n">
        <v>750</v>
      </c>
      <c r="AK29" t="n">
        <v>760</v>
      </c>
      <c r="AL29" t="n">
        <v>770</v>
      </c>
      <c r="AM29" t="n">
        <v>780</v>
      </c>
    </row>
    <row r="30">
      <c r="A30" t="inlineStr">
        <is>
          <t>Product_29</t>
        </is>
      </c>
      <c r="B30" t="n">
        <v>4000</v>
      </c>
      <c r="C30" t="n">
        <v>430</v>
      </c>
      <c r="D30" t="n">
        <v>440</v>
      </c>
      <c r="E30" t="n">
        <v>450</v>
      </c>
      <c r="F30" t="n">
        <v>460</v>
      </c>
      <c r="G30" t="n">
        <v>470</v>
      </c>
      <c r="H30" t="n">
        <v>480</v>
      </c>
      <c r="I30" t="n">
        <v>490</v>
      </c>
      <c r="J30" t="n">
        <v>500</v>
      </c>
      <c r="K30" t="n">
        <v>510</v>
      </c>
      <c r="L30" t="n">
        <v>520</v>
      </c>
      <c r="M30" t="n">
        <v>530</v>
      </c>
      <c r="N30" t="n">
        <v>540</v>
      </c>
      <c r="O30" t="n">
        <v>550</v>
      </c>
      <c r="P30" t="n">
        <v>560</v>
      </c>
      <c r="Q30" t="n">
        <v>570</v>
      </c>
      <c r="R30" t="n">
        <v>580</v>
      </c>
      <c r="S30" t="n">
        <v>590</v>
      </c>
      <c r="T30" t="n">
        <v>600</v>
      </c>
      <c r="U30" t="n">
        <v>610</v>
      </c>
      <c r="V30" t="n">
        <v>620</v>
      </c>
      <c r="W30" t="n">
        <v>630</v>
      </c>
      <c r="X30" t="n">
        <v>640</v>
      </c>
      <c r="Y30" t="n">
        <v>650</v>
      </c>
      <c r="Z30" t="n">
        <v>660</v>
      </c>
      <c r="AA30" t="n">
        <v>670</v>
      </c>
      <c r="AB30" t="n">
        <v>680</v>
      </c>
      <c r="AC30" t="n">
        <v>690</v>
      </c>
      <c r="AD30" t="n">
        <v>6500</v>
      </c>
      <c r="AE30" t="n">
        <v>710</v>
      </c>
      <c r="AF30" t="n">
        <v>720</v>
      </c>
      <c r="AG30" t="n">
        <v>730</v>
      </c>
      <c r="AH30" t="n">
        <v>740</v>
      </c>
      <c r="AI30" t="n">
        <v>750</v>
      </c>
      <c r="AJ30" t="n">
        <v>760</v>
      </c>
      <c r="AK30" t="n">
        <v>770</v>
      </c>
      <c r="AL30" t="n">
        <v>780</v>
      </c>
      <c r="AM30" t="n">
        <v>790</v>
      </c>
    </row>
    <row r="31">
      <c r="A31" t="inlineStr">
        <is>
          <t>Product_30</t>
        </is>
      </c>
      <c r="B31" t="n">
        <v>4100</v>
      </c>
      <c r="C31" t="n">
        <v>440</v>
      </c>
      <c r="D31" t="n">
        <v>450</v>
      </c>
      <c r="E31" t="n">
        <v>460</v>
      </c>
      <c r="F31" t="n">
        <v>470</v>
      </c>
      <c r="G31" t="n">
        <v>480</v>
      </c>
      <c r="H31" t="n">
        <v>490</v>
      </c>
      <c r="I31" t="n">
        <v>500</v>
      </c>
      <c r="J31" t="n">
        <v>510</v>
      </c>
      <c r="K31" t="n">
        <v>520</v>
      </c>
      <c r="L31" t="n">
        <v>530</v>
      </c>
      <c r="M31" t="n">
        <v>540</v>
      </c>
      <c r="N31" t="n">
        <v>550</v>
      </c>
      <c r="O31" t="n">
        <v>560</v>
      </c>
      <c r="P31" t="n">
        <v>570</v>
      </c>
      <c r="Q31" t="n">
        <v>580</v>
      </c>
      <c r="R31" t="n">
        <v>590</v>
      </c>
      <c r="S31" t="n">
        <v>600</v>
      </c>
      <c r="T31" t="n">
        <v>610</v>
      </c>
      <c r="U31" t="n">
        <v>620</v>
      </c>
      <c r="V31" t="n">
        <v>630</v>
      </c>
      <c r="W31" t="n">
        <v>640</v>
      </c>
      <c r="X31" t="n">
        <v>650</v>
      </c>
      <c r="Y31" t="n">
        <v>660</v>
      </c>
      <c r="Z31" t="n">
        <v>670</v>
      </c>
      <c r="AA31" t="n">
        <v>680</v>
      </c>
      <c r="AB31" t="n">
        <v>690</v>
      </c>
      <c r="AC31" t="n">
        <v>700</v>
      </c>
      <c r="AD31" t="n">
        <v>710</v>
      </c>
      <c r="AE31" t="n">
        <v>6550</v>
      </c>
      <c r="AF31" t="n">
        <v>730</v>
      </c>
      <c r="AG31" t="n">
        <v>740</v>
      </c>
      <c r="AH31" t="n">
        <v>750</v>
      </c>
      <c r="AI31" t="n">
        <v>760</v>
      </c>
      <c r="AJ31" t="n">
        <v>770</v>
      </c>
      <c r="AK31" t="n">
        <v>780</v>
      </c>
      <c r="AL31" t="n">
        <v>790</v>
      </c>
      <c r="AM31" t="n">
        <v>800</v>
      </c>
    </row>
    <row r="32">
      <c r="A32" t="inlineStr">
        <is>
          <t>Product_31</t>
        </is>
      </c>
      <c r="B32" t="n">
        <v>4200</v>
      </c>
      <c r="C32" t="n">
        <v>450</v>
      </c>
      <c r="D32" t="n">
        <v>460</v>
      </c>
      <c r="E32" t="n">
        <v>470</v>
      </c>
      <c r="F32" t="n">
        <v>480</v>
      </c>
      <c r="G32" t="n">
        <v>490</v>
      </c>
      <c r="H32" t="n">
        <v>500</v>
      </c>
      <c r="I32" t="n">
        <v>510</v>
      </c>
      <c r="J32" t="n">
        <v>520</v>
      </c>
      <c r="K32" t="n">
        <v>530</v>
      </c>
      <c r="L32" t="n">
        <v>540</v>
      </c>
      <c r="M32" t="n">
        <v>550</v>
      </c>
      <c r="N32" t="n">
        <v>560</v>
      </c>
      <c r="O32" t="n">
        <v>570</v>
      </c>
      <c r="P32" t="n">
        <v>580</v>
      </c>
      <c r="Q32" t="n">
        <v>590</v>
      </c>
      <c r="R32" t="n">
        <v>600</v>
      </c>
      <c r="S32" t="n">
        <v>610</v>
      </c>
      <c r="T32" t="n">
        <v>620</v>
      </c>
      <c r="U32" t="n">
        <v>630</v>
      </c>
      <c r="V32" t="n">
        <v>640</v>
      </c>
      <c r="W32" t="n">
        <v>650</v>
      </c>
      <c r="X32" t="n">
        <v>660</v>
      </c>
      <c r="Y32" t="n">
        <v>670</v>
      </c>
      <c r="Z32" t="n">
        <v>680</v>
      </c>
      <c r="AA32" t="n">
        <v>690</v>
      </c>
      <c r="AB32" t="n">
        <v>700</v>
      </c>
      <c r="AC32" t="n">
        <v>710</v>
      </c>
      <c r="AD32" t="n">
        <v>720</v>
      </c>
      <c r="AE32" t="n">
        <v>730</v>
      </c>
      <c r="AF32" t="n">
        <v>6600</v>
      </c>
      <c r="AG32" t="n">
        <v>750</v>
      </c>
      <c r="AH32" t="n">
        <v>760</v>
      </c>
      <c r="AI32" t="n">
        <v>770</v>
      </c>
      <c r="AJ32" t="n">
        <v>780</v>
      </c>
      <c r="AK32" t="n">
        <v>790</v>
      </c>
      <c r="AL32" t="n">
        <v>800</v>
      </c>
      <c r="AM32" t="n">
        <v>810</v>
      </c>
    </row>
    <row r="33">
      <c r="A33" t="inlineStr">
        <is>
          <t>Product_32</t>
        </is>
      </c>
      <c r="B33" t="n">
        <v>4300</v>
      </c>
      <c r="C33" t="n">
        <v>460</v>
      </c>
      <c r="D33" t="n">
        <v>470</v>
      </c>
      <c r="E33" t="n">
        <v>480</v>
      </c>
      <c r="F33" t="n">
        <v>490</v>
      </c>
      <c r="G33" t="n">
        <v>500</v>
      </c>
      <c r="H33" t="n">
        <v>510</v>
      </c>
      <c r="I33" t="n">
        <v>520</v>
      </c>
      <c r="J33" t="n">
        <v>530</v>
      </c>
      <c r="K33" t="n">
        <v>540</v>
      </c>
      <c r="L33" t="n">
        <v>550</v>
      </c>
      <c r="M33" t="n">
        <v>560</v>
      </c>
      <c r="N33" t="n">
        <v>570</v>
      </c>
      <c r="O33" t="n">
        <v>580</v>
      </c>
      <c r="P33" t="n">
        <v>590</v>
      </c>
      <c r="Q33" t="n">
        <v>600</v>
      </c>
      <c r="R33" t="n">
        <v>610</v>
      </c>
      <c r="S33" t="n">
        <v>620</v>
      </c>
      <c r="T33" t="n">
        <v>630</v>
      </c>
      <c r="U33" t="n">
        <v>640</v>
      </c>
      <c r="V33" t="n">
        <v>650</v>
      </c>
      <c r="W33" t="n">
        <v>660</v>
      </c>
      <c r="X33" t="n">
        <v>670</v>
      </c>
      <c r="Y33" t="n">
        <v>680</v>
      </c>
      <c r="Z33" t="n">
        <v>690</v>
      </c>
      <c r="AA33" t="n">
        <v>700</v>
      </c>
      <c r="AB33" t="n">
        <v>710</v>
      </c>
      <c r="AC33" t="n">
        <v>720</v>
      </c>
      <c r="AD33" t="n">
        <v>730</v>
      </c>
      <c r="AE33" t="n">
        <v>740</v>
      </c>
      <c r="AF33" t="n">
        <v>750</v>
      </c>
      <c r="AG33" t="n">
        <v>6650</v>
      </c>
      <c r="AH33" t="n">
        <v>770</v>
      </c>
      <c r="AI33" t="n">
        <v>780</v>
      </c>
      <c r="AJ33" t="n">
        <v>790</v>
      </c>
      <c r="AK33" t="n">
        <v>800</v>
      </c>
      <c r="AL33" t="n">
        <v>810</v>
      </c>
      <c r="AM33" t="n">
        <v>820</v>
      </c>
    </row>
    <row r="34">
      <c r="A34" t="inlineStr">
        <is>
          <t>Product_33</t>
        </is>
      </c>
      <c r="B34" t="n">
        <v>4400</v>
      </c>
      <c r="C34" t="n">
        <v>470</v>
      </c>
      <c r="D34" t="n">
        <v>480</v>
      </c>
      <c r="E34" t="n">
        <v>490</v>
      </c>
      <c r="F34" t="n">
        <v>500</v>
      </c>
      <c r="G34" t="n">
        <v>510</v>
      </c>
      <c r="H34" t="n">
        <v>520</v>
      </c>
      <c r="I34" t="n">
        <v>530</v>
      </c>
      <c r="J34" t="n">
        <v>540</v>
      </c>
      <c r="K34" t="n">
        <v>550</v>
      </c>
      <c r="L34" t="n">
        <v>560</v>
      </c>
      <c r="M34" t="n">
        <v>570</v>
      </c>
      <c r="N34" t="n">
        <v>580</v>
      </c>
      <c r="O34" t="n">
        <v>590</v>
      </c>
      <c r="P34" t="n">
        <v>600</v>
      </c>
      <c r="Q34" t="n">
        <v>610</v>
      </c>
      <c r="R34" t="n">
        <v>620</v>
      </c>
      <c r="S34" t="n">
        <v>630</v>
      </c>
      <c r="T34" t="n">
        <v>640</v>
      </c>
      <c r="U34" t="n">
        <v>650</v>
      </c>
      <c r="V34" t="n">
        <v>660</v>
      </c>
      <c r="W34" t="n">
        <v>670</v>
      </c>
      <c r="X34" t="n">
        <v>680</v>
      </c>
      <c r="Y34" t="n">
        <v>690</v>
      </c>
      <c r="Z34" t="n">
        <v>700</v>
      </c>
      <c r="AA34" t="n">
        <v>710</v>
      </c>
      <c r="AB34" t="n">
        <v>720</v>
      </c>
      <c r="AC34" t="n">
        <v>730</v>
      </c>
      <c r="AD34" t="n">
        <v>740</v>
      </c>
      <c r="AE34" t="n">
        <v>750</v>
      </c>
      <c r="AF34" t="n">
        <v>760</v>
      </c>
      <c r="AG34" t="n">
        <v>770</v>
      </c>
      <c r="AH34" t="n">
        <v>6700</v>
      </c>
      <c r="AI34" t="n">
        <v>790</v>
      </c>
      <c r="AJ34" t="n">
        <v>800</v>
      </c>
      <c r="AK34" t="n">
        <v>810</v>
      </c>
      <c r="AL34" t="n">
        <v>820</v>
      </c>
      <c r="AM34" t="n">
        <v>830</v>
      </c>
    </row>
    <row r="35">
      <c r="A35" t="inlineStr">
        <is>
          <t>Product_34</t>
        </is>
      </c>
      <c r="B35" t="n">
        <v>4500</v>
      </c>
      <c r="C35" t="n">
        <v>480</v>
      </c>
      <c r="D35" t="n">
        <v>490</v>
      </c>
      <c r="E35" t="n">
        <v>500</v>
      </c>
      <c r="F35" t="n">
        <v>510</v>
      </c>
      <c r="G35" t="n">
        <v>520</v>
      </c>
      <c r="H35" t="n">
        <v>530</v>
      </c>
      <c r="I35" t="n">
        <v>540</v>
      </c>
      <c r="J35" t="n">
        <v>550</v>
      </c>
      <c r="K35" t="n">
        <v>560</v>
      </c>
      <c r="L35" t="n">
        <v>570</v>
      </c>
      <c r="M35" t="n">
        <v>580</v>
      </c>
      <c r="N35" t="n">
        <v>590</v>
      </c>
      <c r="O35" t="n">
        <v>600</v>
      </c>
      <c r="P35" t="n">
        <v>610</v>
      </c>
      <c r="Q35" t="n">
        <v>620</v>
      </c>
      <c r="R35" t="n">
        <v>630</v>
      </c>
      <c r="S35" t="n">
        <v>640</v>
      </c>
      <c r="T35" t="n">
        <v>650</v>
      </c>
      <c r="U35" t="n">
        <v>660</v>
      </c>
      <c r="V35" t="n">
        <v>670</v>
      </c>
      <c r="W35" t="n">
        <v>680</v>
      </c>
      <c r="X35" t="n">
        <v>690</v>
      </c>
      <c r="Y35" t="n">
        <v>700</v>
      </c>
      <c r="Z35" t="n">
        <v>710</v>
      </c>
      <c r="AA35" t="n">
        <v>720</v>
      </c>
      <c r="AB35" t="n">
        <v>730</v>
      </c>
      <c r="AC35" t="n">
        <v>740</v>
      </c>
      <c r="AD35" t="n">
        <v>750</v>
      </c>
      <c r="AE35" t="n">
        <v>760</v>
      </c>
      <c r="AF35" t="n">
        <v>770</v>
      </c>
      <c r="AG35" t="n">
        <v>780</v>
      </c>
      <c r="AH35" t="n">
        <v>790</v>
      </c>
      <c r="AI35" t="n">
        <v>6750</v>
      </c>
      <c r="AJ35" t="n">
        <v>810</v>
      </c>
      <c r="AK35" t="n">
        <v>820</v>
      </c>
      <c r="AL35" t="n">
        <v>830</v>
      </c>
      <c r="AM35" t="n">
        <v>840</v>
      </c>
    </row>
    <row r="36">
      <c r="A36" t="inlineStr">
        <is>
          <t>Product_35</t>
        </is>
      </c>
      <c r="B36" t="n">
        <v>4600</v>
      </c>
      <c r="C36" t="n">
        <v>490</v>
      </c>
      <c r="D36" t="n">
        <v>500</v>
      </c>
      <c r="E36" t="n">
        <v>510</v>
      </c>
      <c r="F36" t="n">
        <v>520</v>
      </c>
      <c r="G36" t="n">
        <v>530</v>
      </c>
      <c r="H36" t="n">
        <v>540</v>
      </c>
      <c r="I36" t="n">
        <v>550</v>
      </c>
      <c r="J36" t="n">
        <v>560</v>
      </c>
      <c r="K36" t="n">
        <v>570</v>
      </c>
      <c r="L36" t="n">
        <v>580</v>
      </c>
      <c r="M36" t="n">
        <v>590</v>
      </c>
      <c r="N36" t="n">
        <v>600</v>
      </c>
      <c r="O36" t="n">
        <v>610</v>
      </c>
      <c r="P36" t="n">
        <v>620</v>
      </c>
      <c r="Q36" t="n">
        <v>630</v>
      </c>
      <c r="R36" t="n">
        <v>640</v>
      </c>
      <c r="S36" t="n">
        <v>650</v>
      </c>
      <c r="T36" t="n">
        <v>660</v>
      </c>
      <c r="U36" t="n">
        <v>670</v>
      </c>
      <c r="V36" t="n">
        <v>680</v>
      </c>
      <c r="W36" t="n">
        <v>690</v>
      </c>
      <c r="X36" t="n">
        <v>700</v>
      </c>
      <c r="Y36" t="n">
        <v>710</v>
      </c>
      <c r="Z36" t="n">
        <v>720</v>
      </c>
      <c r="AA36" t="n">
        <v>730</v>
      </c>
      <c r="AB36" t="n">
        <v>740</v>
      </c>
      <c r="AC36" t="n">
        <v>750</v>
      </c>
      <c r="AD36" t="n">
        <v>760</v>
      </c>
      <c r="AE36" t="n">
        <v>770</v>
      </c>
      <c r="AF36" t="n">
        <v>780</v>
      </c>
      <c r="AG36" t="n">
        <v>790</v>
      </c>
      <c r="AH36" t="n">
        <v>800</v>
      </c>
      <c r="AI36" t="n">
        <v>810</v>
      </c>
      <c r="AJ36" t="n">
        <v>6800</v>
      </c>
      <c r="AK36" t="n">
        <v>830</v>
      </c>
      <c r="AL36" t="n">
        <v>840</v>
      </c>
      <c r="AM36" t="n">
        <v>850</v>
      </c>
    </row>
    <row r="37">
      <c r="A37" t="inlineStr">
        <is>
          <t>Product_36</t>
        </is>
      </c>
      <c r="B37" t="n">
        <v>4700</v>
      </c>
      <c r="C37" t="n">
        <v>500</v>
      </c>
      <c r="D37" t="n">
        <v>510</v>
      </c>
      <c r="E37" t="n">
        <v>520</v>
      </c>
      <c r="F37" t="n">
        <v>530</v>
      </c>
      <c r="G37" t="n">
        <v>540</v>
      </c>
      <c r="H37" t="n">
        <v>550</v>
      </c>
      <c r="I37" t="n">
        <v>560</v>
      </c>
      <c r="J37" t="n">
        <v>570</v>
      </c>
      <c r="K37" t="n">
        <v>580</v>
      </c>
      <c r="L37" t="n">
        <v>590</v>
      </c>
      <c r="M37" t="n">
        <v>600</v>
      </c>
      <c r="N37" t="n">
        <v>610</v>
      </c>
      <c r="O37" t="n">
        <v>620</v>
      </c>
      <c r="P37" t="n">
        <v>630</v>
      </c>
      <c r="Q37" t="n">
        <v>640</v>
      </c>
      <c r="R37" t="n">
        <v>650</v>
      </c>
      <c r="S37" t="n">
        <v>660</v>
      </c>
      <c r="T37" t="n">
        <v>670</v>
      </c>
      <c r="U37" t="n">
        <v>680</v>
      </c>
      <c r="V37" t="n">
        <v>690</v>
      </c>
      <c r="W37" t="n">
        <v>700</v>
      </c>
      <c r="X37" t="n">
        <v>710</v>
      </c>
      <c r="Y37" t="n">
        <v>720</v>
      </c>
      <c r="Z37" t="n">
        <v>730</v>
      </c>
      <c r="AA37" t="n">
        <v>740</v>
      </c>
      <c r="AB37" t="n">
        <v>750</v>
      </c>
      <c r="AC37" t="n">
        <v>760</v>
      </c>
      <c r="AD37" t="n">
        <v>770</v>
      </c>
      <c r="AE37" t="n">
        <v>780</v>
      </c>
      <c r="AF37" t="n">
        <v>790</v>
      </c>
      <c r="AG37" t="n">
        <v>800</v>
      </c>
      <c r="AH37" t="n">
        <v>810</v>
      </c>
      <c r="AI37" t="n">
        <v>820</v>
      </c>
      <c r="AJ37" t="n">
        <v>830</v>
      </c>
      <c r="AK37" t="n">
        <v>6850</v>
      </c>
      <c r="AL37" t="n">
        <v>850</v>
      </c>
      <c r="AM37" t="n">
        <v>860</v>
      </c>
    </row>
    <row r="38">
      <c r="A38" t="inlineStr">
        <is>
          <t>Product_37</t>
        </is>
      </c>
      <c r="B38" t="n">
        <v>4800</v>
      </c>
      <c r="C38" t="n">
        <v>510</v>
      </c>
      <c r="D38" t="n">
        <v>520</v>
      </c>
      <c r="E38" t="n">
        <v>530</v>
      </c>
      <c r="F38" t="n">
        <v>540</v>
      </c>
      <c r="G38" t="n">
        <v>550</v>
      </c>
      <c r="H38" t="n">
        <v>560</v>
      </c>
      <c r="I38" t="n">
        <v>570</v>
      </c>
      <c r="J38" t="n">
        <v>580</v>
      </c>
      <c r="K38" t="n">
        <v>590</v>
      </c>
      <c r="L38" t="n">
        <v>600</v>
      </c>
      <c r="M38" t="n">
        <v>610</v>
      </c>
      <c r="N38" t="n">
        <v>620</v>
      </c>
      <c r="O38" t="n">
        <v>630</v>
      </c>
      <c r="P38" t="n">
        <v>640</v>
      </c>
      <c r="Q38" t="n">
        <v>650</v>
      </c>
      <c r="R38" t="n">
        <v>660</v>
      </c>
      <c r="S38" t="n">
        <v>670</v>
      </c>
      <c r="T38" t="n">
        <v>680</v>
      </c>
      <c r="U38" t="n">
        <v>690</v>
      </c>
      <c r="V38" t="n">
        <v>700</v>
      </c>
      <c r="W38" t="n">
        <v>710</v>
      </c>
      <c r="X38" t="n">
        <v>720</v>
      </c>
      <c r="Y38" t="n">
        <v>730</v>
      </c>
      <c r="Z38" t="n">
        <v>740</v>
      </c>
      <c r="AA38" t="n">
        <v>750</v>
      </c>
      <c r="AB38" t="n">
        <v>760</v>
      </c>
      <c r="AC38" t="n">
        <v>770</v>
      </c>
      <c r="AD38" t="n">
        <v>780</v>
      </c>
      <c r="AE38" t="n">
        <v>790</v>
      </c>
      <c r="AF38" t="n">
        <v>800</v>
      </c>
      <c r="AG38" t="n">
        <v>810</v>
      </c>
      <c r="AH38" t="n">
        <v>820</v>
      </c>
      <c r="AI38" t="n">
        <v>830</v>
      </c>
      <c r="AJ38" t="n">
        <v>840</v>
      </c>
      <c r="AK38" t="n">
        <v>850</v>
      </c>
      <c r="AL38" t="n">
        <v>6900</v>
      </c>
      <c r="AM38" t="n">
        <v>870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Products/Industries</t>
        </is>
      </c>
      <c r="B1" t="inlineStr">
        <is>
          <t>Industry_1</t>
        </is>
      </c>
      <c r="C1" t="inlineStr">
        <is>
          <t>Industry_2</t>
        </is>
      </c>
      <c r="D1" t="inlineStr">
        <is>
          <t>Industry_3</t>
        </is>
      </c>
      <c r="E1" t="inlineStr">
        <is>
          <t>Industry_4</t>
        </is>
      </c>
      <c r="F1" t="inlineStr">
        <is>
          <t>Industry_5</t>
        </is>
      </c>
      <c r="G1" t="inlineStr">
        <is>
          <t>Industry_6</t>
        </is>
      </c>
      <c r="H1" t="inlineStr">
        <is>
          <t>Industry_7</t>
        </is>
      </c>
      <c r="I1" t="inlineStr">
        <is>
          <t>Industry_8</t>
        </is>
      </c>
      <c r="J1" t="inlineStr">
        <is>
          <t>Industry_9</t>
        </is>
      </c>
      <c r="K1" t="inlineStr">
        <is>
          <t>Industry_10</t>
        </is>
      </c>
      <c r="L1" t="inlineStr">
        <is>
          <t>Industry_11</t>
        </is>
      </c>
      <c r="M1" t="inlineStr">
        <is>
          <t>Industry_12</t>
        </is>
      </c>
      <c r="N1" t="inlineStr">
        <is>
          <t>Industry_13</t>
        </is>
      </c>
      <c r="O1" t="inlineStr">
        <is>
          <t>Industry_14</t>
        </is>
      </c>
      <c r="P1" t="inlineStr">
        <is>
          <t>Industry_15</t>
        </is>
      </c>
      <c r="Q1" t="inlineStr">
        <is>
          <t>Industry_16</t>
        </is>
      </c>
      <c r="R1" t="inlineStr">
        <is>
          <t>Industry_17</t>
        </is>
      </c>
      <c r="S1" t="inlineStr">
        <is>
          <t>Industry_18</t>
        </is>
      </c>
      <c r="T1" t="inlineStr">
        <is>
          <t>Industry_19</t>
        </is>
      </c>
      <c r="U1" t="inlineStr">
        <is>
          <t>Industry_20</t>
        </is>
      </c>
      <c r="V1" t="inlineStr">
        <is>
          <t>Industry_21</t>
        </is>
      </c>
      <c r="W1" t="inlineStr">
        <is>
          <t>Industry_22</t>
        </is>
      </c>
      <c r="X1" t="inlineStr">
        <is>
          <t>Industry_23</t>
        </is>
      </c>
      <c r="Y1" t="inlineStr">
        <is>
          <t>Industry_24</t>
        </is>
      </c>
      <c r="Z1" t="inlineStr">
        <is>
          <t>Industry_25</t>
        </is>
      </c>
      <c r="AA1" t="inlineStr">
        <is>
          <t>Industry_26</t>
        </is>
      </c>
      <c r="AB1" t="inlineStr">
        <is>
          <t>Industry_27</t>
        </is>
      </c>
      <c r="AC1" t="inlineStr">
        <is>
          <t>Industry_28</t>
        </is>
      </c>
      <c r="AD1" t="inlineStr">
        <is>
          <t>Industry_29</t>
        </is>
      </c>
      <c r="AE1" t="inlineStr">
        <is>
          <t>Industry_30</t>
        </is>
      </c>
      <c r="AF1" t="inlineStr">
        <is>
          <t>Industry_31</t>
        </is>
      </c>
      <c r="AG1" t="inlineStr">
        <is>
          <t>Industry_32</t>
        </is>
      </c>
      <c r="AH1" t="inlineStr">
        <is>
          <t>Industry_33</t>
        </is>
      </c>
      <c r="AI1" t="inlineStr">
        <is>
          <t>Industry_34</t>
        </is>
      </c>
      <c r="AJ1" t="inlineStr">
        <is>
          <t>Industry_35</t>
        </is>
      </c>
      <c r="AK1" t="inlineStr">
        <is>
          <t>Industry_36</t>
        </is>
      </c>
      <c r="AL1" t="inlineStr">
        <is>
          <t>Industry_37</t>
        </is>
      </c>
      <c r="AM1" t="inlineStr">
        <is>
          <t>Household Consumption</t>
        </is>
      </c>
      <c r="AN1" t="inlineStr">
        <is>
          <t>Government Consumption</t>
        </is>
      </c>
      <c r="AO1" t="inlineStr">
        <is>
          <t>GFCF</t>
        </is>
      </c>
      <c r="AP1" t="inlineStr">
        <is>
          <t>Exports</t>
        </is>
      </c>
      <c r="AQ1" t="inlineStr">
        <is>
          <t>Total Use</t>
        </is>
      </c>
    </row>
    <row r="2">
      <c r="A2" t="inlineStr">
        <is>
          <t>Product_1</t>
        </is>
      </c>
      <c r="B2" t="n">
        <v>112</v>
      </c>
      <c r="C2" t="n">
        <v>120</v>
      </c>
      <c r="D2" t="n">
        <v>128</v>
      </c>
      <c r="E2" t="n">
        <v>136</v>
      </c>
      <c r="F2" t="n">
        <v>144</v>
      </c>
      <c r="G2" t="n">
        <v>152</v>
      </c>
      <c r="H2" t="n">
        <v>160</v>
      </c>
      <c r="I2" t="n">
        <v>168</v>
      </c>
      <c r="J2" t="n">
        <v>176</v>
      </c>
      <c r="K2" t="n">
        <v>184</v>
      </c>
      <c r="L2" t="n">
        <v>192</v>
      </c>
      <c r="M2" t="n">
        <v>200</v>
      </c>
      <c r="N2" t="n">
        <v>208</v>
      </c>
      <c r="O2" t="n">
        <v>216</v>
      </c>
      <c r="P2" t="n">
        <v>224</v>
      </c>
      <c r="Q2" t="n">
        <v>232</v>
      </c>
      <c r="R2" t="n">
        <v>240</v>
      </c>
      <c r="S2" t="n">
        <v>248</v>
      </c>
      <c r="T2" t="n">
        <v>256</v>
      </c>
      <c r="U2" t="n">
        <v>264</v>
      </c>
      <c r="V2" t="n">
        <v>272</v>
      </c>
      <c r="W2" t="n">
        <v>280</v>
      </c>
      <c r="X2" t="n">
        <v>288</v>
      </c>
      <c r="Y2" t="n">
        <v>296</v>
      </c>
      <c r="Z2" t="n">
        <v>304</v>
      </c>
      <c r="AA2" t="n">
        <v>312</v>
      </c>
      <c r="AB2" t="n">
        <v>320</v>
      </c>
      <c r="AC2" t="n">
        <v>328</v>
      </c>
      <c r="AD2" t="n">
        <v>336</v>
      </c>
      <c r="AE2" t="n">
        <v>344</v>
      </c>
      <c r="AF2" t="n">
        <v>352</v>
      </c>
      <c r="AG2" t="n">
        <v>360</v>
      </c>
      <c r="AH2" t="n">
        <v>368</v>
      </c>
      <c r="AI2" t="n">
        <v>376</v>
      </c>
      <c r="AJ2" t="n">
        <v>384</v>
      </c>
      <c r="AK2" t="n">
        <v>392</v>
      </c>
      <c r="AL2" t="n">
        <v>400</v>
      </c>
      <c r="AM2" t="n">
        <v>2100</v>
      </c>
      <c r="AN2" t="n">
        <v>540</v>
      </c>
      <c r="AO2" t="n">
        <v>860</v>
      </c>
      <c r="AP2" t="n">
        <v>650</v>
      </c>
      <c r="AQ2">
        <f>SUM(B2:AM2)</f>
        <v/>
      </c>
    </row>
    <row r="3">
      <c r="A3" t="inlineStr">
        <is>
          <t>Product_2</t>
        </is>
      </c>
      <c r="B3" t="n">
        <v>120</v>
      </c>
      <c r="C3" t="n">
        <v>128</v>
      </c>
      <c r="D3" t="n">
        <v>136</v>
      </c>
      <c r="E3" t="n">
        <v>144</v>
      </c>
      <c r="F3" t="n">
        <v>152</v>
      </c>
      <c r="G3" t="n">
        <v>160</v>
      </c>
      <c r="H3" t="n">
        <v>168</v>
      </c>
      <c r="I3" t="n">
        <v>176</v>
      </c>
      <c r="J3" t="n">
        <v>184</v>
      </c>
      <c r="K3" t="n">
        <v>192</v>
      </c>
      <c r="L3" t="n">
        <v>200</v>
      </c>
      <c r="M3" t="n">
        <v>208</v>
      </c>
      <c r="N3" t="n">
        <v>216</v>
      </c>
      <c r="O3" t="n">
        <v>224</v>
      </c>
      <c r="P3" t="n">
        <v>232</v>
      </c>
      <c r="Q3" t="n">
        <v>240</v>
      </c>
      <c r="R3" t="n">
        <v>248</v>
      </c>
      <c r="S3" t="n">
        <v>256</v>
      </c>
      <c r="T3" t="n">
        <v>264</v>
      </c>
      <c r="U3" t="n">
        <v>272</v>
      </c>
      <c r="V3" t="n">
        <v>280</v>
      </c>
      <c r="W3" t="n">
        <v>288</v>
      </c>
      <c r="X3" t="n">
        <v>296</v>
      </c>
      <c r="Y3" t="n">
        <v>304</v>
      </c>
      <c r="Z3" t="n">
        <v>312</v>
      </c>
      <c r="AA3" t="n">
        <v>320</v>
      </c>
      <c r="AB3" t="n">
        <v>328</v>
      </c>
      <c r="AC3" t="n">
        <v>336</v>
      </c>
      <c r="AD3" t="n">
        <v>344</v>
      </c>
      <c r="AE3" t="n">
        <v>352</v>
      </c>
      <c r="AF3" t="n">
        <v>360</v>
      </c>
      <c r="AG3" t="n">
        <v>368</v>
      </c>
      <c r="AH3" t="n">
        <v>376</v>
      </c>
      <c r="AI3" t="n">
        <v>384</v>
      </c>
      <c r="AJ3" t="n">
        <v>392</v>
      </c>
      <c r="AK3" t="n">
        <v>400</v>
      </c>
      <c r="AL3" t="n">
        <v>408</v>
      </c>
      <c r="AM3" t="n">
        <v>2150</v>
      </c>
      <c r="AN3" t="n">
        <v>560</v>
      </c>
      <c r="AO3" t="n">
        <v>890</v>
      </c>
      <c r="AP3" t="n">
        <v>675</v>
      </c>
      <c r="AQ3">
        <f>SUM(B3:AM3)</f>
        <v/>
      </c>
    </row>
    <row r="4">
      <c r="A4" t="inlineStr">
        <is>
          <t>Product_3</t>
        </is>
      </c>
      <c r="B4" t="n">
        <v>128</v>
      </c>
      <c r="C4" t="n">
        <v>136</v>
      </c>
      <c r="D4" t="n">
        <v>144</v>
      </c>
      <c r="E4" t="n">
        <v>152</v>
      </c>
      <c r="F4" t="n">
        <v>160</v>
      </c>
      <c r="G4" t="n">
        <v>168</v>
      </c>
      <c r="H4" t="n">
        <v>176</v>
      </c>
      <c r="I4" t="n">
        <v>184</v>
      </c>
      <c r="J4" t="n">
        <v>192</v>
      </c>
      <c r="K4" t="n">
        <v>200</v>
      </c>
      <c r="L4" t="n">
        <v>208</v>
      </c>
      <c r="M4" t="n">
        <v>216</v>
      </c>
      <c r="N4" t="n">
        <v>224</v>
      </c>
      <c r="O4" t="n">
        <v>232</v>
      </c>
      <c r="P4" t="n">
        <v>240</v>
      </c>
      <c r="Q4" t="n">
        <v>248</v>
      </c>
      <c r="R4" t="n">
        <v>256</v>
      </c>
      <c r="S4" t="n">
        <v>264</v>
      </c>
      <c r="T4" t="n">
        <v>272</v>
      </c>
      <c r="U4" t="n">
        <v>280</v>
      </c>
      <c r="V4" t="n">
        <v>288</v>
      </c>
      <c r="W4" t="n">
        <v>296</v>
      </c>
      <c r="X4" t="n">
        <v>304</v>
      </c>
      <c r="Y4" t="n">
        <v>312</v>
      </c>
      <c r="Z4" t="n">
        <v>320</v>
      </c>
      <c r="AA4" t="n">
        <v>328</v>
      </c>
      <c r="AB4" t="n">
        <v>336</v>
      </c>
      <c r="AC4" t="n">
        <v>344</v>
      </c>
      <c r="AD4" t="n">
        <v>352</v>
      </c>
      <c r="AE4" t="n">
        <v>360</v>
      </c>
      <c r="AF4" t="n">
        <v>368</v>
      </c>
      <c r="AG4" t="n">
        <v>376</v>
      </c>
      <c r="AH4" t="n">
        <v>384</v>
      </c>
      <c r="AI4" t="n">
        <v>392</v>
      </c>
      <c r="AJ4" t="n">
        <v>400</v>
      </c>
      <c r="AK4" t="n">
        <v>408</v>
      </c>
      <c r="AL4" t="n">
        <v>416</v>
      </c>
      <c r="AM4" t="n">
        <v>2200</v>
      </c>
      <c r="AN4" t="n">
        <v>580</v>
      </c>
      <c r="AO4" t="n">
        <v>920</v>
      </c>
      <c r="AP4" t="n">
        <v>700</v>
      </c>
      <c r="AQ4">
        <f>SUM(B4:AM4)</f>
        <v/>
      </c>
    </row>
    <row r="5">
      <c r="A5" t="inlineStr">
        <is>
          <t>Product_4</t>
        </is>
      </c>
      <c r="B5" t="n">
        <v>136</v>
      </c>
      <c r="C5" t="n">
        <v>144</v>
      </c>
      <c r="D5" t="n">
        <v>152</v>
      </c>
      <c r="E5" t="n">
        <v>160</v>
      </c>
      <c r="F5" t="n">
        <v>168</v>
      </c>
      <c r="G5" t="n">
        <v>176</v>
      </c>
      <c r="H5" t="n">
        <v>184</v>
      </c>
      <c r="I5" t="n">
        <v>192</v>
      </c>
      <c r="J5" t="n">
        <v>200</v>
      </c>
      <c r="K5" t="n">
        <v>208</v>
      </c>
      <c r="L5" t="n">
        <v>216</v>
      </c>
      <c r="M5" t="n">
        <v>224</v>
      </c>
      <c r="N5" t="n">
        <v>232</v>
      </c>
      <c r="O5" t="n">
        <v>240</v>
      </c>
      <c r="P5" t="n">
        <v>248</v>
      </c>
      <c r="Q5" t="n">
        <v>256</v>
      </c>
      <c r="R5" t="n">
        <v>264</v>
      </c>
      <c r="S5" t="n">
        <v>272</v>
      </c>
      <c r="T5" t="n">
        <v>280</v>
      </c>
      <c r="U5" t="n">
        <v>288</v>
      </c>
      <c r="V5" t="n">
        <v>296</v>
      </c>
      <c r="W5" t="n">
        <v>304</v>
      </c>
      <c r="X5" t="n">
        <v>312</v>
      </c>
      <c r="Y5" t="n">
        <v>320</v>
      </c>
      <c r="Z5" t="n">
        <v>328</v>
      </c>
      <c r="AA5" t="n">
        <v>336</v>
      </c>
      <c r="AB5" t="n">
        <v>344</v>
      </c>
      <c r="AC5" t="n">
        <v>352</v>
      </c>
      <c r="AD5" t="n">
        <v>360</v>
      </c>
      <c r="AE5" t="n">
        <v>368</v>
      </c>
      <c r="AF5" t="n">
        <v>376</v>
      </c>
      <c r="AG5" t="n">
        <v>384</v>
      </c>
      <c r="AH5" t="n">
        <v>392</v>
      </c>
      <c r="AI5" t="n">
        <v>400</v>
      </c>
      <c r="AJ5" t="n">
        <v>408</v>
      </c>
      <c r="AK5" t="n">
        <v>416</v>
      </c>
      <c r="AL5" t="n">
        <v>424</v>
      </c>
      <c r="AM5" t="n">
        <v>2250</v>
      </c>
      <c r="AN5" t="n">
        <v>600</v>
      </c>
      <c r="AO5" t="n">
        <v>950</v>
      </c>
      <c r="AP5" t="n">
        <v>725</v>
      </c>
      <c r="AQ5">
        <f>SUM(B5:AM5)</f>
        <v/>
      </c>
    </row>
    <row r="6">
      <c r="A6" t="inlineStr">
        <is>
          <t>Product_5</t>
        </is>
      </c>
      <c r="B6" t="n">
        <v>144</v>
      </c>
      <c r="C6" t="n">
        <v>152</v>
      </c>
      <c r="D6" t="n">
        <v>160</v>
      </c>
      <c r="E6" t="n">
        <v>168</v>
      </c>
      <c r="F6" t="n">
        <v>176</v>
      </c>
      <c r="G6" t="n">
        <v>184</v>
      </c>
      <c r="H6" t="n">
        <v>192</v>
      </c>
      <c r="I6" t="n">
        <v>200</v>
      </c>
      <c r="J6" t="n">
        <v>208</v>
      </c>
      <c r="K6" t="n">
        <v>216</v>
      </c>
      <c r="L6" t="n">
        <v>224</v>
      </c>
      <c r="M6" t="n">
        <v>232</v>
      </c>
      <c r="N6" t="n">
        <v>240</v>
      </c>
      <c r="O6" t="n">
        <v>248</v>
      </c>
      <c r="P6" t="n">
        <v>256</v>
      </c>
      <c r="Q6" t="n">
        <v>264</v>
      </c>
      <c r="R6" t="n">
        <v>272</v>
      </c>
      <c r="S6" t="n">
        <v>280</v>
      </c>
      <c r="T6" t="n">
        <v>288</v>
      </c>
      <c r="U6" t="n">
        <v>296</v>
      </c>
      <c r="V6" t="n">
        <v>304</v>
      </c>
      <c r="W6" t="n">
        <v>312</v>
      </c>
      <c r="X6" t="n">
        <v>320</v>
      </c>
      <c r="Y6" t="n">
        <v>328</v>
      </c>
      <c r="Z6" t="n">
        <v>336</v>
      </c>
      <c r="AA6" t="n">
        <v>344</v>
      </c>
      <c r="AB6" t="n">
        <v>352</v>
      </c>
      <c r="AC6" t="n">
        <v>360</v>
      </c>
      <c r="AD6" t="n">
        <v>368</v>
      </c>
      <c r="AE6" t="n">
        <v>376</v>
      </c>
      <c r="AF6" t="n">
        <v>384</v>
      </c>
      <c r="AG6" t="n">
        <v>392</v>
      </c>
      <c r="AH6" t="n">
        <v>400</v>
      </c>
      <c r="AI6" t="n">
        <v>408</v>
      </c>
      <c r="AJ6" t="n">
        <v>416</v>
      </c>
      <c r="AK6" t="n">
        <v>424</v>
      </c>
      <c r="AL6" t="n">
        <v>432</v>
      </c>
      <c r="AM6" t="n">
        <v>2300</v>
      </c>
      <c r="AN6" t="n">
        <v>620</v>
      </c>
      <c r="AO6" t="n">
        <v>980</v>
      </c>
      <c r="AP6" t="n">
        <v>750</v>
      </c>
      <c r="AQ6">
        <f>SUM(B6:AM6)</f>
        <v/>
      </c>
    </row>
    <row r="7">
      <c r="A7" t="inlineStr">
        <is>
          <t>Product_6</t>
        </is>
      </c>
      <c r="B7" t="n">
        <v>152</v>
      </c>
      <c r="C7" t="n">
        <v>160</v>
      </c>
      <c r="D7" t="n">
        <v>168</v>
      </c>
      <c r="E7" t="n">
        <v>176</v>
      </c>
      <c r="F7" t="n">
        <v>184</v>
      </c>
      <c r="G7" t="n">
        <v>192</v>
      </c>
      <c r="H7" t="n">
        <v>200</v>
      </c>
      <c r="I7" t="n">
        <v>208</v>
      </c>
      <c r="J7" t="n">
        <v>216</v>
      </c>
      <c r="K7" t="n">
        <v>224</v>
      </c>
      <c r="L7" t="n">
        <v>232</v>
      </c>
      <c r="M7" t="n">
        <v>240</v>
      </c>
      <c r="N7" t="n">
        <v>248</v>
      </c>
      <c r="O7" t="n">
        <v>256</v>
      </c>
      <c r="P7" t="n">
        <v>264</v>
      </c>
      <c r="Q7" t="n">
        <v>272</v>
      </c>
      <c r="R7" t="n">
        <v>280</v>
      </c>
      <c r="S7" t="n">
        <v>288</v>
      </c>
      <c r="T7" t="n">
        <v>296</v>
      </c>
      <c r="U7" t="n">
        <v>304</v>
      </c>
      <c r="V7" t="n">
        <v>312</v>
      </c>
      <c r="W7" t="n">
        <v>320</v>
      </c>
      <c r="X7" t="n">
        <v>328</v>
      </c>
      <c r="Y7" t="n">
        <v>336</v>
      </c>
      <c r="Z7" t="n">
        <v>344</v>
      </c>
      <c r="AA7" t="n">
        <v>352</v>
      </c>
      <c r="AB7" t="n">
        <v>360</v>
      </c>
      <c r="AC7" t="n">
        <v>368</v>
      </c>
      <c r="AD7" t="n">
        <v>376</v>
      </c>
      <c r="AE7" t="n">
        <v>384</v>
      </c>
      <c r="AF7" t="n">
        <v>392</v>
      </c>
      <c r="AG7" t="n">
        <v>400</v>
      </c>
      <c r="AH7" t="n">
        <v>408</v>
      </c>
      <c r="AI7" t="n">
        <v>416</v>
      </c>
      <c r="AJ7" t="n">
        <v>424</v>
      </c>
      <c r="AK7" t="n">
        <v>432</v>
      </c>
      <c r="AL7" t="n">
        <v>440</v>
      </c>
      <c r="AM7" t="n">
        <v>2350</v>
      </c>
      <c r="AN7" t="n">
        <v>640</v>
      </c>
      <c r="AO7" t="n">
        <v>1010</v>
      </c>
      <c r="AP7" t="n">
        <v>775</v>
      </c>
      <c r="AQ7">
        <f>SUM(B7:AM7)</f>
        <v/>
      </c>
    </row>
    <row r="8">
      <c r="A8" t="inlineStr">
        <is>
          <t>Product_7</t>
        </is>
      </c>
      <c r="B8" t="n">
        <v>160</v>
      </c>
      <c r="C8" t="n">
        <v>168</v>
      </c>
      <c r="D8" t="n">
        <v>176</v>
      </c>
      <c r="E8" t="n">
        <v>184</v>
      </c>
      <c r="F8" t="n">
        <v>192</v>
      </c>
      <c r="G8" t="n">
        <v>200</v>
      </c>
      <c r="H8" t="n">
        <v>208</v>
      </c>
      <c r="I8" t="n">
        <v>216</v>
      </c>
      <c r="J8" t="n">
        <v>224</v>
      </c>
      <c r="K8" t="n">
        <v>232</v>
      </c>
      <c r="L8" t="n">
        <v>240</v>
      </c>
      <c r="M8" t="n">
        <v>248</v>
      </c>
      <c r="N8" t="n">
        <v>256</v>
      </c>
      <c r="O8" t="n">
        <v>264</v>
      </c>
      <c r="P8" t="n">
        <v>272</v>
      </c>
      <c r="Q8" t="n">
        <v>280</v>
      </c>
      <c r="R8" t="n">
        <v>288</v>
      </c>
      <c r="S8" t="n">
        <v>296</v>
      </c>
      <c r="T8" t="n">
        <v>304</v>
      </c>
      <c r="U8" t="n">
        <v>312</v>
      </c>
      <c r="V8" t="n">
        <v>320</v>
      </c>
      <c r="W8" t="n">
        <v>328</v>
      </c>
      <c r="X8" t="n">
        <v>336</v>
      </c>
      <c r="Y8" t="n">
        <v>344</v>
      </c>
      <c r="Z8" t="n">
        <v>352</v>
      </c>
      <c r="AA8" t="n">
        <v>360</v>
      </c>
      <c r="AB8" t="n">
        <v>368</v>
      </c>
      <c r="AC8" t="n">
        <v>376</v>
      </c>
      <c r="AD8" t="n">
        <v>384</v>
      </c>
      <c r="AE8" t="n">
        <v>392</v>
      </c>
      <c r="AF8" t="n">
        <v>400</v>
      </c>
      <c r="AG8" t="n">
        <v>408</v>
      </c>
      <c r="AH8" t="n">
        <v>416</v>
      </c>
      <c r="AI8" t="n">
        <v>424</v>
      </c>
      <c r="AJ8" t="n">
        <v>432</v>
      </c>
      <c r="AK8" t="n">
        <v>440</v>
      </c>
      <c r="AL8" t="n">
        <v>448</v>
      </c>
      <c r="AM8" t="n">
        <v>2400</v>
      </c>
      <c r="AN8" t="n">
        <v>660</v>
      </c>
      <c r="AO8" t="n">
        <v>1040</v>
      </c>
      <c r="AP8" t="n">
        <v>800</v>
      </c>
      <c r="AQ8">
        <f>SUM(B8:AM8)</f>
        <v/>
      </c>
    </row>
    <row r="9">
      <c r="A9" t="inlineStr">
        <is>
          <t>Product_8</t>
        </is>
      </c>
      <c r="B9" t="n">
        <v>168</v>
      </c>
      <c r="C9" t="n">
        <v>176</v>
      </c>
      <c r="D9" t="n">
        <v>184</v>
      </c>
      <c r="E9" t="n">
        <v>192</v>
      </c>
      <c r="F9" t="n">
        <v>200</v>
      </c>
      <c r="G9" t="n">
        <v>208</v>
      </c>
      <c r="H9" t="n">
        <v>216</v>
      </c>
      <c r="I9" t="n">
        <v>224</v>
      </c>
      <c r="J9" t="n">
        <v>232</v>
      </c>
      <c r="K9" t="n">
        <v>240</v>
      </c>
      <c r="L9" t="n">
        <v>248</v>
      </c>
      <c r="M9" t="n">
        <v>256</v>
      </c>
      <c r="N9" t="n">
        <v>264</v>
      </c>
      <c r="O9" t="n">
        <v>272</v>
      </c>
      <c r="P9" t="n">
        <v>280</v>
      </c>
      <c r="Q9" t="n">
        <v>288</v>
      </c>
      <c r="R9" t="n">
        <v>296</v>
      </c>
      <c r="S9" t="n">
        <v>304</v>
      </c>
      <c r="T9" t="n">
        <v>312</v>
      </c>
      <c r="U9" t="n">
        <v>320</v>
      </c>
      <c r="V9" t="n">
        <v>328</v>
      </c>
      <c r="W9" t="n">
        <v>336</v>
      </c>
      <c r="X9" t="n">
        <v>344</v>
      </c>
      <c r="Y9" t="n">
        <v>352</v>
      </c>
      <c r="Z9" t="n">
        <v>360</v>
      </c>
      <c r="AA9" t="n">
        <v>368</v>
      </c>
      <c r="AB9" t="n">
        <v>376</v>
      </c>
      <c r="AC9" t="n">
        <v>384</v>
      </c>
      <c r="AD9" t="n">
        <v>392</v>
      </c>
      <c r="AE9" t="n">
        <v>400</v>
      </c>
      <c r="AF9" t="n">
        <v>408</v>
      </c>
      <c r="AG9" t="n">
        <v>416</v>
      </c>
      <c r="AH9" t="n">
        <v>424</v>
      </c>
      <c r="AI9" t="n">
        <v>432</v>
      </c>
      <c r="AJ9" t="n">
        <v>440</v>
      </c>
      <c r="AK9" t="n">
        <v>448</v>
      </c>
      <c r="AL9" t="n">
        <v>456</v>
      </c>
      <c r="AM9" t="n">
        <v>2450</v>
      </c>
      <c r="AN9" t="n">
        <v>680</v>
      </c>
      <c r="AO9" t="n">
        <v>1070</v>
      </c>
      <c r="AP9" t="n">
        <v>825</v>
      </c>
      <c r="AQ9">
        <f>SUM(B9:AM9)</f>
        <v/>
      </c>
    </row>
    <row r="10">
      <c r="A10" t="inlineStr">
        <is>
          <t>Product_9</t>
        </is>
      </c>
      <c r="B10" t="n">
        <v>176</v>
      </c>
      <c r="C10" t="n">
        <v>184</v>
      </c>
      <c r="D10" t="n">
        <v>192</v>
      </c>
      <c r="E10" t="n">
        <v>200</v>
      </c>
      <c r="F10" t="n">
        <v>208</v>
      </c>
      <c r="G10" t="n">
        <v>216</v>
      </c>
      <c r="H10" t="n">
        <v>224</v>
      </c>
      <c r="I10" t="n">
        <v>232</v>
      </c>
      <c r="J10" t="n">
        <v>240</v>
      </c>
      <c r="K10" t="n">
        <v>248</v>
      </c>
      <c r="L10" t="n">
        <v>256</v>
      </c>
      <c r="M10" t="n">
        <v>264</v>
      </c>
      <c r="N10" t="n">
        <v>272</v>
      </c>
      <c r="O10" t="n">
        <v>280</v>
      </c>
      <c r="P10" t="n">
        <v>288</v>
      </c>
      <c r="Q10" t="n">
        <v>296</v>
      </c>
      <c r="R10" t="n">
        <v>304</v>
      </c>
      <c r="S10" t="n">
        <v>312</v>
      </c>
      <c r="T10" t="n">
        <v>320</v>
      </c>
      <c r="U10" t="n">
        <v>328</v>
      </c>
      <c r="V10" t="n">
        <v>336</v>
      </c>
      <c r="W10" t="n">
        <v>344</v>
      </c>
      <c r="X10" t="n">
        <v>352</v>
      </c>
      <c r="Y10" t="n">
        <v>360</v>
      </c>
      <c r="Z10" t="n">
        <v>368</v>
      </c>
      <c r="AA10" t="n">
        <v>376</v>
      </c>
      <c r="AB10" t="n">
        <v>384</v>
      </c>
      <c r="AC10" t="n">
        <v>392</v>
      </c>
      <c r="AD10" t="n">
        <v>400</v>
      </c>
      <c r="AE10" t="n">
        <v>408</v>
      </c>
      <c r="AF10" t="n">
        <v>416</v>
      </c>
      <c r="AG10" t="n">
        <v>424</v>
      </c>
      <c r="AH10" t="n">
        <v>432</v>
      </c>
      <c r="AI10" t="n">
        <v>440</v>
      </c>
      <c r="AJ10" t="n">
        <v>448</v>
      </c>
      <c r="AK10" t="n">
        <v>456</v>
      </c>
      <c r="AL10" t="n">
        <v>464</v>
      </c>
      <c r="AM10" t="n">
        <v>2500</v>
      </c>
      <c r="AN10" t="n">
        <v>700</v>
      </c>
      <c r="AO10" t="n">
        <v>1100</v>
      </c>
      <c r="AP10" t="n">
        <v>850</v>
      </c>
      <c r="AQ10">
        <f>SUM(B10:AM10)</f>
        <v/>
      </c>
    </row>
    <row r="11">
      <c r="A11" t="inlineStr">
        <is>
          <t>Product_10</t>
        </is>
      </c>
      <c r="B11" t="n">
        <v>184</v>
      </c>
      <c r="C11" t="n">
        <v>192</v>
      </c>
      <c r="D11" t="n">
        <v>200</v>
      </c>
      <c r="E11" t="n">
        <v>208</v>
      </c>
      <c r="F11" t="n">
        <v>216</v>
      </c>
      <c r="G11" t="n">
        <v>224</v>
      </c>
      <c r="H11" t="n">
        <v>232</v>
      </c>
      <c r="I11" t="n">
        <v>240</v>
      </c>
      <c r="J11" t="n">
        <v>248</v>
      </c>
      <c r="K11" t="n">
        <v>256</v>
      </c>
      <c r="L11" t="n">
        <v>264</v>
      </c>
      <c r="M11" t="n">
        <v>272</v>
      </c>
      <c r="N11" t="n">
        <v>280</v>
      </c>
      <c r="O11" t="n">
        <v>288</v>
      </c>
      <c r="P11" t="n">
        <v>296</v>
      </c>
      <c r="Q11" t="n">
        <v>304</v>
      </c>
      <c r="R11" t="n">
        <v>312</v>
      </c>
      <c r="S11" t="n">
        <v>320</v>
      </c>
      <c r="T11" t="n">
        <v>328</v>
      </c>
      <c r="U11" t="n">
        <v>336</v>
      </c>
      <c r="V11" t="n">
        <v>344</v>
      </c>
      <c r="W11" t="n">
        <v>352</v>
      </c>
      <c r="X11" t="n">
        <v>360</v>
      </c>
      <c r="Y11" t="n">
        <v>368</v>
      </c>
      <c r="Z11" t="n">
        <v>376</v>
      </c>
      <c r="AA11" t="n">
        <v>384</v>
      </c>
      <c r="AB11" t="n">
        <v>392</v>
      </c>
      <c r="AC11" t="n">
        <v>400</v>
      </c>
      <c r="AD11" t="n">
        <v>408</v>
      </c>
      <c r="AE11" t="n">
        <v>416</v>
      </c>
      <c r="AF11" t="n">
        <v>424</v>
      </c>
      <c r="AG11" t="n">
        <v>432</v>
      </c>
      <c r="AH11" t="n">
        <v>440</v>
      </c>
      <c r="AI11" t="n">
        <v>448</v>
      </c>
      <c r="AJ11" t="n">
        <v>456</v>
      </c>
      <c r="AK11" t="n">
        <v>464</v>
      </c>
      <c r="AL11" t="n">
        <v>472</v>
      </c>
      <c r="AM11" t="n">
        <v>2550</v>
      </c>
      <c r="AN11" t="n">
        <v>720</v>
      </c>
      <c r="AO11" t="n">
        <v>1130</v>
      </c>
      <c r="AP11" t="n">
        <v>875</v>
      </c>
      <c r="AQ11">
        <f>SUM(B11:AM11)</f>
        <v/>
      </c>
    </row>
    <row r="12">
      <c r="A12" t="inlineStr">
        <is>
          <t>Product_11</t>
        </is>
      </c>
      <c r="B12" t="n">
        <v>192</v>
      </c>
      <c r="C12" t="n">
        <v>200</v>
      </c>
      <c r="D12" t="n">
        <v>208</v>
      </c>
      <c r="E12" t="n">
        <v>216</v>
      </c>
      <c r="F12" t="n">
        <v>224</v>
      </c>
      <c r="G12" t="n">
        <v>232</v>
      </c>
      <c r="H12" t="n">
        <v>240</v>
      </c>
      <c r="I12" t="n">
        <v>248</v>
      </c>
      <c r="J12" t="n">
        <v>256</v>
      </c>
      <c r="K12" t="n">
        <v>264</v>
      </c>
      <c r="L12" t="n">
        <v>272</v>
      </c>
      <c r="M12" t="n">
        <v>280</v>
      </c>
      <c r="N12" t="n">
        <v>288</v>
      </c>
      <c r="O12" t="n">
        <v>296</v>
      </c>
      <c r="P12" t="n">
        <v>304</v>
      </c>
      <c r="Q12" t="n">
        <v>312</v>
      </c>
      <c r="R12" t="n">
        <v>320</v>
      </c>
      <c r="S12" t="n">
        <v>328</v>
      </c>
      <c r="T12" t="n">
        <v>336</v>
      </c>
      <c r="U12" t="n">
        <v>344</v>
      </c>
      <c r="V12" t="n">
        <v>352</v>
      </c>
      <c r="W12" t="n">
        <v>360</v>
      </c>
      <c r="X12" t="n">
        <v>368</v>
      </c>
      <c r="Y12" t="n">
        <v>376</v>
      </c>
      <c r="Z12" t="n">
        <v>384</v>
      </c>
      <c r="AA12" t="n">
        <v>392</v>
      </c>
      <c r="AB12" t="n">
        <v>400</v>
      </c>
      <c r="AC12" t="n">
        <v>408</v>
      </c>
      <c r="AD12" t="n">
        <v>416</v>
      </c>
      <c r="AE12" t="n">
        <v>424</v>
      </c>
      <c r="AF12" t="n">
        <v>432</v>
      </c>
      <c r="AG12" t="n">
        <v>440</v>
      </c>
      <c r="AH12" t="n">
        <v>448</v>
      </c>
      <c r="AI12" t="n">
        <v>456</v>
      </c>
      <c r="AJ12" t="n">
        <v>464</v>
      </c>
      <c r="AK12" t="n">
        <v>472</v>
      </c>
      <c r="AL12" t="n">
        <v>480</v>
      </c>
      <c r="AM12" t="n">
        <v>2600</v>
      </c>
      <c r="AN12" t="n">
        <v>740</v>
      </c>
      <c r="AO12" t="n">
        <v>1160</v>
      </c>
      <c r="AP12" t="n">
        <v>900</v>
      </c>
      <c r="AQ12">
        <f>SUM(B12:AM12)</f>
        <v/>
      </c>
    </row>
    <row r="13">
      <c r="A13" t="inlineStr">
        <is>
          <t>Product_12</t>
        </is>
      </c>
      <c r="B13" t="n">
        <v>200</v>
      </c>
      <c r="C13" t="n">
        <v>208</v>
      </c>
      <c r="D13" t="n">
        <v>216</v>
      </c>
      <c r="E13" t="n">
        <v>224</v>
      </c>
      <c r="F13" t="n">
        <v>232</v>
      </c>
      <c r="G13" t="n">
        <v>240</v>
      </c>
      <c r="H13" t="n">
        <v>248</v>
      </c>
      <c r="I13" t="n">
        <v>256</v>
      </c>
      <c r="J13" t="n">
        <v>264</v>
      </c>
      <c r="K13" t="n">
        <v>272</v>
      </c>
      <c r="L13" t="n">
        <v>280</v>
      </c>
      <c r="M13" t="n">
        <v>288</v>
      </c>
      <c r="N13" t="n">
        <v>296</v>
      </c>
      <c r="O13" t="n">
        <v>304</v>
      </c>
      <c r="P13" t="n">
        <v>312</v>
      </c>
      <c r="Q13" t="n">
        <v>320</v>
      </c>
      <c r="R13" t="n">
        <v>328</v>
      </c>
      <c r="S13" t="n">
        <v>336</v>
      </c>
      <c r="T13" t="n">
        <v>344</v>
      </c>
      <c r="U13" t="n">
        <v>352</v>
      </c>
      <c r="V13" t="n">
        <v>360</v>
      </c>
      <c r="W13" t="n">
        <v>368</v>
      </c>
      <c r="X13" t="n">
        <v>376</v>
      </c>
      <c r="Y13" t="n">
        <v>384</v>
      </c>
      <c r="Z13" t="n">
        <v>392</v>
      </c>
      <c r="AA13" t="n">
        <v>400</v>
      </c>
      <c r="AB13" t="n">
        <v>408</v>
      </c>
      <c r="AC13" t="n">
        <v>416</v>
      </c>
      <c r="AD13" t="n">
        <v>424</v>
      </c>
      <c r="AE13" t="n">
        <v>432</v>
      </c>
      <c r="AF13" t="n">
        <v>440</v>
      </c>
      <c r="AG13" t="n">
        <v>448</v>
      </c>
      <c r="AH13" t="n">
        <v>456</v>
      </c>
      <c r="AI13" t="n">
        <v>464</v>
      </c>
      <c r="AJ13" t="n">
        <v>472</v>
      </c>
      <c r="AK13" t="n">
        <v>480</v>
      </c>
      <c r="AL13" t="n">
        <v>488</v>
      </c>
      <c r="AM13" t="n">
        <v>2650</v>
      </c>
      <c r="AN13" t="n">
        <v>760</v>
      </c>
      <c r="AO13" t="n">
        <v>1190</v>
      </c>
      <c r="AP13" t="n">
        <v>925</v>
      </c>
      <c r="AQ13">
        <f>SUM(B13:AM13)</f>
        <v/>
      </c>
    </row>
    <row r="14">
      <c r="A14" t="inlineStr">
        <is>
          <t>Product_13</t>
        </is>
      </c>
      <c r="B14" t="n">
        <v>208</v>
      </c>
      <c r="C14" t="n">
        <v>216</v>
      </c>
      <c r="D14" t="n">
        <v>224</v>
      </c>
      <c r="E14" t="n">
        <v>232</v>
      </c>
      <c r="F14" t="n">
        <v>240</v>
      </c>
      <c r="G14" t="n">
        <v>248</v>
      </c>
      <c r="H14" t="n">
        <v>256</v>
      </c>
      <c r="I14" t="n">
        <v>264</v>
      </c>
      <c r="J14" t="n">
        <v>272</v>
      </c>
      <c r="K14" t="n">
        <v>280</v>
      </c>
      <c r="L14" t="n">
        <v>288</v>
      </c>
      <c r="M14" t="n">
        <v>296</v>
      </c>
      <c r="N14" t="n">
        <v>304</v>
      </c>
      <c r="O14" t="n">
        <v>312</v>
      </c>
      <c r="P14" t="n">
        <v>320</v>
      </c>
      <c r="Q14" t="n">
        <v>328</v>
      </c>
      <c r="R14" t="n">
        <v>336</v>
      </c>
      <c r="S14" t="n">
        <v>344</v>
      </c>
      <c r="T14" t="n">
        <v>352</v>
      </c>
      <c r="U14" t="n">
        <v>360</v>
      </c>
      <c r="V14" t="n">
        <v>368</v>
      </c>
      <c r="W14" t="n">
        <v>376</v>
      </c>
      <c r="X14" t="n">
        <v>384</v>
      </c>
      <c r="Y14" t="n">
        <v>392</v>
      </c>
      <c r="Z14" t="n">
        <v>400</v>
      </c>
      <c r="AA14" t="n">
        <v>408</v>
      </c>
      <c r="AB14" t="n">
        <v>416</v>
      </c>
      <c r="AC14" t="n">
        <v>424</v>
      </c>
      <c r="AD14" t="n">
        <v>432</v>
      </c>
      <c r="AE14" t="n">
        <v>440</v>
      </c>
      <c r="AF14" t="n">
        <v>448</v>
      </c>
      <c r="AG14" t="n">
        <v>456</v>
      </c>
      <c r="AH14" t="n">
        <v>464</v>
      </c>
      <c r="AI14" t="n">
        <v>472</v>
      </c>
      <c r="AJ14" t="n">
        <v>480</v>
      </c>
      <c r="AK14" t="n">
        <v>488</v>
      </c>
      <c r="AL14" t="n">
        <v>496</v>
      </c>
      <c r="AM14" t="n">
        <v>2700</v>
      </c>
      <c r="AN14" t="n">
        <v>780</v>
      </c>
      <c r="AO14" t="n">
        <v>1220</v>
      </c>
      <c r="AP14" t="n">
        <v>950</v>
      </c>
      <c r="AQ14">
        <f>SUM(B14:AM14)</f>
        <v/>
      </c>
    </row>
    <row r="15">
      <c r="A15" t="inlineStr">
        <is>
          <t>Product_14</t>
        </is>
      </c>
      <c r="B15" t="n">
        <v>216</v>
      </c>
      <c r="C15" t="n">
        <v>224</v>
      </c>
      <c r="D15" t="n">
        <v>232</v>
      </c>
      <c r="E15" t="n">
        <v>240</v>
      </c>
      <c r="F15" t="n">
        <v>248</v>
      </c>
      <c r="G15" t="n">
        <v>256</v>
      </c>
      <c r="H15" t="n">
        <v>264</v>
      </c>
      <c r="I15" t="n">
        <v>272</v>
      </c>
      <c r="J15" t="n">
        <v>280</v>
      </c>
      <c r="K15" t="n">
        <v>288</v>
      </c>
      <c r="L15" t="n">
        <v>296</v>
      </c>
      <c r="M15" t="n">
        <v>304</v>
      </c>
      <c r="N15" t="n">
        <v>312</v>
      </c>
      <c r="O15" t="n">
        <v>320</v>
      </c>
      <c r="P15" t="n">
        <v>328</v>
      </c>
      <c r="Q15" t="n">
        <v>336</v>
      </c>
      <c r="R15" t="n">
        <v>344</v>
      </c>
      <c r="S15" t="n">
        <v>352</v>
      </c>
      <c r="T15" t="n">
        <v>360</v>
      </c>
      <c r="U15" t="n">
        <v>368</v>
      </c>
      <c r="V15" t="n">
        <v>376</v>
      </c>
      <c r="W15" t="n">
        <v>384</v>
      </c>
      <c r="X15" t="n">
        <v>392</v>
      </c>
      <c r="Y15" t="n">
        <v>400</v>
      </c>
      <c r="Z15" t="n">
        <v>408</v>
      </c>
      <c r="AA15" t="n">
        <v>416</v>
      </c>
      <c r="AB15" t="n">
        <v>424</v>
      </c>
      <c r="AC15" t="n">
        <v>432</v>
      </c>
      <c r="AD15" t="n">
        <v>440</v>
      </c>
      <c r="AE15" t="n">
        <v>448</v>
      </c>
      <c r="AF15" t="n">
        <v>456</v>
      </c>
      <c r="AG15" t="n">
        <v>464</v>
      </c>
      <c r="AH15" t="n">
        <v>472</v>
      </c>
      <c r="AI15" t="n">
        <v>480</v>
      </c>
      <c r="AJ15" t="n">
        <v>488</v>
      </c>
      <c r="AK15" t="n">
        <v>496</v>
      </c>
      <c r="AL15" t="n">
        <v>504</v>
      </c>
      <c r="AM15" t="n">
        <v>2750</v>
      </c>
      <c r="AN15" t="n">
        <v>800</v>
      </c>
      <c r="AO15" t="n">
        <v>1250</v>
      </c>
      <c r="AP15" t="n">
        <v>975</v>
      </c>
      <c r="AQ15">
        <f>SUM(B15:AM15)</f>
        <v/>
      </c>
    </row>
    <row r="16">
      <c r="A16" t="inlineStr">
        <is>
          <t>Product_15</t>
        </is>
      </c>
      <c r="B16" t="n">
        <v>224</v>
      </c>
      <c r="C16" t="n">
        <v>232</v>
      </c>
      <c r="D16" t="n">
        <v>240</v>
      </c>
      <c r="E16" t="n">
        <v>248</v>
      </c>
      <c r="F16" t="n">
        <v>256</v>
      </c>
      <c r="G16" t="n">
        <v>264</v>
      </c>
      <c r="H16" t="n">
        <v>272</v>
      </c>
      <c r="I16" t="n">
        <v>280</v>
      </c>
      <c r="J16" t="n">
        <v>288</v>
      </c>
      <c r="K16" t="n">
        <v>296</v>
      </c>
      <c r="L16" t="n">
        <v>304</v>
      </c>
      <c r="M16" t="n">
        <v>312</v>
      </c>
      <c r="N16" t="n">
        <v>320</v>
      </c>
      <c r="O16" t="n">
        <v>328</v>
      </c>
      <c r="P16" t="n">
        <v>336</v>
      </c>
      <c r="Q16" t="n">
        <v>344</v>
      </c>
      <c r="R16" t="n">
        <v>352</v>
      </c>
      <c r="S16" t="n">
        <v>360</v>
      </c>
      <c r="T16" t="n">
        <v>368</v>
      </c>
      <c r="U16" t="n">
        <v>376</v>
      </c>
      <c r="V16" t="n">
        <v>384</v>
      </c>
      <c r="W16" t="n">
        <v>392</v>
      </c>
      <c r="X16" t="n">
        <v>400</v>
      </c>
      <c r="Y16" t="n">
        <v>408</v>
      </c>
      <c r="Z16" t="n">
        <v>416</v>
      </c>
      <c r="AA16" t="n">
        <v>424</v>
      </c>
      <c r="AB16" t="n">
        <v>432</v>
      </c>
      <c r="AC16" t="n">
        <v>440</v>
      </c>
      <c r="AD16" t="n">
        <v>448</v>
      </c>
      <c r="AE16" t="n">
        <v>456</v>
      </c>
      <c r="AF16" t="n">
        <v>464</v>
      </c>
      <c r="AG16" t="n">
        <v>472</v>
      </c>
      <c r="AH16" t="n">
        <v>480</v>
      </c>
      <c r="AI16" t="n">
        <v>488</v>
      </c>
      <c r="AJ16" t="n">
        <v>496</v>
      </c>
      <c r="AK16" t="n">
        <v>504</v>
      </c>
      <c r="AL16" t="n">
        <v>512</v>
      </c>
      <c r="AM16" t="n">
        <v>2800</v>
      </c>
      <c r="AN16" t="n">
        <v>820</v>
      </c>
      <c r="AO16" t="n">
        <v>1280</v>
      </c>
      <c r="AP16" t="n">
        <v>1000</v>
      </c>
      <c r="AQ16">
        <f>SUM(B16:AM16)</f>
        <v/>
      </c>
    </row>
    <row r="17">
      <c r="A17" t="inlineStr">
        <is>
          <t>Product_16</t>
        </is>
      </c>
      <c r="B17" t="n">
        <v>232</v>
      </c>
      <c r="C17" t="n">
        <v>240</v>
      </c>
      <c r="D17" t="n">
        <v>248</v>
      </c>
      <c r="E17" t="n">
        <v>256</v>
      </c>
      <c r="F17" t="n">
        <v>264</v>
      </c>
      <c r="G17" t="n">
        <v>272</v>
      </c>
      <c r="H17" t="n">
        <v>280</v>
      </c>
      <c r="I17" t="n">
        <v>288</v>
      </c>
      <c r="J17" t="n">
        <v>296</v>
      </c>
      <c r="K17" t="n">
        <v>304</v>
      </c>
      <c r="L17" t="n">
        <v>312</v>
      </c>
      <c r="M17" t="n">
        <v>320</v>
      </c>
      <c r="N17" t="n">
        <v>328</v>
      </c>
      <c r="O17" t="n">
        <v>336</v>
      </c>
      <c r="P17" t="n">
        <v>344</v>
      </c>
      <c r="Q17" t="n">
        <v>352</v>
      </c>
      <c r="R17" t="n">
        <v>360</v>
      </c>
      <c r="S17" t="n">
        <v>368</v>
      </c>
      <c r="T17" t="n">
        <v>376</v>
      </c>
      <c r="U17" t="n">
        <v>384</v>
      </c>
      <c r="V17" t="n">
        <v>392</v>
      </c>
      <c r="W17" t="n">
        <v>400</v>
      </c>
      <c r="X17" t="n">
        <v>408</v>
      </c>
      <c r="Y17" t="n">
        <v>416</v>
      </c>
      <c r="Z17" t="n">
        <v>424</v>
      </c>
      <c r="AA17" t="n">
        <v>432</v>
      </c>
      <c r="AB17" t="n">
        <v>440</v>
      </c>
      <c r="AC17" t="n">
        <v>448</v>
      </c>
      <c r="AD17" t="n">
        <v>456</v>
      </c>
      <c r="AE17" t="n">
        <v>464</v>
      </c>
      <c r="AF17" t="n">
        <v>472</v>
      </c>
      <c r="AG17" t="n">
        <v>480</v>
      </c>
      <c r="AH17" t="n">
        <v>488</v>
      </c>
      <c r="AI17" t="n">
        <v>496</v>
      </c>
      <c r="AJ17" t="n">
        <v>504</v>
      </c>
      <c r="AK17" t="n">
        <v>512</v>
      </c>
      <c r="AL17" t="n">
        <v>520</v>
      </c>
      <c r="AM17" t="n">
        <v>2850</v>
      </c>
      <c r="AN17" t="n">
        <v>840</v>
      </c>
      <c r="AO17" t="n">
        <v>1310</v>
      </c>
      <c r="AP17" t="n">
        <v>1025</v>
      </c>
      <c r="AQ17">
        <f>SUM(B17:AM17)</f>
        <v/>
      </c>
    </row>
    <row r="18">
      <c r="A18" t="inlineStr">
        <is>
          <t>Product_17</t>
        </is>
      </c>
      <c r="B18" t="n">
        <v>240</v>
      </c>
      <c r="C18" t="n">
        <v>248</v>
      </c>
      <c r="D18" t="n">
        <v>256</v>
      </c>
      <c r="E18" t="n">
        <v>264</v>
      </c>
      <c r="F18" t="n">
        <v>272</v>
      </c>
      <c r="G18" t="n">
        <v>280</v>
      </c>
      <c r="H18" t="n">
        <v>288</v>
      </c>
      <c r="I18" t="n">
        <v>296</v>
      </c>
      <c r="J18" t="n">
        <v>304</v>
      </c>
      <c r="K18" t="n">
        <v>312</v>
      </c>
      <c r="L18" t="n">
        <v>320</v>
      </c>
      <c r="M18" t="n">
        <v>328</v>
      </c>
      <c r="N18" t="n">
        <v>336</v>
      </c>
      <c r="O18" t="n">
        <v>344</v>
      </c>
      <c r="P18" t="n">
        <v>352</v>
      </c>
      <c r="Q18" t="n">
        <v>360</v>
      </c>
      <c r="R18" t="n">
        <v>368</v>
      </c>
      <c r="S18" t="n">
        <v>376</v>
      </c>
      <c r="T18" t="n">
        <v>384</v>
      </c>
      <c r="U18" t="n">
        <v>392</v>
      </c>
      <c r="V18" t="n">
        <v>400</v>
      </c>
      <c r="W18" t="n">
        <v>408</v>
      </c>
      <c r="X18" t="n">
        <v>416</v>
      </c>
      <c r="Y18" t="n">
        <v>424</v>
      </c>
      <c r="Z18" t="n">
        <v>432</v>
      </c>
      <c r="AA18" t="n">
        <v>440</v>
      </c>
      <c r="AB18" t="n">
        <v>448</v>
      </c>
      <c r="AC18" t="n">
        <v>456</v>
      </c>
      <c r="AD18" t="n">
        <v>464</v>
      </c>
      <c r="AE18" t="n">
        <v>472</v>
      </c>
      <c r="AF18" t="n">
        <v>480</v>
      </c>
      <c r="AG18" t="n">
        <v>488</v>
      </c>
      <c r="AH18" t="n">
        <v>496</v>
      </c>
      <c r="AI18" t="n">
        <v>504</v>
      </c>
      <c r="AJ18" t="n">
        <v>512</v>
      </c>
      <c r="AK18" t="n">
        <v>520</v>
      </c>
      <c r="AL18" t="n">
        <v>528</v>
      </c>
      <c r="AM18" t="n">
        <v>2900</v>
      </c>
      <c r="AN18" t="n">
        <v>860</v>
      </c>
      <c r="AO18" t="n">
        <v>1340</v>
      </c>
      <c r="AP18" t="n">
        <v>1050</v>
      </c>
      <c r="AQ18">
        <f>SUM(B18:AM18)</f>
        <v/>
      </c>
    </row>
    <row r="19">
      <c r="A19" t="inlineStr">
        <is>
          <t>Product_18</t>
        </is>
      </c>
      <c r="B19" t="n">
        <v>248</v>
      </c>
      <c r="C19" t="n">
        <v>256</v>
      </c>
      <c r="D19" t="n">
        <v>264</v>
      </c>
      <c r="E19" t="n">
        <v>272</v>
      </c>
      <c r="F19" t="n">
        <v>280</v>
      </c>
      <c r="G19" t="n">
        <v>288</v>
      </c>
      <c r="H19" t="n">
        <v>296</v>
      </c>
      <c r="I19" t="n">
        <v>304</v>
      </c>
      <c r="J19" t="n">
        <v>312</v>
      </c>
      <c r="K19" t="n">
        <v>320</v>
      </c>
      <c r="L19" t="n">
        <v>328</v>
      </c>
      <c r="M19" t="n">
        <v>336</v>
      </c>
      <c r="N19" t="n">
        <v>344</v>
      </c>
      <c r="O19" t="n">
        <v>352</v>
      </c>
      <c r="P19" t="n">
        <v>360</v>
      </c>
      <c r="Q19" t="n">
        <v>368</v>
      </c>
      <c r="R19" t="n">
        <v>376</v>
      </c>
      <c r="S19" t="n">
        <v>384</v>
      </c>
      <c r="T19" t="n">
        <v>392</v>
      </c>
      <c r="U19" t="n">
        <v>400</v>
      </c>
      <c r="V19" t="n">
        <v>408</v>
      </c>
      <c r="W19" t="n">
        <v>416</v>
      </c>
      <c r="X19" t="n">
        <v>424</v>
      </c>
      <c r="Y19" t="n">
        <v>432</v>
      </c>
      <c r="Z19" t="n">
        <v>440</v>
      </c>
      <c r="AA19" t="n">
        <v>448</v>
      </c>
      <c r="AB19" t="n">
        <v>456</v>
      </c>
      <c r="AC19" t="n">
        <v>464</v>
      </c>
      <c r="AD19" t="n">
        <v>472</v>
      </c>
      <c r="AE19" t="n">
        <v>480</v>
      </c>
      <c r="AF19" t="n">
        <v>488</v>
      </c>
      <c r="AG19" t="n">
        <v>496</v>
      </c>
      <c r="AH19" t="n">
        <v>504</v>
      </c>
      <c r="AI19" t="n">
        <v>512</v>
      </c>
      <c r="AJ19" t="n">
        <v>520</v>
      </c>
      <c r="AK19" t="n">
        <v>528</v>
      </c>
      <c r="AL19" t="n">
        <v>536</v>
      </c>
      <c r="AM19" t="n">
        <v>2950</v>
      </c>
      <c r="AN19" t="n">
        <v>880</v>
      </c>
      <c r="AO19" t="n">
        <v>1370</v>
      </c>
      <c r="AP19" t="n">
        <v>1075</v>
      </c>
      <c r="AQ19">
        <f>SUM(B19:AM19)</f>
        <v/>
      </c>
    </row>
    <row r="20">
      <c r="A20" t="inlineStr">
        <is>
          <t>Product_19</t>
        </is>
      </c>
      <c r="B20" t="n">
        <v>256</v>
      </c>
      <c r="C20" t="n">
        <v>264</v>
      </c>
      <c r="D20" t="n">
        <v>272</v>
      </c>
      <c r="E20" t="n">
        <v>280</v>
      </c>
      <c r="F20" t="n">
        <v>288</v>
      </c>
      <c r="G20" t="n">
        <v>296</v>
      </c>
      <c r="H20" t="n">
        <v>304</v>
      </c>
      <c r="I20" t="n">
        <v>312</v>
      </c>
      <c r="J20" t="n">
        <v>320</v>
      </c>
      <c r="K20" t="n">
        <v>328</v>
      </c>
      <c r="L20" t="n">
        <v>336</v>
      </c>
      <c r="M20" t="n">
        <v>344</v>
      </c>
      <c r="N20" t="n">
        <v>352</v>
      </c>
      <c r="O20" t="n">
        <v>360</v>
      </c>
      <c r="P20" t="n">
        <v>368</v>
      </c>
      <c r="Q20" t="n">
        <v>376</v>
      </c>
      <c r="R20" t="n">
        <v>384</v>
      </c>
      <c r="S20" t="n">
        <v>392</v>
      </c>
      <c r="T20" t="n">
        <v>400</v>
      </c>
      <c r="U20" t="n">
        <v>408</v>
      </c>
      <c r="V20" t="n">
        <v>416</v>
      </c>
      <c r="W20" t="n">
        <v>424</v>
      </c>
      <c r="X20" t="n">
        <v>432</v>
      </c>
      <c r="Y20" t="n">
        <v>440</v>
      </c>
      <c r="Z20" t="n">
        <v>448</v>
      </c>
      <c r="AA20" t="n">
        <v>456</v>
      </c>
      <c r="AB20" t="n">
        <v>464</v>
      </c>
      <c r="AC20" t="n">
        <v>472</v>
      </c>
      <c r="AD20" t="n">
        <v>480</v>
      </c>
      <c r="AE20" t="n">
        <v>488</v>
      </c>
      <c r="AF20" t="n">
        <v>496</v>
      </c>
      <c r="AG20" t="n">
        <v>504</v>
      </c>
      <c r="AH20" t="n">
        <v>512</v>
      </c>
      <c r="AI20" t="n">
        <v>520</v>
      </c>
      <c r="AJ20" t="n">
        <v>528</v>
      </c>
      <c r="AK20" t="n">
        <v>536</v>
      </c>
      <c r="AL20" t="n">
        <v>544</v>
      </c>
      <c r="AM20" t="n">
        <v>3000</v>
      </c>
      <c r="AN20" t="n">
        <v>900</v>
      </c>
      <c r="AO20" t="n">
        <v>1400</v>
      </c>
      <c r="AP20" t="n">
        <v>1100</v>
      </c>
      <c r="AQ20">
        <f>SUM(B20:AM20)</f>
        <v/>
      </c>
    </row>
    <row r="21">
      <c r="A21" t="inlineStr">
        <is>
          <t>Product_20</t>
        </is>
      </c>
      <c r="B21" t="n">
        <v>264</v>
      </c>
      <c r="C21" t="n">
        <v>272</v>
      </c>
      <c r="D21" t="n">
        <v>280</v>
      </c>
      <c r="E21" t="n">
        <v>288</v>
      </c>
      <c r="F21" t="n">
        <v>296</v>
      </c>
      <c r="G21" t="n">
        <v>304</v>
      </c>
      <c r="H21" t="n">
        <v>312</v>
      </c>
      <c r="I21" t="n">
        <v>320</v>
      </c>
      <c r="J21" t="n">
        <v>328</v>
      </c>
      <c r="K21" t="n">
        <v>336</v>
      </c>
      <c r="L21" t="n">
        <v>344</v>
      </c>
      <c r="M21" t="n">
        <v>352</v>
      </c>
      <c r="N21" t="n">
        <v>360</v>
      </c>
      <c r="O21" t="n">
        <v>368</v>
      </c>
      <c r="P21" t="n">
        <v>376</v>
      </c>
      <c r="Q21" t="n">
        <v>384</v>
      </c>
      <c r="R21" t="n">
        <v>392</v>
      </c>
      <c r="S21" t="n">
        <v>400</v>
      </c>
      <c r="T21" t="n">
        <v>408</v>
      </c>
      <c r="U21" t="n">
        <v>416</v>
      </c>
      <c r="V21" t="n">
        <v>424</v>
      </c>
      <c r="W21" t="n">
        <v>432</v>
      </c>
      <c r="X21" t="n">
        <v>440</v>
      </c>
      <c r="Y21" t="n">
        <v>448</v>
      </c>
      <c r="Z21" t="n">
        <v>456</v>
      </c>
      <c r="AA21" t="n">
        <v>464</v>
      </c>
      <c r="AB21" t="n">
        <v>472</v>
      </c>
      <c r="AC21" t="n">
        <v>480</v>
      </c>
      <c r="AD21" t="n">
        <v>488</v>
      </c>
      <c r="AE21" t="n">
        <v>496</v>
      </c>
      <c r="AF21" t="n">
        <v>504</v>
      </c>
      <c r="AG21" t="n">
        <v>512</v>
      </c>
      <c r="AH21" t="n">
        <v>520</v>
      </c>
      <c r="AI21" t="n">
        <v>528</v>
      </c>
      <c r="AJ21" t="n">
        <v>536</v>
      </c>
      <c r="AK21" t="n">
        <v>544</v>
      </c>
      <c r="AL21" t="n">
        <v>552</v>
      </c>
      <c r="AM21" t="n">
        <v>3050</v>
      </c>
      <c r="AN21" t="n">
        <v>920</v>
      </c>
      <c r="AO21" t="n">
        <v>1430</v>
      </c>
      <c r="AP21" t="n">
        <v>1125</v>
      </c>
      <c r="AQ21">
        <f>SUM(B21:AM21)</f>
        <v/>
      </c>
    </row>
    <row r="22">
      <c r="A22" t="inlineStr">
        <is>
          <t>Product_21</t>
        </is>
      </c>
      <c r="B22" t="n">
        <v>272</v>
      </c>
      <c r="C22" t="n">
        <v>280</v>
      </c>
      <c r="D22" t="n">
        <v>288</v>
      </c>
      <c r="E22" t="n">
        <v>296</v>
      </c>
      <c r="F22" t="n">
        <v>304</v>
      </c>
      <c r="G22" t="n">
        <v>312</v>
      </c>
      <c r="H22" t="n">
        <v>320</v>
      </c>
      <c r="I22" t="n">
        <v>328</v>
      </c>
      <c r="J22" t="n">
        <v>336</v>
      </c>
      <c r="K22" t="n">
        <v>344</v>
      </c>
      <c r="L22" t="n">
        <v>352</v>
      </c>
      <c r="M22" t="n">
        <v>360</v>
      </c>
      <c r="N22" t="n">
        <v>368</v>
      </c>
      <c r="O22" t="n">
        <v>376</v>
      </c>
      <c r="P22" t="n">
        <v>384</v>
      </c>
      <c r="Q22" t="n">
        <v>392</v>
      </c>
      <c r="R22" t="n">
        <v>400</v>
      </c>
      <c r="S22" t="n">
        <v>408</v>
      </c>
      <c r="T22" t="n">
        <v>416</v>
      </c>
      <c r="U22" t="n">
        <v>424</v>
      </c>
      <c r="V22" t="n">
        <v>432</v>
      </c>
      <c r="W22" t="n">
        <v>440</v>
      </c>
      <c r="X22" t="n">
        <v>448</v>
      </c>
      <c r="Y22" t="n">
        <v>456</v>
      </c>
      <c r="Z22" t="n">
        <v>464</v>
      </c>
      <c r="AA22" t="n">
        <v>472</v>
      </c>
      <c r="AB22" t="n">
        <v>480</v>
      </c>
      <c r="AC22" t="n">
        <v>488</v>
      </c>
      <c r="AD22" t="n">
        <v>496</v>
      </c>
      <c r="AE22" t="n">
        <v>504</v>
      </c>
      <c r="AF22" t="n">
        <v>512</v>
      </c>
      <c r="AG22" t="n">
        <v>520</v>
      </c>
      <c r="AH22" t="n">
        <v>528</v>
      </c>
      <c r="AI22" t="n">
        <v>536</v>
      </c>
      <c r="AJ22" t="n">
        <v>544</v>
      </c>
      <c r="AK22" t="n">
        <v>552</v>
      </c>
      <c r="AL22" t="n">
        <v>560</v>
      </c>
      <c r="AM22" t="n">
        <v>3100</v>
      </c>
      <c r="AN22" t="n">
        <v>940</v>
      </c>
      <c r="AO22" t="n">
        <v>1460</v>
      </c>
      <c r="AP22" t="n">
        <v>1150</v>
      </c>
      <c r="AQ22">
        <f>SUM(B22:AM22)</f>
        <v/>
      </c>
    </row>
    <row r="23">
      <c r="A23" t="inlineStr">
        <is>
          <t>Product_22</t>
        </is>
      </c>
      <c r="B23" t="n">
        <v>280</v>
      </c>
      <c r="C23" t="n">
        <v>288</v>
      </c>
      <c r="D23" t="n">
        <v>296</v>
      </c>
      <c r="E23" t="n">
        <v>304</v>
      </c>
      <c r="F23" t="n">
        <v>312</v>
      </c>
      <c r="G23" t="n">
        <v>320</v>
      </c>
      <c r="H23" t="n">
        <v>328</v>
      </c>
      <c r="I23" t="n">
        <v>336</v>
      </c>
      <c r="J23" t="n">
        <v>344</v>
      </c>
      <c r="K23" t="n">
        <v>352</v>
      </c>
      <c r="L23" t="n">
        <v>360</v>
      </c>
      <c r="M23" t="n">
        <v>368</v>
      </c>
      <c r="N23" t="n">
        <v>376</v>
      </c>
      <c r="O23" t="n">
        <v>384</v>
      </c>
      <c r="P23" t="n">
        <v>392</v>
      </c>
      <c r="Q23" t="n">
        <v>400</v>
      </c>
      <c r="R23" t="n">
        <v>408</v>
      </c>
      <c r="S23" t="n">
        <v>416</v>
      </c>
      <c r="T23" t="n">
        <v>424</v>
      </c>
      <c r="U23" t="n">
        <v>432</v>
      </c>
      <c r="V23" t="n">
        <v>440</v>
      </c>
      <c r="W23" t="n">
        <v>448</v>
      </c>
      <c r="X23" t="n">
        <v>456</v>
      </c>
      <c r="Y23" t="n">
        <v>464</v>
      </c>
      <c r="Z23" t="n">
        <v>472</v>
      </c>
      <c r="AA23" t="n">
        <v>480</v>
      </c>
      <c r="AB23" t="n">
        <v>488</v>
      </c>
      <c r="AC23" t="n">
        <v>496</v>
      </c>
      <c r="AD23" t="n">
        <v>504</v>
      </c>
      <c r="AE23" t="n">
        <v>512</v>
      </c>
      <c r="AF23" t="n">
        <v>520</v>
      </c>
      <c r="AG23" t="n">
        <v>528</v>
      </c>
      <c r="AH23" t="n">
        <v>536</v>
      </c>
      <c r="AI23" t="n">
        <v>544</v>
      </c>
      <c r="AJ23" t="n">
        <v>552</v>
      </c>
      <c r="AK23" t="n">
        <v>560</v>
      </c>
      <c r="AL23" t="n">
        <v>568</v>
      </c>
      <c r="AM23" t="n">
        <v>3150</v>
      </c>
      <c r="AN23" t="n">
        <v>960</v>
      </c>
      <c r="AO23" t="n">
        <v>1490</v>
      </c>
      <c r="AP23" t="n">
        <v>1175</v>
      </c>
      <c r="AQ23">
        <f>SUM(B23:AM23)</f>
        <v/>
      </c>
    </row>
    <row r="24">
      <c r="A24" t="inlineStr">
        <is>
          <t>Product_23</t>
        </is>
      </c>
      <c r="B24" t="n">
        <v>288</v>
      </c>
      <c r="C24" t="n">
        <v>296</v>
      </c>
      <c r="D24" t="n">
        <v>304</v>
      </c>
      <c r="E24" t="n">
        <v>312</v>
      </c>
      <c r="F24" t="n">
        <v>320</v>
      </c>
      <c r="G24" t="n">
        <v>328</v>
      </c>
      <c r="H24" t="n">
        <v>336</v>
      </c>
      <c r="I24" t="n">
        <v>344</v>
      </c>
      <c r="J24" t="n">
        <v>352</v>
      </c>
      <c r="K24" t="n">
        <v>360</v>
      </c>
      <c r="L24" t="n">
        <v>368</v>
      </c>
      <c r="M24" t="n">
        <v>376</v>
      </c>
      <c r="N24" t="n">
        <v>384</v>
      </c>
      <c r="O24" t="n">
        <v>392</v>
      </c>
      <c r="P24" t="n">
        <v>400</v>
      </c>
      <c r="Q24" t="n">
        <v>408</v>
      </c>
      <c r="R24" t="n">
        <v>416</v>
      </c>
      <c r="S24" t="n">
        <v>424</v>
      </c>
      <c r="T24" t="n">
        <v>432</v>
      </c>
      <c r="U24" t="n">
        <v>440</v>
      </c>
      <c r="V24" t="n">
        <v>448</v>
      </c>
      <c r="W24" t="n">
        <v>456</v>
      </c>
      <c r="X24" t="n">
        <v>464</v>
      </c>
      <c r="Y24" t="n">
        <v>472</v>
      </c>
      <c r="Z24" t="n">
        <v>480</v>
      </c>
      <c r="AA24" t="n">
        <v>488</v>
      </c>
      <c r="AB24" t="n">
        <v>496</v>
      </c>
      <c r="AC24" t="n">
        <v>504</v>
      </c>
      <c r="AD24" t="n">
        <v>512</v>
      </c>
      <c r="AE24" t="n">
        <v>520</v>
      </c>
      <c r="AF24" t="n">
        <v>528</v>
      </c>
      <c r="AG24" t="n">
        <v>536</v>
      </c>
      <c r="AH24" t="n">
        <v>544</v>
      </c>
      <c r="AI24" t="n">
        <v>552</v>
      </c>
      <c r="AJ24" t="n">
        <v>560</v>
      </c>
      <c r="AK24" t="n">
        <v>568</v>
      </c>
      <c r="AL24" t="n">
        <v>576</v>
      </c>
      <c r="AM24" t="n">
        <v>3200</v>
      </c>
      <c r="AN24" t="n">
        <v>980</v>
      </c>
      <c r="AO24" t="n">
        <v>1520</v>
      </c>
      <c r="AP24" t="n">
        <v>1200</v>
      </c>
      <c r="AQ24">
        <f>SUM(B24:AM24)</f>
        <v/>
      </c>
    </row>
    <row r="25">
      <c r="A25" t="inlineStr">
        <is>
          <t>Product_24</t>
        </is>
      </c>
      <c r="B25" t="n">
        <v>296</v>
      </c>
      <c r="C25" t="n">
        <v>304</v>
      </c>
      <c r="D25" t="n">
        <v>312</v>
      </c>
      <c r="E25" t="n">
        <v>320</v>
      </c>
      <c r="F25" t="n">
        <v>328</v>
      </c>
      <c r="G25" t="n">
        <v>336</v>
      </c>
      <c r="H25" t="n">
        <v>344</v>
      </c>
      <c r="I25" t="n">
        <v>352</v>
      </c>
      <c r="J25" t="n">
        <v>360</v>
      </c>
      <c r="K25" t="n">
        <v>368</v>
      </c>
      <c r="L25" t="n">
        <v>376</v>
      </c>
      <c r="M25" t="n">
        <v>384</v>
      </c>
      <c r="N25" t="n">
        <v>392</v>
      </c>
      <c r="O25" t="n">
        <v>400</v>
      </c>
      <c r="P25" t="n">
        <v>408</v>
      </c>
      <c r="Q25" t="n">
        <v>416</v>
      </c>
      <c r="R25" t="n">
        <v>424</v>
      </c>
      <c r="S25" t="n">
        <v>432</v>
      </c>
      <c r="T25" t="n">
        <v>440</v>
      </c>
      <c r="U25" t="n">
        <v>448</v>
      </c>
      <c r="V25" t="n">
        <v>456</v>
      </c>
      <c r="W25" t="n">
        <v>464</v>
      </c>
      <c r="X25" t="n">
        <v>472</v>
      </c>
      <c r="Y25" t="n">
        <v>480</v>
      </c>
      <c r="Z25" t="n">
        <v>488</v>
      </c>
      <c r="AA25" t="n">
        <v>496</v>
      </c>
      <c r="AB25" t="n">
        <v>504</v>
      </c>
      <c r="AC25" t="n">
        <v>512</v>
      </c>
      <c r="AD25" t="n">
        <v>520</v>
      </c>
      <c r="AE25" t="n">
        <v>528</v>
      </c>
      <c r="AF25" t="n">
        <v>536</v>
      </c>
      <c r="AG25" t="n">
        <v>544</v>
      </c>
      <c r="AH25" t="n">
        <v>552</v>
      </c>
      <c r="AI25" t="n">
        <v>560</v>
      </c>
      <c r="AJ25" t="n">
        <v>568</v>
      </c>
      <c r="AK25" t="n">
        <v>576</v>
      </c>
      <c r="AL25" t="n">
        <v>584</v>
      </c>
      <c r="AM25" t="n">
        <v>3250</v>
      </c>
      <c r="AN25" t="n">
        <v>1000</v>
      </c>
      <c r="AO25" t="n">
        <v>1550</v>
      </c>
      <c r="AP25" t="n">
        <v>1225</v>
      </c>
      <c r="AQ25">
        <f>SUM(B25:AM25)</f>
        <v/>
      </c>
    </row>
    <row r="26">
      <c r="A26" t="inlineStr">
        <is>
          <t>Product_25</t>
        </is>
      </c>
      <c r="B26" t="n">
        <v>304</v>
      </c>
      <c r="C26" t="n">
        <v>312</v>
      </c>
      <c r="D26" t="n">
        <v>320</v>
      </c>
      <c r="E26" t="n">
        <v>328</v>
      </c>
      <c r="F26" t="n">
        <v>336</v>
      </c>
      <c r="G26" t="n">
        <v>344</v>
      </c>
      <c r="H26" t="n">
        <v>352</v>
      </c>
      <c r="I26" t="n">
        <v>360</v>
      </c>
      <c r="J26" t="n">
        <v>368</v>
      </c>
      <c r="K26" t="n">
        <v>376</v>
      </c>
      <c r="L26" t="n">
        <v>384</v>
      </c>
      <c r="M26" t="n">
        <v>392</v>
      </c>
      <c r="N26" t="n">
        <v>400</v>
      </c>
      <c r="O26" t="n">
        <v>408</v>
      </c>
      <c r="P26" t="n">
        <v>416</v>
      </c>
      <c r="Q26" t="n">
        <v>424</v>
      </c>
      <c r="R26" t="n">
        <v>432</v>
      </c>
      <c r="S26" t="n">
        <v>440</v>
      </c>
      <c r="T26" t="n">
        <v>448</v>
      </c>
      <c r="U26" t="n">
        <v>456</v>
      </c>
      <c r="V26" t="n">
        <v>464</v>
      </c>
      <c r="W26" t="n">
        <v>472</v>
      </c>
      <c r="X26" t="n">
        <v>480</v>
      </c>
      <c r="Y26" t="n">
        <v>488</v>
      </c>
      <c r="Z26" t="n">
        <v>496</v>
      </c>
      <c r="AA26" t="n">
        <v>504</v>
      </c>
      <c r="AB26" t="n">
        <v>512</v>
      </c>
      <c r="AC26" t="n">
        <v>520</v>
      </c>
      <c r="AD26" t="n">
        <v>528</v>
      </c>
      <c r="AE26" t="n">
        <v>536</v>
      </c>
      <c r="AF26" t="n">
        <v>544</v>
      </c>
      <c r="AG26" t="n">
        <v>552</v>
      </c>
      <c r="AH26" t="n">
        <v>560</v>
      </c>
      <c r="AI26" t="n">
        <v>568</v>
      </c>
      <c r="AJ26" t="n">
        <v>576</v>
      </c>
      <c r="AK26" t="n">
        <v>584</v>
      </c>
      <c r="AL26" t="n">
        <v>592</v>
      </c>
      <c r="AM26" t="n">
        <v>3300</v>
      </c>
      <c r="AN26" t="n">
        <v>1020</v>
      </c>
      <c r="AO26" t="n">
        <v>1580</v>
      </c>
      <c r="AP26" t="n">
        <v>1250</v>
      </c>
      <c r="AQ26">
        <f>SUM(B26:AM26)</f>
        <v/>
      </c>
    </row>
    <row r="27">
      <c r="A27" t="inlineStr">
        <is>
          <t>Product_26</t>
        </is>
      </c>
      <c r="B27" t="n">
        <v>312</v>
      </c>
      <c r="C27" t="n">
        <v>320</v>
      </c>
      <c r="D27" t="n">
        <v>328</v>
      </c>
      <c r="E27" t="n">
        <v>336</v>
      </c>
      <c r="F27" t="n">
        <v>344</v>
      </c>
      <c r="G27" t="n">
        <v>352</v>
      </c>
      <c r="H27" t="n">
        <v>360</v>
      </c>
      <c r="I27" t="n">
        <v>368</v>
      </c>
      <c r="J27" t="n">
        <v>376</v>
      </c>
      <c r="K27" t="n">
        <v>384</v>
      </c>
      <c r="L27" t="n">
        <v>392</v>
      </c>
      <c r="M27" t="n">
        <v>400</v>
      </c>
      <c r="N27" t="n">
        <v>408</v>
      </c>
      <c r="O27" t="n">
        <v>416</v>
      </c>
      <c r="P27" t="n">
        <v>424</v>
      </c>
      <c r="Q27" t="n">
        <v>432</v>
      </c>
      <c r="R27" t="n">
        <v>440</v>
      </c>
      <c r="S27" t="n">
        <v>448</v>
      </c>
      <c r="T27" t="n">
        <v>456</v>
      </c>
      <c r="U27" t="n">
        <v>464</v>
      </c>
      <c r="V27" t="n">
        <v>472</v>
      </c>
      <c r="W27" t="n">
        <v>480</v>
      </c>
      <c r="X27" t="n">
        <v>488</v>
      </c>
      <c r="Y27" t="n">
        <v>496</v>
      </c>
      <c r="Z27" t="n">
        <v>504</v>
      </c>
      <c r="AA27" t="n">
        <v>512</v>
      </c>
      <c r="AB27" t="n">
        <v>520</v>
      </c>
      <c r="AC27" t="n">
        <v>528</v>
      </c>
      <c r="AD27" t="n">
        <v>536</v>
      </c>
      <c r="AE27" t="n">
        <v>544</v>
      </c>
      <c r="AF27" t="n">
        <v>552</v>
      </c>
      <c r="AG27" t="n">
        <v>560</v>
      </c>
      <c r="AH27" t="n">
        <v>568</v>
      </c>
      <c r="AI27" t="n">
        <v>576</v>
      </c>
      <c r="AJ27" t="n">
        <v>584</v>
      </c>
      <c r="AK27" t="n">
        <v>592</v>
      </c>
      <c r="AL27" t="n">
        <v>600</v>
      </c>
      <c r="AM27" t="n">
        <v>3350</v>
      </c>
      <c r="AN27" t="n">
        <v>1040</v>
      </c>
      <c r="AO27" t="n">
        <v>1610</v>
      </c>
      <c r="AP27" t="n">
        <v>1275</v>
      </c>
      <c r="AQ27">
        <f>SUM(B27:AM27)</f>
        <v/>
      </c>
    </row>
    <row r="28">
      <c r="A28" t="inlineStr">
        <is>
          <t>Product_27</t>
        </is>
      </c>
      <c r="B28" t="n">
        <v>320</v>
      </c>
      <c r="C28" t="n">
        <v>328</v>
      </c>
      <c r="D28" t="n">
        <v>336</v>
      </c>
      <c r="E28" t="n">
        <v>344</v>
      </c>
      <c r="F28" t="n">
        <v>352</v>
      </c>
      <c r="G28" t="n">
        <v>360</v>
      </c>
      <c r="H28" t="n">
        <v>368</v>
      </c>
      <c r="I28" t="n">
        <v>376</v>
      </c>
      <c r="J28" t="n">
        <v>384</v>
      </c>
      <c r="K28" t="n">
        <v>392</v>
      </c>
      <c r="L28" t="n">
        <v>400</v>
      </c>
      <c r="M28" t="n">
        <v>408</v>
      </c>
      <c r="N28" t="n">
        <v>416</v>
      </c>
      <c r="O28" t="n">
        <v>424</v>
      </c>
      <c r="P28" t="n">
        <v>432</v>
      </c>
      <c r="Q28" t="n">
        <v>440</v>
      </c>
      <c r="R28" t="n">
        <v>448</v>
      </c>
      <c r="S28" t="n">
        <v>456</v>
      </c>
      <c r="T28" t="n">
        <v>464</v>
      </c>
      <c r="U28" t="n">
        <v>472</v>
      </c>
      <c r="V28" t="n">
        <v>480</v>
      </c>
      <c r="W28" t="n">
        <v>488</v>
      </c>
      <c r="X28" t="n">
        <v>496</v>
      </c>
      <c r="Y28" t="n">
        <v>504</v>
      </c>
      <c r="Z28" t="n">
        <v>512</v>
      </c>
      <c r="AA28" t="n">
        <v>520</v>
      </c>
      <c r="AB28" t="n">
        <v>528</v>
      </c>
      <c r="AC28" t="n">
        <v>536</v>
      </c>
      <c r="AD28" t="n">
        <v>544</v>
      </c>
      <c r="AE28" t="n">
        <v>552</v>
      </c>
      <c r="AF28" t="n">
        <v>560</v>
      </c>
      <c r="AG28" t="n">
        <v>568</v>
      </c>
      <c r="AH28" t="n">
        <v>576</v>
      </c>
      <c r="AI28" t="n">
        <v>584</v>
      </c>
      <c r="AJ28" t="n">
        <v>592</v>
      </c>
      <c r="AK28" t="n">
        <v>600</v>
      </c>
      <c r="AL28" t="n">
        <v>608</v>
      </c>
      <c r="AM28" t="n">
        <v>3400</v>
      </c>
      <c r="AN28" t="n">
        <v>1060</v>
      </c>
      <c r="AO28" t="n">
        <v>1640</v>
      </c>
      <c r="AP28" t="n">
        <v>1300</v>
      </c>
      <c r="AQ28">
        <f>SUM(B28:AM28)</f>
        <v/>
      </c>
    </row>
    <row r="29">
      <c r="A29" t="inlineStr">
        <is>
          <t>Product_28</t>
        </is>
      </c>
      <c r="B29" t="n">
        <v>328</v>
      </c>
      <c r="C29" t="n">
        <v>336</v>
      </c>
      <c r="D29" t="n">
        <v>344</v>
      </c>
      <c r="E29" t="n">
        <v>352</v>
      </c>
      <c r="F29" t="n">
        <v>360</v>
      </c>
      <c r="G29" t="n">
        <v>368</v>
      </c>
      <c r="H29" t="n">
        <v>376</v>
      </c>
      <c r="I29" t="n">
        <v>384</v>
      </c>
      <c r="J29" t="n">
        <v>392</v>
      </c>
      <c r="K29" t="n">
        <v>400</v>
      </c>
      <c r="L29" t="n">
        <v>408</v>
      </c>
      <c r="M29" t="n">
        <v>416</v>
      </c>
      <c r="N29" t="n">
        <v>424</v>
      </c>
      <c r="O29" t="n">
        <v>432</v>
      </c>
      <c r="P29" t="n">
        <v>440</v>
      </c>
      <c r="Q29" t="n">
        <v>448</v>
      </c>
      <c r="R29" t="n">
        <v>456</v>
      </c>
      <c r="S29" t="n">
        <v>464</v>
      </c>
      <c r="T29" t="n">
        <v>472</v>
      </c>
      <c r="U29" t="n">
        <v>480</v>
      </c>
      <c r="V29" t="n">
        <v>488</v>
      </c>
      <c r="W29" t="n">
        <v>496</v>
      </c>
      <c r="X29" t="n">
        <v>504</v>
      </c>
      <c r="Y29" t="n">
        <v>512</v>
      </c>
      <c r="Z29" t="n">
        <v>520</v>
      </c>
      <c r="AA29" t="n">
        <v>528</v>
      </c>
      <c r="AB29" t="n">
        <v>536</v>
      </c>
      <c r="AC29" t="n">
        <v>544</v>
      </c>
      <c r="AD29" t="n">
        <v>552</v>
      </c>
      <c r="AE29" t="n">
        <v>560</v>
      </c>
      <c r="AF29" t="n">
        <v>568</v>
      </c>
      <c r="AG29" t="n">
        <v>576</v>
      </c>
      <c r="AH29" t="n">
        <v>584</v>
      </c>
      <c r="AI29" t="n">
        <v>592</v>
      </c>
      <c r="AJ29" t="n">
        <v>600</v>
      </c>
      <c r="AK29" t="n">
        <v>608</v>
      </c>
      <c r="AL29" t="n">
        <v>616</v>
      </c>
      <c r="AM29" t="n">
        <v>3450</v>
      </c>
      <c r="AN29" t="n">
        <v>1080</v>
      </c>
      <c r="AO29" t="n">
        <v>1670</v>
      </c>
      <c r="AP29" t="n">
        <v>1325</v>
      </c>
      <c r="AQ29">
        <f>SUM(B29:AM29)</f>
        <v/>
      </c>
    </row>
    <row r="30">
      <c r="A30" t="inlineStr">
        <is>
          <t>Product_29</t>
        </is>
      </c>
      <c r="B30" t="n">
        <v>336</v>
      </c>
      <c r="C30" t="n">
        <v>344</v>
      </c>
      <c r="D30" t="n">
        <v>352</v>
      </c>
      <c r="E30" t="n">
        <v>360</v>
      </c>
      <c r="F30" t="n">
        <v>368</v>
      </c>
      <c r="G30" t="n">
        <v>376</v>
      </c>
      <c r="H30" t="n">
        <v>384</v>
      </c>
      <c r="I30" t="n">
        <v>392</v>
      </c>
      <c r="J30" t="n">
        <v>400</v>
      </c>
      <c r="K30" t="n">
        <v>408</v>
      </c>
      <c r="L30" t="n">
        <v>416</v>
      </c>
      <c r="M30" t="n">
        <v>424</v>
      </c>
      <c r="N30" t="n">
        <v>432</v>
      </c>
      <c r="O30" t="n">
        <v>440</v>
      </c>
      <c r="P30" t="n">
        <v>448</v>
      </c>
      <c r="Q30" t="n">
        <v>456</v>
      </c>
      <c r="R30" t="n">
        <v>464</v>
      </c>
      <c r="S30" t="n">
        <v>472</v>
      </c>
      <c r="T30" t="n">
        <v>480</v>
      </c>
      <c r="U30" t="n">
        <v>488</v>
      </c>
      <c r="V30" t="n">
        <v>496</v>
      </c>
      <c r="W30" t="n">
        <v>504</v>
      </c>
      <c r="X30" t="n">
        <v>512</v>
      </c>
      <c r="Y30" t="n">
        <v>520</v>
      </c>
      <c r="Z30" t="n">
        <v>528</v>
      </c>
      <c r="AA30" t="n">
        <v>536</v>
      </c>
      <c r="AB30" t="n">
        <v>544</v>
      </c>
      <c r="AC30" t="n">
        <v>552</v>
      </c>
      <c r="AD30" t="n">
        <v>560</v>
      </c>
      <c r="AE30" t="n">
        <v>568</v>
      </c>
      <c r="AF30" t="n">
        <v>576</v>
      </c>
      <c r="AG30" t="n">
        <v>584</v>
      </c>
      <c r="AH30" t="n">
        <v>592</v>
      </c>
      <c r="AI30" t="n">
        <v>600</v>
      </c>
      <c r="AJ30" t="n">
        <v>608</v>
      </c>
      <c r="AK30" t="n">
        <v>616</v>
      </c>
      <c r="AL30" t="n">
        <v>624</v>
      </c>
      <c r="AM30" t="n">
        <v>3500</v>
      </c>
      <c r="AN30" t="n">
        <v>1100</v>
      </c>
      <c r="AO30" t="n">
        <v>1700</v>
      </c>
      <c r="AP30" t="n">
        <v>1350</v>
      </c>
      <c r="AQ30">
        <f>SUM(B30:AM30)</f>
        <v/>
      </c>
    </row>
    <row r="31">
      <c r="A31" t="inlineStr">
        <is>
          <t>Product_30</t>
        </is>
      </c>
      <c r="B31" t="n">
        <v>344</v>
      </c>
      <c r="C31" t="n">
        <v>352</v>
      </c>
      <c r="D31" t="n">
        <v>360</v>
      </c>
      <c r="E31" t="n">
        <v>368</v>
      </c>
      <c r="F31" t="n">
        <v>376</v>
      </c>
      <c r="G31" t="n">
        <v>384</v>
      </c>
      <c r="H31" t="n">
        <v>392</v>
      </c>
      <c r="I31" t="n">
        <v>400</v>
      </c>
      <c r="J31" t="n">
        <v>408</v>
      </c>
      <c r="K31" t="n">
        <v>416</v>
      </c>
      <c r="L31" t="n">
        <v>424</v>
      </c>
      <c r="M31" t="n">
        <v>432</v>
      </c>
      <c r="N31" t="n">
        <v>440</v>
      </c>
      <c r="O31" t="n">
        <v>448</v>
      </c>
      <c r="P31" t="n">
        <v>456</v>
      </c>
      <c r="Q31" t="n">
        <v>464</v>
      </c>
      <c r="R31" t="n">
        <v>472</v>
      </c>
      <c r="S31" t="n">
        <v>480</v>
      </c>
      <c r="T31" t="n">
        <v>488</v>
      </c>
      <c r="U31" t="n">
        <v>496</v>
      </c>
      <c r="V31" t="n">
        <v>504</v>
      </c>
      <c r="W31" t="n">
        <v>512</v>
      </c>
      <c r="X31" t="n">
        <v>520</v>
      </c>
      <c r="Y31" t="n">
        <v>528</v>
      </c>
      <c r="Z31" t="n">
        <v>536</v>
      </c>
      <c r="AA31" t="n">
        <v>544</v>
      </c>
      <c r="AB31" t="n">
        <v>552</v>
      </c>
      <c r="AC31" t="n">
        <v>560</v>
      </c>
      <c r="AD31" t="n">
        <v>568</v>
      </c>
      <c r="AE31" t="n">
        <v>576</v>
      </c>
      <c r="AF31" t="n">
        <v>584</v>
      </c>
      <c r="AG31" t="n">
        <v>592</v>
      </c>
      <c r="AH31" t="n">
        <v>600</v>
      </c>
      <c r="AI31" t="n">
        <v>608</v>
      </c>
      <c r="AJ31" t="n">
        <v>616</v>
      </c>
      <c r="AK31" t="n">
        <v>624</v>
      </c>
      <c r="AL31" t="n">
        <v>632</v>
      </c>
      <c r="AM31" t="n">
        <v>3550</v>
      </c>
      <c r="AN31" t="n">
        <v>1120</v>
      </c>
      <c r="AO31" t="n">
        <v>1730</v>
      </c>
      <c r="AP31" t="n">
        <v>1375</v>
      </c>
      <c r="AQ31">
        <f>SUM(B31:AM31)</f>
        <v/>
      </c>
    </row>
    <row r="32">
      <c r="A32" t="inlineStr">
        <is>
          <t>Product_31</t>
        </is>
      </c>
      <c r="B32" t="n">
        <v>352</v>
      </c>
      <c r="C32" t="n">
        <v>360</v>
      </c>
      <c r="D32" t="n">
        <v>368</v>
      </c>
      <c r="E32" t="n">
        <v>376</v>
      </c>
      <c r="F32" t="n">
        <v>384</v>
      </c>
      <c r="G32" t="n">
        <v>392</v>
      </c>
      <c r="H32" t="n">
        <v>400</v>
      </c>
      <c r="I32" t="n">
        <v>408</v>
      </c>
      <c r="J32" t="n">
        <v>416</v>
      </c>
      <c r="K32" t="n">
        <v>424</v>
      </c>
      <c r="L32" t="n">
        <v>432</v>
      </c>
      <c r="M32" t="n">
        <v>440</v>
      </c>
      <c r="N32" t="n">
        <v>448</v>
      </c>
      <c r="O32" t="n">
        <v>456</v>
      </c>
      <c r="P32" t="n">
        <v>464</v>
      </c>
      <c r="Q32" t="n">
        <v>472</v>
      </c>
      <c r="R32" t="n">
        <v>480</v>
      </c>
      <c r="S32" t="n">
        <v>488</v>
      </c>
      <c r="T32" t="n">
        <v>496</v>
      </c>
      <c r="U32" t="n">
        <v>504</v>
      </c>
      <c r="V32" t="n">
        <v>512</v>
      </c>
      <c r="W32" t="n">
        <v>520</v>
      </c>
      <c r="X32" t="n">
        <v>528</v>
      </c>
      <c r="Y32" t="n">
        <v>536</v>
      </c>
      <c r="Z32" t="n">
        <v>544</v>
      </c>
      <c r="AA32" t="n">
        <v>552</v>
      </c>
      <c r="AB32" t="n">
        <v>560</v>
      </c>
      <c r="AC32" t="n">
        <v>568</v>
      </c>
      <c r="AD32" t="n">
        <v>576</v>
      </c>
      <c r="AE32" t="n">
        <v>584</v>
      </c>
      <c r="AF32" t="n">
        <v>592</v>
      </c>
      <c r="AG32" t="n">
        <v>600</v>
      </c>
      <c r="AH32" t="n">
        <v>608</v>
      </c>
      <c r="AI32" t="n">
        <v>616</v>
      </c>
      <c r="AJ32" t="n">
        <v>624</v>
      </c>
      <c r="AK32" t="n">
        <v>632</v>
      </c>
      <c r="AL32" t="n">
        <v>640</v>
      </c>
      <c r="AM32" t="n">
        <v>3600</v>
      </c>
      <c r="AN32" t="n">
        <v>1140</v>
      </c>
      <c r="AO32" t="n">
        <v>1760</v>
      </c>
      <c r="AP32" t="n">
        <v>1400</v>
      </c>
      <c r="AQ32">
        <f>SUM(B32:AM32)</f>
        <v/>
      </c>
    </row>
    <row r="33">
      <c r="A33" t="inlineStr">
        <is>
          <t>Product_32</t>
        </is>
      </c>
      <c r="B33" t="n">
        <v>360</v>
      </c>
      <c r="C33" t="n">
        <v>368</v>
      </c>
      <c r="D33" t="n">
        <v>376</v>
      </c>
      <c r="E33" t="n">
        <v>384</v>
      </c>
      <c r="F33" t="n">
        <v>392</v>
      </c>
      <c r="G33" t="n">
        <v>400</v>
      </c>
      <c r="H33" t="n">
        <v>408</v>
      </c>
      <c r="I33" t="n">
        <v>416</v>
      </c>
      <c r="J33" t="n">
        <v>424</v>
      </c>
      <c r="K33" t="n">
        <v>432</v>
      </c>
      <c r="L33" t="n">
        <v>440</v>
      </c>
      <c r="M33" t="n">
        <v>448</v>
      </c>
      <c r="N33" t="n">
        <v>456</v>
      </c>
      <c r="O33" t="n">
        <v>464</v>
      </c>
      <c r="P33" t="n">
        <v>472</v>
      </c>
      <c r="Q33" t="n">
        <v>480</v>
      </c>
      <c r="R33" t="n">
        <v>488</v>
      </c>
      <c r="S33" t="n">
        <v>496</v>
      </c>
      <c r="T33" t="n">
        <v>504</v>
      </c>
      <c r="U33" t="n">
        <v>512</v>
      </c>
      <c r="V33" t="n">
        <v>520</v>
      </c>
      <c r="W33" t="n">
        <v>528</v>
      </c>
      <c r="X33" t="n">
        <v>536</v>
      </c>
      <c r="Y33" t="n">
        <v>544</v>
      </c>
      <c r="Z33" t="n">
        <v>552</v>
      </c>
      <c r="AA33" t="n">
        <v>560</v>
      </c>
      <c r="AB33" t="n">
        <v>568</v>
      </c>
      <c r="AC33" t="n">
        <v>576</v>
      </c>
      <c r="AD33" t="n">
        <v>584</v>
      </c>
      <c r="AE33" t="n">
        <v>592</v>
      </c>
      <c r="AF33" t="n">
        <v>600</v>
      </c>
      <c r="AG33" t="n">
        <v>608</v>
      </c>
      <c r="AH33" t="n">
        <v>616</v>
      </c>
      <c r="AI33" t="n">
        <v>624</v>
      </c>
      <c r="AJ33" t="n">
        <v>632</v>
      </c>
      <c r="AK33" t="n">
        <v>640</v>
      </c>
      <c r="AL33" t="n">
        <v>648</v>
      </c>
      <c r="AM33" t="n">
        <v>3650</v>
      </c>
      <c r="AN33" t="n">
        <v>1160</v>
      </c>
      <c r="AO33" t="n">
        <v>1790</v>
      </c>
      <c r="AP33" t="n">
        <v>1425</v>
      </c>
      <c r="AQ33">
        <f>SUM(B33:AM33)</f>
        <v/>
      </c>
    </row>
    <row r="34">
      <c r="A34" t="inlineStr">
        <is>
          <t>Product_33</t>
        </is>
      </c>
      <c r="B34" t="n">
        <v>368</v>
      </c>
      <c r="C34" t="n">
        <v>376</v>
      </c>
      <c r="D34" t="n">
        <v>384</v>
      </c>
      <c r="E34" t="n">
        <v>392</v>
      </c>
      <c r="F34" t="n">
        <v>400</v>
      </c>
      <c r="G34" t="n">
        <v>408</v>
      </c>
      <c r="H34" t="n">
        <v>416</v>
      </c>
      <c r="I34" t="n">
        <v>424</v>
      </c>
      <c r="J34" t="n">
        <v>432</v>
      </c>
      <c r="K34" t="n">
        <v>440</v>
      </c>
      <c r="L34" t="n">
        <v>448</v>
      </c>
      <c r="M34" t="n">
        <v>456</v>
      </c>
      <c r="N34" t="n">
        <v>464</v>
      </c>
      <c r="O34" t="n">
        <v>472</v>
      </c>
      <c r="P34" t="n">
        <v>480</v>
      </c>
      <c r="Q34" t="n">
        <v>488</v>
      </c>
      <c r="R34" t="n">
        <v>496</v>
      </c>
      <c r="S34" t="n">
        <v>504</v>
      </c>
      <c r="T34" t="n">
        <v>512</v>
      </c>
      <c r="U34" t="n">
        <v>520</v>
      </c>
      <c r="V34" t="n">
        <v>528</v>
      </c>
      <c r="W34" t="n">
        <v>536</v>
      </c>
      <c r="X34" t="n">
        <v>544</v>
      </c>
      <c r="Y34" t="n">
        <v>552</v>
      </c>
      <c r="Z34" t="n">
        <v>560</v>
      </c>
      <c r="AA34" t="n">
        <v>568</v>
      </c>
      <c r="AB34" t="n">
        <v>576</v>
      </c>
      <c r="AC34" t="n">
        <v>584</v>
      </c>
      <c r="AD34" t="n">
        <v>592</v>
      </c>
      <c r="AE34" t="n">
        <v>600</v>
      </c>
      <c r="AF34" t="n">
        <v>608</v>
      </c>
      <c r="AG34" t="n">
        <v>616</v>
      </c>
      <c r="AH34" t="n">
        <v>624</v>
      </c>
      <c r="AI34" t="n">
        <v>632</v>
      </c>
      <c r="AJ34" t="n">
        <v>640</v>
      </c>
      <c r="AK34" t="n">
        <v>648</v>
      </c>
      <c r="AL34" t="n">
        <v>656</v>
      </c>
      <c r="AM34" t="n">
        <v>3700</v>
      </c>
      <c r="AN34" t="n">
        <v>1180</v>
      </c>
      <c r="AO34" t="n">
        <v>1820</v>
      </c>
      <c r="AP34" t="n">
        <v>1450</v>
      </c>
      <c r="AQ34">
        <f>SUM(B34:AM34)</f>
        <v/>
      </c>
    </row>
    <row r="35">
      <c r="A35" t="inlineStr">
        <is>
          <t>Product_34</t>
        </is>
      </c>
      <c r="B35" t="n">
        <v>376</v>
      </c>
      <c r="C35" t="n">
        <v>384</v>
      </c>
      <c r="D35" t="n">
        <v>392</v>
      </c>
      <c r="E35" t="n">
        <v>400</v>
      </c>
      <c r="F35" t="n">
        <v>408</v>
      </c>
      <c r="G35" t="n">
        <v>416</v>
      </c>
      <c r="H35" t="n">
        <v>424</v>
      </c>
      <c r="I35" t="n">
        <v>432</v>
      </c>
      <c r="J35" t="n">
        <v>440</v>
      </c>
      <c r="K35" t="n">
        <v>448</v>
      </c>
      <c r="L35" t="n">
        <v>456</v>
      </c>
      <c r="M35" t="n">
        <v>464</v>
      </c>
      <c r="N35" t="n">
        <v>472</v>
      </c>
      <c r="O35" t="n">
        <v>480</v>
      </c>
      <c r="P35" t="n">
        <v>488</v>
      </c>
      <c r="Q35" t="n">
        <v>496</v>
      </c>
      <c r="R35" t="n">
        <v>504</v>
      </c>
      <c r="S35" t="n">
        <v>512</v>
      </c>
      <c r="T35" t="n">
        <v>520</v>
      </c>
      <c r="U35" t="n">
        <v>528</v>
      </c>
      <c r="V35" t="n">
        <v>536</v>
      </c>
      <c r="W35" t="n">
        <v>544</v>
      </c>
      <c r="X35" t="n">
        <v>552</v>
      </c>
      <c r="Y35" t="n">
        <v>560</v>
      </c>
      <c r="Z35" t="n">
        <v>568</v>
      </c>
      <c r="AA35" t="n">
        <v>576</v>
      </c>
      <c r="AB35" t="n">
        <v>584</v>
      </c>
      <c r="AC35" t="n">
        <v>592</v>
      </c>
      <c r="AD35" t="n">
        <v>600</v>
      </c>
      <c r="AE35" t="n">
        <v>608</v>
      </c>
      <c r="AF35" t="n">
        <v>616</v>
      </c>
      <c r="AG35" t="n">
        <v>624</v>
      </c>
      <c r="AH35" t="n">
        <v>632</v>
      </c>
      <c r="AI35" t="n">
        <v>640</v>
      </c>
      <c r="AJ35" t="n">
        <v>648</v>
      </c>
      <c r="AK35" t="n">
        <v>656</v>
      </c>
      <c r="AL35" t="n">
        <v>664</v>
      </c>
      <c r="AM35" t="n">
        <v>3750</v>
      </c>
      <c r="AN35" t="n">
        <v>1200</v>
      </c>
      <c r="AO35" t="n">
        <v>1850</v>
      </c>
      <c r="AP35" t="n">
        <v>1475</v>
      </c>
      <c r="AQ35">
        <f>SUM(B35:AM35)</f>
        <v/>
      </c>
    </row>
    <row r="36">
      <c r="A36" t="inlineStr">
        <is>
          <t>Product_35</t>
        </is>
      </c>
      <c r="B36" t="n">
        <v>384</v>
      </c>
      <c r="C36" t="n">
        <v>392</v>
      </c>
      <c r="D36" t="n">
        <v>400</v>
      </c>
      <c r="E36" t="n">
        <v>408</v>
      </c>
      <c r="F36" t="n">
        <v>416</v>
      </c>
      <c r="G36" t="n">
        <v>424</v>
      </c>
      <c r="H36" t="n">
        <v>432</v>
      </c>
      <c r="I36" t="n">
        <v>440</v>
      </c>
      <c r="J36" t="n">
        <v>448</v>
      </c>
      <c r="K36" t="n">
        <v>456</v>
      </c>
      <c r="L36" t="n">
        <v>464</v>
      </c>
      <c r="M36" t="n">
        <v>472</v>
      </c>
      <c r="N36" t="n">
        <v>480</v>
      </c>
      <c r="O36" t="n">
        <v>488</v>
      </c>
      <c r="P36" t="n">
        <v>496</v>
      </c>
      <c r="Q36" t="n">
        <v>504</v>
      </c>
      <c r="R36" t="n">
        <v>512</v>
      </c>
      <c r="S36" t="n">
        <v>520</v>
      </c>
      <c r="T36" t="n">
        <v>528</v>
      </c>
      <c r="U36" t="n">
        <v>536</v>
      </c>
      <c r="V36" t="n">
        <v>544</v>
      </c>
      <c r="W36" t="n">
        <v>552</v>
      </c>
      <c r="X36" t="n">
        <v>560</v>
      </c>
      <c r="Y36" t="n">
        <v>568</v>
      </c>
      <c r="Z36" t="n">
        <v>576</v>
      </c>
      <c r="AA36" t="n">
        <v>584</v>
      </c>
      <c r="AB36" t="n">
        <v>592</v>
      </c>
      <c r="AC36" t="n">
        <v>600</v>
      </c>
      <c r="AD36" t="n">
        <v>608</v>
      </c>
      <c r="AE36" t="n">
        <v>616</v>
      </c>
      <c r="AF36" t="n">
        <v>624</v>
      </c>
      <c r="AG36" t="n">
        <v>632</v>
      </c>
      <c r="AH36" t="n">
        <v>640</v>
      </c>
      <c r="AI36" t="n">
        <v>648</v>
      </c>
      <c r="AJ36" t="n">
        <v>656</v>
      </c>
      <c r="AK36" t="n">
        <v>664</v>
      </c>
      <c r="AL36" t="n">
        <v>672</v>
      </c>
      <c r="AM36" t="n">
        <v>3800</v>
      </c>
      <c r="AN36" t="n">
        <v>1220</v>
      </c>
      <c r="AO36" t="n">
        <v>1880</v>
      </c>
      <c r="AP36" t="n">
        <v>1500</v>
      </c>
      <c r="AQ36">
        <f>SUM(B36:AM36)</f>
        <v/>
      </c>
    </row>
    <row r="37">
      <c r="A37" t="inlineStr">
        <is>
          <t>Product_36</t>
        </is>
      </c>
      <c r="B37" t="n">
        <v>392</v>
      </c>
      <c r="C37" t="n">
        <v>400</v>
      </c>
      <c r="D37" t="n">
        <v>408</v>
      </c>
      <c r="E37" t="n">
        <v>416</v>
      </c>
      <c r="F37" t="n">
        <v>424</v>
      </c>
      <c r="G37" t="n">
        <v>432</v>
      </c>
      <c r="H37" t="n">
        <v>440</v>
      </c>
      <c r="I37" t="n">
        <v>448</v>
      </c>
      <c r="J37" t="n">
        <v>456</v>
      </c>
      <c r="K37" t="n">
        <v>464</v>
      </c>
      <c r="L37" t="n">
        <v>472</v>
      </c>
      <c r="M37" t="n">
        <v>480</v>
      </c>
      <c r="N37" t="n">
        <v>488</v>
      </c>
      <c r="O37" t="n">
        <v>496</v>
      </c>
      <c r="P37" t="n">
        <v>504</v>
      </c>
      <c r="Q37" t="n">
        <v>512</v>
      </c>
      <c r="R37" t="n">
        <v>520</v>
      </c>
      <c r="S37" t="n">
        <v>528</v>
      </c>
      <c r="T37" t="n">
        <v>536</v>
      </c>
      <c r="U37" t="n">
        <v>544</v>
      </c>
      <c r="V37" t="n">
        <v>552</v>
      </c>
      <c r="W37" t="n">
        <v>560</v>
      </c>
      <c r="X37" t="n">
        <v>568</v>
      </c>
      <c r="Y37" t="n">
        <v>576</v>
      </c>
      <c r="Z37" t="n">
        <v>584</v>
      </c>
      <c r="AA37" t="n">
        <v>592</v>
      </c>
      <c r="AB37" t="n">
        <v>600</v>
      </c>
      <c r="AC37" t="n">
        <v>608</v>
      </c>
      <c r="AD37" t="n">
        <v>616</v>
      </c>
      <c r="AE37" t="n">
        <v>624</v>
      </c>
      <c r="AF37" t="n">
        <v>632</v>
      </c>
      <c r="AG37" t="n">
        <v>640</v>
      </c>
      <c r="AH37" t="n">
        <v>648</v>
      </c>
      <c r="AI37" t="n">
        <v>656</v>
      </c>
      <c r="AJ37" t="n">
        <v>664</v>
      </c>
      <c r="AK37" t="n">
        <v>672</v>
      </c>
      <c r="AL37" t="n">
        <v>680</v>
      </c>
      <c r="AM37" t="n">
        <v>3850</v>
      </c>
      <c r="AN37" t="n">
        <v>1240</v>
      </c>
      <c r="AO37" t="n">
        <v>1910</v>
      </c>
      <c r="AP37" t="n">
        <v>1525</v>
      </c>
      <c r="AQ37">
        <f>SUM(B37:AM37)</f>
        <v/>
      </c>
    </row>
    <row r="38">
      <c r="A38" t="inlineStr">
        <is>
          <t>Product_37</t>
        </is>
      </c>
      <c r="B38" t="n">
        <v>400</v>
      </c>
      <c r="C38" t="n">
        <v>408</v>
      </c>
      <c r="D38" t="n">
        <v>416</v>
      </c>
      <c r="E38" t="n">
        <v>424</v>
      </c>
      <c r="F38" t="n">
        <v>432</v>
      </c>
      <c r="G38" t="n">
        <v>440</v>
      </c>
      <c r="H38" t="n">
        <v>448</v>
      </c>
      <c r="I38" t="n">
        <v>456</v>
      </c>
      <c r="J38" t="n">
        <v>464</v>
      </c>
      <c r="K38" t="n">
        <v>472</v>
      </c>
      <c r="L38" t="n">
        <v>480</v>
      </c>
      <c r="M38" t="n">
        <v>488</v>
      </c>
      <c r="N38" t="n">
        <v>496</v>
      </c>
      <c r="O38" t="n">
        <v>504</v>
      </c>
      <c r="P38" t="n">
        <v>512</v>
      </c>
      <c r="Q38" t="n">
        <v>520</v>
      </c>
      <c r="R38" t="n">
        <v>528</v>
      </c>
      <c r="S38" t="n">
        <v>536</v>
      </c>
      <c r="T38" t="n">
        <v>544</v>
      </c>
      <c r="U38" t="n">
        <v>552</v>
      </c>
      <c r="V38" t="n">
        <v>560</v>
      </c>
      <c r="W38" t="n">
        <v>568</v>
      </c>
      <c r="X38" t="n">
        <v>576</v>
      </c>
      <c r="Y38" t="n">
        <v>584</v>
      </c>
      <c r="Z38" t="n">
        <v>592</v>
      </c>
      <c r="AA38" t="n">
        <v>600</v>
      </c>
      <c r="AB38" t="n">
        <v>608</v>
      </c>
      <c r="AC38" t="n">
        <v>616</v>
      </c>
      <c r="AD38" t="n">
        <v>624</v>
      </c>
      <c r="AE38" t="n">
        <v>632</v>
      </c>
      <c r="AF38" t="n">
        <v>640</v>
      </c>
      <c r="AG38" t="n">
        <v>648</v>
      </c>
      <c r="AH38" t="n">
        <v>656</v>
      </c>
      <c r="AI38" t="n">
        <v>664</v>
      </c>
      <c r="AJ38" t="n">
        <v>672</v>
      </c>
      <c r="AK38" t="n">
        <v>680</v>
      </c>
      <c r="AL38" t="n">
        <v>688</v>
      </c>
      <c r="AM38" t="n">
        <v>3900</v>
      </c>
      <c r="AN38" t="n">
        <v>1260</v>
      </c>
      <c r="AO38" t="n">
        <v>1940</v>
      </c>
      <c r="AP38" t="n">
        <v>1550</v>
      </c>
      <c r="AQ38">
        <f>SUM(B38:AM38)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Total Supply</t>
        </is>
      </c>
      <c r="D1" t="inlineStr">
        <is>
          <t>Total Imports</t>
        </is>
      </c>
      <c r="E1" t="inlineStr">
        <is>
          <t>Domestic Production</t>
        </is>
      </c>
      <c r="F1" t="inlineStr">
        <is>
          <t>Total Use</t>
        </is>
      </c>
      <c r="G1" t="inlineStr">
        <is>
          <t>GFCF (Investment)</t>
        </is>
      </c>
      <c r="H1" t="inlineStr">
        <is>
          <t>Import Content of Investment</t>
        </is>
      </c>
    </row>
    <row r="2">
      <c r="A2" t="inlineStr">
        <is>
          <t>Construction</t>
        </is>
      </c>
      <c r="B2" t="inlineStr">
        <is>
          <t>Construction products</t>
        </is>
      </c>
      <c r="C2">
        <f>SUM(SUPPLY!C30:AN30)</f>
        <v/>
      </c>
      <c r="D2">
        <f>SUPPLY!B30</f>
        <v/>
      </c>
      <c r="E2">
        <f>C2-D2</f>
        <v/>
      </c>
      <c r="F2">
        <f>USE!AO30</f>
        <v/>
      </c>
      <c r="G2">
        <f>USE!AO30</f>
        <v/>
      </c>
      <c r="H2">
        <f>D2/C2</f>
        <v/>
      </c>
    </row>
    <row r="3">
      <c r="A3" t="inlineStr">
        <is>
          <t>Machinery</t>
        </is>
      </c>
      <c r="B3" t="inlineStr">
        <is>
          <t>Machinery and equipment</t>
        </is>
      </c>
      <c r="C3">
        <f>SUM(SUPPLY!C25:AN25)</f>
        <v/>
      </c>
      <c r="D3">
        <f>SUPPLY!B25</f>
        <v/>
      </c>
      <c r="E3">
        <f>C3-D3</f>
        <v/>
      </c>
      <c r="F3">
        <f>USE!AO25</f>
        <v/>
      </c>
      <c r="G3">
        <f>USE!AO25</f>
        <v/>
      </c>
      <c r="H3">
        <f>D3/C3</f>
        <v/>
      </c>
    </row>
    <row r="4">
      <c r="A4" t="inlineStr">
        <is>
          <t>Other</t>
        </is>
      </c>
      <c r="B4" t="inlineStr">
        <is>
          <t>Other investment goods</t>
        </is>
      </c>
      <c r="C4">
        <f>SUM(SUPPLY!C20:AN20)</f>
        <v/>
      </c>
      <c r="D4">
        <f>SUPPLY!B20</f>
        <v/>
      </c>
      <c r="E4">
        <f>C4-D4</f>
        <v/>
      </c>
      <c r="F4">
        <f>USE!AO20</f>
        <v/>
      </c>
      <c r="G4">
        <f>USE!AO20</f>
        <v/>
      </c>
      <c r="H4">
        <f>D4/C4</f>
        <v/>
      </c>
    </row>
    <row r="6">
      <c r="A6" t="inlineStr">
        <is>
          <t>Total</t>
        </is>
      </c>
      <c r="C6">
        <f>SUM(C2:C4)</f>
        <v/>
      </c>
      <c r="D6">
        <f>SUM(D2:D4)</f>
        <v/>
      </c>
      <c r="E6">
        <f>SUM(E2:E4)</f>
        <v/>
      </c>
      <c r="F6">
        <f>SUM(F2:F4)</f>
        <v/>
      </c>
      <c r="G6">
        <f>SUM(G2:G4)</f>
        <v/>
      </c>
      <c r="H6">
        <f>D6/C6</f>
        <v/>
      </c>
    </row>
    <row r="46">
      <c r="A46" t="inlineStr">
        <is>
          <t>Estimated Import Content Share</t>
        </is>
      </c>
      <c r="C46">
        <f>SUMPRODUCT(G2:G4,H2:H4)/SUM(G2:G4)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2026-01-26T12:40:28Z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