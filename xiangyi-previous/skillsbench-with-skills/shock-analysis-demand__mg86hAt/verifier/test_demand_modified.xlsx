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T Calc" sheetId="2" state="visible" r:id="rId2"/>
    <sheet name="SUPPLY" sheetId="3" state="visible" r:id="rId3"/>
    <sheet name="USE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</font>
    <font>
      <color rgb="0000800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5" customWidth="1" min="4" max="4"/>
    <col width="18" customWidth="1" min="5" max="5"/>
  </cols>
  <sheetData>
    <row r="1">
      <c r="A1" s="1" t="inlineStr">
        <is>
          <t>Year</t>
        </is>
      </c>
      <c r="B1" s="1" t="inlineStr">
        <is>
          <t>Real GDP Growth</t>
        </is>
      </c>
      <c r="C1" s="1" t="inlineStr">
        <is>
          <t>Nominal GDP (USD bn)</t>
        </is>
      </c>
      <c r="D1" s="1" t="inlineStr">
        <is>
          <t>GDP Deflator</t>
        </is>
      </c>
      <c r="E1" s="1" t="inlineStr">
        <is>
          <t>GDP Deflator Growth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SUT Analysis</t>
        </is>
      </c>
    </row>
    <row r="3">
      <c r="A3" s="1" t="inlineStr">
        <is>
          <t>Industry</t>
        </is>
      </c>
      <c r="B3" s="1" t="inlineStr">
        <is>
          <t>Output</t>
        </is>
      </c>
      <c r="C3" s="1" t="inlineStr">
        <is>
          <t>Imports</t>
        </is>
      </c>
      <c r="D3" s="1" t="inlineStr">
        <is>
          <t>Total Supply</t>
        </is>
      </c>
      <c r="E3" s="1" t="inlineStr">
        <is>
          <t>Domestic Use</t>
        </is>
      </c>
      <c r="F3" s="1" t="inlineStr">
        <is>
          <t>Import Content %</t>
        </is>
      </c>
    </row>
    <row r="46">
      <c r="A46" s="4" t="inlineStr">
        <is>
          <t>Aggregate Import Content Share</t>
        </is>
      </c>
      <c r="C46">
        <f>SUMPRODUCT(C4:C45,E4:E45)/SUM(E4:E45)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Supply Table Template</t>
        </is>
      </c>
    </row>
    <row r="2">
      <c r="A2" t="inlineStr">
        <is>
          <t>Data to be populated from Geostat (38x38)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Use Table Template</t>
        </is>
      </c>
    </row>
    <row r="2">
      <c r="A2" t="inlineStr">
        <is>
          <t>Data to be populated from Geostat (38x38)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3" t="inlineStr">
        <is>
          <t>NATIONAL ACCOUNTS IMPACT ANALYSIS</t>
        </is>
      </c>
    </row>
    <row r="3">
      <c r="A3" s="4" t="inlineStr">
        <is>
          <t>Assumptions</t>
        </is>
      </c>
    </row>
    <row r="4">
      <c r="A4" t="inlineStr">
        <is>
          <t>Lari/USD Exchange Rate</t>
        </is>
      </c>
      <c r="B4" t="inlineStr">
        <is>
          <t>=</t>
        </is>
      </c>
      <c r="C4" s="5" t="n">
        <v>2.746</v>
      </c>
    </row>
    <row r="5">
      <c r="A5" t="inlineStr">
        <is>
          <t>Demand Multiplier (Small Open Economy)</t>
        </is>
      </c>
      <c r="B5" t="inlineStr">
        <is>
          <t>=</t>
        </is>
      </c>
      <c r="C5" s="5" t="n">
        <v>0.8</v>
      </c>
    </row>
    <row r="6">
      <c r="A6" t="inlineStr">
        <is>
          <t>Investment Duration (years)</t>
        </is>
      </c>
      <c r="B6" t="inlineStr">
        <is>
          <t>=</t>
        </is>
      </c>
      <c r="C6" s="5" t="n">
        <v>8</v>
      </c>
    </row>
    <row r="7">
      <c r="A7" t="inlineStr">
        <is>
          <t>Total Investment (USD bn)</t>
        </is>
      </c>
      <c r="B7" t="inlineStr">
        <is>
          <t>=</t>
        </is>
      </c>
      <c r="C7" s="5" t="n">
        <v>6.5</v>
      </c>
    </row>
    <row r="8">
      <c r="A8" t="inlineStr">
        <is>
          <t>Import Content Share</t>
        </is>
      </c>
      <c r="B8" t="inlineStr">
        <is>
          <t>=</t>
        </is>
      </c>
      <c r="C8" s="6">
        <f>'SUT Calc'!C46</f>
        <v/>
      </c>
    </row>
    <row r="9">
      <c r="A9" t="inlineStr">
        <is>
          <t>Investment Deflator</t>
        </is>
      </c>
      <c r="B9" t="inlineStr">
        <is>
          <t>=</t>
        </is>
      </c>
      <c r="C9" s="6">
        <f>'WEO_Data'!D2</f>
        <v/>
      </c>
    </row>
    <row r="12">
      <c r="A12" s="7" t="inlineStr">
        <is>
          <t>SCENARIO 1: Base Case</t>
        </is>
      </c>
    </row>
    <row r="14">
      <c r="A14" s="1" t="inlineStr">
        <is>
          <t>Year</t>
        </is>
      </c>
      <c r="B14" s="1" t="inlineStr">
        <is>
          <t>Annual Investment (USD bn)</t>
        </is>
      </c>
      <c r="C14" s="1" t="inlineStr">
        <is>
          <t>Annual Investment (Lari bn)</t>
        </is>
      </c>
      <c r="D14" s="1" t="inlineStr">
        <is>
          <t>Investment Deflator</t>
        </is>
      </c>
      <c r="E14" s="1" t="inlineStr">
        <is>
          <t>Real Investment (Lari bn)</t>
        </is>
      </c>
      <c r="F14" s="1" t="inlineStr">
        <is>
          <t>Demand Component</t>
        </is>
      </c>
      <c r="G14" s="1" t="inlineStr">
        <is>
          <t>Import Component</t>
        </is>
      </c>
      <c r="H14" s="1" t="inlineStr">
        <is>
          <t>Domestic Component</t>
        </is>
      </c>
      <c r="I14" s="1" t="inlineStr">
        <is>
          <t>GDP Impact (USD bn)</t>
        </is>
      </c>
      <c r="J14" s="1" t="inlineStr">
        <is>
          <t>GDP Impact (% of baseline)</t>
        </is>
      </c>
    </row>
    <row r="15">
      <c r="A15" s="2" t="n">
        <v>2026</v>
      </c>
      <c r="B15">
        <f>C7*0.05</f>
        <v/>
      </c>
      <c r="C15">
        <f>B15*C4</f>
        <v/>
      </c>
      <c r="D15">
        <f>'WEO_Data'!D2</f>
        <v/>
      </c>
      <c r="E15">
        <f>C15/D15</f>
        <v/>
      </c>
      <c r="F15">
        <f>E15*C5</f>
        <v/>
      </c>
      <c r="G15">
        <f>F15*C8</f>
        <v/>
      </c>
      <c r="H15">
        <f>F15*(1-C8)</f>
        <v/>
      </c>
      <c r="I15">
        <f>H15/C4</f>
        <v/>
      </c>
      <c r="J15">
        <f>I15/'WEO_Data'!C2</f>
        <v/>
      </c>
    </row>
    <row r="16">
      <c r="A16" s="2" t="n">
        <v>2027</v>
      </c>
      <c r="B16">
        <f>C7*0.1</f>
        <v/>
      </c>
      <c r="C16">
        <f>B16*C4</f>
        <v/>
      </c>
      <c r="D16">
        <f>'WEO_Data'!D3</f>
        <v/>
      </c>
      <c r="E16">
        <f>C16/D16</f>
        <v/>
      </c>
      <c r="F16">
        <f>E16*C5</f>
        <v/>
      </c>
      <c r="G16">
        <f>F16*C8</f>
        <v/>
      </c>
      <c r="H16">
        <f>F16*(1-C8)</f>
        <v/>
      </c>
      <c r="I16">
        <f>H16/C4</f>
        <v/>
      </c>
      <c r="J16">
        <f>I16/'WEO_Data'!C3</f>
        <v/>
      </c>
    </row>
    <row r="17">
      <c r="A17" s="2" t="n">
        <v>2028</v>
      </c>
      <c r="B17">
        <f>C7*0.15</f>
        <v/>
      </c>
      <c r="C17">
        <f>B17*C4</f>
        <v/>
      </c>
      <c r="D17">
        <f>'WEO_Data'!D4</f>
        <v/>
      </c>
      <c r="E17">
        <f>C17/D17</f>
        <v/>
      </c>
      <c r="F17">
        <f>E17*C5</f>
        <v/>
      </c>
      <c r="G17">
        <f>F17*C8</f>
        <v/>
      </c>
      <c r="H17">
        <f>F17*(1-C8)</f>
        <v/>
      </c>
      <c r="I17">
        <f>H17/C4</f>
        <v/>
      </c>
      <c r="J17">
        <f>I17/'WEO_Data'!C4</f>
        <v/>
      </c>
    </row>
    <row r="18">
      <c r="A18" s="2" t="n">
        <v>2029</v>
      </c>
      <c r="B18">
        <f>C7*0.2</f>
        <v/>
      </c>
      <c r="C18">
        <f>B18*C4</f>
        <v/>
      </c>
      <c r="D18">
        <f>'WEO_Data'!D5</f>
        <v/>
      </c>
      <c r="E18">
        <f>C18/D18</f>
        <v/>
      </c>
      <c r="F18">
        <f>E18*C5</f>
        <v/>
      </c>
      <c r="G18">
        <f>F18*C8</f>
        <v/>
      </c>
      <c r="H18">
        <f>F18*(1-C8)</f>
        <v/>
      </c>
      <c r="I18">
        <f>H18/C4</f>
        <v/>
      </c>
      <c r="J18">
        <f>I18/'WEO_Data'!C5</f>
        <v/>
      </c>
    </row>
    <row r="19">
      <c r="A19" s="2" t="n">
        <v>2030</v>
      </c>
      <c r="B19">
        <f>C7*0.2</f>
        <v/>
      </c>
      <c r="C19">
        <f>B19*C4</f>
        <v/>
      </c>
      <c r="D19">
        <f>'WEO_Data'!D6</f>
        <v/>
      </c>
      <c r="E19">
        <f>C19/D19</f>
        <v/>
      </c>
      <c r="F19">
        <f>E19*C5</f>
        <v/>
      </c>
      <c r="G19">
        <f>F19*C8</f>
        <v/>
      </c>
      <c r="H19">
        <f>F19*(1-C8)</f>
        <v/>
      </c>
      <c r="I19">
        <f>H19/C4</f>
        <v/>
      </c>
      <c r="J19">
        <f>I19/'WEO_Data'!C6</f>
        <v/>
      </c>
    </row>
    <row r="20">
      <c r="A20" s="2" t="n">
        <v>2031</v>
      </c>
      <c r="B20">
        <f>C7*0.15</f>
        <v/>
      </c>
      <c r="C20">
        <f>B20*C4</f>
        <v/>
      </c>
      <c r="D20">
        <f>'WEO_Data'!D7</f>
        <v/>
      </c>
      <c r="E20">
        <f>C20/D20</f>
        <v/>
      </c>
      <c r="F20">
        <f>E20*C5</f>
        <v/>
      </c>
      <c r="G20">
        <f>F20*C8</f>
        <v/>
      </c>
      <c r="H20">
        <f>F20*(1-C8)</f>
        <v/>
      </c>
      <c r="I20">
        <f>H20/C4</f>
        <v/>
      </c>
      <c r="J20">
        <f>I20/'WEO_Data'!C7</f>
        <v/>
      </c>
    </row>
    <row r="21">
      <c r="A21" s="2" t="n">
        <v>2032</v>
      </c>
      <c r="B21">
        <f>C7*0.1</f>
        <v/>
      </c>
      <c r="C21">
        <f>B21*C4</f>
        <v/>
      </c>
      <c r="D21">
        <f>'WEO_Data'!D8</f>
        <v/>
      </c>
      <c r="E21">
        <f>C21/D21</f>
        <v/>
      </c>
      <c r="F21">
        <f>E21*C5</f>
        <v/>
      </c>
      <c r="G21">
        <f>F21*C8</f>
        <v/>
      </c>
      <c r="H21">
        <f>F21*(1-C8)</f>
        <v/>
      </c>
      <c r="I21">
        <f>H21/C4</f>
        <v/>
      </c>
      <c r="J21">
        <f>I21/'WEO_Data'!C8</f>
        <v/>
      </c>
    </row>
    <row r="22">
      <c r="A22" s="2" t="n">
        <v>2033</v>
      </c>
      <c r="B22">
        <f>C7*0.05</f>
        <v/>
      </c>
      <c r="C22">
        <f>B22*C4</f>
        <v/>
      </c>
      <c r="D22">
        <f>'WEO_Data'!D9</f>
        <v/>
      </c>
      <c r="E22">
        <f>C22/D22</f>
        <v/>
      </c>
      <c r="F22">
        <f>E22*C5</f>
        <v/>
      </c>
      <c r="G22">
        <f>F22*C8</f>
        <v/>
      </c>
      <c r="H22">
        <f>F22*(1-C8)</f>
        <v/>
      </c>
      <c r="I22">
        <f>H22/C4</f>
        <v/>
      </c>
      <c r="J22">
        <f>I22/'WEO_Data'!C9</f>
        <v/>
      </c>
    </row>
    <row r="24">
      <c r="A24" s="7" t="inlineStr">
        <is>
          <t>SCENARIO 2: Multiplier = 1</t>
        </is>
      </c>
    </row>
    <row r="26">
      <c r="A26" s="1" t="inlineStr">
        <is>
          <t>Year</t>
        </is>
      </c>
      <c r="B26" s="1" t="inlineStr">
        <is>
          <t>Annual Investment (USD bn)</t>
        </is>
      </c>
      <c r="C26" s="1" t="inlineStr">
        <is>
          <t>Annual Investment (Lari bn)</t>
        </is>
      </c>
      <c r="D26" s="1" t="inlineStr">
        <is>
          <t>Investment Deflator</t>
        </is>
      </c>
      <c r="E26" s="1" t="inlineStr">
        <is>
          <t>Real Investment (Lari bn)</t>
        </is>
      </c>
      <c r="F26" s="1" t="inlineStr">
        <is>
          <t>Demand Component</t>
        </is>
      </c>
      <c r="G26" s="1" t="inlineStr">
        <is>
          <t>Import Component</t>
        </is>
      </c>
      <c r="H26" s="1" t="inlineStr">
        <is>
          <t>Domestic Component</t>
        </is>
      </c>
      <c r="I26" s="1" t="inlineStr">
        <is>
          <t>GDP Impact (USD bn)</t>
        </is>
      </c>
      <c r="J26" s="1" t="inlineStr">
        <is>
          <t>GDP Impact (% of baseline)</t>
        </is>
      </c>
    </row>
    <row r="27">
      <c r="A27" s="2" t="n">
        <v>2026</v>
      </c>
      <c r="B27">
        <f>C7*0.05</f>
        <v/>
      </c>
      <c r="C27">
        <f>B27*C4</f>
        <v/>
      </c>
      <c r="D27">
        <f>'WEO_Data'!D2</f>
        <v/>
      </c>
      <c r="E27">
        <f>C27/D27</f>
        <v/>
      </c>
      <c r="F27">
        <f>E27*1</f>
        <v/>
      </c>
      <c r="G27">
        <f>F27*C8</f>
        <v/>
      </c>
      <c r="H27">
        <f>F27*(1-C8)</f>
        <v/>
      </c>
      <c r="I27">
        <f>H27/C4</f>
        <v/>
      </c>
      <c r="J27">
        <f>I27/'WEO_Data'!C2</f>
        <v/>
      </c>
    </row>
    <row r="28">
      <c r="A28" s="2" t="n">
        <v>2027</v>
      </c>
      <c r="B28">
        <f>C7*0.1</f>
        <v/>
      </c>
      <c r="C28">
        <f>B28*C4</f>
        <v/>
      </c>
      <c r="D28">
        <f>'WEO_Data'!D3</f>
        <v/>
      </c>
      <c r="E28">
        <f>C28/D28</f>
        <v/>
      </c>
      <c r="F28">
        <f>E28*1</f>
        <v/>
      </c>
      <c r="G28">
        <f>F28*C8</f>
        <v/>
      </c>
      <c r="H28">
        <f>F28*(1-C8)</f>
        <v/>
      </c>
      <c r="I28">
        <f>H28/C4</f>
        <v/>
      </c>
      <c r="J28">
        <f>I28/'WEO_Data'!C3</f>
        <v/>
      </c>
    </row>
    <row r="29">
      <c r="A29" s="2" t="n">
        <v>2028</v>
      </c>
      <c r="B29">
        <f>C7*0.15</f>
        <v/>
      </c>
      <c r="C29">
        <f>B29*C4</f>
        <v/>
      </c>
      <c r="D29">
        <f>'WEO_Data'!D4</f>
        <v/>
      </c>
      <c r="E29">
        <f>C29/D29</f>
        <v/>
      </c>
      <c r="F29">
        <f>E29*1</f>
        <v/>
      </c>
      <c r="G29">
        <f>F29*C8</f>
        <v/>
      </c>
      <c r="H29">
        <f>F29*(1-C8)</f>
        <v/>
      </c>
      <c r="I29">
        <f>H29/C4</f>
        <v/>
      </c>
      <c r="J29">
        <f>I29/'WEO_Data'!C4</f>
        <v/>
      </c>
    </row>
    <row r="30">
      <c r="A30" s="2" t="n">
        <v>2029</v>
      </c>
      <c r="B30">
        <f>C7*0.2</f>
        <v/>
      </c>
      <c r="C30">
        <f>B30*C4</f>
        <v/>
      </c>
      <c r="D30">
        <f>'WEO_Data'!D5</f>
        <v/>
      </c>
      <c r="E30">
        <f>C30/D30</f>
        <v/>
      </c>
      <c r="F30">
        <f>E30*1</f>
        <v/>
      </c>
      <c r="G30">
        <f>F30*C8</f>
        <v/>
      </c>
      <c r="H30">
        <f>F30*(1-C8)</f>
        <v/>
      </c>
      <c r="I30">
        <f>H30/C4</f>
        <v/>
      </c>
      <c r="J30">
        <f>I30/'WEO_Data'!C5</f>
        <v/>
      </c>
    </row>
    <row r="31">
      <c r="A31" s="2" t="n">
        <v>2030</v>
      </c>
      <c r="B31">
        <f>C7*0.2</f>
        <v/>
      </c>
      <c r="C31">
        <f>B31*C4</f>
        <v/>
      </c>
      <c r="D31">
        <f>'WEO_Data'!D6</f>
        <v/>
      </c>
      <c r="E31">
        <f>C31/D31</f>
        <v/>
      </c>
      <c r="F31">
        <f>E31*1</f>
        <v/>
      </c>
      <c r="G31">
        <f>F31*C8</f>
        <v/>
      </c>
      <c r="H31">
        <f>F31*(1-C8)</f>
        <v/>
      </c>
      <c r="I31">
        <f>H31/C4</f>
        <v/>
      </c>
      <c r="J31">
        <f>I31/'WEO_Data'!C6</f>
        <v/>
      </c>
    </row>
    <row r="32">
      <c r="A32" s="2" t="n">
        <v>2031</v>
      </c>
      <c r="B32">
        <f>C7*0.15</f>
        <v/>
      </c>
      <c r="C32">
        <f>B32*C4</f>
        <v/>
      </c>
      <c r="D32">
        <f>'WEO_Data'!D7</f>
        <v/>
      </c>
      <c r="E32">
        <f>C32/D32</f>
        <v/>
      </c>
      <c r="F32">
        <f>E32*1</f>
        <v/>
      </c>
      <c r="G32">
        <f>F32*C8</f>
        <v/>
      </c>
      <c r="H32">
        <f>F32*(1-C8)</f>
        <v/>
      </c>
      <c r="I32">
        <f>H32/C4</f>
        <v/>
      </c>
      <c r="J32">
        <f>I32/'WEO_Data'!C7</f>
        <v/>
      </c>
    </row>
    <row r="33">
      <c r="A33" s="2" t="n">
        <v>2032</v>
      </c>
      <c r="B33">
        <f>C7*0.1</f>
        <v/>
      </c>
      <c r="C33">
        <f>B33*C4</f>
        <v/>
      </c>
      <c r="D33">
        <f>'WEO_Data'!D8</f>
        <v/>
      </c>
      <c r="E33">
        <f>C33/D33</f>
        <v/>
      </c>
      <c r="F33">
        <f>E33*1</f>
        <v/>
      </c>
      <c r="G33">
        <f>F33*C8</f>
        <v/>
      </c>
      <c r="H33">
        <f>F33*(1-C8)</f>
        <v/>
      </c>
      <c r="I33">
        <f>H33/C4</f>
        <v/>
      </c>
      <c r="J33">
        <f>I33/'WEO_Data'!C8</f>
        <v/>
      </c>
    </row>
    <row r="34">
      <c r="A34" s="2" t="n">
        <v>2033</v>
      </c>
      <c r="B34">
        <f>C7*0.05</f>
        <v/>
      </c>
      <c r="C34">
        <f>B34*C4</f>
        <v/>
      </c>
      <c r="D34">
        <f>'WEO_Data'!D9</f>
        <v/>
      </c>
      <c r="E34">
        <f>C34/D34</f>
        <v/>
      </c>
      <c r="F34">
        <f>E34*1</f>
        <v/>
      </c>
      <c r="G34">
        <f>F34*C8</f>
        <v/>
      </c>
      <c r="H34">
        <f>F34*(1-C8)</f>
        <v/>
      </c>
      <c r="I34">
        <f>H34/C4</f>
        <v/>
      </c>
      <c r="J34">
        <f>I34/'WEO_Data'!C9</f>
        <v/>
      </c>
    </row>
    <row r="36">
      <c r="A36" s="7" t="inlineStr">
        <is>
          <t>SCENARIO 3: Import Content = 0.5</t>
        </is>
      </c>
    </row>
    <row r="38">
      <c r="A38" s="1" t="inlineStr">
        <is>
          <t>Year</t>
        </is>
      </c>
      <c r="B38" s="1" t="inlineStr">
        <is>
          <t>Annual Investment (USD bn)</t>
        </is>
      </c>
      <c r="C38" s="1" t="inlineStr">
        <is>
          <t>Annual Investment (Lari bn)</t>
        </is>
      </c>
      <c r="D38" s="1" t="inlineStr">
        <is>
          <t>Investment Deflator</t>
        </is>
      </c>
      <c r="E38" s="1" t="inlineStr">
        <is>
          <t>Real Investment (Lari bn)</t>
        </is>
      </c>
      <c r="F38" s="1" t="inlineStr">
        <is>
          <t>Demand Component</t>
        </is>
      </c>
      <c r="G38" s="1" t="inlineStr">
        <is>
          <t>Import Component</t>
        </is>
      </c>
      <c r="H38" s="1" t="inlineStr">
        <is>
          <t>Domestic Component</t>
        </is>
      </c>
      <c r="I38" s="1" t="inlineStr">
        <is>
          <t>GDP Impact (USD bn)</t>
        </is>
      </c>
      <c r="J38" s="1" t="inlineStr">
        <is>
          <t>GDP Impact (% of baseline)</t>
        </is>
      </c>
    </row>
    <row r="39">
      <c r="A39" s="2" t="n">
        <v>2026</v>
      </c>
      <c r="B39">
        <f>C7*0.05</f>
        <v/>
      </c>
      <c r="C39">
        <f>B39*C4</f>
        <v/>
      </c>
      <c r="D39">
        <f>'WEO_Data'!D2</f>
        <v/>
      </c>
      <c r="E39">
        <f>C39/D39</f>
        <v/>
      </c>
      <c r="F39">
        <f>E39*C5</f>
        <v/>
      </c>
      <c r="G39">
        <f>F39*0.5</f>
        <v/>
      </c>
      <c r="H39">
        <f>F39*(1-0.5)</f>
        <v/>
      </c>
      <c r="I39">
        <f>H39/C4</f>
        <v/>
      </c>
      <c r="J39">
        <f>I39/'WEO_Data'!C2</f>
        <v/>
      </c>
    </row>
    <row r="40">
      <c r="A40" s="2" t="n">
        <v>2027</v>
      </c>
      <c r="B40">
        <f>C7*0.1</f>
        <v/>
      </c>
      <c r="C40">
        <f>B40*C4</f>
        <v/>
      </c>
      <c r="D40">
        <f>'WEO_Data'!D3</f>
        <v/>
      </c>
      <c r="E40">
        <f>C40/D40</f>
        <v/>
      </c>
      <c r="F40">
        <f>E40*C5</f>
        <v/>
      </c>
      <c r="G40">
        <f>F40*0.5</f>
        <v/>
      </c>
      <c r="H40">
        <f>F40*(1-0.5)</f>
        <v/>
      </c>
      <c r="I40">
        <f>H40/C4</f>
        <v/>
      </c>
      <c r="J40">
        <f>I40/'WEO_Data'!C3</f>
        <v/>
      </c>
    </row>
    <row r="41">
      <c r="A41" s="2" t="n">
        <v>2028</v>
      </c>
      <c r="B41">
        <f>C7*0.15</f>
        <v/>
      </c>
      <c r="C41">
        <f>B41*C4</f>
        <v/>
      </c>
      <c r="D41">
        <f>'WEO_Data'!D4</f>
        <v/>
      </c>
      <c r="E41">
        <f>C41/D41</f>
        <v/>
      </c>
      <c r="F41">
        <f>E41*C5</f>
        <v/>
      </c>
      <c r="G41">
        <f>F41*0.5</f>
        <v/>
      </c>
      <c r="H41">
        <f>F41*(1-0.5)</f>
        <v/>
      </c>
      <c r="I41">
        <f>H41/C4</f>
        <v/>
      </c>
      <c r="J41">
        <f>I41/'WEO_Data'!C4</f>
        <v/>
      </c>
    </row>
    <row r="42">
      <c r="A42" s="2" t="n">
        <v>2029</v>
      </c>
      <c r="B42">
        <f>C7*0.2</f>
        <v/>
      </c>
      <c r="C42">
        <f>B42*C4</f>
        <v/>
      </c>
      <c r="D42">
        <f>'WEO_Data'!D5</f>
        <v/>
      </c>
      <c r="E42">
        <f>C42/D42</f>
        <v/>
      </c>
      <c r="F42">
        <f>E42*C5</f>
        <v/>
      </c>
      <c r="G42">
        <f>F42*0.5</f>
        <v/>
      </c>
      <c r="H42">
        <f>F42*(1-0.5)</f>
        <v/>
      </c>
      <c r="I42">
        <f>H42/C4</f>
        <v/>
      </c>
      <c r="J42">
        <f>I42/'WEO_Data'!C5</f>
        <v/>
      </c>
    </row>
    <row r="43">
      <c r="A43" s="2" t="n">
        <v>2030</v>
      </c>
      <c r="B43">
        <f>C7*0.2</f>
        <v/>
      </c>
      <c r="C43">
        <f>B43*C4</f>
        <v/>
      </c>
      <c r="D43">
        <f>'WEO_Data'!D6</f>
        <v/>
      </c>
      <c r="E43">
        <f>C43/D43</f>
        <v/>
      </c>
      <c r="F43">
        <f>E43*C5</f>
        <v/>
      </c>
      <c r="G43">
        <f>F43*0.5</f>
        <v/>
      </c>
      <c r="H43">
        <f>F43*(1-0.5)</f>
        <v/>
      </c>
      <c r="I43">
        <f>H43/C4</f>
        <v/>
      </c>
      <c r="J43">
        <f>I43/'WEO_Data'!C6</f>
        <v/>
      </c>
    </row>
    <row r="44">
      <c r="A44" s="2" t="n">
        <v>2031</v>
      </c>
      <c r="B44">
        <f>C7*0.15</f>
        <v/>
      </c>
      <c r="C44">
        <f>B44*C4</f>
        <v/>
      </c>
      <c r="D44">
        <f>'WEO_Data'!D7</f>
        <v/>
      </c>
      <c r="E44">
        <f>C44/D44</f>
        <v/>
      </c>
      <c r="F44">
        <f>E44*C5</f>
        <v/>
      </c>
      <c r="G44">
        <f>F44*0.5</f>
        <v/>
      </c>
      <c r="H44">
        <f>F44*(1-0.5)</f>
        <v/>
      </c>
      <c r="I44">
        <f>H44/C4</f>
        <v/>
      </c>
      <c r="J44">
        <f>I44/'WEO_Data'!C7</f>
        <v/>
      </c>
    </row>
    <row r="45">
      <c r="A45" s="2" t="n">
        <v>2032</v>
      </c>
      <c r="B45">
        <f>C7*0.1</f>
        <v/>
      </c>
      <c r="C45">
        <f>B45*C4</f>
        <v/>
      </c>
      <c r="D45">
        <f>'WEO_Data'!D8</f>
        <v/>
      </c>
      <c r="E45">
        <f>C45/D45</f>
        <v/>
      </c>
      <c r="F45">
        <f>E45*C5</f>
        <v/>
      </c>
      <c r="G45">
        <f>F45*0.5</f>
        <v/>
      </c>
      <c r="H45">
        <f>F45*(1-0.5)</f>
        <v/>
      </c>
      <c r="I45">
        <f>H45/C4</f>
        <v/>
      </c>
      <c r="J45">
        <f>I45/'WEO_Data'!C8</f>
        <v/>
      </c>
    </row>
    <row r="46">
      <c r="A46" s="2" t="n">
        <v>2033</v>
      </c>
      <c r="B46">
        <f>C7*0.05</f>
        <v/>
      </c>
      <c r="C46">
        <f>B46*C4</f>
        <v/>
      </c>
      <c r="D46">
        <f>'WEO_Data'!D9</f>
        <v/>
      </c>
      <c r="E46">
        <f>C46/D46</f>
        <v/>
      </c>
      <c r="F46">
        <f>E46*C5</f>
        <v/>
      </c>
      <c r="G46">
        <f>F46*0.5</f>
        <v/>
      </c>
      <c r="H46">
        <f>F46*(1-0.5)</f>
        <v/>
      </c>
      <c r="I46">
        <f>H46/C4</f>
        <v/>
      </c>
      <c r="J46">
        <f>I46/'WEO_Data'!C9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2026-01-26T12:35:40Z</dcterms:created>
  <dcterms:modified xsi:type="dcterms:W3CDTF">2026-01-26T12:35:40Z</dcterms:modified>
</cp:coreProperties>
</file>