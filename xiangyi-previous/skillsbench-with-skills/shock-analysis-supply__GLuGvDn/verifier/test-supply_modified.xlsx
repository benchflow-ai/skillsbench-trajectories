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AVERAGE(CFC!E22:CFC!E29)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>
        <f>PWT!B14</f>
        <v/>
      </c>
      <c r="E6">
        <f>WEO_Data!C10</f>
        <v/>
      </c>
      <c r="F6">
        <f>IF(D6&gt;0,LN(D6),"")</f>
        <v/>
      </c>
      <c r="G6">
        <f>IF(E6&gt;0,LN(E6),"")</f>
        <v/>
      </c>
      <c r="H6">
        <f>IF(AND(G6&lt;&gt;"",F6&lt;&gt;""),G6-$B$2*F6,"")</f>
        <v/>
      </c>
      <c r="K6" s="4" t="n"/>
      <c r="N6" s="5" t="n"/>
    </row>
    <row r="7">
      <c r="C7" t="n">
        <v>2003</v>
      </c>
      <c r="D7" s="19">
        <f>PWT!B15</f>
        <v/>
      </c>
      <c r="E7">
        <f>WEO_Data!C11</f>
        <v/>
      </c>
      <c r="F7">
        <f>IF(D7&gt;0,LN(D7),"")</f>
        <v/>
      </c>
      <c r="G7">
        <f>IF(E7&gt;0,LN(E7),"")</f>
        <v/>
      </c>
      <c r="H7">
        <f>IF(AND(G7&lt;&gt;"",F7&lt;&gt;""),G7-$B$2*F7,"")</f>
        <v/>
      </c>
      <c r="K7" s="4" t="n"/>
      <c r="N7" s="5" t="n"/>
    </row>
    <row r="8">
      <c r="C8" t="n">
        <v>2004</v>
      </c>
      <c r="D8" s="19">
        <f>PWT!B16</f>
        <v/>
      </c>
      <c r="E8">
        <f>WEO_Data!C12</f>
        <v/>
      </c>
      <c r="F8">
        <f>IF(D8&gt;0,LN(D8),"")</f>
        <v/>
      </c>
      <c r="G8">
        <f>IF(E8&gt;0,LN(E8),"")</f>
        <v/>
      </c>
      <c r="H8">
        <f>IF(AND(G8&lt;&gt;"",F8&lt;&gt;""),G8-$B$2*F8,"")</f>
        <v/>
      </c>
      <c r="K8" s="4" t="n"/>
      <c r="N8" s="5" t="n"/>
    </row>
    <row r="9">
      <c r="C9" t="n">
        <v>2005</v>
      </c>
      <c r="D9" s="19">
        <f>PWT!B17</f>
        <v/>
      </c>
      <c r="E9">
        <f>WEO_Data!C13</f>
        <v/>
      </c>
      <c r="F9">
        <f>IF(D9&gt;0,LN(D9),"")</f>
        <v/>
      </c>
      <c r="G9">
        <f>IF(E9&gt;0,LN(E9),"")</f>
        <v/>
      </c>
      <c r="H9">
        <f>IF(AND(G9&lt;&gt;"",F9&lt;&gt;""),G9-$B$2*F9,"")</f>
        <v/>
      </c>
      <c r="K9" s="4" t="n"/>
      <c r="N9" s="5" t="n"/>
    </row>
    <row r="10">
      <c r="C10" t="n">
        <v>2006</v>
      </c>
      <c r="D10" s="19">
        <f>PWT!B18</f>
        <v/>
      </c>
      <c r="E10">
        <f>WEO_Data!C14</f>
        <v/>
      </c>
      <c r="F10">
        <f>IF(D10&gt;0,LN(D10),"")</f>
        <v/>
      </c>
      <c r="G10">
        <f>IF(E10&gt;0,LN(E10),"")</f>
        <v/>
      </c>
      <c r="H10">
        <f>IF(AND(G10&lt;&gt;"",F10&lt;&gt;""),G10-$B$2*F10,"")</f>
        <v/>
      </c>
      <c r="K10" s="4" t="n"/>
      <c r="N10" s="5" t="n"/>
    </row>
    <row r="11">
      <c r="C11" t="n">
        <v>2007</v>
      </c>
      <c r="D11" s="19">
        <f>PWT!B19</f>
        <v/>
      </c>
      <c r="E11">
        <f>WEO_Data!C15</f>
        <v/>
      </c>
      <c r="F11">
        <f>IF(D11&gt;0,LN(D11),"")</f>
        <v/>
      </c>
      <c r="G11">
        <f>IF(E11&gt;0,LN(E11),"")</f>
        <v/>
      </c>
      <c r="H11">
        <f>IF(AND(G11&lt;&gt;"",F11&lt;&gt;""),G11-$B$2*F11,"")</f>
        <v/>
      </c>
      <c r="K11" s="4" t="n"/>
      <c r="N11" s="5" t="n"/>
    </row>
    <row r="12">
      <c r="C12" t="n">
        <v>2008</v>
      </c>
      <c r="D12" s="19">
        <f>PWT!B20</f>
        <v/>
      </c>
      <c r="E12">
        <f>WEO_Data!C16</f>
        <v/>
      </c>
      <c r="F12">
        <f>IF(D12&gt;0,LN(D12),"")</f>
        <v/>
      </c>
      <c r="G12">
        <f>IF(E12&gt;0,LN(E12),"")</f>
        <v/>
      </c>
      <c r="H12">
        <f>IF(AND(G12&lt;&gt;"",F12&lt;&gt;""),G12-$B$2*F12,"")</f>
        <v/>
      </c>
      <c r="K12" s="4" t="n"/>
      <c r="N12" s="5" t="n"/>
    </row>
    <row r="13">
      <c r="C13" t="n">
        <v>2009</v>
      </c>
      <c r="D13" s="19">
        <f>PWT!B21</f>
        <v/>
      </c>
      <c r="E13">
        <f>WEO_Data!C17</f>
        <v/>
      </c>
      <c r="F13">
        <f>IF(D13&gt;0,LN(D13),"")</f>
        <v/>
      </c>
      <c r="G13">
        <f>IF(E13&gt;0,LN(E13),"")</f>
        <v/>
      </c>
      <c r="H13">
        <f>IF(AND(G13&lt;&gt;"",F13&lt;&gt;""),G13-$B$2*F13,"")</f>
        <v/>
      </c>
      <c r="K13" s="4" t="n"/>
      <c r="N13" s="5" t="n"/>
    </row>
    <row r="14">
      <c r="C14" t="n">
        <v>2010</v>
      </c>
      <c r="D14" s="19">
        <f>PWT!B22</f>
        <v/>
      </c>
      <c r="E14">
        <f>WEO_Data!C18</f>
        <v/>
      </c>
      <c r="F14">
        <f>IF(D14&gt;0,LN(D14),"")</f>
        <v/>
      </c>
      <c r="G14">
        <f>IF(E14&gt;0,LN(E14),"")</f>
        <v/>
      </c>
      <c r="H14">
        <f>IF(AND(G14&lt;&gt;"",F14&lt;&gt;""),G14-$B$2*F14,"")</f>
        <v/>
      </c>
      <c r="K14" s="4" t="n"/>
      <c r="N14" s="5" t="n"/>
    </row>
    <row r="15">
      <c r="C15" t="n">
        <v>2011</v>
      </c>
      <c r="D15" s="19">
        <f>PWT!B23</f>
        <v/>
      </c>
      <c r="E15">
        <f>WEO_Data!C19</f>
        <v/>
      </c>
      <c r="F15">
        <f>IF(D15&gt;0,LN(D15),"")</f>
        <v/>
      </c>
      <c r="G15">
        <f>IF(E15&gt;0,LN(E15),"")</f>
        <v/>
      </c>
      <c r="H15">
        <f>IF(AND(G15&lt;&gt;"",F15&lt;&gt;""),G15-$B$2*F15,"")</f>
        <v/>
      </c>
      <c r="K15" s="4" t="n"/>
      <c r="N15" s="5" t="n"/>
    </row>
    <row r="16">
      <c r="C16" t="n">
        <v>2012</v>
      </c>
      <c r="D16" s="19">
        <f>PWT!B24</f>
        <v/>
      </c>
      <c r="E16">
        <f>WEO_Data!C20</f>
        <v/>
      </c>
      <c r="F16">
        <f>IF(D16&gt;0,LN(D16),"")</f>
        <v/>
      </c>
      <c r="G16">
        <f>IF(E16&gt;0,LN(E16),"")</f>
        <v/>
      </c>
      <c r="H16">
        <f>IF(AND(G16&lt;&gt;"",F16&lt;&gt;""),G16-$B$2*F16,"")</f>
        <v/>
      </c>
      <c r="K16" s="4" t="n"/>
      <c r="N16" s="5" t="n"/>
    </row>
    <row r="17">
      <c r="C17" t="n">
        <v>2013</v>
      </c>
      <c r="D17" s="19">
        <f>PWT!B25</f>
        <v/>
      </c>
      <c r="E17">
        <f>WEO_Data!C21</f>
        <v/>
      </c>
      <c r="F17">
        <f>IF(D17&gt;0,LN(D17),"")</f>
        <v/>
      </c>
      <c r="G17">
        <f>IF(E17&gt;0,LN(E17),"")</f>
        <v/>
      </c>
      <c r="H17">
        <f>IF(AND(G17&lt;&gt;"",F17&lt;&gt;""),G17-$B$2*F17,"")</f>
        <v/>
      </c>
      <c r="K17" s="4" t="n"/>
      <c r="N17" s="5" t="n"/>
    </row>
    <row r="18">
      <c r="C18" t="n">
        <v>2014</v>
      </c>
      <c r="D18" s="19">
        <f>PWT!B26</f>
        <v/>
      </c>
      <c r="E18">
        <f>WEO_Data!C22</f>
        <v/>
      </c>
      <c r="F18">
        <f>IF(D18&gt;0,LN(D18),"")</f>
        <v/>
      </c>
      <c r="G18">
        <f>IF(E18&gt;0,LN(E18),"")</f>
        <v/>
      </c>
      <c r="H18">
        <f>IF(AND(G18&lt;&gt;"",F18&lt;&gt;""),G18-$B$2*F18,"")</f>
        <v/>
      </c>
      <c r="K18" s="4" t="n"/>
      <c r="N18" s="5" t="n"/>
    </row>
    <row r="19">
      <c r="C19" t="n">
        <v>2015</v>
      </c>
      <c r="D19" s="19">
        <f>PWT!B27</f>
        <v/>
      </c>
      <c r="E19">
        <f>WEO_Data!C23</f>
        <v/>
      </c>
      <c r="F19">
        <f>IF(D19&gt;0,LN(D19),"")</f>
        <v/>
      </c>
      <c r="G19">
        <f>IF(E19&gt;0,LN(E19),"")</f>
        <v/>
      </c>
      <c r="H19">
        <f>IF(AND(G19&lt;&gt;"",F19&lt;&gt;""),G19-$B$2*F19,"")</f>
        <v/>
      </c>
      <c r="K19" s="4" t="n"/>
      <c r="N19" s="5" t="n"/>
    </row>
    <row r="20">
      <c r="C20" t="n">
        <v>2016</v>
      </c>
      <c r="D20" s="19">
        <f>PWT!B28</f>
        <v/>
      </c>
      <c r="E20">
        <f>WEO_Data!C24</f>
        <v/>
      </c>
      <c r="F20">
        <f>IF(D20&gt;0,LN(D20),"")</f>
        <v/>
      </c>
      <c r="G20">
        <f>IF(E20&gt;0,LN(E20),"")</f>
        <v/>
      </c>
      <c r="H20">
        <f>IF(AND(G20&lt;&gt;"",F20&lt;&gt;""),G20-$B$2*F20,"")</f>
        <v/>
      </c>
      <c r="K20" s="4" t="n"/>
      <c r="N20" s="5" t="n"/>
    </row>
    <row r="21">
      <c r="C21" t="n">
        <v>2017</v>
      </c>
      <c r="D21" s="19">
        <f>PWT!B29</f>
        <v/>
      </c>
      <c r="E21">
        <f>WEO_Data!C25</f>
        <v/>
      </c>
      <c r="F21">
        <f>IF(D21&gt;0,LN(D21),"")</f>
        <v/>
      </c>
      <c r="G21">
        <f>IF(E21&gt;0,LN(E21),"")</f>
        <v/>
      </c>
      <c r="H21">
        <f>IF(AND(G21&lt;&gt;"",F21&lt;&gt;""),G21-$B$2*F21,"")</f>
        <v/>
      </c>
      <c r="K21" s="4" t="n"/>
      <c r="N21" s="5" t="n"/>
    </row>
    <row r="22">
      <c r="C22" t="n">
        <v>2018</v>
      </c>
      <c r="D22" s="19">
        <f>PWT!B30</f>
        <v/>
      </c>
      <c r="E22">
        <f>WEO_Data!C26</f>
        <v/>
      </c>
      <c r="F22">
        <f>IF(D22&gt;0,LN(D22),"")</f>
        <v/>
      </c>
      <c r="G22">
        <f>IF(E22&gt;0,LN(E22),"")</f>
        <v/>
      </c>
      <c r="H22">
        <f>IF(AND(G22&lt;&gt;"",F22&lt;&gt;""),G22-$B$2*F22,"")</f>
        <v/>
      </c>
      <c r="K22" s="4" t="n"/>
      <c r="N22" s="5" t="n"/>
    </row>
    <row r="23">
      <c r="C23" t="n">
        <v>2019</v>
      </c>
      <c r="D23" s="19">
        <f>PWT!B31</f>
        <v/>
      </c>
      <c r="E23">
        <f>WEO_Data!C27</f>
        <v/>
      </c>
      <c r="F23">
        <f>IF(D23&gt;0,LN(D23),"")</f>
        <v/>
      </c>
      <c r="G23">
        <f>IF(E23&gt;0,LN(E23),"")</f>
        <v/>
      </c>
      <c r="H23">
        <f>IF(AND(G23&lt;&gt;"",F23&lt;&gt;""),G23-$B$2*F23,"")</f>
        <v/>
      </c>
      <c r="K23" s="4" t="n"/>
      <c r="N23" s="5" t="n"/>
    </row>
    <row r="24">
      <c r="C24" t="n">
        <v>2020</v>
      </c>
      <c r="D24" s="19">
        <f>PWT!B32</f>
        <v/>
      </c>
      <c r="E24">
        <f>WEO_Data!C28</f>
        <v/>
      </c>
      <c r="F24">
        <f>IF(D24&gt;0,LN(D24),"")</f>
        <v/>
      </c>
      <c r="G24">
        <f>IF(E24&gt;0,LN(E24),"")</f>
        <v/>
      </c>
      <c r="H24">
        <f>IF(AND(G24&lt;&gt;"",F24&lt;&gt;""),G24-$B$2*F24,"")</f>
        <v/>
      </c>
      <c r="K24" s="4" t="n"/>
      <c r="N24" s="5" t="n"/>
    </row>
    <row r="25">
      <c r="C25" t="n">
        <v>2021</v>
      </c>
      <c r="D25" s="19">
        <f>PWT!B33</f>
        <v/>
      </c>
      <c r="E25">
        <f>WEO_Data!C29</f>
        <v/>
      </c>
      <c r="F25">
        <f>IF(D25&gt;0,LN(D25),"")</f>
        <v/>
      </c>
      <c r="G25">
        <f>IF(E25&gt;0,LN(E25),"")</f>
        <v/>
      </c>
      <c r="H25">
        <f>IF(AND(G25&lt;&gt;"",F25&lt;&gt;""),G25-$B$2*F25,"")</f>
        <v/>
      </c>
      <c r="K25" s="4" t="n"/>
      <c r="N25" s="5" t="n"/>
    </row>
    <row r="26">
      <c r="C26" t="n">
        <v>2022</v>
      </c>
      <c r="D26" s="19">
        <f>PWT!B34</f>
        <v/>
      </c>
      <c r="E26">
        <f>WEO_Data!C30</f>
        <v/>
      </c>
      <c r="F26">
        <f>IF(D26&gt;0,LN(D26),"")</f>
        <v/>
      </c>
      <c r="G26">
        <f>IF(E26&gt;0,LN(E26),"")</f>
        <v/>
      </c>
      <c r="H26">
        <f>IF(AND(G26&lt;&gt;"",F26&lt;&gt;""),G26-$B$2*F26,"")</f>
        <v/>
      </c>
      <c r="K26" s="4" t="n"/>
      <c r="N26" s="5" t="n"/>
    </row>
    <row r="27">
      <c r="C27" t="n">
        <v>2023</v>
      </c>
      <c r="D27" s="19">
        <f>PWT!B35</f>
        <v/>
      </c>
      <c r="E27">
        <f>WEO_Data!C31</f>
        <v/>
      </c>
      <c r="F27">
        <f>IF(D27&gt;0,LN(D27),"")</f>
        <v/>
      </c>
      <c r="G27">
        <f>IF(E27&gt;0,LN(E27),"")</f>
        <v/>
      </c>
      <c r="H27">
        <f>IF(AND(G27&lt;&gt;"",F27&lt;&gt;""),G27-$B$2*F27,"")</f>
        <v/>
      </c>
      <c r="K27" s="6" t="n"/>
      <c r="L27" s="7" t="n"/>
      <c r="M27" s="7" t="n"/>
      <c r="N27" s="8" t="n"/>
    </row>
    <row r="28">
      <c r="C28" t="n">
        <v>2024</v>
      </c>
      <c r="E28">
        <f>WEO_Data!C32</f>
        <v/>
      </c>
      <c r="F28">
        <f>IF(D28&gt;0,LN(D28),"")</f>
        <v/>
      </c>
      <c r="G28">
        <f>IF(E28&gt;0,LN(E28),"")</f>
        <v/>
      </c>
      <c r="H28">
        <f>IF(AND(G28&lt;&gt;"",F28&lt;&gt;""),G28-$B$2*F28,"")</f>
        <v/>
      </c>
    </row>
    <row r="29">
      <c r="C29" t="n">
        <v>2025</v>
      </c>
      <c r="E29">
        <f>WEO_Data!C33</f>
        <v/>
      </c>
      <c r="F29">
        <f>IF(D29&gt;0,LN(D29),"")</f>
        <v/>
      </c>
      <c r="G29">
        <f>IF(E29&gt;0,LN(E29),"")</f>
        <v/>
      </c>
      <c r="H29">
        <f>IF(AND(G29&lt;&gt;"",F29&lt;&gt;""),G29-$B$2*F29,"")</f>
        <v/>
      </c>
    </row>
    <row r="32">
      <c r="A32" t="inlineStr">
        <is>
          <t>HP Filter Analysis</t>
        </is>
      </c>
    </row>
    <row r="33">
      <c r="A33" t="inlineStr">
        <is>
          <t>Year</t>
        </is>
      </c>
      <c r="D33" t="inlineStr">
        <is>
          <t>LnZ</t>
        </is>
      </c>
      <c r="E33" t="inlineStr">
        <is>
          <t>LnZ_HP</t>
        </is>
      </c>
      <c r="F33" t="inlineStr">
        <is>
          <t>2nd Diff</t>
        </is>
      </c>
      <c r="G33" t="inlineStr">
        <is>
          <t>LnA-Trend</t>
        </is>
      </c>
      <c r="H33" t="inlineStr">
        <is>
          <t>Objective</t>
        </is>
      </c>
    </row>
    <row r="35">
      <c r="A35" t="inlineStr">
        <is>
          <t>HP Filter (lambda=100)</t>
        </is>
      </c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Sum of Squares</t>
        </is>
      </c>
      <c r="K35">
        <f>SUMPRODUCT(H37:H58,H37:H58)+100*SUMPRODUCT(G39:G58,G39:G58)</f>
        <v/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A36" t="inlineStr">
        <is>
          <t>Year</t>
        </is>
      </c>
      <c r="C36" t="n">
        <v>2002</v>
      </c>
      <c r="D36" t="inlineStr">
        <is>
          <t>LnZ</t>
        </is>
      </c>
      <c r="E36" s="19" t="inlineStr">
        <is>
          <t>LnZ_HP</t>
        </is>
      </c>
      <c r="F36" t="inlineStr">
        <is>
          <t>Diff</t>
        </is>
      </c>
      <c r="G36" t="inlineStr">
        <is>
          <t>Diff2</t>
        </is>
      </c>
      <c r="H36" t="inlineStr">
        <is>
          <t>Residual</t>
        </is>
      </c>
      <c r="I36" t="inlineStr">
        <is>
          <t>Objective</t>
        </is>
      </c>
      <c r="K36" s="19" t="n"/>
    </row>
    <row r="37">
      <c r="A37" t="n">
        <v>2002</v>
      </c>
      <c r="C37" t="n">
        <v>2003</v>
      </c>
      <c r="D37">
        <f>H6</f>
        <v/>
      </c>
      <c r="E37" s="19">
        <f>D37</f>
        <v/>
      </c>
      <c r="K37" s="19" t="n"/>
    </row>
    <row r="38">
      <c r="A38" t="n">
        <v>2003</v>
      </c>
      <c r="C38" t="n">
        <v>2004</v>
      </c>
      <c r="D38">
        <f>H7</f>
        <v/>
      </c>
      <c r="E38" s="19">
        <f>D38</f>
        <v/>
      </c>
      <c r="K38" s="19" t="n"/>
    </row>
    <row r="39">
      <c r="A39" t="n">
        <v>2004</v>
      </c>
      <c r="C39" t="n">
        <v>2005</v>
      </c>
      <c r="D39">
        <f>H8</f>
        <v/>
      </c>
      <c r="E39" s="19">
        <f>D39</f>
        <v/>
      </c>
      <c r="F39">
        <f>E39-E38</f>
        <v/>
      </c>
      <c r="G39">
        <f>F39-F38</f>
        <v/>
      </c>
      <c r="H39">
        <f>D39-E39</f>
        <v/>
      </c>
      <c r="K39" s="19" t="n"/>
    </row>
    <row r="40">
      <c r="A40" t="n">
        <v>2005</v>
      </c>
      <c r="C40" t="n">
        <v>2006</v>
      </c>
      <c r="D40">
        <f>H9</f>
        <v/>
      </c>
      <c r="E40" s="19">
        <f>D40</f>
        <v/>
      </c>
      <c r="F40">
        <f>E40-E39</f>
        <v/>
      </c>
      <c r="G40">
        <f>F40-F39</f>
        <v/>
      </c>
      <c r="H40">
        <f>D40-E40</f>
        <v/>
      </c>
      <c r="K40" s="19" t="n"/>
    </row>
    <row r="41">
      <c r="A41" t="n">
        <v>2006</v>
      </c>
      <c r="C41" t="n">
        <v>2007</v>
      </c>
      <c r="D41">
        <f>H10</f>
        <v/>
      </c>
      <c r="E41" s="19">
        <f>D41</f>
        <v/>
      </c>
      <c r="F41">
        <f>E41-E40</f>
        <v/>
      </c>
      <c r="G41">
        <f>F41-F40</f>
        <v/>
      </c>
      <c r="H41">
        <f>D41-E41</f>
        <v/>
      </c>
      <c r="K41" s="19" t="n"/>
    </row>
    <row r="42">
      <c r="A42" t="n">
        <v>2007</v>
      </c>
      <c r="C42" t="n">
        <v>2008</v>
      </c>
      <c r="D42">
        <f>H11</f>
        <v/>
      </c>
      <c r="E42" s="19">
        <f>D42</f>
        <v/>
      </c>
      <c r="F42">
        <f>E42-E41</f>
        <v/>
      </c>
      <c r="G42">
        <f>F42-F41</f>
        <v/>
      </c>
      <c r="H42">
        <f>D42-E42</f>
        <v/>
      </c>
      <c r="K42" s="19" t="n"/>
    </row>
    <row r="43">
      <c r="A43" t="n">
        <v>2008</v>
      </c>
      <c r="C43" t="n">
        <v>2009</v>
      </c>
      <c r="D43">
        <f>H12</f>
        <v/>
      </c>
      <c r="E43" s="19">
        <f>D43</f>
        <v/>
      </c>
      <c r="F43">
        <f>E43-E42</f>
        <v/>
      </c>
      <c r="G43">
        <f>F43-F42</f>
        <v/>
      </c>
      <c r="H43">
        <f>D43-E43</f>
        <v/>
      </c>
      <c r="K43" s="19" t="n"/>
    </row>
    <row r="44">
      <c r="A44" t="n">
        <v>2009</v>
      </c>
      <c r="C44" t="n">
        <v>2010</v>
      </c>
      <c r="D44">
        <f>H13</f>
        <v/>
      </c>
      <c r="E44" s="19">
        <f>D44</f>
        <v/>
      </c>
      <c r="F44">
        <f>E44-E43</f>
        <v/>
      </c>
      <c r="G44">
        <f>F44-F43</f>
        <v/>
      </c>
      <c r="H44">
        <f>D44-E44</f>
        <v/>
      </c>
      <c r="K44" s="19" t="n"/>
    </row>
    <row r="45">
      <c r="A45" t="n">
        <v>2010</v>
      </c>
      <c r="C45" t="n">
        <v>2011</v>
      </c>
      <c r="D45">
        <f>H14</f>
        <v/>
      </c>
      <c r="E45" s="19">
        <f>D45</f>
        <v/>
      </c>
      <c r="F45">
        <f>E45-E44</f>
        <v/>
      </c>
      <c r="G45">
        <f>F45-F44</f>
        <v/>
      </c>
      <c r="H45">
        <f>D45-E45</f>
        <v/>
      </c>
      <c r="K45" s="19" t="n"/>
    </row>
    <row r="46">
      <c r="A46" t="n">
        <v>2011</v>
      </c>
      <c r="C46" t="n">
        <v>2012</v>
      </c>
      <c r="D46">
        <f>H15</f>
        <v/>
      </c>
      <c r="E46" s="19">
        <f>D46</f>
        <v/>
      </c>
      <c r="F46">
        <f>E46-E45</f>
        <v/>
      </c>
      <c r="G46">
        <f>F46-F45</f>
        <v/>
      </c>
      <c r="H46">
        <f>D46-E46</f>
        <v/>
      </c>
      <c r="K46" s="19" t="n"/>
    </row>
    <row r="47">
      <c r="A47" t="n">
        <v>2012</v>
      </c>
      <c r="C47" t="n">
        <v>2013</v>
      </c>
      <c r="D47">
        <f>H16</f>
        <v/>
      </c>
      <c r="E47" s="19">
        <f>D47</f>
        <v/>
      </c>
      <c r="F47">
        <f>E47-E46</f>
        <v/>
      </c>
      <c r="G47">
        <f>F47-F46</f>
        <v/>
      </c>
      <c r="H47">
        <f>D47-E47</f>
        <v/>
      </c>
      <c r="K47" s="19" t="n"/>
    </row>
    <row r="48">
      <c r="A48" t="n">
        <v>2013</v>
      </c>
      <c r="C48" t="n">
        <v>2014</v>
      </c>
      <c r="D48">
        <f>H17</f>
        <v/>
      </c>
      <c r="E48" s="19">
        <f>D48</f>
        <v/>
      </c>
      <c r="F48">
        <f>E48-E47</f>
        <v/>
      </c>
      <c r="G48">
        <f>F48-F47</f>
        <v/>
      </c>
      <c r="H48">
        <f>D48-E48</f>
        <v/>
      </c>
      <c r="K48" s="19" t="n"/>
    </row>
    <row r="49">
      <c r="A49" t="n">
        <v>2014</v>
      </c>
      <c r="C49" t="n">
        <v>2015</v>
      </c>
      <c r="D49">
        <f>H18</f>
        <v/>
      </c>
      <c r="E49" s="19">
        <f>D49</f>
        <v/>
      </c>
      <c r="F49">
        <f>E49-E48</f>
        <v/>
      </c>
      <c r="G49">
        <f>F49-F48</f>
        <v/>
      </c>
      <c r="H49">
        <f>D49-E49</f>
        <v/>
      </c>
      <c r="K49" s="19" t="n"/>
    </row>
    <row r="50">
      <c r="A50" t="n">
        <v>2015</v>
      </c>
      <c r="C50" t="n">
        <v>2016</v>
      </c>
      <c r="D50">
        <f>H19</f>
        <v/>
      </c>
      <c r="E50" s="19">
        <f>D50</f>
        <v/>
      </c>
      <c r="F50">
        <f>E50-E49</f>
        <v/>
      </c>
      <c r="G50">
        <f>F50-F49</f>
        <v/>
      </c>
      <c r="H50">
        <f>D50-E50</f>
        <v/>
      </c>
      <c r="K50" s="19" t="n"/>
    </row>
    <row r="51">
      <c r="A51" t="n">
        <v>2016</v>
      </c>
      <c r="C51" t="n">
        <v>2017</v>
      </c>
      <c r="D51">
        <f>H20</f>
        <v/>
      </c>
      <c r="E51" s="19">
        <f>D51</f>
        <v/>
      </c>
      <c r="F51">
        <f>E51-E50</f>
        <v/>
      </c>
      <c r="G51">
        <f>F51-F50</f>
        <v/>
      </c>
      <c r="H51">
        <f>D51-E51</f>
        <v/>
      </c>
      <c r="K51" s="19" t="n"/>
    </row>
    <row r="52">
      <c r="A52" t="n">
        <v>2017</v>
      </c>
      <c r="C52" t="n">
        <v>2018</v>
      </c>
      <c r="D52">
        <f>H21</f>
        <v/>
      </c>
      <c r="E52" s="19">
        <f>D52</f>
        <v/>
      </c>
      <c r="F52">
        <f>E52-E51</f>
        <v/>
      </c>
      <c r="G52">
        <f>F52-F51</f>
        <v/>
      </c>
      <c r="H52">
        <f>D52-E52</f>
        <v/>
      </c>
      <c r="K52" s="19" t="n"/>
    </row>
    <row r="53">
      <c r="A53" t="n">
        <v>2018</v>
      </c>
      <c r="C53" t="n">
        <v>2019</v>
      </c>
      <c r="D53">
        <f>H22</f>
        <v/>
      </c>
      <c r="E53" s="19">
        <f>D53</f>
        <v/>
      </c>
      <c r="F53">
        <f>E53-E52</f>
        <v/>
      </c>
      <c r="G53">
        <f>F53-F52</f>
        <v/>
      </c>
      <c r="H53">
        <f>D53-E53</f>
        <v/>
      </c>
      <c r="K53" s="19" t="n"/>
    </row>
    <row r="54">
      <c r="A54" t="n">
        <v>2019</v>
      </c>
      <c r="C54" t="n">
        <v>2020</v>
      </c>
      <c r="D54">
        <f>H23</f>
        <v/>
      </c>
      <c r="E54" s="19">
        <f>D54</f>
        <v/>
      </c>
      <c r="F54">
        <f>E54-E53</f>
        <v/>
      </c>
      <c r="G54">
        <f>F54-F53</f>
        <v/>
      </c>
      <c r="H54">
        <f>D54-E54</f>
        <v/>
      </c>
      <c r="K54" s="19" t="n"/>
    </row>
    <row r="55">
      <c r="A55" t="n">
        <v>2020</v>
      </c>
      <c r="C55" t="n">
        <v>2021</v>
      </c>
      <c r="D55">
        <f>H24</f>
        <v/>
      </c>
      <c r="E55" s="19">
        <f>D55</f>
        <v/>
      </c>
      <c r="F55">
        <f>E55-E54</f>
        <v/>
      </c>
      <c r="G55">
        <f>F55-F54</f>
        <v/>
      </c>
      <c r="H55">
        <f>D55-E55</f>
        <v/>
      </c>
      <c r="K55" s="19" t="n"/>
    </row>
    <row r="56">
      <c r="A56" t="n">
        <v>2021</v>
      </c>
      <c r="C56" t="n">
        <v>2022</v>
      </c>
      <c r="D56">
        <f>H25</f>
        <v/>
      </c>
      <c r="E56" s="19">
        <f>D56</f>
        <v/>
      </c>
      <c r="F56">
        <f>E56-E55</f>
        <v/>
      </c>
      <c r="G56">
        <f>F56-F55</f>
        <v/>
      </c>
      <c r="H56">
        <f>D56-E56</f>
        <v/>
      </c>
      <c r="K56" s="19" t="n"/>
    </row>
    <row r="57">
      <c r="A57" t="n">
        <v>2022</v>
      </c>
      <c r="C57" t="n">
        <v>2023</v>
      </c>
      <c r="D57">
        <f>H26</f>
        <v/>
      </c>
      <c r="E57" s="19">
        <f>D57</f>
        <v/>
      </c>
      <c r="F57">
        <f>E57-E56</f>
        <v/>
      </c>
      <c r="G57">
        <f>F57-F56</f>
        <v/>
      </c>
      <c r="H57">
        <f>D57-E57</f>
        <v/>
      </c>
      <c r="K57" s="19" t="n"/>
    </row>
    <row r="58">
      <c r="A58" t="n">
        <v>2023</v>
      </c>
      <c r="C58" t="n">
        <v>2024</v>
      </c>
      <c r="D58">
        <f>H27</f>
        <v/>
      </c>
      <c r="E58" s="21">
        <f>D58</f>
        <v/>
      </c>
      <c r="G58" s="20" t="n"/>
      <c r="K58" s="19" t="n"/>
    </row>
    <row r="59">
      <c r="C59" t="n">
        <v>2025</v>
      </c>
      <c r="D59" t="inlineStr">
        <is>
          <t>K/Y Anchor (2015-2023)</t>
        </is>
      </c>
      <c r="E59" s="21">
        <f>AVERAGE(D71:D79)</f>
        <v/>
      </c>
      <c r="G59" s="20" t="n"/>
      <c r="K59" s="19" t="n"/>
    </row>
    <row r="60">
      <c r="A60" t="inlineStr">
        <is>
          <t>Production Function Analysis</t>
        </is>
      </c>
      <c r="C60" t="n">
        <v>2026</v>
      </c>
      <c r="E60" s="21" t="n"/>
      <c r="F60" s="20" t="n"/>
      <c r="G60" s="20" t="n"/>
      <c r="I60" s="17" t="n"/>
      <c r="K60" s="19" t="n"/>
    </row>
    <row r="61">
      <c r="A61" t="inlineStr">
        <is>
          <t>Year</t>
        </is>
      </c>
      <c r="B61" t="inlineStr">
        <is>
          <t>K</t>
        </is>
      </c>
      <c r="C61" t="inlineStr">
        <is>
          <t>Y</t>
        </is>
      </c>
      <c r="D61" t="inlineStr">
        <is>
          <t>K/Y</t>
        </is>
      </c>
      <c r="E61" s="21" t="inlineStr">
        <is>
          <t>K_extended</t>
        </is>
      </c>
      <c r="F61" s="20" t="inlineStr">
        <is>
          <t>LnZ_trend</t>
        </is>
      </c>
      <c r="G61" s="20" t="inlineStr">
        <is>
          <t>Ystar_base</t>
        </is>
      </c>
      <c r="H61" t="inlineStr">
        <is>
          <t>Investment</t>
        </is>
      </c>
      <c r="I61" s="17" t="inlineStr">
        <is>
          <t>K_with</t>
        </is>
      </c>
      <c r="J61" t="inlineStr">
        <is>
          <t>Ystar_with</t>
        </is>
      </c>
      <c r="K61" s="19" t="n"/>
    </row>
    <row r="62">
      <c r="A62" t="n">
        <v>2002</v>
      </c>
      <c r="B62">
        <f>D6</f>
        <v/>
      </c>
      <c r="C62">
        <f>E6</f>
        <v/>
      </c>
      <c r="D62">
        <f>IF(AND(B62&lt;&gt;"",C62&lt;&gt;""),B62/C62,"")</f>
        <v/>
      </c>
      <c r="E62" s="21">
        <f>IF(B62&lt;&gt;"",B62,"")</f>
        <v/>
      </c>
      <c r="F62" s="20">
        <f>E37</f>
        <v/>
      </c>
      <c r="G62" s="20">
        <f>IF(AND(F62&lt;&gt;"",E62&lt;&gt;""),EXP(F62+$B$2*LN(E62)),"")</f>
        <v/>
      </c>
      <c r="H62" t="n">
        <v>0</v>
      </c>
      <c r="I62" s="17">
        <f>E62</f>
        <v/>
      </c>
      <c r="J62">
        <f>IF(AND(F62&lt;&gt;"",I62&lt;&gt;""),EXP(F62+$B$2*LN(I62)),"")</f>
        <v/>
      </c>
      <c r="K62" s="19" t="n"/>
    </row>
    <row r="63">
      <c r="A63" t="n">
        <v>2003</v>
      </c>
      <c r="B63">
        <f>D7</f>
        <v/>
      </c>
      <c r="C63">
        <f>E7</f>
        <v/>
      </c>
      <c r="D63">
        <f>IF(AND(B63&lt;&gt;"",C63&lt;&gt;""),B63/C63,"")</f>
        <v/>
      </c>
      <c r="E63" s="21">
        <f>IF(B63&lt;&gt;"",B63,"")</f>
        <v/>
      </c>
      <c r="F63" s="20">
        <f>E38</f>
        <v/>
      </c>
      <c r="G63" s="20">
        <f>IF(AND(F63&lt;&gt;"",E63&lt;&gt;""),EXP(F63+$B$2*LN(E63)),"")</f>
        <v/>
      </c>
      <c r="H63" t="n">
        <v>0</v>
      </c>
      <c r="I63" s="17">
        <f>I62*(1-$B$3)+H63</f>
        <v/>
      </c>
      <c r="J63">
        <f>IF(AND(F63&lt;&gt;"",I63&lt;&gt;""),EXP(F63+$B$2*LN(I63)),"")</f>
        <v/>
      </c>
      <c r="K63" s="19" t="n"/>
    </row>
    <row r="64">
      <c r="A64" t="n">
        <v>2004</v>
      </c>
      <c r="B64">
        <f>D8</f>
        <v/>
      </c>
      <c r="C64">
        <f>E8</f>
        <v/>
      </c>
      <c r="D64">
        <f>IF(AND(B64&lt;&gt;"",C64&lt;&gt;""),B64/C64,"")</f>
        <v/>
      </c>
      <c r="E64" s="21">
        <f>IF(B64&lt;&gt;"",B64,"")</f>
        <v/>
      </c>
      <c r="F64" s="20">
        <f>E39</f>
        <v/>
      </c>
      <c r="G64" s="20">
        <f>IF(AND(F64&lt;&gt;"",E64&lt;&gt;""),EXP(F64+$B$2*LN(E64)),"")</f>
        <v/>
      </c>
      <c r="H64" t="n">
        <v>0</v>
      </c>
      <c r="I64" s="17">
        <f>I63*(1-$B$3)+H64</f>
        <v/>
      </c>
      <c r="J64">
        <f>IF(AND(F64&lt;&gt;"",I64&lt;&gt;""),EXP(F64+$B$2*LN(I64)),"")</f>
        <v/>
      </c>
      <c r="K64" s="19" t="n"/>
    </row>
    <row r="65">
      <c r="A65" t="n">
        <v>2005</v>
      </c>
      <c r="B65">
        <f>D9</f>
        <v/>
      </c>
      <c r="C65">
        <f>E9</f>
        <v/>
      </c>
      <c r="D65">
        <f>IF(AND(B65&lt;&gt;"",C65&lt;&gt;""),B65/C65,"")</f>
        <v/>
      </c>
      <c r="E65" s="21">
        <f>IF(B65&lt;&gt;"",B65,"")</f>
        <v/>
      </c>
      <c r="F65" s="20">
        <f>E40</f>
        <v/>
      </c>
      <c r="G65" s="20">
        <f>IF(AND(F65&lt;&gt;"",E65&lt;&gt;""),EXP(F65+$B$2*LN(E65)),"")</f>
        <v/>
      </c>
      <c r="H65" t="n">
        <v>0</v>
      </c>
      <c r="I65" s="17">
        <f>I64*(1-$B$3)+H65</f>
        <v/>
      </c>
      <c r="J65">
        <f>IF(AND(F65&lt;&gt;"",I65&lt;&gt;""),EXP(F65+$B$2*LN(I65)),"")</f>
        <v/>
      </c>
      <c r="K65" s="19" t="n"/>
    </row>
    <row r="66">
      <c r="A66" t="n">
        <v>2006</v>
      </c>
      <c r="B66">
        <f>D10</f>
        <v/>
      </c>
      <c r="C66">
        <f>E10</f>
        <v/>
      </c>
      <c r="D66">
        <f>IF(AND(B66&lt;&gt;"",C66&lt;&gt;""),B66/C66,"")</f>
        <v/>
      </c>
      <c r="E66" s="21">
        <f>IF(B66&lt;&gt;"",B66,"")</f>
        <v/>
      </c>
      <c r="F66" s="20">
        <f>E41</f>
        <v/>
      </c>
      <c r="G66" s="20">
        <f>IF(AND(F66&lt;&gt;"",E66&lt;&gt;""),EXP(F66+$B$2*LN(E66)),"")</f>
        <v/>
      </c>
      <c r="H66" t="n">
        <v>0</v>
      </c>
      <c r="I66" s="17">
        <f>I65*(1-$B$3)+H66</f>
        <v/>
      </c>
      <c r="J66">
        <f>IF(AND(F66&lt;&gt;"",I66&lt;&gt;""),EXP(F66+$B$2*LN(I66)),"")</f>
        <v/>
      </c>
      <c r="K66" s="19" t="n"/>
    </row>
    <row r="67">
      <c r="A67" t="n">
        <v>2007</v>
      </c>
      <c r="B67">
        <f>D11</f>
        <v/>
      </c>
      <c r="C67">
        <f>E11</f>
        <v/>
      </c>
      <c r="D67">
        <f>IF(AND(B67&lt;&gt;"",C67&lt;&gt;""),B67/C67,"")</f>
        <v/>
      </c>
      <c r="E67" s="21">
        <f>IF(B67&lt;&gt;"",B67,"")</f>
        <v/>
      </c>
      <c r="F67" s="20">
        <f>E42</f>
        <v/>
      </c>
      <c r="G67" s="20">
        <f>IF(AND(F67&lt;&gt;"",E67&lt;&gt;""),EXP(F67+$B$2*LN(E67)),"")</f>
        <v/>
      </c>
      <c r="H67" t="n">
        <v>0</v>
      </c>
      <c r="I67" s="17">
        <f>I66*(1-$B$3)+H67</f>
        <v/>
      </c>
      <c r="J67">
        <f>IF(AND(F67&lt;&gt;"",I67&lt;&gt;""),EXP(F67+$B$2*LN(I67)),"")</f>
        <v/>
      </c>
      <c r="K67" s="19" t="n"/>
    </row>
    <row r="68">
      <c r="A68" t="n">
        <v>2008</v>
      </c>
      <c r="B68">
        <f>D12</f>
        <v/>
      </c>
      <c r="C68">
        <f>E12</f>
        <v/>
      </c>
      <c r="D68">
        <f>IF(AND(B68&lt;&gt;"",C68&lt;&gt;""),B68/C68,"")</f>
        <v/>
      </c>
      <c r="E68" s="21">
        <f>IF(B68&lt;&gt;"",B68,"")</f>
        <v/>
      </c>
      <c r="F68" s="20">
        <f>E43</f>
        <v/>
      </c>
      <c r="G68" s="20">
        <f>IF(AND(F68&lt;&gt;"",E68&lt;&gt;""),EXP(F68+$B$2*LN(E68)),"")</f>
        <v/>
      </c>
      <c r="H68" t="n">
        <v>0</v>
      </c>
      <c r="I68">
        <f>I67*(1-$B$3)+H68</f>
        <v/>
      </c>
      <c r="J68">
        <f>IF(AND(F68&lt;&gt;"",I68&lt;&gt;""),EXP(F68+$B$2*LN(I68)),"")</f>
        <v/>
      </c>
      <c r="K68" s="19" t="n"/>
    </row>
    <row r="69">
      <c r="A69" t="n">
        <v>2009</v>
      </c>
      <c r="B69">
        <f>D13</f>
        <v/>
      </c>
      <c r="C69">
        <f>E13</f>
        <v/>
      </c>
      <c r="D69">
        <f>IF(AND(B69&lt;&gt;"",C69&lt;&gt;""),B69/C69,"")</f>
        <v/>
      </c>
      <c r="E69" s="21">
        <f>IF(B69&lt;&gt;"",B69,"")</f>
        <v/>
      </c>
      <c r="F69" s="20">
        <f>E44</f>
        <v/>
      </c>
      <c r="G69" s="20">
        <f>IF(AND(F69&lt;&gt;"",E69&lt;&gt;""),EXP(F69+$B$2*LN(E69)),"")</f>
        <v/>
      </c>
      <c r="H69" t="n">
        <v>0</v>
      </c>
      <c r="I69">
        <f>I68*(1-$B$3)+H69</f>
        <v/>
      </c>
      <c r="J69">
        <f>IF(AND(F69&lt;&gt;"",I69&lt;&gt;""),EXP(F69+$B$2*LN(I69)),"")</f>
        <v/>
      </c>
      <c r="K69" s="19" t="n"/>
    </row>
    <row r="70">
      <c r="A70" t="n">
        <v>2010</v>
      </c>
      <c r="B70">
        <f>D14</f>
        <v/>
      </c>
      <c r="C70">
        <f>E14</f>
        <v/>
      </c>
      <c r="D70">
        <f>IF(AND(B70&lt;&gt;"",C70&lt;&gt;""),B70/C70,"")</f>
        <v/>
      </c>
      <c r="E70" s="21">
        <f>IF(B70&lt;&gt;"",B70,"")</f>
        <v/>
      </c>
      <c r="F70" s="20">
        <f>E45</f>
        <v/>
      </c>
      <c r="G70" s="20">
        <f>IF(AND(F70&lt;&gt;"",E70&lt;&gt;""),EXP(F70+$B$2*LN(E70)),"")</f>
        <v/>
      </c>
      <c r="H70" t="n">
        <v>0</v>
      </c>
      <c r="I70">
        <f>I69*(1-$B$3)+H70</f>
        <v/>
      </c>
      <c r="J70">
        <f>IF(AND(F70&lt;&gt;"",I70&lt;&gt;""),EXP(F70+$B$2*LN(I70)),"")</f>
        <v/>
      </c>
      <c r="K70" s="19" t="n"/>
    </row>
    <row r="71">
      <c r="A71" t="n">
        <v>2011</v>
      </c>
      <c r="B71">
        <f>D15</f>
        <v/>
      </c>
      <c r="C71">
        <f>E15</f>
        <v/>
      </c>
      <c r="D71">
        <f>IF(AND(B71&lt;&gt;"",C71&lt;&gt;""),B71/C71,"")</f>
        <v/>
      </c>
      <c r="E71" s="21">
        <f>IF(B71&lt;&gt;"",B71,"")</f>
        <v/>
      </c>
      <c r="F71" s="20">
        <f>E46</f>
        <v/>
      </c>
      <c r="G71" s="20">
        <f>IF(AND(F71&lt;&gt;"",E71&lt;&gt;""),EXP(F71+$B$2*LN(E71)),"")</f>
        <v/>
      </c>
      <c r="H71" t="n">
        <v>0</v>
      </c>
      <c r="I71">
        <f>I70*(1-$B$3)+H71</f>
        <v/>
      </c>
      <c r="J71">
        <f>IF(AND(F71&lt;&gt;"",I71&lt;&gt;""),EXP(F71+$B$2*LN(I71)),"")</f>
        <v/>
      </c>
      <c r="K71" s="19" t="n"/>
    </row>
    <row r="72">
      <c r="A72" t="n">
        <v>2012</v>
      </c>
      <c r="B72">
        <f>D16</f>
        <v/>
      </c>
      <c r="C72">
        <f>E16</f>
        <v/>
      </c>
      <c r="D72">
        <f>IF(AND(B72&lt;&gt;"",C72&lt;&gt;""),B72/C72,"")</f>
        <v/>
      </c>
      <c r="E72" s="21">
        <f>IF(B72&lt;&gt;"",B72,"")</f>
        <v/>
      </c>
      <c r="F72" s="20">
        <f>E47</f>
        <v/>
      </c>
      <c r="G72" s="20">
        <f>IF(AND(F72&lt;&gt;"",E72&lt;&gt;""),EXP(F72+$B$2*LN(E72)),"")</f>
        <v/>
      </c>
      <c r="H72" t="n">
        <v>0</v>
      </c>
      <c r="I72">
        <f>I71*(1-$B$3)+H72</f>
        <v/>
      </c>
      <c r="J72">
        <f>IF(AND(F72&lt;&gt;"",I72&lt;&gt;""),EXP(F72+$B$2*LN(I72)),"")</f>
        <v/>
      </c>
      <c r="K72" s="19" t="n"/>
    </row>
    <row r="73">
      <c r="A73" t="n">
        <v>2013</v>
      </c>
      <c r="B73">
        <f>D17</f>
        <v/>
      </c>
      <c r="C73">
        <f>E17</f>
        <v/>
      </c>
      <c r="D73">
        <f>IF(AND(B73&lt;&gt;"",C73&lt;&gt;""),B73/C73,"")</f>
        <v/>
      </c>
      <c r="E73" s="21">
        <f>IF(B73&lt;&gt;"",B73,"")</f>
        <v/>
      </c>
      <c r="F73" s="20">
        <f>E48</f>
        <v/>
      </c>
      <c r="G73" s="20">
        <f>IF(AND(F73&lt;&gt;"",E73&lt;&gt;""),EXP(F73+$B$2*LN(E73)),"")</f>
        <v/>
      </c>
      <c r="H73" t="n">
        <v>0</v>
      </c>
      <c r="I73">
        <f>I72*(1-$B$3)+H73</f>
        <v/>
      </c>
      <c r="J73">
        <f>IF(AND(F73&lt;&gt;"",I73&lt;&gt;""),EXP(F73+$B$2*LN(I73)),"")</f>
        <v/>
      </c>
      <c r="K73" s="19" t="n"/>
    </row>
    <row r="74">
      <c r="A74" t="n">
        <v>2014</v>
      </c>
      <c r="B74">
        <f>D18</f>
        <v/>
      </c>
      <c r="C74">
        <f>E18</f>
        <v/>
      </c>
      <c r="D74">
        <f>IF(AND(B74&lt;&gt;"",C74&lt;&gt;""),B74/C74,"")</f>
        <v/>
      </c>
      <c r="E74" s="21">
        <f>IF(B74&lt;&gt;"",B74,"")</f>
        <v/>
      </c>
      <c r="F74" s="20">
        <f>E49</f>
        <v/>
      </c>
      <c r="G74" s="20">
        <f>IF(AND(F74&lt;&gt;"",E74&lt;&gt;""),EXP(F74+$B$2*LN(E74)),"")</f>
        <v/>
      </c>
      <c r="H74" t="n">
        <v>0</v>
      </c>
      <c r="I74">
        <f>I73*(1-$B$3)+H74</f>
        <v/>
      </c>
      <c r="J74">
        <f>IF(AND(F74&lt;&gt;"",I74&lt;&gt;""),EXP(F74+$B$2*LN(I74)),"")</f>
        <v/>
      </c>
      <c r="K74" s="19" t="n"/>
    </row>
    <row r="75">
      <c r="A75" t="n">
        <v>2015</v>
      </c>
      <c r="B75">
        <f>D19</f>
        <v/>
      </c>
      <c r="C75">
        <f>E19</f>
        <v/>
      </c>
      <c r="D75">
        <f>IF(AND(B75&lt;&gt;"",C75&lt;&gt;""),B75/C75,"")</f>
        <v/>
      </c>
      <c r="E75" s="21">
        <f>IF(B75&lt;&gt;"",B75,"")</f>
        <v/>
      </c>
      <c r="F75" s="20">
        <f>E50</f>
        <v/>
      </c>
      <c r="G75" s="20">
        <f>IF(AND(F75&lt;&gt;"",E75&lt;&gt;""),EXP(F75+$B$2*LN(E75)),"")</f>
        <v/>
      </c>
      <c r="H75" t="n">
        <v>0</v>
      </c>
      <c r="I75">
        <f>I74*(1-$B$3)+H75</f>
        <v/>
      </c>
      <c r="J75">
        <f>IF(AND(F75&lt;&gt;"",I75&lt;&gt;""),EXP(F75+$B$2*LN(I75)),"")</f>
        <v/>
      </c>
      <c r="K75" s="19" t="n"/>
    </row>
    <row r="76">
      <c r="A76" t="n">
        <v>2016</v>
      </c>
      <c r="B76">
        <f>D20</f>
        <v/>
      </c>
      <c r="C76">
        <f>E20</f>
        <v/>
      </c>
      <c r="D76">
        <f>IF(AND(B76&lt;&gt;"",C76&lt;&gt;""),B76/C76,"")</f>
        <v/>
      </c>
      <c r="E76">
        <f>IF(B76&lt;&gt;"",B76,"")</f>
        <v/>
      </c>
      <c r="F76">
        <f>E51</f>
        <v/>
      </c>
      <c r="G76">
        <f>IF(AND(F76&lt;&gt;"",E76&lt;&gt;""),EXP(F76+$B$2*LN(E76)),"")</f>
        <v/>
      </c>
      <c r="H76" t="n">
        <v>0</v>
      </c>
      <c r="I76">
        <f>I75*(1-$B$3)+H76</f>
        <v/>
      </c>
      <c r="J76">
        <f>IF(AND(F76&lt;&gt;"",I76&lt;&gt;""),EXP(F76+$B$2*LN(I76)),"")</f>
        <v/>
      </c>
    </row>
    <row r="77">
      <c r="A77" t="n">
        <v>2017</v>
      </c>
      <c r="B77">
        <f>D21</f>
        <v/>
      </c>
      <c r="C77">
        <f>E21</f>
        <v/>
      </c>
      <c r="D77">
        <f>IF(AND(B77&lt;&gt;"",C77&lt;&gt;""),B77/C77,"")</f>
        <v/>
      </c>
      <c r="E77">
        <f>IF(B77&lt;&gt;"",B77,"")</f>
        <v/>
      </c>
      <c r="F77">
        <f>E52</f>
        <v/>
      </c>
      <c r="G77">
        <f>IF(AND(F77&lt;&gt;"",E77&lt;&gt;""),EXP(F77+$B$2*LN(E77)),"")</f>
        <v/>
      </c>
      <c r="H77" t="n">
        <v>0</v>
      </c>
      <c r="I77">
        <f>I76*(1-$B$3)+H77</f>
        <v/>
      </c>
      <c r="J77">
        <f>IF(AND(F77&lt;&gt;"",I77&lt;&gt;""),EXP(F77+$B$2*LN(I77)),"")</f>
        <v/>
      </c>
    </row>
    <row r="78">
      <c r="A78" t="n">
        <v>2018</v>
      </c>
      <c r="B78">
        <f>D22</f>
        <v/>
      </c>
      <c r="C78">
        <f>E22</f>
        <v/>
      </c>
      <c r="D78">
        <f>IF(AND(B78&lt;&gt;"",C78&lt;&gt;""),B78/C78,"")</f>
        <v/>
      </c>
      <c r="E78">
        <f>IF(B78&lt;&gt;"",B78,"")</f>
        <v/>
      </c>
      <c r="F78">
        <f>E53</f>
        <v/>
      </c>
      <c r="G78">
        <f>IF(AND(F78&lt;&gt;"",E78&lt;&gt;""),EXP(F78+$B$2*LN(E78)),"")</f>
        <v/>
      </c>
      <c r="H78" t="n">
        <v>0</v>
      </c>
      <c r="I78">
        <f>I77*(1-$B$3)+H78</f>
        <v/>
      </c>
      <c r="J78">
        <f>IF(AND(F78&lt;&gt;"",I78&lt;&gt;""),EXP(F78+$B$2*LN(I78)),"")</f>
        <v/>
      </c>
    </row>
    <row r="79">
      <c r="A79" t="n">
        <v>2019</v>
      </c>
      <c r="B79">
        <f>D23</f>
        <v/>
      </c>
      <c r="C79">
        <f>E23</f>
        <v/>
      </c>
      <c r="D79">
        <f>IF(AND(B79&lt;&gt;"",C79&lt;&gt;""),B79/C79,"")</f>
        <v/>
      </c>
      <c r="E79">
        <f>IF(B79&lt;&gt;"",B79,"")</f>
        <v/>
      </c>
      <c r="F79">
        <f>E54</f>
        <v/>
      </c>
      <c r="G79">
        <f>IF(AND(F79&lt;&gt;"",E79&lt;&gt;""),EXP(F79+$B$2*LN(E79)),"")</f>
        <v/>
      </c>
      <c r="H79" t="n">
        <v>0</v>
      </c>
      <c r="I79">
        <f>I78*(1-$B$3)+H79</f>
        <v/>
      </c>
      <c r="J79">
        <f>IF(AND(F79&lt;&gt;"",I79&lt;&gt;""),EXP(F79+$B$2*LN(I79)),"")</f>
        <v/>
      </c>
    </row>
    <row r="80">
      <c r="A80" t="n">
        <v>2020</v>
      </c>
      <c r="B80">
        <f>D24</f>
        <v/>
      </c>
      <c r="C80">
        <f>E24</f>
        <v/>
      </c>
      <c r="D80">
        <f>IF(AND(B80&lt;&gt;"",C80&lt;&gt;""),B80/C80,"")</f>
        <v/>
      </c>
      <c r="E80">
        <f>IF(B80&lt;&gt;"",B80,"")</f>
        <v/>
      </c>
      <c r="F80">
        <f>E55</f>
        <v/>
      </c>
      <c r="G80">
        <f>IF(AND(F80&lt;&gt;"",E80&lt;&gt;""),EXP(F80+$B$2*LN(E80)),"")</f>
        <v/>
      </c>
      <c r="H80" t="n">
        <v>0</v>
      </c>
      <c r="I80">
        <f>I79*(1-$B$3)+H80</f>
        <v/>
      </c>
      <c r="J80">
        <f>IF(AND(F80&lt;&gt;"",I80&lt;&gt;""),EXP(F80+$B$2*LN(I80)),"")</f>
        <v/>
      </c>
    </row>
    <row r="81">
      <c r="A81" t="n">
        <v>2021</v>
      </c>
      <c r="B81">
        <f>D25</f>
        <v/>
      </c>
      <c r="C81">
        <f>E25</f>
        <v/>
      </c>
      <c r="D81">
        <f>IF(AND(B81&lt;&gt;"",C81&lt;&gt;""),B81/C81,"")</f>
        <v/>
      </c>
      <c r="E81">
        <f>IF(B81&lt;&gt;"",B81,"")</f>
        <v/>
      </c>
      <c r="F81">
        <f>E56</f>
        <v/>
      </c>
      <c r="G81">
        <f>IF(AND(F81&lt;&gt;"",E81&lt;&gt;""),EXP(F81+$B$2*LN(E81)),"")</f>
        <v/>
      </c>
      <c r="H81" t="n">
        <v>0</v>
      </c>
      <c r="I81">
        <f>I80*(1-$B$3)+H81</f>
        <v/>
      </c>
      <c r="J81">
        <f>IF(AND(F81&lt;&gt;"",I81&lt;&gt;""),EXP(F81+$B$2*LN(I81)),"")</f>
        <v/>
      </c>
    </row>
    <row r="82">
      <c r="A82" t="n">
        <v>2022</v>
      </c>
      <c r="B82">
        <f>D26</f>
        <v/>
      </c>
      <c r="C82">
        <f>E26</f>
        <v/>
      </c>
      <c r="D82">
        <f>IF(AND(B82&lt;&gt;"",C82&lt;&gt;""),B82/C82,"")</f>
        <v/>
      </c>
      <c r="E82">
        <f>IF(B82&lt;&gt;"",B82,"")</f>
        <v/>
      </c>
      <c r="F82">
        <f>E57</f>
        <v/>
      </c>
      <c r="G82">
        <f>IF(AND(F82&lt;&gt;"",E82&lt;&gt;""),EXP(F82+$B$2*LN(E82)),"")</f>
        <v/>
      </c>
      <c r="H82" t="n">
        <v>0</v>
      </c>
      <c r="I82">
        <f>I81*(1-$B$3)+H82</f>
        <v/>
      </c>
      <c r="J82">
        <f>IF(AND(F82&lt;&gt;"",I82&lt;&gt;""),EXP(F82+$B$2*LN(I82)),"")</f>
        <v/>
      </c>
    </row>
    <row r="83">
      <c r="A83" t="n">
        <v>2023</v>
      </c>
      <c r="B83">
        <f>D27</f>
        <v/>
      </c>
      <c r="C83">
        <f>E27</f>
        <v/>
      </c>
      <c r="D83">
        <f>IF(AND(B83&lt;&gt;"",C83&lt;&gt;""),B83/C83,"")</f>
        <v/>
      </c>
      <c r="E83">
        <f>IF(B83&lt;&gt;"",B83,"")</f>
        <v/>
      </c>
      <c r="F83">
        <f>E58</f>
        <v/>
      </c>
      <c r="G83">
        <f>IF(AND(F83&lt;&gt;"",E83&lt;&gt;""),EXP(F83+$B$2*LN(E83)),"")</f>
        <v/>
      </c>
      <c r="H83" t="n">
        <v>0</v>
      </c>
      <c r="I83">
        <f>I82*(1-$B$3)+H83</f>
        <v/>
      </c>
      <c r="J83">
        <f>IF(AND(F83&lt;&gt;"",I83&lt;&gt;""),EXP(F83+$B$2*LN(I83)),"")</f>
        <v/>
      </c>
    </row>
    <row r="84">
      <c r="A84" t="n">
        <v>2024</v>
      </c>
      <c r="B84">
        <f>D28</f>
        <v/>
      </c>
      <c r="C84">
        <f>E28</f>
        <v/>
      </c>
      <c r="E84">
        <f>IF(C84&lt;&gt;"",E$59*C84,"")</f>
        <v/>
      </c>
      <c r="H84" t="n">
        <v>0</v>
      </c>
      <c r="I84">
        <f>I83*(1-$B$3)+H84</f>
        <v/>
      </c>
    </row>
    <row r="85">
      <c r="A85" t="inlineStr">
        <is>
          <t>SUMMARY OF RESULTS</t>
        </is>
      </c>
      <c r="B85">
        <f>D29</f>
        <v/>
      </c>
      <c r="C85">
        <f>E29</f>
        <v/>
      </c>
      <c r="E85">
        <f>IF(C85&lt;&gt;"",E$59*C85,"")</f>
        <v/>
      </c>
      <c r="H85" t="n">
        <v>0</v>
      </c>
      <c r="I85">
        <f>I84*(1-$B$3)+H85</f>
        <v/>
      </c>
    </row>
    <row r="86">
      <c r="A86" t="inlineStr">
        <is>
          <t>Investment Shock Period</t>
        </is>
      </c>
      <c r="B86" t="inlineStr">
        <is>
          <t>2026-2033</t>
        </is>
      </c>
      <c r="C86">
        <f>WEO_Data!C34</f>
        <v/>
      </c>
      <c r="E86">
        <f>IF(C86&lt;&gt;"",E$59*C86,"")</f>
        <v/>
      </c>
      <c r="H86">
        <f>IF(Investment!B2=2026,Investment!C2,0)</f>
        <v/>
      </c>
      <c r="I86">
        <f>I85*(1-$B$3)+H86</f>
        <v/>
      </c>
    </row>
    <row r="87">
      <c r="A87" t="inlineStr">
        <is>
          <t>Total Investment</t>
        </is>
      </c>
      <c r="B87">
        <f>SUM(Investment!C2:C9)</f>
        <v/>
      </c>
      <c r="C87">
        <f>WEO_Data!C35</f>
        <v/>
      </c>
      <c r="E87">
        <f>IF(C87&lt;&gt;"",E$59*C87,"")</f>
        <v/>
      </c>
      <c r="H87">
        <f>IF(Investment!B3=2027,Investment!C3,0)</f>
        <v/>
      </c>
      <c r="I87">
        <f>I86*(1-$B$3)+H87</f>
        <v/>
      </c>
    </row>
    <row r="88">
      <c r="A88" t="n">
        <v>2028</v>
      </c>
      <c r="C88">
        <f>WEO_Data!C36</f>
        <v/>
      </c>
      <c r="E88">
        <f>IF(C88&lt;&gt;"",E$59*C88,"")</f>
        <v/>
      </c>
      <c r="H88">
        <f>IF(Investment!B4=2028,Investment!C4,0)</f>
        <v/>
      </c>
      <c r="I88">
        <f>I87*(1-$B$3)+H88</f>
        <v/>
      </c>
    </row>
    <row r="89">
      <c r="A89" t="inlineStr">
        <is>
          <t>GDP Impact Analysis</t>
        </is>
      </c>
      <c r="C89">
        <f>WEO_Data!C37</f>
        <v/>
      </c>
      <c r="E89">
        <f>IF(C89&lt;&gt;"",E$59*C89,"")</f>
        <v/>
      </c>
      <c r="H89">
        <f>IF(Investment!B5=2029,Investment!C5,0)</f>
        <v/>
      </c>
      <c r="I89">
        <f>I88*(1-$B$3)+H89</f>
        <v/>
      </c>
    </row>
    <row r="90">
      <c r="A90" t="inlineStr">
        <is>
          <t>Year</t>
        </is>
      </c>
      <c r="B90" t="inlineStr">
        <is>
          <t>Ystar_base</t>
        </is>
      </c>
      <c r="C90" t="inlineStr">
        <is>
          <t>Ystar_with</t>
        </is>
      </c>
      <c r="D90" t="inlineStr">
        <is>
          <t>Impact (Ystar_with - Ystar_base)</t>
        </is>
      </c>
      <c r="E90" t="inlineStr">
        <is>
          <t>Impact %</t>
        </is>
      </c>
      <c r="H90">
        <f>IF(Investment!B6=2030,Investment!C6,0)</f>
        <v/>
      </c>
      <c r="I90">
        <f>I89*(1-$B$3)+H90</f>
        <v/>
      </c>
    </row>
    <row r="91">
      <c r="A91" t="n">
        <v>2026</v>
      </c>
      <c r="B91">
        <f>G86</f>
        <v/>
      </c>
      <c r="C91">
        <f>J86</f>
        <v/>
      </c>
      <c r="D91">
        <f>C91-B91</f>
        <v/>
      </c>
      <c r="E91">
        <f>IF(B91&lt;&gt;0,D91/B91,"")</f>
        <v/>
      </c>
      <c r="H91">
        <f>IF(Investment!B7=2031,Investment!C7,0)</f>
        <v/>
      </c>
      <c r="I91">
        <f>I90*(1-$B$3)+H91</f>
        <v/>
      </c>
    </row>
    <row r="92">
      <c r="A92" t="n">
        <v>2027</v>
      </c>
      <c r="B92">
        <f>G87</f>
        <v/>
      </c>
      <c r="C92">
        <f>J87</f>
        <v/>
      </c>
      <c r="D92">
        <f>C92-B92</f>
        <v/>
      </c>
      <c r="E92">
        <f>IF(B92&lt;&gt;0,D92/B92,"")</f>
        <v/>
      </c>
      <c r="H92">
        <f>IF(Investment!B8=2032,Investment!C8,0)</f>
        <v/>
      </c>
      <c r="I92">
        <f>I91*(1-$B$3)+H92</f>
        <v/>
      </c>
    </row>
    <row r="93">
      <c r="A93" t="n">
        <v>2028</v>
      </c>
      <c r="B93">
        <f>G88</f>
        <v/>
      </c>
      <c r="C93">
        <f>J88</f>
        <v/>
      </c>
      <c r="D93">
        <f>C93-B93</f>
        <v/>
      </c>
      <c r="E93">
        <f>IF(B93&lt;&gt;0,D93/B93,"")</f>
        <v/>
      </c>
      <c r="H93">
        <f>IF(Investment!B9=2033,Investment!C9,0)</f>
        <v/>
      </c>
      <c r="I93">
        <f>I92*(1-$B$3)+H93</f>
        <v/>
      </c>
    </row>
    <row r="94">
      <c r="A94" t="n">
        <v>2029</v>
      </c>
      <c r="B94">
        <f>G89</f>
        <v/>
      </c>
      <c r="C94">
        <f>J89</f>
        <v/>
      </c>
      <c r="D94">
        <f>C94-B94</f>
        <v/>
      </c>
      <c r="E94">
        <f>IF(B94&lt;&gt;0,D94/B94,"")</f>
        <v/>
      </c>
      <c r="H94" t="n">
        <v>0</v>
      </c>
      <c r="I94">
        <f>I93*(1-$B$3)+H94</f>
        <v/>
      </c>
    </row>
    <row r="95">
      <c r="A95" t="n">
        <v>2030</v>
      </c>
      <c r="B95">
        <f>G90</f>
        <v/>
      </c>
      <c r="C95">
        <f>J90</f>
        <v/>
      </c>
      <c r="D95">
        <f>C95-B95</f>
        <v/>
      </c>
      <c r="E95">
        <f>IF(B95&lt;&gt;0,D95/B95,"")</f>
        <v/>
      </c>
      <c r="H95" t="n">
        <v>0</v>
      </c>
      <c r="I95">
        <f>I94*(1-$B$3)+H95</f>
        <v/>
      </c>
    </row>
    <row r="96">
      <c r="A96" t="n">
        <v>2031</v>
      </c>
      <c r="B96">
        <f>G91</f>
        <v/>
      </c>
      <c r="C96">
        <f>J91</f>
        <v/>
      </c>
      <c r="D96">
        <f>C96-B96</f>
        <v/>
      </c>
      <c r="E96">
        <f>IF(B96&lt;&gt;0,D96/B96,"")</f>
        <v/>
      </c>
      <c r="H96" t="n">
        <v>0</v>
      </c>
      <c r="I96">
        <f>I95*(1-$B$3)+H96</f>
        <v/>
      </c>
    </row>
    <row r="97">
      <c r="A97" t="n">
        <v>2032</v>
      </c>
      <c r="B97">
        <f>G92</f>
        <v/>
      </c>
      <c r="C97">
        <f>J92</f>
        <v/>
      </c>
      <c r="D97">
        <f>C97-B97</f>
        <v/>
      </c>
      <c r="E97">
        <f>IF(B97&lt;&gt;0,D97/B97,"")</f>
        <v/>
      </c>
      <c r="H97" t="n">
        <v>0</v>
      </c>
      <c r="I97">
        <f>I96*(1-$B$3)+H97</f>
        <v/>
      </c>
    </row>
    <row r="98">
      <c r="A98" t="n">
        <v>2033</v>
      </c>
      <c r="B98">
        <f>G93</f>
        <v/>
      </c>
      <c r="C98">
        <f>J93</f>
        <v/>
      </c>
      <c r="D98">
        <f>C98-B98</f>
        <v/>
      </c>
      <c r="E98">
        <f>IF(B98&lt;&gt;0,D98/B98,"")</f>
        <v/>
      </c>
      <c r="H98" t="n">
        <v>0</v>
      </c>
      <c r="I98">
        <f>I97*(1-$B$3)+H98</f>
        <v/>
      </c>
    </row>
    <row r="99">
      <c r="A99" t="n">
        <v>2034</v>
      </c>
      <c r="B99">
        <f>G94</f>
        <v/>
      </c>
      <c r="C99">
        <f>J94</f>
        <v/>
      </c>
      <c r="D99">
        <f>C99-B99</f>
        <v/>
      </c>
      <c r="E99">
        <f>IF(B99&lt;&gt;0,D99/B99,"")</f>
        <v/>
      </c>
      <c r="H99" t="n">
        <v>0</v>
      </c>
      <c r="I99">
        <f>I98*(1-$B$3)+H99</f>
        <v/>
      </c>
    </row>
    <row r="100">
      <c r="A100" t="n">
        <v>2035</v>
      </c>
      <c r="B100">
        <f>G95</f>
        <v/>
      </c>
      <c r="C100">
        <f>J95</f>
        <v/>
      </c>
      <c r="D100">
        <f>C100-B100</f>
        <v/>
      </c>
      <c r="E100">
        <f>IF(B100&lt;&gt;0,D100/B100,"")</f>
        <v/>
      </c>
      <c r="H100" t="n">
        <v>0</v>
      </c>
      <c r="I100">
        <f>I99*(1-$B$3)+H100</f>
        <v/>
      </c>
    </row>
    <row r="101">
      <c r="A101" t="n">
        <v>2036</v>
      </c>
      <c r="B101">
        <f>G96</f>
        <v/>
      </c>
      <c r="C101">
        <f>J96</f>
        <v/>
      </c>
      <c r="D101">
        <f>C101-B101</f>
        <v/>
      </c>
      <c r="E101">
        <f>IF(B101&lt;&gt;0,D101/B101,"")</f>
        <v/>
      </c>
      <c r="H101" t="n">
        <v>0</v>
      </c>
      <c r="I101">
        <f>I100*(1-$B$3)+H101</f>
        <v/>
      </c>
    </row>
    <row r="102">
      <c r="A102" t="n">
        <v>2037</v>
      </c>
      <c r="B102">
        <f>G97</f>
        <v/>
      </c>
      <c r="C102">
        <f>J97</f>
        <v/>
      </c>
      <c r="D102">
        <f>C102-B102</f>
        <v/>
      </c>
      <c r="E102">
        <f>IF(B102&lt;&gt;0,D102/B102,"")</f>
        <v/>
      </c>
      <c r="H102" t="n">
        <v>0</v>
      </c>
      <c r="I102">
        <f>I101*(1-$B$3)+H102</f>
        <v/>
      </c>
    </row>
    <row r="103">
      <c r="A103" t="n">
        <v>2038</v>
      </c>
      <c r="B103">
        <f>G98</f>
        <v/>
      </c>
      <c r="C103">
        <f>J98</f>
        <v/>
      </c>
      <c r="D103">
        <f>C103-B103</f>
        <v/>
      </c>
      <c r="E103">
        <f>IF(B103&lt;&gt;0,D103/B103,"")</f>
        <v/>
      </c>
      <c r="H103" t="n">
        <v>0</v>
      </c>
      <c r="I103">
        <f>I102*(1-$B$3)+H103</f>
        <v/>
      </c>
    </row>
    <row r="104">
      <c r="A104" t="n">
        <v>2039</v>
      </c>
      <c r="B104">
        <f>G99</f>
        <v/>
      </c>
      <c r="C104">
        <f>J99</f>
        <v/>
      </c>
      <c r="D104">
        <f>C104-B104</f>
        <v/>
      </c>
      <c r="E104">
        <f>IF(B104&lt;&gt;0,D104/B104,"")</f>
        <v/>
      </c>
    </row>
    <row r="105">
      <c r="A105" t="n">
        <v>2040</v>
      </c>
      <c r="B105">
        <f>G100</f>
        <v/>
      </c>
      <c r="C105">
        <f>J100</f>
        <v/>
      </c>
      <c r="D105">
        <f>C105-B105</f>
        <v/>
      </c>
      <c r="E105">
        <f>IF(B105&lt;&gt;0,D105/B105,"")</f>
        <v/>
      </c>
    </row>
    <row r="106">
      <c r="A106" t="n">
        <v>2041</v>
      </c>
      <c r="B106">
        <f>G101</f>
        <v/>
      </c>
      <c r="C106">
        <f>J101</f>
        <v/>
      </c>
      <c r="D106">
        <f>C106-B106</f>
        <v/>
      </c>
      <c r="E106">
        <f>IF(B106&lt;&gt;0,D106/B106,"")</f>
        <v/>
      </c>
    </row>
    <row r="107">
      <c r="A107" t="n">
        <v>2042</v>
      </c>
      <c r="B107">
        <f>G102</f>
        <v/>
      </c>
      <c r="C107">
        <f>J102</f>
        <v/>
      </c>
      <c r="D107">
        <f>C107-B107</f>
        <v/>
      </c>
      <c r="E107">
        <f>IF(B107&lt;&gt;0,D107/B107,"")</f>
        <v/>
      </c>
    </row>
    <row r="108">
      <c r="A108" t="n">
        <v>2043</v>
      </c>
      <c r="B108">
        <f>G103</f>
        <v/>
      </c>
      <c r="C108">
        <f>J103</f>
        <v/>
      </c>
      <c r="D108">
        <f>C108-B108</f>
        <v/>
      </c>
      <c r="E108">
        <f>IF(B108&lt;&gt;0,D108/B108,"")</f>
        <v/>
      </c>
    </row>
    <row r="110">
      <c r="A110" t="inlineStr">
        <is>
          <t>Cumulative Impact 2026-2043</t>
        </is>
      </c>
      <c r="B110">
        <f>SUM(D91:D108)</f>
        <v/>
      </c>
    </row>
    <row r="111">
      <c r="A111" t="inlineStr">
        <is>
          <t>Average Annual Impact</t>
        </is>
      </c>
      <c r="B111">
        <f>AVERAGE(D91:D108)</f>
        <v/>
      </c>
    </row>
    <row r="112">
      <c r="A112" t="inlineStr">
        <is>
          <t>Peak Impact Year</t>
        </is>
      </c>
      <c r="B112">
        <f>MAX(D91:D108)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450</v>
      </c>
      <c r="D2" s="19">
        <f>PWT!B8</f>
        <v/>
      </c>
      <c r="E2">
        <f>IF(D2&gt;0,C2/D2,"")</f>
        <v/>
      </c>
    </row>
    <row r="3">
      <c r="A3" s="18" t="n">
        <v>35795</v>
      </c>
      <c r="B3" t="n">
        <v>1997</v>
      </c>
      <c r="C3" t="n">
        <v>480</v>
      </c>
      <c r="D3" s="19">
        <f>PWT!B9</f>
        <v/>
      </c>
      <c r="E3">
        <f>IF(D3&gt;0,C3/D3,"")</f>
        <v/>
      </c>
    </row>
    <row r="4">
      <c r="A4" s="18" t="n">
        <v>36160</v>
      </c>
      <c r="B4" t="n">
        <v>1998</v>
      </c>
      <c r="C4" t="n">
        <v>510</v>
      </c>
      <c r="D4" s="19">
        <f>PWT!B10</f>
        <v/>
      </c>
      <c r="E4">
        <f>IF(D4&gt;0,C4/D4,"")</f>
        <v/>
      </c>
    </row>
    <row r="5">
      <c r="A5" s="18" t="n">
        <v>36525</v>
      </c>
      <c r="B5" t="n">
        <v>1999</v>
      </c>
      <c r="C5" t="n">
        <v>540</v>
      </c>
      <c r="D5" s="19">
        <f>PWT!B11</f>
        <v/>
      </c>
      <c r="E5">
        <f>IF(D5&gt;0,C5/D5,"")</f>
        <v/>
      </c>
    </row>
    <row r="6">
      <c r="A6" s="18" t="n">
        <v>36891</v>
      </c>
      <c r="B6" t="n">
        <v>2000</v>
      </c>
      <c r="C6" t="n">
        <v>580</v>
      </c>
      <c r="D6" s="19">
        <f>PWT!B12</f>
        <v/>
      </c>
      <c r="E6">
        <f>IF(D6&gt;0,C6/D6,"")</f>
        <v/>
      </c>
    </row>
    <row r="7">
      <c r="A7" s="18" t="n">
        <v>37256</v>
      </c>
      <c r="B7" t="n">
        <v>2001</v>
      </c>
      <c r="C7" t="n">
        <v>620</v>
      </c>
      <c r="D7" s="19">
        <f>PWT!B13</f>
        <v/>
      </c>
      <c r="E7">
        <f>IF(D7&gt;0,C7/D7,"")</f>
        <v/>
      </c>
    </row>
    <row r="8">
      <c r="A8" s="18" t="n">
        <v>37621</v>
      </c>
      <c r="B8" t="n">
        <v>2002</v>
      </c>
      <c r="C8" t="n">
        <v>670</v>
      </c>
      <c r="D8" s="19">
        <f>PWT!B14</f>
        <v/>
      </c>
      <c r="E8">
        <f>IF(D8&gt;0,C8/D8,"")</f>
        <v/>
      </c>
    </row>
    <row r="9">
      <c r="A9" s="18" t="n">
        <v>37986</v>
      </c>
      <c r="B9" t="n">
        <v>2003</v>
      </c>
      <c r="C9" t="n">
        <v>730</v>
      </c>
      <c r="D9" s="19">
        <f>PWT!B15</f>
        <v/>
      </c>
      <c r="E9">
        <f>IF(D9&gt;0,C9/D9,"")</f>
        <v/>
      </c>
    </row>
    <row r="10">
      <c r="A10" s="18" t="n">
        <v>38352</v>
      </c>
      <c r="B10" t="n">
        <v>2004</v>
      </c>
      <c r="C10" t="n">
        <v>800</v>
      </c>
      <c r="D10" s="19">
        <f>PWT!B16</f>
        <v/>
      </c>
      <c r="E10">
        <f>IF(D10&gt;0,C10/D10,"")</f>
        <v/>
      </c>
    </row>
    <row r="11">
      <c r="A11" s="18" t="n">
        <v>38717</v>
      </c>
      <c r="B11" t="n">
        <v>2005</v>
      </c>
      <c r="C11" t="n">
        <v>880</v>
      </c>
      <c r="D11" s="19">
        <f>PWT!B17</f>
        <v/>
      </c>
      <c r="E11">
        <f>IF(D11&gt;0,C11/D11,"")</f>
        <v/>
      </c>
    </row>
    <row r="12">
      <c r="A12" s="18" t="n">
        <v>39082</v>
      </c>
      <c r="B12" t="n">
        <v>2006</v>
      </c>
      <c r="C12" t="n">
        <v>970</v>
      </c>
      <c r="D12" s="19">
        <f>PWT!B18</f>
        <v/>
      </c>
      <c r="E12">
        <f>IF(D12&gt;0,C12/D12,"")</f>
        <v/>
      </c>
    </row>
    <row r="13">
      <c r="A13" s="18" t="n">
        <v>39447</v>
      </c>
      <c r="B13" t="n">
        <v>2007</v>
      </c>
      <c r="C13" t="n">
        <v>1080</v>
      </c>
      <c r="D13" s="19">
        <f>PWT!B19</f>
        <v/>
      </c>
      <c r="E13">
        <f>IF(D13&gt;0,C13/D13,"")</f>
        <v/>
      </c>
    </row>
    <row r="14">
      <c r="A14" s="18" t="n">
        <v>39813</v>
      </c>
      <c r="B14" t="n">
        <v>2008</v>
      </c>
      <c r="C14" t="n">
        <v>1120</v>
      </c>
      <c r="D14" s="19">
        <f>PWT!B20</f>
        <v/>
      </c>
      <c r="E14">
        <f>IF(D14&gt;0,C14/D14,"")</f>
        <v/>
      </c>
    </row>
    <row r="15">
      <c r="A15" s="18" t="n">
        <v>40178</v>
      </c>
      <c r="B15" t="n">
        <v>2009</v>
      </c>
      <c r="C15" t="n">
        <v>1050</v>
      </c>
      <c r="D15" s="19">
        <f>PWT!B21</f>
        <v/>
      </c>
      <c r="E15">
        <f>IF(D15&gt;0,C15/D15,"")</f>
        <v/>
      </c>
    </row>
    <row r="16">
      <c r="A16" s="18" t="n">
        <v>40543</v>
      </c>
      <c r="B16" t="n">
        <v>2010</v>
      </c>
      <c r="C16" t="n">
        <v>1100</v>
      </c>
      <c r="D16" s="19">
        <f>PWT!B22</f>
        <v/>
      </c>
      <c r="E16">
        <f>IF(D16&gt;0,C16/D16,"")</f>
        <v/>
      </c>
    </row>
    <row r="17">
      <c r="A17" s="18" t="n">
        <v>40908</v>
      </c>
      <c r="B17" t="n">
        <v>2011</v>
      </c>
      <c r="C17" t="n">
        <v>980</v>
      </c>
      <c r="D17" s="19">
        <f>PWT!B23</f>
        <v/>
      </c>
      <c r="E17">
        <f>IF(D17&gt;0,C17/D17,"")</f>
        <v/>
      </c>
    </row>
    <row r="18">
      <c r="A18" s="18" t="n">
        <v>41274</v>
      </c>
      <c r="B18" t="n">
        <v>2012</v>
      </c>
      <c r="C18" t="n">
        <v>750</v>
      </c>
      <c r="D18" s="19">
        <f>PWT!B24</f>
        <v/>
      </c>
      <c r="E18">
        <f>IF(D18&gt;0,C18/D18,"")</f>
        <v/>
      </c>
    </row>
    <row r="19">
      <c r="A19" s="18" t="n">
        <v>41639</v>
      </c>
      <c r="B19" t="n">
        <v>2013</v>
      </c>
      <c r="C19" t="n">
        <v>800</v>
      </c>
      <c r="D19" s="19">
        <f>PWT!B25</f>
        <v/>
      </c>
      <c r="E19">
        <f>IF(D19&gt;0,C19/D19,"")</f>
        <v/>
      </c>
    </row>
    <row r="20">
      <c r="A20" s="18" t="n">
        <v>42004</v>
      </c>
      <c r="B20" t="n">
        <v>2014</v>
      </c>
      <c r="C20" t="n">
        <v>850</v>
      </c>
      <c r="D20" s="19">
        <f>PWT!B26</f>
        <v/>
      </c>
      <c r="E20">
        <f>IF(D20&gt;0,C20/D20,"")</f>
        <v/>
      </c>
    </row>
    <row r="21">
      <c r="A21" s="18" t="n">
        <v>42369</v>
      </c>
      <c r="B21" t="n">
        <v>2015</v>
      </c>
      <c r="C21" t="n">
        <v>900</v>
      </c>
      <c r="D21" s="19">
        <f>PWT!B27</f>
        <v/>
      </c>
      <c r="E21">
        <f>IF(D21&gt;0,C21/D21,"")</f>
        <v/>
      </c>
    </row>
    <row r="22">
      <c r="A22" s="18" t="n">
        <v>42735</v>
      </c>
      <c r="B22" t="n">
        <v>2016</v>
      </c>
      <c r="C22" t="n">
        <v>950</v>
      </c>
      <c r="D22" s="19">
        <f>PWT!B28</f>
        <v/>
      </c>
      <c r="E22">
        <f>IF(D22&gt;0,C22/D22,"")</f>
        <v/>
      </c>
    </row>
    <row r="23">
      <c r="A23" s="18" t="n">
        <v>43100</v>
      </c>
      <c r="B23" t="n">
        <v>2017</v>
      </c>
      <c r="C23" t="n">
        <v>1000</v>
      </c>
      <c r="D23" s="19">
        <f>PWT!B29</f>
        <v/>
      </c>
      <c r="E23">
        <f>IF(D23&gt;0,C23/D23,"")</f>
        <v/>
      </c>
    </row>
    <row r="24">
      <c r="A24" s="18" t="n">
        <v>43465</v>
      </c>
      <c r="B24" t="n">
        <v>2018</v>
      </c>
      <c r="C24" t="n">
        <v>980</v>
      </c>
      <c r="D24" s="19">
        <f>PWT!B30</f>
        <v/>
      </c>
      <c r="E24">
        <f>IF(D24&gt;0,C24/D24,"")</f>
        <v/>
      </c>
    </row>
    <row r="25">
      <c r="A25" s="18" t="n">
        <v>43830</v>
      </c>
      <c r="B25" t="n">
        <v>2019</v>
      </c>
      <c r="C25" t="n">
        <v>1020</v>
      </c>
      <c r="D25" s="19">
        <f>PWT!B31</f>
        <v/>
      </c>
      <c r="E25">
        <f>IF(D25&gt;0,C25/D25,"")</f>
        <v/>
      </c>
    </row>
    <row r="26">
      <c r="A26" s="18" t="n">
        <v>44196</v>
      </c>
      <c r="B26" t="n">
        <v>2020</v>
      </c>
      <c r="C26" t="n">
        <v>950</v>
      </c>
      <c r="D26" s="19">
        <f>PWT!B32</f>
        <v/>
      </c>
      <c r="E26">
        <f>IF(D26&gt;0,C26/D26,"")</f>
        <v/>
      </c>
    </row>
    <row r="27">
      <c r="A27" s="18" t="n">
        <v>44561</v>
      </c>
      <c r="B27" t="n">
        <v>2021</v>
      </c>
      <c r="C27" t="n">
        <v>980</v>
      </c>
      <c r="D27" s="19">
        <f>PWT!B33</f>
        <v/>
      </c>
      <c r="E27">
        <f>IF(D27&gt;0,C27/D27,"")</f>
        <v/>
      </c>
    </row>
    <row r="28">
      <c r="A28" s="18" t="n">
        <v>44926</v>
      </c>
      <c r="B28" t="n">
        <v>2022</v>
      </c>
      <c r="C28" t="n">
        <v>1050</v>
      </c>
      <c r="D28" s="19">
        <f>PWT!B34</f>
        <v/>
      </c>
      <c r="E28">
        <f>IF(D28&gt;0,C28/D28,"")</f>
        <v/>
      </c>
    </row>
    <row r="29">
      <c r="A29" s="18" t="n">
        <v>45291</v>
      </c>
      <c r="B29" t="n">
        <v>2023</v>
      </c>
      <c r="C29" t="n">
        <v>1020</v>
      </c>
      <c r="D29" s="19">
        <f>PWT!B35</f>
        <v/>
      </c>
      <c r="E29">
        <f>IF(D29&gt;0,C29/D29,"")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53800</v>
      </c>
    </row>
    <row r="3">
      <c r="A3" s="19" t="n">
        <v>1991</v>
      </c>
      <c r="B3" s="19" t="n">
        <v>53200</v>
      </c>
    </row>
    <row r="4">
      <c r="A4" s="19" t="n">
        <v>1992</v>
      </c>
      <c r="B4" s="19" t="n">
        <v>52100</v>
      </c>
    </row>
    <row r="5">
      <c r="A5" s="19" t="n">
        <v>1993</v>
      </c>
      <c r="B5" s="19" t="n">
        <v>51200</v>
      </c>
    </row>
    <row r="6">
      <c r="A6" s="19" t="n">
        <v>1994</v>
      </c>
      <c r="B6" s="19" t="n">
        <v>50800</v>
      </c>
    </row>
    <row r="7">
      <c r="A7" s="19" t="n">
        <v>1995</v>
      </c>
      <c r="B7" s="19" t="n">
        <v>50900</v>
      </c>
    </row>
    <row r="8">
      <c r="A8" s="19" t="n">
        <v>1996</v>
      </c>
      <c r="B8" s="19" t="n">
        <v>51600</v>
      </c>
    </row>
    <row r="9">
      <c r="A9" s="19" t="n">
        <v>1997</v>
      </c>
      <c r="B9" s="19" t="n">
        <v>52800</v>
      </c>
    </row>
    <row r="10">
      <c r="A10" s="19" t="n">
        <v>1998</v>
      </c>
      <c r="B10" s="19" t="n">
        <v>54200</v>
      </c>
    </row>
    <row r="11">
      <c r="A11" s="19" t="n">
        <v>1999</v>
      </c>
      <c r="B11" s="19" t="n">
        <v>56100</v>
      </c>
    </row>
    <row r="12">
      <c r="A12" s="19" t="n">
        <v>2000</v>
      </c>
      <c r="B12" s="19" t="n">
        <v>58500</v>
      </c>
    </row>
    <row r="13">
      <c r="A13" s="19" t="n">
        <v>2001</v>
      </c>
      <c r="B13" s="19" t="n">
        <v>61200</v>
      </c>
    </row>
    <row r="14">
      <c r="A14" s="19" t="n">
        <v>2002</v>
      </c>
      <c r="B14" s="19" t="n">
        <v>64500</v>
      </c>
    </row>
    <row r="15">
      <c r="A15" s="19" t="n">
        <v>2003</v>
      </c>
      <c r="B15" s="19" t="n">
        <v>68200</v>
      </c>
    </row>
    <row r="16">
      <c r="A16" s="19" t="n">
        <v>2004</v>
      </c>
      <c r="B16" s="19" t="n">
        <v>72500</v>
      </c>
    </row>
    <row r="17">
      <c r="A17" s="19" t="n">
        <v>2005</v>
      </c>
      <c r="B17" s="19" t="n">
        <v>77600</v>
      </c>
    </row>
    <row r="18">
      <c r="A18" s="19" t="n">
        <v>2006</v>
      </c>
      <c r="B18" s="19" t="n">
        <v>83500</v>
      </c>
    </row>
    <row r="19">
      <c r="A19" s="19" t="n">
        <v>2007</v>
      </c>
      <c r="B19" s="19" t="n">
        <v>90200</v>
      </c>
    </row>
    <row r="20">
      <c r="A20" s="19" t="n">
        <v>2008</v>
      </c>
      <c r="B20" s="19" t="n">
        <v>93800</v>
      </c>
    </row>
    <row r="21">
      <c r="A21" s="19" t="n">
        <v>2009</v>
      </c>
      <c r="B21" s="19" t="n">
        <v>91500</v>
      </c>
    </row>
    <row r="22">
      <c r="A22" s="19" t="n">
        <v>2010</v>
      </c>
      <c r="B22" s="19" t="n">
        <v>93200</v>
      </c>
    </row>
    <row r="23">
      <c r="A23" s="19" t="n">
        <v>2011</v>
      </c>
      <c r="B23" s="19" t="n">
        <v>89600</v>
      </c>
    </row>
    <row r="24">
      <c r="A24" s="19" t="n">
        <v>2012</v>
      </c>
      <c r="B24" s="19" t="n">
        <v>74500</v>
      </c>
    </row>
    <row r="25">
      <c r="A25" s="19" t="n">
        <v>2013</v>
      </c>
      <c r="B25" s="19" t="n">
        <v>75800</v>
      </c>
    </row>
    <row r="26">
      <c r="A26" s="19" t="n">
        <v>2014</v>
      </c>
      <c r="B26" s="19" t="n">
        <v>79200</v>
      </c>
    </row>
    <row r="27">
      <c r="A27" s="19" t="n">
        <v>2015</v>
      </c>
      <c r="B27" s="19" t="n">
        <v>82800</v>
      </c>
    </row>
    <row r="28">
      <c r="A28" s="19" t="n">
        <v>2016</v>
      </c>
      <c r="B28" s="19" t="n">
        <v>86500</v>
      </c>
    </row>
    <row r="29">
      <c r="A29" s="19" t="n">
        <v>2017</v>
      </c>
      <c r="B29" s="19" t="n">
        <v>90200</v>
      </c>
    </row>
    <row r="30">
      <c r="A30" s="19" t="n">
        <v>2018</v>
      </c>
      <c r="B30" s="19" t="n">
        <v>88100</v>
      </c>
    </row>
    <row r="31">
      <c r="A31" s="19" t="n">
        <v>2019</v>
      </c>
      <c r="B31" s="19" t="n">
        <v>90500</v>
      </c>
    </row>
    <row r="32">
      <c r="A32" s="19" t="n">
        <v>2020</v>
      </c>
      <c r="B32" s="19" t="n">
        <v>87200</v>
      </c>
    </row>
    <row r="33">
      <c r="A33" s="19" t="n">
        <v>2021</v>
      </c>
      <c r="B33" s="19" t="n">
        <v>87800</v>
      </c>
    </row>
    <row r="34">
      <c r="A34" s="19" t="n">
        <v>2022</v>
      </c>
      <c r="B34" s="19" t="n">
        <v>90100</v>
      </c>
    </row>
    <row r="35">
      <c r="A35" s="19" t="n">
        <v>2023</v>
      </c>
      <c r="B35" s="19" t="n">
        <v>89200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A8" t="n">
        <v>2000</v>
      </c>
      <c r="B8" t="n">
        <v>2000</v>
      </c>
      <c r="C8" t="n">
        <v>10.8</v>
      </c>
      <c r="D8" t="n">
        <v>8.4</v>
      </c>
    </row>
    <row r="9">
      <c r="A9" t="n">
        <v>2001</v>
      </c>
      <c r="B9" t="n">
        <v>2001</v>
      </c>
      <c r="C9" t="n">
        <v>11.9</v>
      </c>
      <c r="D9" t="n">
        <v>10.9</v>
      </c>
    </row>
    <row r="10">
      <c r="A10" t="n">
        <v>2002</v>
      </c>
      <c r="B10" t="n">
        <v>2002</v>
      </c>
      <c r="C10" t="n">
        <v>13.1</v>
      </c>
      <c r="D10" t="n">
        <v>5.9</v>
      </c>
    </row>
    <row r="11">
      <c r="A11" t="n">
        <v>2003</v>
      </c>
      <c r="B11" t="n">
        <v>2003</v>
      </c>
      <c r="C11" t="n">
        <v>14.4</v>
      </c>
      <c r="D11" t="n">
        <v>6.3</v>
      </c>
    </row>
    <row r="12">
      <c r="A12" t="n">
        <v>2004</v>
      </c>
      <c r="B12" t="n">
        <v>2004</v>
      </c>
      <c r="C12" t="n">
        <v>15.9</v>
      </c>
      <c r="D12" t="n">
        <v>5.1</v>
      </c>
    </row>
    <row r="13">
      <c r="A13" t="n">
        <v>2005</v>
      </c>
      <c r="B13" t="n">
        <v>2005</v>
      </c>
      <c r="C13" t="n">
        <v>17.6</v>
      </c>
      <c r="D13" t="n">
        <v>5.6</v>
      </c>
    </row>
    <row r="14">
      <c r="A14" t="n">
        <v>2006</v>
      </c>
      <c r="B14" t="n">
        <v>2006</v>
      </c>
      <c r="C14" t="n">
        <v>19.5</v>
      </c>
      <c r="D14" t="n">
        <v>6.5</v>
      </c>
    </row>
    <row r="15">
      <c r="A15" t="n">
        <v>2007</v>
      </c>
      <c r="B15" t="n">
        <v>2007</v>
      </c>
      <c r="C15" t="n">
        <v>21.6</v>
      </c>
      <c r="D15" t="n">
        <v>5.7</v>
      </c>
    </row>
    <row r="16">
      <c r="A16" t="n">
        <v>2008</v>
      </c>
      <c r="B16" t="n">
        <v>2008</v>
      </c>
      <c r="C16" t="n">
        <v>22.3</v>
      </c>
      <c r="D16" t="n">
        <v>3.8</v>
      </c>
    </row>
    <row r="17">
      <c r="A17" t="n">
        <v>2009</v>
      </c>
      <c r="B17" t="n">
        <v>2009</v>
      </c>
      <c r="C17" t="n">
        <v>21.7</v>
      </c>
      <c r="D17" t="n">
        <v>-2.8</v>
      </c>
    </row>
    <row r="18">
      <c r="A18" t="n">
        <v>2010</v>
      </c>
      <c r="B18" t="n">
        <v>2010</v>
      </c>
      <c r="C18" t="n">
        <v>22.6</v>
      </c>
      <c r="D18" t="n">
        <v>3.9</v>
      </c>
    </row>
    <row r="19">
      <c r="A19" t="n">
        <v>2011</v>
      </c>
      <c r="B19" t="n">
        <v>2011</v>
      </c>
      <c r="C19" t="n">
        <v>24.1</v>
      </c>
      <c r="D19" t="n">
        <v>-3.2</v>
      </c>
    </row>
    <row r="20">
      <c r="A20" t="n">
        <v>2012</v>
      </c>
      <c r="B20" t="n">
        <v>2012</v>
      </c>
      <c r="C20" t="n">
        <v>25.5</v>
      </c>
      <c r="D20" t="n">
        <v>-17</v>
      </c>
    </row>
    <row r="21">
      <c r="A21" t="n">
        <v>2013</v>
      </c>
      <c r="B21" t="n">
        <v>2013</v>
      </c>
      <c r="C21" t="n">
        <v>26</v>
      </c>
      <c r="D21" t="n">
        <v>2</v>
      </c>
    </row>
    <row r="22">
      <c r="A22" t="n">
        <v>2014</v>
      </c>
      <c r="B22" t="n">
        <v>2014</v>
      </c>
      <c r="C22" t="n">
        <v>26.5</v>
      </c>
      <c r="D22" t="n">
        <v>4.7</v>
      </c>
    </row>
    <row r="23">
      <c r="A23" t="n">
        <v>2015</v>
      </c>
      <c r="B23" t="n">
        <v>2015</v>
      </c>
      <c r="C23" t="n">
        <v>27.5</v>
      </c>
      <c r="D23" t="n">
        <v>4.9</v>
      </c>
    </row>
    <row r="24">
      <c r="A24" t="n">
        <v>2016</v>
      </c>
      <c r="B24" t="n">
        <v>2016</v>
      </c>
      <c r="C24" t="n">
        <v>28.8</v>
      </c>
      <c r="D24" t="n">
        <v>4.7</v>
      </c>
    </row>
    <row r="25">
      <c r="A25" t="n">
        <v>2017</v>
      </c>
      <c r="B25" t="n">
        <v>2017</v>
      </c>
      <c r="C25" t="n">
        <v>30.1</v>
      </c>
      <c r="D25" t="n">
        <v>0.8</v>
      </c>
    </row>
    <row r="26">
      <c r="A26" t="n">
        <v>2018</v>
      </c>
      <c r="B26" t="n">
        <v>2018</v>
      </c>
      <c r="C26" t="n">
        <v>30.4</v>
      </c>
      <c r="D26" t="n">
        <v>-2.3</v>
      </c>
    </row>
    <row r="27">
      <c r="A27" t="n">
        <v>2019</v>
      </c>
      <c r="B27" t="n">
        <v>2019</v>
      </c>
      <c r="C27" t="n">
        <v>31.2</v>
      </c>
      <c r="D27" t="n">
        <v>-2.5</v>
      </c>
    </row>
    <row r="28">
      <c r="A28" t="n">
        <v>2020</v>
      </c>
      <c r="B28" t="n">
        <v>2020</v>
      </c>
      <c r="C28" t="n">
        <v>30.1</v>
      </c>
      <c r="D28" t="n">
        <v>-3.6</v>
      </c>
    </row>
    <row r="29">
      <c r="A29" t="n">
        <v>2021</v>
      </c>
      <c r="B29" t="n">
        <v>2021</v>
      </c>
      <c r="C29" t="n">
        <v>30.3</v>
      </c>
      <c r="D29" t="n">
        <v>0.5</v>
      </c>
    </row>
    <row r="30">
      <c r="A30" t="n">
        <v>2022</v>
      </c>
      <c r="B30" t="n">
        <v>2022</v>
      </c>
      <c r="C30" t="n">
        <v>32.8</v>
      </c>
      <c r="D30" t="n">
        <v>-2.5</v>
      </c>
    </row>
    <row r="31">
      <c r="A31" t="n">
        <v>2023</v>
      </c>
      <c r="B31" t="n">
        <v>2023</v>
      </c>
      <c r="C31" t="n">
        <v>32.5</v>
      </c>
      <c r="D31" t="n">
        <v>-20.8</v>
      </c>
    </row>
    <row r="32">
      <c r="A32" t="n">
        <v>2024</v>
      </c>
      <c r="B32" t="n">
        <v>2024</v>
      </c>
      <c r="C32" t="n">
        <v>33.6</v>
      </c>
      <c r="D32" t="n">
        <v>-23.4</v>
      </c>
    </row>
    <row r="33">
      <c r="A33" t="n">
        <v>2025</v>
      </c>
      <c r="B33" t="n">
        <v>2025</v>
      </c>
      <c r="C33" t="n">
        <v>34.8</v>
      </c>
      <c r="D33" t="n">
        <v>3.2</v>
      </c>
    </row>
    <row r="34">
      <c r="A34" t="n">
        <v>2026</v>
      </c>
      <c r="B34" t="n">
        <v>2026</v>
      </c>
      <c r="C34" t="n">
        <v>38.2</v>
      </c>
      <c r="D34" t="n">
        <v>9.5</v>
      </c>
    </row>
    <row r="35">
      <c r="A35" t="n">
        <v>2027</v>
      </c>
      <c r="B35" t="n">
        <v>2027</v>
      </c>
      <c r="C35" t="n">
        <v>43.9</v>
      </c>
      <c r="D35" t="n">
        <v>14.9</v>
      </c>
    </row>
    <row r="36">
      <c r="A36" t="n">
        <v>2028</v>
      </c>
      <c r="B36" t="n">
        <v>2028</v>
      </c>
      <c r="C36" t="n">
        <v>50.4411</v>
      </c>
      <c r="D36" t="n">
        <v>14.9</v>
      </c>
    </row>
    <row r="37">
      <c r="A37" t="n">
        <v>2029</v>
      </c>
      <c r="B37" t="n">
        <v>2029</v>
      </c>
      <c r="C37" t="n">
        <v>57.9568239</v>
      </c>
      <c r="D37" t="n">
        <v>14.9</v>
      </c>
    </row>
    <row r="38">
      <c r="A38" t="n">
        <v>2030</v>
      </c>
      <c r="B38" t="n">
        <v>2030</v>
      </c>
      <c r="C38" t="n">
        <v>66.5923906611</v>
      </c>
      <c r="D38" t="n">
        <v>14.9</v>
      </c>
    </row>
    <row r="39">
      <c r="A39" t="n">
        <v>2031</v>
      </c>
      <c r="B39" t="n">
        <v>2031</v>
      </c>
      <c r="C39" t="n">
        <v>76.5146568696039</v>
      </c>
      <c r="D39" t="n">
        <v>14.9</v>
      </c>
    </row>
    <row r="40">
      <c r="A40" t="n">
        <v>2032</v>
      </c>
      <c r="B40" t="n">
        <v>2032</v>
      </c>
      <c r="C40" t="n">
        <v>87.91534074317489</v>
      </c>
      <c r="D40" t="n">
        <v>14.9</v>
      </c>
    </row>
    <row r="41">
      <c r="A41" t="n">
        <v>2033</v>
      </c>
      <c r="B41" t="n">
        <v>2033</v>
      </c>
      <c r="C41" t="n">
        <v>101.0147265139079</v>
      </c>
      <c r="D41" t="n">
        <v>14.9</v>
      </c>
    </row>
    <row r="42">
      <c r="A42" t="n">
        <v>2034</v>
      </c>
      <c r="B42" t="n">
        <v>2034</v>
      </c>
      <c r="C42" t="n">
        <v>116.0659207644802</v>
      </c>
      <c r="D42" t="n">
        <v>14.9</v>
      </c>
    </row>
    <row r="43">
      <c r="A43" t="n">
        <v>2035</v>
      </c>
      <c r="B43" t="n">
        <v>2035</v>
      </c>
      <c r="C43" t="n">
        <v>133.3597429583878</v>
      </c>
      <c r="D43" t="n">
        <v>14.9</v>
      </c>
    </row>
    <row r="44">
      <c r="A44" t="n">
        <v>2036</v>
      </c>
      <c r="B44" t="n">
        <v>2036</v>
      </c>
      <c r="C44" t="n">
        <v>153.2303446591876</v>
      </c>
      <c r="D44" t="n">
        <v>14.9</v>
      </c>
    </row>
    <row r="45">
      <c r="A45" t="n">
        <v>2037</v>
      </c>
      <c r="B45" t="n">
        <v>2037</v>
      </c>
      <c r="C45" t="n">
        <v>176.0616660134065</v>
      </c>
      <c r="D45" t="n">
        <v>14.9</v>
      </c>
    </row>
    <row r="46">
      <c r="A46" t="n">
        <v>2038</v>
      </c>
      <c r="B46" t="n">
        <v>2038</v>
      </c>
      <c r="C46" t="n">
        <v>202.2948542494041</v>
      </c>
      <c r="D46" t="n">
        <v>14.9</v>
      </c>
    </row>
    <row r="47">
      <c r="A47" t="n">
        <v>2039</v>
      </c>
      <c r="B47" t="n">
        <v>2039</v>
      </c>
      <c r="C47" t="n">
        <v>232.4367875325653</v>
      </c>
      <c r="D47" t="n">
        <v>14.9</v>
      </c>
    </row>
    <row r="48">
      <c r="A48" t="n">
        <v>2040</v>
      </c>
      <c r="B48" t="n">
        <v>2040</v>
      </c>
      <c r="C48" t="n">
        <v>267.0698688749176</v>
      </c>
      <c r="D48" t="n">
        <v>14.9</v>
      </c>
    </row>
    <row r="49">
      <c r="A49" t="n">
        <v>2041</v>
      </c>
      <c r="B49" t="n">
        <v>2041</v>
      </c>
      <c r="C49" t="n">
        <v>306.8632793372803</v>
      </c>
      <c r="D49" t="n">
        <v>14.9</v>
      </c>
    </row>
    <row r="50">
      <c r="A50" t="n">
        <v>2042</v>
      </c>
      <c r="B50" t="n">
        <v>2042</v>
      </c>
      <c r="C50" t="n">
        <v>352.585907958535</v>
      </c>
      <c r="D50" t="n">
        <v>14.9</v>
      </c>
    </row>
    <row r="51">
      <c r="A51" t="n">
        <v>2043</v>
      </c>
      <c r="B51" t="n">
        <v>2043</v>
      </c>
      <c r="C51" t="n">
        <v>405.1212082443568</v>
      </c>
      <c r="D51" t="n">
        <v>14.9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2026-01-26T13:07:43Z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