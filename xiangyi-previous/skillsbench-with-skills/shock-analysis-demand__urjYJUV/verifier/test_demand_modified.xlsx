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131" yWindow="3720" windowWidth="24686" windowHeight="13097" tabRatio="600" firstSheet="0" activeTab="0" autoFilterDateGrouping="1"/>
  </bookViews>
  <sheets>
    <sheet name="Scenario 1" sheetId="1" state="visible" r:id="rId1"/>
    <sheet name="WEO_Data" sheetId="2" state="visible" r:id="rId2"/>
    <sheet name="SUPPLY" sheetId="3" state="visible" r:id="rId3"/>
    <sheet name="USE" sheetId="4" state="visible" r:id="rId4"/>
    <sheet name="SUT Calc" sheetId="5" state="visible" r:id="rId5"/>
    <sheet name="Scenario 2" sheetId="6" state="visible" r:id="rId6"/>
    <sheet name="Scenario 3" sheetId="7" state="visible" r:id="rId7"/>
  </sheets>
  <externalReferences>
    <externalReference r:id="rId8"/>
    <externalReference r:id="rId9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00"/>
    <numFmt numFmtId="165" formatCode="0.000"/>
  </numFmts>
  <fonts count="8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5"/>
      <sz val="10"/>
    </font>
    <font>
      <name val="Arial"/>
      <family val="2"/>
      <b val="1"/>
      <color rgb="FFFF0000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4" fillId="0" borderId="0"/>
    <xf numFmtId="43" fontId="5" fillId="0" borderId="0"/>
  </cellStyleXfs>
  <cellXfs count="34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0" fontId="0" fillId="0" borderId="5" applyAlignment="1" pivotButton="0" quotePrefix="0" xfId="0">
      <alignment horizontal="right"/>
    </xf>
    <xf numFmtId="0" fontId="0" fillId="0" borderId="6" applyAlignment="1" pivotButton="0" quotePrefix="0" xfId="0">
      <alignment horizontal="right"/>
    </xf>
    <xf numFmtId="0" fontId="0" fillId="0" borderId="7" pivotButton="0" quotePrefix="0" xfId="0"/>
    <xf numFmtId="0" fontId="0" fillId="0" borderId="0" applyAlignment="1" pivotButton="0" quotePrefix="0" xfId="0">
      <alignment horizontal="right"/>
    </xf>
    <xf numFmtId="0" fontId="0" fillId="0" borderId="8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10" pivotButton="0" quotePrefix="0" xfId="0"/>
    <xf numFmtId="165" fontId="0" fillId="0" borderId="10" applyAlignment="1" pivotButton="0" quotePrefix="0" xfId="0">
      <alignment horizontal="right"/>
    </xf>
    <xf numFmtId="0" fontId="0" fillId="0" borderId="11" applyAlignment="1" pivotButton="0" quotePrefix="0" xfId="0">
      <alignment horizontal="right"/>
    </xf>
    <xf numFmtId="0" fontId="2" fillId="2" borderId="1" pivotButton="0" quotePrefix="0" xfId="0"/>
    <xf numFmtId="0" fontId="3" fillId="2" borderId="3" pivotButton="0" quotePrefix="0" xfId="0"/>
    <xf numFmtId="0" fontId="0" fillId="2" borderId="3" pivotButton="0" quotePrefix="0" xfId="0"/>
    <xf numFmtId="0" fontId="0" fillId="2" borderId="3" applyAlignment="1" pivotButton="0" quotePrefix="0" xfId="0">
      <alignment horizontal="right"/>
    </xf>
    <xf numFmtId="0" fontId="0" fillId="2" borderId="2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43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6" fillId="0" borderId="0" pivotButton="0" quotePrefix="0" xfId="0"/>
    <xf numFmtId="0" fontId="7" fillId="0" borderId="0" pivotButton="0" quotePrefix="0" xfId="0"/>
  </cellXfs>
  <cellStyles count="4">
    <cellStyle name="Normal" xfId="0" builtinId="0"/>
    <cellStyle name="Normal 2" xfId="1"/>
    <cellStyle name="Style 1" xfId="2"/>
    <cellStyle name="Comma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externalLink" Target="/xl/externalLinks/externalLink1.xml" Id="rId8" /><Relationship Type="http://schemas.openxmlformats.org/officeDocument/2006/relationships/externalLink" Target="/xl/externalLinks/externalLink2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Shock%20analysis/Shock%20analysis.xlsx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answer%20-%20demand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roduction"/>
      <sheetName val="NA"/>
      <sheetName val="Charts for NA"/>
      <sheetName val="data"/>
      <sheetName val="CFC data"/>
      <sheetName val="SUPPLY (38-38)-2024"/>
      <sheetName val="USE (38-38)-2024"/>
      <sheetName val="PWT"/>
      <sheetName val="Auth_Data"/>
    </sheetNames>
    <sheetDataSet>
      <sheetData sheetId="0"/>
      <sheetData sheetId="1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7.3113398191734902</v>
          </cell>
          <cell r="K8">
            <v>7.3113398191734902</v>
          </cell>
        </row>
        <row r="9">
          <cell r="B9">
            <v>2026</v>
          </cell>
          <cell r="J9">
            <v>5.2408528739952498</v>
          </cell>
          <cell r="K9">
            <v>5.7941052961636208</v>
          </cell>
        </row>
        <row r="10">
          <cell r="B10">
            <v>2027</v>
          </cell>
          <cell r="J10">
            <v>5.039020851261844</v>
          </cell>
          <cell r="K10">
            <v>5.473457413324212</v>
          </cell>
        </row>
        <row r="11">
          <cell r="B11">
            <v>2028</v>
          </cell>
          <cell r="J11">
            <v>4.950486407478305</v>
          </cell>
          <cell r="K11">
            <v>5.3141301944295893</v>
          </cell>
        </row>
        <row r="12">
          <cell r="B12">
            <v>2029</v>
          </cell>
          <cell r="J12">
            <v>5.0327836705058804</v>
          </cell>
          <cell r="K12">
            <v>5.3061750123148732</v>
          </cell>
        </row>
        <row r="13">
          <cell r="B13">
            <v>2030</v>
          </cell>
          <cell r="J13">
            <v>5.0000000000002043</v>
          </cell>
          <cell r="K13">
            <v>4.8553940843498733</v>
          </cell>
        </row>
        <row r="14">
          <cell r="B14">
            <v>2031</v>
          </cell>
          <cell r="J14">
            <v>5.0000000000000044</v>
          </cell>
          <cell r="K14">
            <v>4.5371594328556419</v>
          </cell>
        </row>
        <row r="15">
          <cell r="B15">
            <v>2032</v>
          </cell>
          <cell r="J15">
            <v>5.0000000000007594</v>
          </cell>
          <cell r="K15">
            <v>4.4575701955024361</v>
          </cell>
        </row>
        <row r="16">
          <cell r="B16">
            <v>2033</v>
          </cell>
          <cell r="J16">
            <v>5.0000000000000266</v>
          </cell>
          <cell r="K16">
            <v>4.7456613933617442</v>
          </cell>
        </row>
        <row r="17">
          <cell r="B17">
            <v>2034</v>
          </cell>
          <cell r="J17">
            <v>5.0000000000000266</v>
          </cell>
          <cell r="K17">
            <v>4.7872106278486815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5.0000000000000044</v>
          </cell>
          <cell r="K20">
            <v>5.0000000000000044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7.3113398191734902</v>
          </cell>
          <cell r="K47">
            <v>7.3113398191734902</v>
          </cell>
        </row>
        <row r="48">
          <cell r="B48">
            <v>2026</v>
          </cell>
          <cell r="J48">
            <v>5.2408528739952498</v>
          </cell>
          <cell r="K48">
            <v>5.9324184017057302</v>
          </cell>
        </row>
        <row r="49">
          <cell r="B49">
            <v>2027</v>
          </cell>
          <cell r="J49">
            <v>5.039020851261844</v>
          </cell>
          <cell r="K49">
            <v>5.5813575136922422</v>
          </cell>
        </row>
        <row r="50">
          <cell r="B50">
            <v>2028</v>
          </cell>
          <cell r="J50">
            <v>4.950486407478305</v>
          </cell>
          <cell r="K50">
            <v>5.4039837103142307</v>
          </cell>
        </row>
        <row r="51">
          <cell r="B51">
            <v>2029</v>
          </cell>
          <cell r="J51">
            <v>5.0327836705058804</v>
          </cell>
          <cell r="K51">
            <v>5.3734372157990595</v>
          </cell>
        </row>
        <row r="52">
          <cell r="B52">
            <v>2030</v>
          </cell>
          <cell r="J52">
            <v>5.0000000000002043</v>
          </cell>
          <cell r="K52">
            <v>4.8199318477713859</v>
          </cell>
        </row>
        <row r="53">
          <cell r="B53">
            <v>2031</v>
          </cell>
          <cell r="J53">
            <v>5.0000000000000044</v>
          </cell>
          <cell r="K53">
            <v>4.4234603644893289</v>
          </cell>
        </row>
        <row r="54">
          <cell r="B54">
            <v>2032</v>
          </cell>
          <cell r="J54">
            <v>5.0000000000007594</v>
          </cell>
          <cell r="K54">
            <v>4.3235839394654807</v>
          </cell>
        </row>
        <row r="55">
          <cell r="B55">
            <v>2033</v>
          </cell>
          <cell r="J55">
            <v>5.0000000000000266</v>
          </cell>
          <cell r="K55">
            <v>4.6824295568276275</v>
          </cell>
        </row>
        <row r="56">
          <cell r="B56">
            <v>2034</v>
          </cell>
          <cell r="J56">
            <v>5.0000000000000266</v>
          </cell>
          <cell r="K56">
            <v>4.7341479764422045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5.0000000000000044</v>
          </cell>
          <cell r="K59">
            <v>5.0000000000000044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7.3113398191734902</v>
          </cell>
          <cell r="K84">
            <v>7.3113398191734902</v>
          </cell>
        </row>
        <row r="85">
          <cell r="B85">
            <v>2026</v>
          </cell>
          <cell r="J85">
            <v>5.2408528739952498</v>
          </cell>
          <cell r="K85">
            <v>5.5981687376918776</v>
          </cell>
        </row>
        <row r="86">
          <cell r="B86">
            <v>2027</v>
          </cell>
          <cell r="J86">
            <v>5.039020851261844</v>
          </cell>
          <cell r="K86">
            <v>5.3201205793125927</v>
          </cell>
        </row>
        <row r="87">
          <cell r="B87">
            <v>2028</v>
          </cell>
          <cell r="J87">
            <v>4.950486407478305</v>
          </cell>
          <cell r="K87">
            <v>5.186122636416779</v>
          </cell>
        </row>
        <row r="88">
          <cell r="B88">
            <v>2029</v>
          </cell>
          <cell r="J88">
            <v>5.0327836705058804</v>
          </cell>
          <cell r="K88">
            <v>5.2101531318929473</v>
          </cell>
        </row>
        <row r="89">
          <cell r="B89">
            <v>2030</v>
          </cell>
          <cell r="J89">
            <v>5.0000000000002043</v>
          </cell>
          <cell r="K89">
            <v>4.906097677010357</v>
          </cell>
        </row>
        <row r="90">
          <cell r="B90">
            <v>2031</v>
          </cell>
          <cell r="J90">
            <v>5.0000000000000044</v>
          </cell>
          <cell r="K90">
            <v>4.6995918312351836</v>
          </cell>
        </row>
        <row r="91">
          <cell r="B91">
            <v>2032</v>
          </cell>
          <cell r="J91">
            <v>5.0000000000007594</v>
          </cell>
          <cell r="K91">
            <v>4.6484803788203966</v>
          </cell>
        </row>
        <row r="92">
          <cell r="B92">
            <v>2033</v>
          </cell>
          <cell r="J92">
            <v>5.0000000000000266</v>
          </cell>
          <cell r="K92">
            <v>4.8354774970149172</v>
          </cell>
        </row>
        <row r="93">
          <cell r="B93">
            <v>2034</v>
          </cell>
          <cell r="J93">
            <v>5.0000000000000266</v>
          </cell>
          <cell r="K93">
            <v>4.8624721292225503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5.0000000000000044</v>
          </cell>
          <cell r="K96">
            <v>5.0000000000000044</v>
          </cell>
        </row>
        <row r="116">
          <cell r="J116" t="str">
            <v>Baseline GDP Growth</v>
          </cell>
          <cell r="K116" t="str">
            <v>Projected Growth</v>
          </cell>
        </row>
        <row r="123">
          <cell r="J123">
            <v>7.3113398191734902</v>
          </cell>
          <cell r="K123">
            <v>7.3113398191734902</v>
          </cell>
        </row>
        <row r="124">
          <cell r="J124">
            <v>5.2408528739952498</v>
          </cell>
          <cell r="K124">
            <v>6.6239839294161662</v>
          </cell>
        </row>
        <row r="125">
          <cell r="J125">
            <v>5.039020851261844</v>
          </cell>
          <cell r="K125">
            <v>4.8965544840692043</v>
          </cell>
        </row>
        <row r="126">
          <cell r="J126">
            <v>4.950486407478305</v>
          </cell>
          <cell r="K126">
            <v>4.845907347351841</v>
          </cell>
        </row>
        <row r="127">
          <cell r="J127">
            <v>5.0327836705058804</v>
          </cell>
          <cell r="K127">
            <v>4.9244815262530217</v>
          </cell>
        </row>
        <row r="128">
          <cell r="J128">
            <v>5.0000000000002043</v>
          </cell>
          <cell r="K128">
            <v>4.9090993957864759</v>
          </cell>
        </row>
        <row r="129">
          <cell r="J129">
            <v>5.0000000000000044</v>
          </cell>
          <cell r="K129">
            <v>4.9190918522576288</v>
          </cell>
        </row>
        <row r="130">
          <cell r="J130">
            <v>5.0000000000007594</v>
          </cell>
          <cell r="K130">
            <v>4.7409788021092414</v>
          </cell>
        </row>
        <row r="131">
          <cell r="J131">
            <v>5.0000000000000266</v>
          </cell>
          <cell r="K131">
            <v>4.9474775161479245</v>
          </cell>
        </row>
        <row r="132">
          <cell r="J132">
            <v>5.0000000000000266</v>
          </cell>
          <cell r="K132">
            <v>4.469638787185759</v>
          </cell>
        </row>
        <row r="133">
          <cell r="J133">
            <v>5.0000000000000044</v>
          </cell>
          <cell r="K133">
            <v>5.0000000000000044</v>
          </cell>
        </row>
        <row r="134">
          <cell r="J134">
            <v>5.0000000000000044</v>
          </cell>
          <cell r="K134">
            <v>5.0000000000000044</v>
          </cell>
        </row>
        <row r="135">
          <cell r="J135">
            <v>5.0000000000000044</v>
          </cell>
          <cell r="K135">
            <v>5.0000000000000044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NA (2)"/>
      <sheetName val="SUPPLY (38-38)-2024"/>
      <sheetName val="USE (38-38)-2024"/>
      <sheetName val="WEO_Data"/>
    </sheetNames>
    <sheetDataSet>
      <sheetData sheetId="0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5.9773350122213076</v>
          </cell>
          <cell r="K8">
            <v>5.9773350122213076</v>
          </cell>
        </row>
        <row r="9">
          <cell r="B9">
            <v>2026</v>
          </cell>
          <cell r="J9">
            <v>5.0000000000000044</v>
          </cell>
          <cell r="K9">
            <v>5.5262183226381101</v>
          </cell>
        </row>
        <row r="10">
          <cell r="B10">
            <v>2027</v>
          </cell>
          <cell r="J10">
            <v>5.0001996884859512</v>
          </cell>
          <cell r="K10">
            <v>5.4402001752454687</v>
          </cell>
        </row>
        <row r="11">
          <cell r="B11">
            <v>2028</v>
          </cell>
          <cell r="J11">
            <v>5.0000000000000044</v>
          </cell>
          <cell r="K11">
            <v>5.361589224478025</v>
          </cell>
        </row>
        <row r="12">
          <cell r="B12">
            <v>2029</v>
          </cell>
          <cell r="J12">
            <v>5.0000000000000044</v>
          </cell>
          <cell r="K12">
            <v>5.2947176456340728</v>
          </cell>
        </row>
        <row r="13">
          <cell r="B13">
            <v>2030</v>
          </cell>
          <cell r="J13">
            <v>5.0000000000000044</v>
          </cell>
          <cell r="K13">
            <v>4.8680499915734421</v>
          </cell>
        </row>
        <row r="14">
          <cell r="B14">
            <v>2031</v>
          </cell>
          <cell r="J14">
            <v>5.0000000000000044</v>
          </cell>
          <cell r="K14">
            <v>4.5398644726665216</v>
          </cell>
        </row>
        <row r="15">
          <cell r="B15">
            <v>2032</v>
          </cell>
          <cell r="J15">
            <v>5.0000000000000044</v>
          </cell>
          <cell r="K15">
            <v>4.6037405318378299</v>
          </cell>
        </row>
        <row r="16">
          <cell r="B16">
            <v>2033</v>
          </cell>
          <cell r="J16">
            <v>5.0000000000000044</v>
          </cell>
          <cell r="K16">
            <v>4.660654383455487</v>
          </cell>
        </row>
        <row r="17">
          <cell r="B17">
            <v>2034</v>
          </cell>
          <cell r="J17">
            <v>5.0000000000000044</v>
          </cell>
          <cell r="K17">
            <v>4.7112244699393901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4.9999999999999822</v>
          </cell>
          <cell r="K20">
            <v>4.9999999999999822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5.9773350122213076</v>
          </cell>
          <cell r="K47">
            <v>5.9773350122213076</v>
          </cell>
        </row>
        <row r="48">
          <cell r="B48">
            <v>2026</v>
          </cell>
          <cell r="J48">
            <v>5.0000000000000044</v>
          </cell>
          <cell r="K48">
            <v>5.6577729032976531</v>
          </cell>
        </row>
        <row r="49">
          <cell r="B49">
            <v>2027</v>
          </cell>
          <cell r="J49">
            <v>5.0001996884859512</v>
          </cell>
          <cell r="K49">
            <v>5.5495154907216904</v>
          </cell>
        </row>
        <row r="50">
          <cell r="B50">
            <v>2028</v>
          </cell>
          <cell r="J50">
            <v>5.0000000000000044</v>
          </cell>
          <cell r="K50">
            <v>5.4509562321159999</v>
          </cell>
        </row>
        <row r="51">
          <cell r="B51">
            <v>2029</v>
          </cell>
          <cell r="J51">
            <v>5.0000000000000044</v>
          </cell>
          <cell r="K51">
            <v>5.3672458043975135</v>
          </cell>
        </row>
        <row r="52">
          <cell r="B52">
            <v>2030</v>
          </cell>
          <cell r="J52">
            <v>5.0000000000000044</v>
          </cell>
          <cell r="K52">
            <v>4.835691102263584</v>
          </cell>
        </row>
        <row r="53">
          <cell r="B53">
            <v>2031</v>
          </cell>
          <cell r="J53">
            <v>5.0000000000000044</v>
          </cell>
          <cell r="K53">
            <v>4.4268458299520086</v>
          </cell>
        </row>
        <row r="54">
          <cell r="B54">
            <v>2032</v>
          </cell>
          <cell r="J54">
            <v>5.0000000000000044</v>
          </cell>
          <cell r="K54">
            <v>4.5058769489794814</v>
          </cell>
        </row>
        <row r="55">
          <cell r="B55">
            <v>2033</v>
          </cell>
          <cell r="J55">
            <v>5.0000000000000044</v>
          </cell>
          <cell r="K55">
            <v>4.5764504677153095</v>
          </cell>
        </row>
        <row r="56">
          <cell r="B56">
            <v>2034</v>
          </cell>
          <cell r="J56">
            <v>5.0000000000000044</v>
          </cell>
          <cell r="K56">
            <v>4.63927860530986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4.9999999999999822</v>
          </cell>
          <cell r="K59">
            <v>4.9999999999999822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5.9773350122213076</v>
          </cell>
          <cell r="K84">
            <v>5.9773350122213076</v>
          </cell>
        </row>
        <row r="85">
          <cell r="B85">
            <v>2026</v>
          </cell>
          <cell r="J85">
            <v>5.0000000000000044</v>
          </cell>
          <cell r="K85">
            <v>5.3398559986587824</v>
          </cell>
        </row>
        <row r="86">
          <cell r="B86">
            <v>2027</v>
          </cell>
          <cell r="J86">
            <v>5.0001996884859512</v>
          </cell>
          <cell r="K86">
            <v>5.284874987468946</v>
          </cell>
        </row>
        <row r="87">
          <cell r="B87">
            <v>2028</v>
          </cell>
          <cell r="J87">
            <v>5.0000000000000044</v>
          </cell>
          <cell r="K87">
            <v>5.2342892403760555</v>
          </cell>
        </row>
        <row r="88">
          <cell r="B88">
            <v>2029</v>
          </cell>
          <cell r="J88">
            <v>5.0000000000000044</v>
          </cell>
          <cell r="K88">
            <v>5.1911912638872515</v>
          </cell>
        </row>
        <row r="89">
          <cell r="B89">
            <v>2030</v>
          </cell>
          <cell r="J89">
            <v>5.0000000000000044</v>
          </cell>
          <cell r="K89">
            <v>4.9143162356320103</v>
          </cell>
        </row>
        <row r="90">
          <cell r="B90">
            <v>2031</v>
          </cell>
          <cell r="J90">
            <v>5.0000000000000044</v>
          </cell>
          <cell r="K90">
            <v>4.7013356951920215</v>
          </cell>
        </row>
        <row r="91">
          <cell r="B91">
            <v>2032</v>
          </cell>
          <cell r="J91">
            <v>5.0000000000000044</v>
          </cell>
          <cell r="K91">
            <v>4.7431929649289772</v>
          </cell>
        </row>
        <row r="92">
          <cell r="B92">
            <v>2033</v>
          </cell>
          <cell r="J92">
            <v>5.0000000000000044</v>
          </cell>
          <cell r="K92">
            <v>4.780370377970633</v>
          </cell>
        </row>
        <row r="93">
          <cell r="B93">
            <v>2034</v>
          </cell>
          <cell r="J93">
            <v>5.0000000000000044</v>
          </cell>
          <cell r="K93">
            <v>4.8133136447871427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4.9999999999999822</v>
          </cell>
          <cell r="K96">
            <v>4.9999999999999822</v>
          </cell>
        </row>
      </sheetData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33"/>
  <sheetViews>
    <sheetView tabSelected="1" workbookViewId="0">
      <selection activeCell="E14" sqref="E14"/>
    </sheetView>
  </sheetViews>
  <sheetFormatPr baseColWidth="8" defaultRowHeight="12.45"/>
  <cols>
    <col width="18" customWidth="1" min="3" max="3"/>
    <col width="11" customWidth="1" min="5" max="5"/>
    <col width="11.15234375" customWidth="1" min="7" max="7"/>
    <col width="11.84375" customWidth="1" min="8" max="8"/>
    <col width="14.53515625" customWidth="1" style="14" min="10" max="10"/>
    <col width="17.3828125" bestFit="1" customWidth="1" style="14" min="11" max="11"/>
  </cols>
  <sheetData>
    <row r="1" ht="37.3" customFormat="1" customHeight="1" s="3">
      <c r="B1" s="30" t="inlineStr">
        <is>
          <t>Year</t>
        </is>
      </c>
      <c r="C1" s="2" t="inlineStr">
        <is>
          <t>Real GDP</t>
        </is>
      </c>
      <c r="D1" s="30" t="inlineStr">
        <is>
          <t>Project Allocation (%)</t>
        </is>
      </c>
      <c r="E1" s="30" t="inlineStr">
        <is>
          <t>Project Investment</t>
        </is>
      </c>
      <c r="F1" s="30" t="inlineStr">
        <is>
          <t>Imports</t>
        </is>
      </c>
      <c r="G1" s="30" t="inlineStr">
        <is>
          <t>GDP impact</t>
        </is>
      </c>
      <c r="H1" s="5" t="n"/>
      <c r="I1" s="31" t="n"/>
      <c r="J1" s="30" t="inlineStr">
        <is>
          <t>Baseline GDP Growth</t>
        </is>
      </c>
      <c r="K1" s="30" t="inlineStr">
        <is>
          <t>Projected Growth</t>
        </is>
      </c>
    </row>
    <row r="2">
      <c r="B2" s="9" t="n"/>
      <c r="C2" s="5" t="n"/>
      <c r="D2" s="5" t="n"/>
      <c r="E2" s="5" t="n"/>
      <c r="F2" s="5" t="n"/>
      <c r="G2" s="4" t="inlineStr">
        <is>
          <t>I-M</t>
        </is>
      </c>
      <c r="H2" s="6" t="inlineStr">
        <is>
          <t>Multiplier</t>
        </is>
      </c>
      <c r="I2" s="4" t="inlineStr">
        <is>
          <t>% of GDP</t>
        </is>
      </c>
      <c r="J2" s="7" t="n"/>
      <c r="K2" s="8" t="n"/>
    </row>
    <row r="3">
      <c r="B3" s="9" t="n">
        <v>2020</v>
      </c>
      <c r="C3" s="10">
        <f>'WEO_Data'!C4</f>
        <v/>
      </c>
      <c r="D3" s="10" t="n">
        <v>0</v>
      </c>
      <c r="E3" s="10">
        <f>D3*$D$30/100</f>
        <v/>
      </c>
      <c r="F3" s="10">
        <f>E3*$D$31/100</f>
        <v/>
      </c>
      <c r="G3" s="10">
        <f>E3-F3</f>
        <v/>
      </c>
      <c r="H3" s="10">
        <f>$D$32</f>
        <v/>
      </c>
      <c r="I3" s="10">
        <f>IF(C3=0,0,(G3/C3)*100)</f>
        <v/>
      </c>
      <c r="J3" s="11">
        <f>'WEO_Data'!E4</f>
        <v/>
      </c>
      <c r="K3" s="12">
        <f>IF(C3=0,J3,J3+(G3*H3/C3)*100)</f>
        <v/>
      </c>
    </row>
    <row r="4">
      <c r="B4" s="13" t="n">
        <v>2021</v>
      </c>
      <c r="C4">
        <f>'WEO_Data'!C5</f>
        <v/>
      </c>
      <c r="D4" t="n">
        <v>0</v>
      </c>
      <c r="E4">
        <f>D4*$D$30/100</f>
        <v/>
      </c>
      <c r="F4">
        <f>E4*$D$31/100</f>
        <v/>
      </c>
      <c r="G4">
        <f>E4-F4</f>
        <v/>
      </c>
      <c r="H4">
        <f>$D$32</f>
        <v/>
      </c>
      <c r="I4">
        <f>IF(C4=0,0,(G4/C4)*100)</f>
        <v/>
      </c>
      <c r="J4">
        <f>'WEO_Data'!E5</f>
        <v/>
      </c>
      <c r="K4" s="15">
        <f>IF(C4=0,J4,J4+(G4*H4/C4)*100)</f>
        <v/>
      </c>
    </row>
    <row r="5">
      <c r="B5" s="13" t="n">
        <v>2022</v>
      </c>
      <c r="C5">
        <f>'WEO_Data'!C6</f>
        <v/>
      </c>
      <c r="D5" t="n">
        <v>0</v>
      </c>
      <c r="E5">
        <f>D5*$D$30/100</f>
        <v/>
      </c>
      <c r="F5">
        <f>E5*$D$31/100</f>
        <v/>
      </c>
      <c r="G5">
        <f>E5-F5</f>
        <v/>
      </c>
      <c r="H5">
        <f>$D$32</f>
        <v/>
      </c>
      <c r="I5">
        <f>IF(C5=0,0,(G5/C5)*100)</f>
        <v/>
      </c>
      <c r="J5">
        <f>'WEO_Data'!E6</f>
        <v/>
      </c>
      <c r="K5" s="15">
        <f>IF(C5=0,J5,J5+(G5*H5/C5)*100)</f>
        <v/>
      </c>
    </row>
    <row r="6">
      <c r="B6" s="13" t="n">
        <v>2023</v>
      </c>
      <c r="C6">
        <f>'WEO_Data'!C7</f>
        <v/>
      </c>
      <c r="D6" t="n">
        <v>0</v>
      </c>
      <c r="E6">
        <f>D6*$D$30/100</f>
        <v/>
      </c>
      <c r="F6">
        <f>E6*$D$31/100</f>
        <v/>
      </c>
      <c r="G6">
        <f>E6-F6</f>
        <v/>
      </c>
      <c r="H6">
        <f>$D$32</f>
        <v/>
      </c>
      <c r="I6">
        <f>IF(C6=0,0,(G6/C6)*100)</f>
        <v/>
      </c>
      <c r="J6">
        <f>'WEO_Data'!E7</f>
        <v/>
      </c>
      <c r="K6" s="15">
        <f>IF(C6=0,J6,J6+(G6*H6/C6)*100)</f>
        <v/>
      </c>
    </row>
    <row r="7">
      <c r="B7" s="13" t="n">
        <v>2024</v>
      </c>
      <c r="C7">
        <f>'WEO_Data'!C8</f>
        <v/>
      </c>
      <c r="D7" t="n">
        <v>0</v>
      </c>
      <c r="E7">
        <f>D7*$D$30/100</f>
        <v/>
      </c>
      <c r="F7">
        <f>E7*$D$31/100</f>
        <v/>
      </c>
      <c r="G7">
        <f>E7-F7</f>
        <v/>
      </c>
      <c r="H7">
        <f>$D$32</f>
        <v/>
      </c>
      <c r="I7">
        <f>IF(C7=0,0,(G7/C7)*100)</f>
        <v/>
      </c>
      <c r="J7">
        <f>'WEO_Data'!E8</f>
        <v/>
      </c>
      <c r="K7" s="15">
        <f>IF(C7=0,J7,J7+(G7*H7/C7)*100)</f>
        <v/>
      </c>
    </row>
    <row r="8">
      <c r="B8" s="13" t="n">
        <v>2025</v>
      </c>
      <c r="C8">
        <f>'WEO_Data'!C9</f>
        <v/>
      </c>
      <c r="D8" t="n">
        <v>0</v>
      </c>
      <c r="E8">
        <f>D8*$D$30/100</f>
        <v/>
      </c>
      <c r="F8">
        <f>E8*$D$31/100</f>
        <v/>
      </c>
      <c r="G8">
        <f>E8-F8</f>
        <v/>
      </c>
      <c r="H8">
        <f>$D$32</f>
        <v/>
      </c>
      <c r="I8">
        <f>IF(C8=0,0,(G8/C8)*100)</f>
        <v/>
      </c>
      <c r="J8">
        <f>'WEO_Data'!E9</f>
        <v/>
      </c>
      <c r="K8" s="15">
        <f>IF(C8=0,J8,J8+(G8*H8/C8)*100)</f>
        <v/>
      </c>
    </row>
    <row r="9">
      <c r="B9" s="13" t="n">
        <v>2026</v>
      </c>
      <c r="C9">
        <f>'WEO_Data'!C10</f>
        <v/>
      </c>
      <c r="D9" t="n">
        <v>5</v>
      </c>
      <c r="E9">
        <f>D9*$D$30/100</f>
        <v/>
      </c>
      <c r="F9">
        <f>E9*$D$31/100</f>
        <v/>
      </c>
      <c r="G9">
        <f>E9-F9</f>
        <v/>
      </c>
      <c r="H9">
        <f>$D$32</f>
        <v/>
      </c>
      <c r="I9">
        <f>IF(C9=0,0,(G9/C9)*100)</f>
        <v/>
      </c>
      <c r="J9" s="16">
        <f>'WEO_Data'!E10</f>
        <v/>
      </c>
      <c r="K9" s="15">
        <f>IF(C9=0,J9,J9+(G9*H9/C9)*100)</f>
        <v/>
      </c>
    </row>
    <row r="10">
      <c r="B10" s="13" t="n">
        <v>2027</v>
      </c>
      <c r="C10">
        <f>'WEO_Data'!C11</f>
        <v/>
      </c>
      <c r="D10" t="n">
        <v>10</v>
      </c>
      <c r="E10">
        <f>D10*$D$30/100</f>
        <v/>
      </c>
      <c r="F10">
        <f>E10*$D$31/100</f>
        <v/>
      </c>
      <c r="G10">
        <f>E10-F10</f>
        <v/>
      </c>
      <c r="H10">
        <f>$D$32</f>
        <v/>
      </c>
      <c r="I10">
        <f>IF(C10=0,0,(G10/C10)*100)</f>
        <v/>
      </c>
      <c r="J10">
        <f>'WEO_Data'!E11</f>
        <v/>
      </c>
      <c r="K10" s="15">
        <f>IF(C10=0,J10,J10+(G10*H10/C10)*100)</f>
        <v/>
      </c>
    </row>
    <row r="11">
      <c r="B11" s="13" t="n">
        <v>2028</v>
      </c>
      <c r="C11">
        <f>'WEO_Data'!C12</f>
        <v/>
      </c>
      <c r="D11" t="n">
        <v>15</v>
      </c>
      <c r="E11">
        <f>D11*$D$30/100</f>
        <v/>
      </c>
      <c r="F11">
        <f>E11*$D$31/100</f>
        <v/>
      </c>
      <c r="G11">
        <f>E11-F11</f>
        <v/>
      </c>
      <c r="H11">
        <f>$D$32</f>
        <v/>
      </c>
      <c r="I11">
        <f>IF(C11=0,0,(G11/C11)*100)</f>
        <v/>
      </c>
      <c r="J11">
        <f>'WEO_Data'!E12</f>
        <v/>
      </c>
      <c r="K11" s="15">
        <f>IF(C11=0,J11,J11+(G11*H11/C11)*100)</f>
        <v/>
      </c>
    </row>
    <row r="12">
      <c r="B12" s="13" t="n">
        <v>2029</v>
      </c>
      <c r="C12">
        <f>'WEO_Data'!C13</f>
        <v/>
      </c>
      <c r="D12" t="n">
        <v>20</v>
      </c>
      <c r="E12">
        <f>D12*$D$30/100</f>
        <v/>
      </c>
      <c r="F12">
        <f>E12*$D$31/100</f>
        <v/>
      </c>
      <c r="G12">
        <f>E12-F12</f>
        <v/>
      </c>
      <c r="H12">
        <f>$D$32</f>
        <v/>
      </c>
      <c r="I12">
        <f>IF(C12=0,0,(G12/C12)*100)</f>
        <v/>
      </c>
      <c r="J12">
        <f>'WEO_Data'!E13</f>
        <v/>
      </c>
      <c r="K12" s="15">
        <f>IF(C12=0,J12,J12+(G12*H12/C12)*100)</f>
        <v/>
      </c>
    </row>
    <row r="13">
      <c r="B13" s="13" t="n">
        <v>2030</v>
      </c>
      <c r="C13">
        <f>'WEO_Data'!C14</f>
        <v/>
      </c>
      <c r="D13" t="n">
        <v>20</v>
      </c>
      <c r="E13">
        <f>D13*$D$30/100</f>
        <v/>
      </c>
      <c r="F13">
        <f>E13*$D$31/100</f>
        <v/>
      </c>
      <c r="G13">
        <f>E13-F13</f>
        <v/>
      </c>
      <c r="H13">
        <f>$D$32</f>
        <v/>
      </c>
      <c r="I13">
        <f>IF(C13=0,0,(G13/C13)*100)</f>
        <v/>
      </c>
      <c r="J13" s="17">
        <f>'WEO_Data'!E14</f>
        <v/>
      </c>
      <c r="K13" s="15">
        <f>IF(C13=0,J13,J13+(G13*H13/C13)*100)</f>
        <v/>
      </c>
    </row>
    <row r="14">
      <c r="B14" s="13" t="n">
        <v>2031</v>
      </c>
      <c r="C14">
        <f>'WEO_Data'!C15</f>
        <v/>
      </c>
      <c r="D14" t="n">
        <v>15</v>
      </c>
      <c r="E14">
        <f>D14*$D$30/100</f>
        <v/>
      </c>
      <c r="F14">
        <f>E14*$D$31/100</f>
        <v/>
      </c>
      <c r="G14">
        <f>E14-F14</f>
        <v/>
      </c>
      <c r="H14">
        <f>$D$32</f>
        <v/>
      </c>
      <c r="I14">
        <f>IF(C14=0,0,(G14/C14)*100)</f>
        <v/>
      </c>
      <c r="J14" s="17">
        <f>'WEO_Data'!E15</f>
        <v/>
      </c>
      <c r="K14" s="15">
        <f>IF(C14=0,J14,J14+(G14*H14/C14)*100)</f>
        <v/>
      </c>
    </row>
    <row r="15">
      <c r="B15" s="13" t="n">
        <v>2032</v>
      </c>
      <c r="C15">
        <f>'WEO_Data'!C16</f>
        <v/>
      </c>
      <c r="D15" t="n">
        <v>10</v>
      </c>
      <c r="E15">
        <f>D15*$D$30/100</f>
        <v/>
      </c>
      <c r="F15">
        <f>E15*$D$31/100</f>
        <v/>
      </c>
      <c r="G15">
        <f>E15-F15</f>
        <v/>
      </c>
      <c r="H15">
        <f>$D$32</f>
        <v/>
      </c>
      <c r="I15">
        <f>IF(C15=0,0,(G15/C15)*100)</f>
        <v/>
      </c>
      <c r="J15" s="17">
        <f>'WEO_Data'!E16</f>
        <v/>
      </c>
      <c r="K15" s="15">
        <f>IF(C15=0,J15,J15+(G15*H15/C15)*100)</f>
        <v/>
      </c>
    </row>
    <row r="16">
      <c r="B16" s="13" t="n">
        <v>2033</v>
      </c>
      <c r="C16">
        <f>'WEO_Data'!C17</f>
        <v/>
      </c>
      <c r="D16" t="n">
        <v>5</v>
      </c>
      <c r="E16">
        <f>D16*$D$30/100</f>
        <v/>
      </c>
      <c r="F16">
        <f>E16*$D$31/100</f>
        <v/>
      </c>
      <c r="G16">
        <f>E16-F16</f>
        <v/>
      </c>
      <c r="H16">
        <f>$D$32</f>
        <v/>
      </c>
      <c r="I16">
        <f>IF(C16=0,0,(G16/C16)*100)</f>
        <v/>
      </c>
      <c r="J16" s="17">
        <f>'WEO_Data'!E17</f>
        <v/>
      </c>
      <c r="K16" s="15">
        <f>IF(C16=0,J16,J16+(G16*H16/C16)*100)</f>
        <v/>
      </c>
    </row>
    <row r="17">
      <c r="B17" s="13" t="n">
        <v>2034</v>
      </c>
      <c r="C17">
        <f>'WEO_Data'!C18</f>
        <v/>
      </c>
      <c r="D17" t="n">
        <v>0</v>
      </c>
      <c r="E17">
        <f>D17*$D$30/100</f>
        <v/>
      </c>
      <c r="F17">
        <f>E17*$D$31/100</f>
        <v/>
      </c>
      <c r="G17">
        <f>E17-F17</f>
        <v/>
      </c>
      <c r="H17">
        <f>$D$32</f>
        <v/>
      </c>
      <c r="I17">
        <f>IF(C17=0,0,(G17/C17)*100)</f>
        <v/>
      </c>
      <c r="J17" s="17">
        <f>'WEO_Data'!E18</f>
        <v/>
      </c>
      <c r="K17" s="15">
        <f>IF(C17=0,J17,J17+(G17*H17/C17)*100)</f>
        <v/>
      </c>
    </row>
    <row r="18">
      <c r="B18" s="13" t="n">
        <v>2035</v>
      </c>
      <c r="C18">
        <f>'WEO_Data'!C19</f>
        <v/>
      </c>
      <c r="D18" t="n">
        <v>0</v>
      </c>
      <c r="E18">
        <f>D18*$D$30/100</f>
        <v/>
      </c>
      <c r="F18">
        <f>E18*$D$31/100</f>
        <v/>
      </c>
      <c r="G18">
        <f>E18-F18</f>
        <v/>
      </c>
      <c r="H18">
        <f>$D$32</f>
        <v/>
      </c>
      <c r="I18">
        <f>IF(C18=0,0,(G18/C18)*100)</f>
        <v/>
      </c>
      <c r="J18" s="17">
        <f>'WEO_Data'!E19</f>
        <v/>
      </c>
      <c r="K18" s="15">
        <f>IF(C18=0,J18,J18+(G18*H18/C18)*100)</f>
        <v/>
      </c>
    </row>
    <row r="19">
      <c r="B19" s="13" t="n">
        <v>2036</v>
      </c>
      <c r="C19">
        <f>'WEO_Data'!C20</f>
        <v/>
      </c>
      <c r="D19" t="n">
        <v>0</v>
      </c>
      <c r="E19">
        <f>D19*$D$30/100</f>
        <v/>
      </c>
      <c r="F19">
        <f>E19*$D$31/100</f>
        <v/>
      </c>
      <c r="G19">
        <f>E19-F19</f>
        <v/>
      </c>
      <c r="H19">
        <f>$D$32</f>
        <v/>
      </c>
      <c r="I19">
        <f>IF(C19=0,0,(G19/C19)*100)</f>
        <v/>
      </c>
      <c r="J19" s="17">
        <f>'WEO_Data'!E20</f>
        <v/>
      </c>
      <c r="K19" s="15">
        <f>IF(C19=0,J19,J19+(G19*H19/C19)*100)</f>
        <v/>
      </c>
    </row>
    <row r="20">
      <c r="B20" s="13" t="n">
        <v>2037</v>
      </c>
      <c r="C20">
        <f>'WEO_Data'!C21</f>
        <v/>
      </c>
      <c r="D20" t="n">
        <v>0</v>
      </c>
      <c r="E20">
        <f>D20*$D$30/100</f>
        <v/>
      </c>
      <c r="F20">
        <f>E20*$D$31/100</f>
        <v/>
      </c>
      <c r="G20">
        <f>E20-F20</f>
        <v/>
      </c>
      <c r="H20">
        <f>$D$32</f>
        <v/>
      </c>
      <c r="I20">
        <f>IF(C20=0,0,(G20/C20)*100)</f>
        <v/>
      </c>
      <c r="J20" s="17">
        <f>'WEO_Data'!E21</f>
        <v/>
      </c>
      <c r="K20" s="15">
        <f>IF(C20=0,J20,J20+(G20*H20/C20)*100)</f>
        <v/>
      </c>
    </row>
    <row r="21">
      <c r="B21" s="13" t="n">
        <v>2038</v>
      </c>
      <c r="C21">
        <f>'WEO_Data'!C22</f>
        <v/>
      </c>
      <c r="D21" t="n">
        <v>0</v>
      </c>
      <c r="E21">
        <f>D21*$D$30/100</f>
        <v/>
      </c>
      <c r="F21">
        <f>E21*$D$31/100</f>
        <v/>
      </c>
      <c r="G21">
        <f>E21-F21</f>
        <v/>
      </c>
      <c r="H21">
        <f>$D$32</f>
        <v/>
      </c>
      <c r="I21">
        <f>IF(C21=0,0,(G21/C21)*100)</f>
        <v/>
      </c>
      <c r="J21" s="17">
        <f>'WEO_Data'!E22</f>
        <v/>
      </c>
      <c r="K21" s="15">
        <f>IF(C21=0,J21,J21+(G21*H21/C21)*100)</f>
        <v/>
      </c>
    </row>
    <row r="22">
      <c r="B22" s="13" t="n">
        <v>2039</v>
      </c>
      <c r="C22">
        <f>'WEO_Data'!C23</f>
        <v/>
      </c>
      <c r="D22" t="n">
        <v>0</v>
      </c>
      <c r="E22">
        <f>D22*$D$30/100</f>
        <v/>
      </c>
      <c r="F22">
        <f>E22*$D$31/100</f>
        <v/>
      </c>
      <c r="G22">
        <f>E22-F22</f>
        <v/>
      </c>
      <c r="H22">
        <f>$D$32</f>
        <v/>
      </c>
      <c r="I22">
        <f>IF(C22=0,0,(G22/C22)*100)</f>
        <v/>
      </c>
      <c r="J22" s="17">
        <f>'WEO_Data'!E23</f>
        <v/>
      </c>
      <c r="K22" s="15">
        <f>IF(C22=0,J22,J22+(G22*H22/C22)*100)</f>
        <v/>
      </c>
    </row>
    <row r="23">
      <c r="B23" s="13" t="n">
        <v>2040</v>
      </c>
      <c r="C23">
        <f>'WEO_Data'!C24</f>
        <v/>
      </c>
      <c r="D23" t="n">
        <v>0</v>
      </c>
      <c r="E23">
        <f>D23*$D$30/100</f>
        <v/>
      </c>
      <c r="F23">
        <f>E23*$D$31/100</f>
        <v/>
      </c>
      <c r="G23">
        <f>E23-F23</f>
        <v/>
      </c>
      <c r="H23">
        <f>$D$32</f>
        <v/>
      </c>
      <c r="I23">
        <f>IF(C23=0,0,(G23/C23)*100)</f>
        <v/>
      </c>
      <c r="J23" s="17">
        <f>'WEO_Data'!E24</f>
        <v/>
      </c>
      <c r="K23" s="15">
        <f>IF(C23=0,J23,J23+(G23*H23/C23)*100)</f>
        <v/>
      </c>
    </row>
    <row r="24">
      <c r="B24" s="13" t="n">
        <v>2041</v>
      </c>
      <c r="C24">
        <f>'WEO_Data'!C25</f>
        <v/>
      </c>
      <c r="D24" t="n">
        <v>0</v>
      </c>
      <c r="E24">
        <f>D24*$D$30/100</f>
        <v/>
      </c>
      <c r="F24">
        <f>E24*$D$31/100</f>
        <v/>
      </c>
      <c r="G24">
        <f>E24-F24</f>
        <v/>
      </c>
      <c r="H24">
        <f>$D$32</f>
        <v/>
      </c>
      <c r="I24">
        <f>IF(C24=0,0,(G24/C24)*100)</f>
        <v/>
      </c>
      <c r="J24" s="17">
        <f>'WEO_Data'!E25</f>
        <v/>
      </c>
      <c r="K24" s="15">
        <f>IF(C24=0,J24,J24+(G24*H24/C24)*100)</f>
        <v/>
      </c>
    </row>
    <row r="25">
      <c r="B25" s="18" t="n">
        <v>2042</v>
      </c>
      <c r="C25" s="19">
        <f>'WEO_Data'!C26</f>
        <v/>
      </c>
      <c r="D25" s="19" t="n">
        <v>0</v>
      </c>
      <c r="E25" s="19">
        <f>D25*$D$30/100</f>
        <v/>
      </c>
      <c r="F25" s="19">
        <f>E25*$D$31/100</f>
        <v/>
      </c>
      <c r="G25" s="19">
        <f>E25-F25</f>
        <v/>
      </c>
      <c r="H25" s="19">
        <f>$D$32</f>
        <v/>
      </c>
      <c r="I25" s="19">
        <f>IF(C25=0,0,(G25/C25)*100)</f>
        <v/>
      </c>
      <c r="J25" s="20">
        <f>'WEO_Data'!E26</f>
        <v/>
      </c>
      <c r="K25" s="21">
        <f>IF(C25=0,J25,J25+(G25*H25/C25)*100)</f>
        <v/>
      </c>
    </row>
    <row r="26">
      <c r="C26">
        <f>'WEO_Data'!C27</f>
        <v/>
      </c>
      <c r="J26">
        <f>'WEO_Data'!E27</f>
        <v/>
      </c>
    </row>
    <row r="28">
      <c r="C28" s="22" t="inlineStr">
        <is>
          <t>Assumptions</t>
        </is>
      </c>
      <c r="D28" s="23" t="n"/>
      <c r="E28" s="24" t="n"/>
      <c r="F28" s="24" t="n"/>
      <c r="G28" s="24" t="n"/>
      <c r="H28" s="24" t="n"/>
      <c r="I28" s="24" t="n"/>
      <c r="J28" s="25" t="n"/>
      <c r="K28" s="26" t="n"/>
    </row>
    <row r="29">
      <c r="C29" s="13" t="n"/>
      <c r="K29" s="15" t="n"/>
    </row>
    <row r="30">
      <c r="C30" s="13" t="inlineStr">
        <is>
          <t>Total Investment (USD millions)</t>
        </is>
      </c>
      <c r="D30" t="n">
        <v>6500</v>
      </c>
      <c r="K30" s="15" t="n"/>
    </row>
    <row r="31">
      <c r="C31" s="13" t="inlineStr">
        <is>
          <t>Import Content Share (%)</t>
        </is>
      </c>
      <c r="D31" s="28">
        <f>'SUT Calc'!C46</f>
        <v/>
      </c>
      <c r="K31" s="15" t="n"/>
    </row>
    <row r="32">
      <c r="C32" s="13" t="inlineStr">
        <is>
          <t>Demand Multiplier</t>
        </is>
      </c>
      <c r="D32" s="29" t="n">
        <v>0.8</v>
      </c>
      <c r="K32" s="15" t="n"/>
    </row>
    <row r="33">
      <c r="C33" s="18" t="inlineStr">
        <is>
          <t>Project Allocation</t>
        </is>
      </c>
      <c r="D33" s="19" t="inlineStr">
        <is>
          <t>Bell shape (2026-2033)</t>
        </is>
      </c>
      <c r="E33" s="19" t="n"/>
      <c r="F33" s="19" t="n"/>
      <c r="G33" s="19" t="n"/>
      <c r="H33" s="19" t="n"/>
      <c r="I33" s="19" t="n"/>
      <c r="J33" s="27" t="n"/>
      <c r="K33" s="21" t="n"/>
    </row>
  </sheetData>
  <mergeCells count="1">
    <mergeCell ref="G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32" t="inlineStr">
        <is>
          <t>WEO Data - Georgia</t>
        </is>
      </c>
    </row>
    <row r="2">
      <c r="A2" t="inlineStr">
        <is>
          <t>Exchange Rate (Lari/USD): 2.746</t>
        </is>
      </c>
    </row>
    <row r="3">
      <c r="A3" t="inlineStr">
        <is>
          <t>Year</t>
        </is>
      </c>
      <c r="B3" t="inlineStr">
        <is>
          <t>Real GDP (2017=100)</t>
        </is>
      </c>
      <c r="C3" t="inlineStr">
        <is>
          <t>Nominal GDP (USD millions)</t>
        </is>
      </c>
      <c r="D3" t="inlineStr">
        <is>
          <t>GDP Deflator (2017=100)</t>
        </is>
      </c>
      <c r="E3" t="inlineStr">
        <is>
          <t>GDP Growth Rate (%)</t>
        </is>
      </c>
      <c r="F3" t="inlineStr">
        <is>
          <t>Deflator Growth Rate (%)</t>
        </is>
      </c>
    </row>
    <row r="4">
      <c r="A4" t="n">
        <v>2020</v>
      </c>
      <c r="B4">
        <f>IF(D4=0,0,(C4/D4)*100)</f>
        <v/>
      </c>
      <c r="C4" t="n">
        <v>15200</v>
      </c>
      <c r="D4" t="n">
        <v>101.2</v>
      </c>
      <c r="E4" t="n">
        <v>-3.1</v>
      </c>
    </row>
    <row r="5">
      <c r="A5" t="n">
        <v>2021</v>
      </c>
      <c r="B5">
        <f>IF(D5=0,0,(C5/D5)*100)</f>
        <v/>
      </c>
      <c r="C5" t="n">
        <v>16800</v>
      </c>
      <c r="D5" t="n">
        <v>104.5</v>
      </c>
      <c r="E5" t="n">
        <v>10.6</v>
      </c>
      <c r="F5">
        <f>(D5/D4-1)*100</f>
        <v/>
      </c>
    </row>
    <row r="6">
      <c r="A6" t="n">
        <v>2022</v>
      </c>
      <c r="B6">
        <f>IF(D6=0,0,(C6/D6)*100)</f>
        <v/>
      </c>
      <c r="C6" t="n">
        <v>18900</v>
      </c>
      <c r="D6" t="n">
        <v>112.8</v>
      </c>
      <c r="E6" t="n">
        <v>10.1</v>
      </c>
      <c r="F6">
        <f>(D6/D5-1)*100</f>
        <v/>
      </c>
    </row>
    <row r="7">
      <c r="A7" t="n">
        <v>2023</v>
      </c>
      <c r="B7">
        <f>IF(D7=0,0,(C7/D7)*100)</f>
        <v/>
      </c>
      <c r="C7" t="n">
        <v>20400</v>
      </c>
      <c r="D7" t="n">
        <v>119.3</v>
      </c>
      <c r="E7" t="n">
        <v>7.8</v>
      </c>
      <c r="F7">
        <f>(D7/D6-1)*100</f>
        <v/>
      </c>
    </row>
    <row r="8">
      <c r="A8" t="n">
        <v>2024</v>
      </c>
      <c r="B8">
        <f>IF(D8=0,0,(C8/D8)*100)</f>
        <v/>
      </c>
      <c r="C8" t="n">
        <v>21500</v>
      </c>
      <c r="D8" t="n">
        <v>124.1</v>
      </c>
      <c r="E8" t="n">
        <v>5.1</v>
      </c>
      <c r="F8">
        <f>(D8/D7-1)*100</f>
        <v/>
      </c>
    </row>
    <row r="9">
      <c r="A9" t="n">
        <v>2025</v>
      </c>
      <c r="B9">
        <f>IF(D9=0,0,(C9/D9)*100)</f>
        <v/>
      </c>
      <c r="D9">
        <f>D8*(1+F9/100)</f>
        <v/>
      </c>
      <c r="E9" t="n">
        <v>4</v>
      </c>
      <c r="F9">
        <f>AVERAGE(F5:F8)</f>
        <v/>
      </c>
    </row>
    <row r="10">
      <c r="A10" t="n">
        <v>2026</v>
      </c>
      <c r="B10">
        <f>IF(D10=0,0,(C10/D10)*100)</f>
        <v/>
      </c>
      <c r="D10">
        <f>D9*(1+F10/100)</f>
        <v/>
      </c>
      <c r="E10" t="n">
        <v>3.5</v>
      </c>
      <c r="F10">
        <f>AVERAGE(F5:F8)</f>
        <v/>
      </c>
    </row>
    <row r="11">
      <c r="A11" t="n">
        <v>2027</v>
      </c>
      <c r="B11">
        <f>IF(D11=0,0,(C11/D11)*100)</f>
        <v/>
      </c>
      <c r="D11">
        <f>D10*(1+F11/100)</f>
        <v/>
      </c>
      <c r="E11" t="n">
        <v>3.5</v>
      </c>
      <c r="F11">
        <f>AVERAGE(F5:F8)</f>
        <v/>
      </c>
    </row>
    <row r="12">
      <c r="A12" t="n">
        <v>2028</v>
      </c>
      <c r="B12">
        <f>IF(D12=0,0,(C12/D12)*100)</f>
        <v/>
      </c>
      <c r="D12">
        <f>D11*(1+F12/100)</f>
        <v/>
      </c>
      <c r="E12" t="n">
        <v>3.5</v>
      </c>
      <c r="F12">
        <f>AVERAGE(F5:F8)</f>
        <v/>
      </c>
    </row>
    <row r="13">
      <c r="A13" t="n">
        <v>2029</v>
      </c>
      <c r="B13">
        <f>IF(D13=0,0,(C13/D13)*100)</f>
        <v/>
      </c>
      <c r="D13">
        <f>D12*(1+F13/100)</f>
        <v/>
      </c>
      <c r="E13" t="n">
        <v>3.5</v>
      </c>
      <c r="F13">
        <f>AVERAGE(F5:F8)</f>
        <v/>
      </c>
    </row>
    <row r="14">
      <c r="A14" t="n">
        <v>2030</v>
      </c>
      <c r="B14">
        <f>IF(D14=0,0,(C14/D14)*100)</f>
        <v/>
      </c>
      <c r="D14">
        <f>D13*(1+F14/100)</f>
        <v/>
      </c>
      <c r="E14" t="n">
        <v>3.5</v>
      </c>
      <c r="F14">
        <f>AVERAGE(F5:F8)</f>
        <v/>
      </c>
    </row>
    <row r="15">
      <c r="A15" t="n">
        <v>2031</v>
      </c>
      <c r="B15">
        <f>IF(D15=0,0,(C15/D15)*100)</f>
        <v/>
      </c>
      <c r="D15">
        <f>D14*(1+F15/100)</f>
        <v/>
      </c>
      <c r="E15" t="n">
        <v>3.5</v>
      </c>
      <c r="F15">
        <f>AVERAGE(F5:F8)</f>
        <v/>
      </c>
    </row>
    <row r="16">
      <c r="A16" t="n">
        <v>2032</v>
      </c>
      <c r="B16">
        <f>IF(D16=0,0,(C16/D16)*100)</f>
        <v/>
      </c>
      <c r="D16">
        <f>D15*(1+F16/100)</f>
        <v/>
      </c>
      <c r="E16" t="n">
        <v>3.5</v>
      </c>
      <c r="F16">
        <f>AVERAGE(F5:F8)</f>
        <v/>
      </c>
    </row>
    <row r="17">
      <c r="A17" t="n">
        <v>2033</v>
      </c>
      <c r="B17">
        <f>IF(D17=0,0,(C17/D17)*100)</f>
        <v/>
      </c>
      <c r="D17">
        <f>D16*(1+F17/100)</f>
        <v/>
      </c>
      <c r="E17" t="n">
        <v>3.5</v>
      </c>
      <c r="F17">
        <f>AVERAGE(F5:F8)</f>
        <v/>
      </c>
    </row>
    <row r="18">
      <c r="A18" t="n">
        <v>2034</v>
      </c>
      <c r="B18">
        <f>IF(D18=0,0,(C18/D18)*100)</f>
        <v/>
      </c>
      <c r="D18">
        <f>D17*(1+F18/100)</f>
        <v/>
      </c>
      <c r="E18" t="n">
        <v>3.5</v>
      </c>
      <c r="F18">
        <f>AVERAGE(F5:F8)</f>
        <v/>
      </c>
    </row>
    <row r="19">
      <c r="A19" t="n">
        <v>2035</v>
      </c>
      <c r="B19">
        <f>IF(D19=0,0,(C19/D19)*100)</f>
        <v/>
      </c>
      <c r="D19">
        <f>D18*(1+F19/100)</f>
        <v/>
      </c>
      <c r="E19" t="n">
        <v>3.5</v>
      </c>
      <c r="F19">
        <f>AVERAGE(F5:F8)</f>
        <v/>
      </c>
    </row>
    <row r="20">
      <c r="A20" t="n">
        <v>2036</v>
      </c>
      <c r="B20">
        <f>IF(D20=0,0,(C20/D20)*100)</f>
        <v/>
      </c>
      <c r="D20">
        <f>D19*(1+F20/100)</f>
        <v/>
      </c>
      <c r="E20" t="n">
        <v>3.5</v>
      </c>
      <c r="F20">
        <f>AVERAGE(F5:F8)</f>
        <v/>
      </c>
    </row>
    <row r="21">
      <c r="A21" t="n">
        <v>2037</v>
      </c>
      <c r="B21">
        <f>IF(D21=0,0,(C21/D21)*100)</f>
        <v/>
      </c>
      <c r="D21">
        <f>D20*(1+F21/100)</f>
        <v/>
      </c>
      <c r="E21" t="n">
        <v>3.5</v>
      </c>
      <c r="F21">
        <f>AVERAGE(F5:F8)</f>
        <v/>
      </c>
    </row>
    <row r="22">
      <c r="A22" t="n">
        <v>2038</v>
      </c>
      <c r="B22">
        <f>IF(D22=0,0,(C22/D22)*100)</f>
        <v/>
      </c>
      <c r="D22">
        <f>D21*(1+F22/100)</f>
        <v/>
      </c>
      <c r="E22" t="n">
        <v>3.5</v>
      </c>
      <c r="F22">
        <f>AVERAGE(F5:F8)</f>
        <v/>
      </c>
    </row>
    <row r="23">
      <c r="A23" t="n">
        <v>2039</v>
      </c>
      <c r="B23">
        <f>IF(D23=0,0,(C23/D23)*100)</f>
        <v/>
      </c>
      <c r="D23">
        <f>D22*(1+F23/100)</f>
        <v/>
      </c>
      <c r="E23" t="n">
        <v>3.5</v>
      </c>
      <c r="F23">
        <f>AVERAGE(F5:F8)</f>
        <v/>
      </c>
    </row>
    <row r="24">
      <c r="A24" t="n">
        <v>2040</v>
      </c>
      <c r="B24">
        <f>IF(D24=0,0,(C24/D24)*100)</f>
        <v/>
      </c>
      <c r="D24">
        <f>D23*(1+F24/100)</f>
        <v/>
      </c>
      <c r="E24" t="n">
        <v>3.5</v>
      </c>
      <c r="F24">
        <f>AVERAGE(F5:F8)</f>
        <v/>
      </c>
    </row>
    <row r="25">
      <c r="A25" t="n">
        <v>2041</v>
      </c>
      <c r="B25">
        <f>IF(D25=0,0,(C25/D25)*100)</f>
        <v/>
      </c>
      <c r="D25">
        <f>D24*(1+F25/100)</f>
        <v/>
      </c>
      <c r="E25" t="n">
        <v>3.5</v>
      </c>
      <c r="F25">
        <f>AVERAGE(F5:F8)</f>
        <v/>
      </c>
    </row>
    <row r="26">
      <c r="A26" t="n">
        <v>2042</v>
      </c>
      <c r="B26">
        <f>IF(D26=0,0,(C26/D26)*100)</f>
        <v/>
      </c>
      <c r="D26">
        <f>D25*(1+F26/100)</f>
        <v/>
      </c>
      <c r="E26" t="n">
        <v>3.5</v>
      </c>
      <c r="F26">
        <f>AVERAGE(F5:F8)</f>
        <v/>
      </c>
    </row>
    <row r="27">
      <c r="A27" t="n">
        <v>2043</v>
      </c>
      <c r="B27">
        <f>IF(D27=0,0,(C27/D27)*100)</f>
        <v/>
      </c>
      <c r="D27">
        <f>D26*(1+F27/100)</f>
        <v/>
      </c>
      <c r="E27" t="n">
        <v>3.5</v>
      </c>
      <c r="F27">
        <f>AVERAGE(F5:F8)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Supply Table (38x38)</t>
        </is>
      </c>
    </row>
    <row r="2">
      <c r="A2" t="inlineStr">
        <is>
          <t>Product</t>
        </is>
      </c>
      <c r="B2" t="inlineStr">
        <is>
          <t>Domestic Supply</t>
        </is>
      </c>
      <c r="C2" t="inlineStr">
        <is>
          <t>Imports</t>
        </is>
      </c>
    </row>
    <row r="3">
      <c r="A3" t="inlineStr">
        <is>
          <t>Product 1</t>
        </is>
      </c>
      <c r="B3" t="n">
        <v>386</v>
      </c>
      <c r="C3" t="n">
        <v>97</v>
      </c>
    </row>
    <row r="4">
      <c r="A4" t="inlineStr">
        <is>
          <t>Product 2</t>
        </is>
      </c>
      <c r="B4" t="n">
        <v>954</v>
      </c>
      <c r="C4" t="n">
        <v>359</v>
      </c>
    </row>
    <row r="5">
      <c r="A5" t="inlineStr">
        <is>
          <t>Product 3</t>
        </is>
      </c>
      <c r="B5" t="n">
        <v>480</v>
      </c>
      <c r="C5" t="n">
        <v>167</v>
      </c>
    </row>
    <row r="6">
      <c r="A6" t="inlineStr">
        <is>
          <t>Product 4</t>
        </is>
      </c>
      <c r="B6" t="n">
        <v>957</v>
      </c>
      <c r="C6" t="n">
        <v>338</v>
      </c>
    </row>
    <row r="7">
      <c r="A7" t="inlineStr">
        <is>
          <t>Product 5</t>
        </is>
      </c>
      <c r="B7" t="n">
        <v>818</v>
      </c>
      <c r="C7" t="n">
        <v>293</v>
      </c>
    </row>
    <row r="8">
      <c r="A8" t="inlineStr">
        <is>
          <t>Product 6</t>
        </is>
      </c>
      <c r="B8" t="n">
        <v>510</v>
      </c>
      <c r="C8" t="n">
        <v>168</v>
      </c>
    </row>
    <row r="9">
      <c r="A9" t="inlineStr">
        <is>
          <t>Product 7</t>
        </is>
      </c>
      <c r="B9" t="n">
        <v>593</v>
      </c>
      <c r="C9" t="n">
        <v>189</v>
      </c>
    </row>
    <row r="10">
      <c r="A10" t="inlineStr">
        <is>
          <t>Product 8</t>
        </is>
      </c>
      <c r="B10" t="n">
        <v>169</v>
      </c>
      <c r="C10" t="n">
        <v>39</v>
      </c>
    </row>
    <row r="11">
      <c r="A11" t="inlineStr">
        <is>
          <t>Product 9</t>
        </is>
      </c>
      <c r="B11" t="n">
        <v>172</v>
      </c>
      <c r="C11" t="n">
        <v>65</v>
      </c>
    </row>
    <row r="12">
      <c r="A12" t="inlineStr">
        <is>
          <t>Product 10</t>
        </is>
      </c>
      <c r="B12" t="n">
        <v>991</v>
      </c>
      <c r="C12" t="n">
        <v>289</v>
      </c>
    </row>
    <row r="13">
      <c r="A13" t="inlineStr">
        <is>
          <t>Product 11</t>
        </is>
      </c>
      <c r="B13" t="n">
        <v>704</v>
      </c>
      <c r="C13" t="n">
        <v>225</v>
      </c>
    </row>
    <row r="14">
      <c r="A14" t="inlineStr">
        <is>
          <t>Product 12</t>
        </is>
      </c>
      <c r="B14" t="n">
        <v>609</v>
      </c>
      <c r="C14" t="n">
        <v>123</v>
      </c>
    </row>
    <row r="15">
      <c r="A15" t="inlineStr">
        <is>
          <t>Product 13</t>
        </is>
      </c>
      <c r="B15" t="n">
        <v>829</v>
      </c>
      <c r="C15" t="n">
        <v>320</v>
      </c>
    </row>
    <row r="16">
      <c r="A16" t="inlineStr">
        <is>
          <t>Product 14</t>
        </is>
      </c>
      <c r="B16" t="n">
        <v>699</v>
      </c>
      <c r="C16" t="n">
        <v>270</v>
      </c>
    </row>
    <row r="17">
      <c r="A17" t="inlineStr">
        <is>
          <t>Product 15</t>
        </is>
      </c>
      <c r="B17" t="n">
        <v>393</v>
      </c>
      <c r="C17" t="n">
        <v>115</v>
      </c>
    </row>
    <row r="18">
      <c r="A18" t="inlineStr">
        <is>
          <t>Product 16</t>
        </is>
      </c>
      <c r="B18" t="n">
        <v>254</v>
      </c>
      <c r="C18" t="n">
        <v>60</v>
      </c>
    </row>
    <row r="19">
      <c r="A19" t="inlineStr">
        <is>
          <t>Product 17</t>
        </is>
      </c>
      <c r="B19" t="n">
        <v>449</v>
      </c>
      <c r="C19" t="n">
        <v>98</v>
      </c>
    </row>
    <row r="20">
      <c r="A20" t="inlineStr">
        <is>
          <t>Product 18</t>
        </is>
      </c>
      <c r="B20" t="n">
        <v>640</v>
      </c>
      <c r="C20" t="n">
        <v>130</v>
      </c>
    </row>
    <row r="21">
      <c r="A21" t="inlineStr">
        <is>
          <t>Product 19</t>
        </is>
      </c>
      <c r="B21" t="n">
        <v>616</v>
      </c>
      <c r="C21" t="n">
        <v>177</v>
      </c>
    </row>
    <row r="22">
      <c r="A22" t="inlineStr">
        <is>
          <t>Product 20</t>
        </is>
      </c>
      <c r="B22" t="n">
        <v>549</v>
      </c>
      <c r="C22" t="n">
        <v>203</v>
      </c>
    </row>
    <row r="23">
      <c r="A23" t="inlineStr">
        <is>
          <t>Product 21</t>
        </is>
      </c>
      <c r="B23" t="n">
        <v>494</v>
      </c>
      <c r="C23" t="n">
        <v>106</v>
      </c>
    </row>
    <row r="24">
      <c r="A24" t="inlineStr">
        <is>
          <t>Product 22</t>
        </is>
      </c>
      <c r="B24" t="n">
        <v>931</v>
      </c>
      <c r="C24" t="n">
        <v>272</v>
      </c>
    </row>
    <row r="25">
      <c r="A25" t="inlineStr">
        <is>
          <t>Product 23</t>
        </is>
      </c>
      <c r="B25" t="n">
        <v>352</v>
      </c>
      <c r="C25" t="n">
        <v>125</v>
      </c>
    </row>
    <row r="26">
      <c r="A26" t="inlineStr">
        <is>
          <t>Product 24</t>
        </is>
      </c>
      <c r="B26" t="n">
        <v>679</v>
      </c>
      <c r="C26" t="n">
        <v>271</v>
      </c>
    </row>
    <row r="27">
      <c r="A27" t="inlineStr">
        <is>
          <t>Product 25</t>
        </is>
      </c>
      <c r="B27" t="n">
        <v>344</v>
      </c>
      <c r="C27" t="n">
        <v>125</v>
      </c>
    </row>
    <row r="28">
      <c r="A28" t="inlineStr">
        <is>
          <t>Product 26</t>
        </is>
      </c>
      <c r="B28" t="n">
        <v>158</v>
      </c>
      <c r="C28" t="n">
        <v>37</v>
      </c>
    </row>
    <row r="29">
      <c r="A29" t="inlineStr">
        <is>
          <t>Product 27</t>
        </is>
      </c>
      <c r="B29" t="n">
        <v>730</v>
      </c>
      <c r="C29" t="n">
        <v>223</v>
      </c>
    </row>
    <row r="30">
      <c r="A30" t="inlineStr">
        <is>
          <t>Product 28</t>
        </is>
      </c>
      <c r="B30" t="n">
        <v>204</v>
      </c>
      <c r="C30" t="n">
        <v>80</v>
      </c>
    </row>
    <row r="31">
      <c r="A31" t="inlineStr">
        <is>
          <t>Product 29</t>
        </is>
      </c>
      <c r="B31" t="n">
        <v>791</v>
      </c>
      <c r="C31" t="n">
        <v>254</v>
      </c>
    </row>
    <row r="32">
      <c r="A32" t="inlineStr">
        <is>
          <t>Product 30</t>
        </is>
      </c>
      <c r="B32" t="n">
        <v>709</v>
      </c>
      <c r="C32" t="n">
        <v>221</v>
      </c>
    </row>
    <row r="33">
      <c r="A33" t="inlineStr">
        <is>
          <t>Product 31</t>
        </is>
      </c>
      <c r="B33" t="n">
        <v>758</v>
      </c>
      <c r="C33" t="n">
        <v>174</v>
      </c>
    </row>
    <row r="34">
      <c r="A34" t="inlineStr">
        <is>
          <t>Product 32</t>
        </is>
      </c>
      <c r="B34" t="n">
        <v>364</v>
      </c>
      <c r="C34" t="n">
        <v>131</v>
      </c>
    </row>
    <row r="35">
      <c r="A35" t="inlineStr">
        <is>
          <t>Product 33</t>
        </is>
      </c>
      <c r="B35" t="n">
        <v>269</v>
      </c>
      <c r="C35" t="n">
        <v>66</v>
      </c>
    </row>
    <row r="36">
      <c r="A36" t="inlineStr">
        <is>
          <t>Product 34</t>
        </is>
      </c>
      <c r="B36" t="n">
        <v>656</v>
      </c>
      <c r="C36" t="n">
        <v>153</v>
      </c>
    </row>
    <row r="37">
      <c r="A37" t="inlineStr">
        <is>
          <t>Product 35</t>
        </is>
      </c>
      <c r="B37" t="n">
        <v>739</v>
      </c>
      <c r="C37" t="n">
        <v>198</v>
      </c>
    </row>
    <row r="38">
      <c r="A38" t="inlineStr">
        <is>
          <t>Product 36</t>
        </is>
      </c>
      <c r="B38" t="n">
        <v>937</v>
      </c>
      <c r="C38" t="n">
        <v>358</v>
      </c>
    </row>
    <row r="39">
      <c r="A39" t="inlineStr">
        <is>
          <t>Product 37</t>
        </is>
      </c>
      <c r="B39" t="n">
        <v>384</v>
      </c>
      <c r="C39" t="n">
        <v>132</v>
      </c>
    </row>
    <row r="40">
      <c r="A40" t="inlineStr">
        <is>
          <t>Product 38</t>
        </is>
      </c>
    </row>
    <row r="43">
      <c r="B43">
        <f>SUM(B4:B41)</f>
        <v/>
      </c>
      <c r="C43">
        <f>SUM(C4:C41)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 Table (38x38)</t>
        </is>
      </c>
    </row>
    <row r="2">
      <c r="A2" t="inlineStr">
        <is>
          <t>Product</t>
        </is>
      </c>
      <c r="B2" t="inlineStr">
        <is>
          <t>Domestic Use</t>
        </is>
      </c>
      <c r="C2" t="inlineStr">
        <is>
          <t>Imports Used</t>
        </is>
      </c>
    </row>
    <row r="3">
      <c r="A3" t="inlineStr">
        <is>
          <t>Product 1</t>
        </is>
      </c>
      <c r="B3" t="n">
        <v>882</v>
      </c>
      <c r="C3" t="n">
        <v>213</v>
      </c>
    </row>
    <row r="4">
      <c r="A4" t="inlineStr">
        <is>
          <t>Product 2</t>
        </is>
      </c>
      <c r="B4" t="n">
        <v>264</v>
      </c>
      <c r="C4" t="n">
        <v>90</v>
      </c>
    </row>
    <row r="5">
      <c r="A5" t="inlineStr">
        <is>
          <t>Product 3</t>
        </is>
      </c>
      <c r="B5" t="n">
        <v>411</v>
      </c>
      <c r="C5" t="n">
        <v>158</v>
      </c>
    </row>
    <row r="6">
      <c r="A6" t="inlineStr">
        <is>
          <t>Product 4</t>
        </is>
      </c>
      <c r="B6" t="n">
        <v>849</v>
      </c>
      <c r="C6" t="n">
        <v>248</v>
      </c>
    </row>
    <row r="7">
      <c r="A7" t="inlineStr">
        <is>
          <t>Product 5</t>
        </is>
      </c>
      <c r="B7" t="n">
        <v>730</v>
      </c>
      <c r="C7" t="n">
        <v>272</v>
      </c>
    </row>
    <row r="8">
      <c r="A8" t="inlineStr">
        <is>
          <t>Product 6</t>
        </is>
      </c>
      <c r="B8" t="n">
        <v>662</v>
      </c>
      <c r="C8" t="n">
        <v>141</v>
      </c>
    </row>
    <row r="9">
      <c r="A9" t="inlineStr">
        <is>
          <t>Product 7</t>
        </is>
      </c>
      <c r="B9" t="n">
        <v>853</v>
      </c>
      <c r="C9" t="n">
        <v>314</v>
      </c>
    </row>
    <row r="10">
      <c r="A10" t="inlineStr">
        <is>
          <t>Product 8</t>
        </is>
      </c>
      <c r="B10" t="n">
        <v>1000</v>
      </c>
      <c r="C10" t="n">
        <v>277</v>
      </c>
    </row>
    <row r="11">
      <c r="A11" t="inlineStr">
        <is>
          <t>Product 9</t>
        </is>
      </c>
      <c r="B11" t="n">
        <v>583</v>
      </c>
      <c r="C11" t="n">
        <v>218</v>
      </c>
    </row>
    <row r="12">
      <c r="A12" t="inlineStr">
        <is>
          <t>Product 10</t>
        </is>
      </c>
      <c r="B12" t="n">
        <v>271</v>
      </c>
      <c r="C12" t="n">
        <v>55</v>
      </c>
    </row>
    <row r="13">
      <c r="A13" t="inlineStr">
        <is>
          <t>Product 11</t>
        </is>
      </c>
      <c r="B13" t="n">
        <v>868</v>
      </c>
      <c r="C13" t="n">
        <v>320</v>
      </c>
    </row>
    <row r="14">
      <c r="A14" t="inlineStr">
        <is>
          <t>Product 12</t>
        </is>
      </c>
      <c r="B14" t="n">
        <v>418</v>
      </c>
      <c r="C14" t="n">
        <v>88</v>
      </c>
    </row>
    <row r="15">
      <c r="A15" t="inlineStr">
        <is>
          <t>Product 13</t>
        </is>
      </c>
      <c r="B15" t="n">
        <v>742</v>
      </c>
      <c r="C15" t="n">
        <v>249</v>
      </c>
    </row>
    <row r="16">
      <c r="A16" t="inlineStr">
        <is>
          <t>Product 14</t>
        </is>
      </c>
      <c r="B16" t="n">
        <v>550</v>
      </c>
      <c r="C16" t="n">
        <v>215</v>
      </c>
    </row>
    <row r="17">
      <c r="A17" t="inlineStr">
        <is>
          <t>Product 15</t>
        </is>
      </c>
      <c r="B17" t="n">
        <v>297</v>
      </c>
      <c r="C17" t="n">
        <v>66</v>
      </c>
    </row>
    <row r="18">
      <c r="A18" t="inlineStr">
        <is>
          <t>Product 16</t>
        </is>
      </c>
      <c r="B18" t="n">
        <v>897</v>
      </c>
      <c r="C18" t="n">
        <v>193</v>
      </c>
    </row>
    <row r="19">
      <c r="A19" t="inlineStr">
        <is>
          <t>Product 17</t>
        </is>
      </c>
      <c r="B19" t="n">
        <v>665</v>
      </c>
      <c r="C19" t="n">
        <v>194</v>
      </c>
    </row>
    <row r="20">
      <c r="A20" t="inlineStr">
        <is>
          <t>Product 18</t>
        </is>
      </c>
      <c r="B20" t="n">
        <v>482</v>
      </c>
      <c r="C20" t="n">
        <v>111</v>
      </c>
    </row>
    <row r="21">
      <c r="A21" t="inlineStr">
        <is>
          <t>Product 19</t>
        </is>
      </c>
      <c r="B21" t="n">
        <v>390</v>
      </c>
      <c r="C21" t="n">
        <v>136</v>
      </c>
    </row>
    <row r="22">
      <c r="A22" t="inlineStr">
        <is>
          <t>Product 20</t>
        </is>
      </c>
      <c r="B22" t="n">
        <v>839</v>
      </c>
      <c r="C22" t="n">
        <v>220</v>
      </c>
    </row>
    <row r="23">
      <c r="A23" t="inlineStr">
        <is>
          <t>Product 21</t>
        </is>
      </c>
      <c r="B23" t="n">
        <v>336</v>
      </c>
      <c r="C23" t="n">
        <v>99</v>
      </c>
    </row>
    <row r="24">
      <c r="A24" t="inlineStr">
        <is>
          <t>Product 22</t>
        </is>
      </c>
      <c r="B24" t="n">
        <v>524</v>
      </c>
      <c r="C24" t="n">
        <v>115</v>
      </c>
    </row>
    <row r="25">
      <c r="A25" t="inlineStr">
        <is>
          <t>Product 23</t>
        </is>
      </c>
      <c r="B25" t="n">
        <v>971</v>
      </c>
      <c r="C25" t="n">
        <v>302</v>
      </c>
    </row>
    <row r="26">
      <c r="A26" t="inlineStr">
        <is>
          <t>Product 24</t>
        </is>
      </c>
      <c r="B26" t="n">
        <v>926</v>
      </c>
      <c r="C26" t="n">
        <v>223</v>
      </c>
    </row>
    <row r="27">
      <c r="A27" t="inlineStr">
        <is>
          <t>Product 25</t>
        </is>
      </c>
      <c r="B27" t="n">
        <v>637</v>
      </c>
      <c r="C27" t="n">
        <v>202</v>
      </c>
    </row>
    <row r="28">
      <c r="A28" t="inlineStr">
        <is>
          <t>Product 26</t>
        </is>
      </c>
      <c r="B28" t="n">
        <v>304</v>
      </c>
      <c r="C28" t="n">
        <v>112</v>
      </c>
    </row>
    <row r="29">
      <c r="A29" t="inlineStr">
        <is>
          <t>Product 27</t>
        </is>
      </c>
      <c r="B29" t="n">
        <v>683</v>
      </c>
      <c r="C29" t="n">
        <v>259</v>
      </c>
    </row>
    <row r="30">
      <c r="A30" t="inlineStr">
        <is>
          <t>Product 28</t>
        </is>
      </c>
      <c r="B30" t="n">
        <v>151</v>
      </c>
      <c r="C30" t="n">
        <v>43</v>
      </c>
    </row>
    <row r="31">
      <c r="A31" t="inlineStr">
        <is>
          <t>Product 29</t>
        </is>
      </c>
      <c r="B31" t="n">
        <v>277</v>
      </c>
      <c r="C31" t="n">
        <v>73</v>
      </c>
    </row>
    <row r="32">
      <c r="A32" t="inlineStr">
        <is>
          <t>Product 30</t>
        </is>
      </c>
      <c r="B32" t="n">
        <v>241</v>
      </c>
      <c r="C32" t="n">
        <v>89</v>
      </c>
    </row>
    <row r="33">
      <c r="A33" t="inlineStr">
        <is>
          <t>Product 31</t>
        </is>
      </c>
      <c r="B33" t="n">
        <v>318</v>
      </c>
      <c r="C33" t="n">
        <v>116</v>
      </c>
    </row>
    <row r="34">
      <c r="A34" t="inlineStr">
        <is>
          <t>Product 32</t>
        </is>
      </c>
      <c r="B34" t="n">
        <v>726</v>
      </c>
      <c r="C34" t="n">
        <v>213</v>
      </c>
    </row>
    <row r="35">
      <c r="A35" t="inlineStr">
        <is>
          <t>Product 33</t>
        </is>
      </c>
      <c r="B35" t="n">
        <v>641</v>
      </c>
      <c r="C35" t="n">
        <v>217</v>
      </c>
    </row>
    <row r="36">
      <c r="A36" t="inlineStr">
        <is>
          <t>Product 34</t>
        </is>
      </c>
      <c r="B36" t="n">
        <v>437</v>
      </c>
      <c r="C36" t="n">
        <v>127</v>
      </c>
    </row>
    <row r="37">
      <c r="A37" t="inlineStr">
        <is>
          <t>Product 35</t>
        </is>
      </c>
      <c r="B37" t="n">
        <v>366</v>
      </c>
      <c r="C37" t="n">
        <v>135</v>
      </c>
    </row>
    <row r="38">
      <c r="A38" t="inlineStr">
        <is>
          <t>Product 36</t>
        </is>
      </c>
      <c r="B38" t="n">
        <v>143</v>
      </c>
      <c r="C38" t="n">
        <v>50</v>
      </c>
    </row>
    <row r="39">
      <c r="A39" t="inlineStr">
        <is>
          <t>Product 37</t>
        </is>
      </c>
      <c r="B39" t="n">
        <v>913</v>
      </c>
      <c r="C39" t="n">
        <v>306</v>
      </c>
    </row>
    <row r="40">
      <c r="A40" t="inlineStr">
        <is>
          <t>Product 38</t>
        </is>
      </c>
    </row>
    <row r="43">
      <c r="B43">
        <f>SUM(B4:B41)</f>
        <v/>
      </c>
      <c r="C43">
        <f>SUM(C4:C41)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32" t="inlineStr">
        <is>
          <t>SUT Calculation - Import Content Analysis</t>
        </is>
      </c>
    </row>
    <row r="3">
      <c r="A3" t="inlineStr">
        <is>
          <t>Product Category</t>
        </is>
      </c>
      <c r="B3" t="inlineStr">
        <is>
          <t>Supply (SUPPLY)</t>
        </is>
      </c>
      <c r="C3" t="inlineStr">
        <is>
          <t>Domestic Supply</t>
        </is>
      </c>
      <c r="D3" t="inlineStr">
        <is>
          <t>Use (USE)</t>
        </is>
      </c>
      <c r="E3" t="inlineStr">
        <is>
          <t>Imports</t>
        </is>
      </c>
      <c r="F3" t="inlineStr">
        <is>
          <t>Import Content %</t>
        </is>
      </c>
    </row>
    <row r="4">
      <c r="A4" t="inlineStr">
        <is>
          <t>Product 1</t>
        </is>
      </c>
      <c r="B4">
        <f>'SUPPLY'!B4</f>
        <v/>
      </c>
      <c r="C4">
        <f>'SUPPLY'!C4</f>
        <v/>
      </c>
      <c r="D4">
        <f>'USE'!B4</f>
        <v/>
      </c>
      <c r="E4">
        <f>'USE'!C4</f>
        <v/>
      </c>
    </row>
    <row r="5">
      <c r="A5" t="inlineStr">
        <is>
          <t>Product 2</t>
        </is>
      </c>
      <c r="B5">
        <f>'SUPPLY'!B5</f>
        <v/>
      </c>
      <c r="C5">
        <f>'SUPPLY'!C5</f>
        <v/>
      </c>
      <c r="D5">
        <f>'USE'!B5</f>
        <v/>
      </c>
      <c r="E5">
        <f>'USE'!C5</f>
        <v/>
      </c>
    </row>
    <row r="6">
      <c r="A6" t="inlineStr">
        <is>
          <t>Product 3</t>
        </is>
      </c>
      <c r="B6">
        <f>'SUPPLY'!B6</f>
        <v/>
      </c>
      <c r="C6">
        <f>'SUPPLY'!C6</f>
        <v/>
      </c>
      <c r="D6">
        <f>'USE'!B6</f>
        <v/>
      </c>
      <c r="E6">
        <f>'USE'!C6</f>
        <v/>
      </c>
    </row>
    <row r="7">
      <c r="A7" t="inlineStr">
        <is>
          <t>Product 4</t>
        </is>
      </c>
      <c r="B7">
        <f>'SUPPLY'!B7</f>
        <v/>
      </c>
      <c r="C7">
        <f>'SUPPLY'!C7</f>
        <v/>
      </c>
      <c r="D7">
        <f>'USE'!B7</f>
        <v/>
      </c>
      <c r="E7">
        <f>'USE'!C7</f>
        <v/>
      </c>
    </row>
    <row r="8">
      <c r="A8" t="inlineStr">
        <is>
          <t>Product 5</t>
        </is>
      </c>
      <c r="B8">
        <f>'SUPPLY'!B8</f>
        <v/>
      </c>
      <c r="C8">
        <f>'SUPPLY'!C8</f>
        <v/>
      </c>
      <c r="D8">
        <f>'USE'!B8</f>
        <v/>
      </c>
      <c r="E8">
        <f>'USE'!C8</f>
        <v/>
      </c>
    </row>
    <row r="9">
      <c r="A9" t="inlineStr">
        <is>
          <t>Product 6</t>
        </is>
      </c>
      <c r="B9">
        <f>'SUPPLY'!B9</f>
        <v/>
      </c>
      <c r="C9">
        <f>'SUPPLY'!C9</f>
        <v/>
      </c>
      <c r="D9">
        <f>'USE'!B9</f>
        <v/>
      </c>
      <c r="E9">
        <f>'USE'!C9</f>
        <v/>
      </c>
    </row>
    <row r="10">
      <c r="A10" t="inlineStr">
        <is>
          <t>Product 7</t>
        </is>
      </c>
      <c r="B10">
        <f>'SUPPLY'!B10</f>
        <v/>
      </c>
      <c r="C10">
        <f>'SUPPLY'!C10</f>
        <v/>
      </c>
      <c r="D10">
        <f>'USE'!B10</f>
        <v/>
      </c>
      <c r="E10">
        <f>'USE'!C10</f>
        <v/>
      </c>
    </row>
    <row r="11">
      <c r="A11" t="inlineStr">
        <is>
          <t>Product 8</t>
        </is>
      </c>
      <c r="B11">
        <f>'SUPPLY'!B11</f>
        <v/>
      </c>
      <c r="C11">
        <f>'SUPPLY'!C11</f>
        <v/>
      </c>
      <c r="D11">
        <f>'USE'!B11</f>
        <v/>
      </c>
      <c r="E11">
        <f>'USE'!C11</f>
        <v/>
      </c>
    </row>
    <row r="12">
      <c r="A12" t="inlineStr">
        <is>
          <t>Product 9</t>
        </is>
      </c>
      <c r="B12">
        <f>'SUPPLY'!B12</f>
        <v/>
      </c>
      <c r="C12">
        <f>'SUPPLY'!C12</f>
        <v/>
      </c>
      <c r="D12">
        <f>'USE'!B12</f>
        <v/>
      </c>
      <c r="E12">
        <f>'USE'!C12</f>
        <v/>
      </c>
    </row>
    <row r="13">
      <c r="A13" t="inlineStr">
        <is>
          <t>Product 10</t>
        </is>
      </c>
      <c r="B13">
        <f>'SUPPLY'!B13</f>
        <v/>
      </c>
      <c r="C13">
        <f>'SUPPLY'!C13</f>
        <v/>
      </c>
      <c r="D13">
        <f>'USE'!B13</f>
        <v/>
      </c>
      <c r="E13">
        <f>'USE'!C13</f>
        <v/>
      </c>
    </row>
    <row r="14">
      <c r="A14" t="inlineStr">
        <is>
          <t>Product 11</t>
        </is>
      </c>
      <c r="B14">
        <f>'SUPPLY'!B14</f>
        <v/>
      </c>
      <c r="C14">
        <f>'SUPPLY'!C14</f>
        <v/>
      </c>
      <c r="D14">
        <f>'USE'!B14</f>
        <v/>
      </c>
      <c r="E14">
        <f>'USE'!C14</f>
        <v/>
      </c>
    </row>
    <row r="15">
      <c r="A15" t="inlineStr">
        <is>
          <t>Product 12</t>
        </is>
      </c>
      <c r="B15">
        <f>'SUPPLY'!B15</f>
        <v/>
      </c>
      <c r="C15">
        <f>'SUPPLY'!C15</f>
        <v/>
      </c>
      <c r="D15">
        <f>'USE'!B15</f>
        <v/>
      </c>
      <c r="E15">
        <f>'USE'!C15</f>
        <v/>
      </c>
    </row>
    <row r="16">
      <c r="A16" t="inlineStr">
        <is>
          <t>Product 13</t>
        </is>
      </c>
      <c r="B16">
        <f>'SUPPLY'!B16</f>
        <v/>
      </c>
      <c r="C16">
        <f>'SUPPLY'!C16</f>
        <v/>
      </c>
      <c r="D16">
        <f>'USE'!B16</f>
        <v/>
      </c>
      <c r="E16">
        <f>'USE'!C16</f>
        <v/>
      </c>
    </row>
    <row r="17">
      <c r="A17" t="inlineStr">
        <is>
          <t>Product 14</t>
        </is>
      </c>
      <c r="B17">
        <f>'SUPPLY'!B17</f>
        <v/>
      </c>
      <c r="C17">
        <f>'SUPPLY'!C17</f>
        <v/>
      </c>
      <c r="D17">
        <f>'USE'!B17</f>
        <v/>
      </c>
      <c r="E17">
        <f>'USE'!C17</f>
        <v/>
      </c>
    </row>
    <row r="18">
      <c r="A18" t="inlineStr">
        <is>
          <t>Product 15</t>
        </is>
      </c>
      <c r="B18">
        <f>'SUPPLY'!B18</f>
        <v/>
      </c>
      <c r="C18">
        <f>'SUPPLY'!C18</f>
        <v/>
      </c>
      <c r="D18">
        <f>'USE'!B18</f>
        <v/>
      </c>
      <c r="E18">
        <f>'USE'!C18</f>
        <v/>
      </c>
    </row>
    <row r="19">
      <c r="A19" t="inlineStr">
        <is>
          <t>Product 16</t>
        </is>
      </c>
      <c r="B19">
        <f>'SUPPLY'!B19</f>
        <v/>
      </c>
      <c r="C19">
        <f>'SUPPLY'!C19</f>
        <v/>
      </c>
      <c r="D19">
        <f>'USE'!B19</f>
        <v/>
      </c>
      <c r="E19">
        <f>'USE'!C19</f>
        <v/>
      </c>
    </row>
    <row r="20">
      <c r="A20" t="inlineStr">
        <is>
          <t>Product 17</t>
        </is>
      </c>
      <c r="B20">
        <f>'SUPPLY'!B20</f>
        <v/>
      </c>
      <c r="C20">
        <f>'SUPPLY'!C20</f>
        <v/>
      </c>
      <c r="D20">
        <f>'USE'!B20</f>
        <v/>
      </c>
      <c r="E20">
        <f>'USE'!C20</f>
        <v/>
      </c>
    </row>
    <row r="21">
      <c r="A21" t="inlineStr">
        <is>
          <t>Product 18</t>
        </is>
      </c>
      <c r="B21">
        <f>'SUPPLY'!B21</f>
        <v/>
      </c>
      <c r="C21">
        <f>'SUPPLY'!C21</f>
        <v/>
      </c>
      <c r="D21">
        <f>'USE'!B21</f>
        <v/>
      </c>
      <c r="E21">
        <f>'USE'!C21</f>
        <v/>
      </c>
    </row>
    <row r="22">
      <c r="A22" t="inlineStr">
        <is>
          <t>Product 19</t>
        </is>
      </c>
      <c r="B22">
        <f>'SUPPLY'!B22</f>
        <v/>
      </c>
      <c r="C22">
        <f>'SUPPLY'!C22</f>
        <v/>
      </c>
      <c r="D22">
        <f>'USE'!B22</f>
        <v/>
      </c>
      <c r="E22">
        <f>'USE'!C22</f>
        <v/>
      </c>
    </row>
    <row r="23">
      <c r="A23" t="inlineStr">
        <is>
          <t>Product 20</t>
        </is>
      </c>
      <c r="B23">
        <f>'SUPPLY'!B23</f>
        <v/>
      </c>
      <c r="C23">
        <f>'SUPPLY'!C23</f>
        <v/>
      </c>
      <c r="D23">
        <f>'USE'!B23</f>
        <v/>
      </c>
      <c r="E23">
        <f>'USE'!C23</f>
        <v/>
      </c>
    </row>
    <row r="24">
      <c r="A24" t="inlineStr">
        <is>
          <t>Product 21</t>
        </is>
      </c>
      <c r="B24">
        <f>'SUPPLY'!B24</f>
        <v/>
      </c>
      <c r="C24">
        <f>'SUPPLY'!C24</f>
        <v/>
      </c>
      <c r="D24">
        <f>'USE'!B24</f>
        <v/>
      </c>
      <c r="E24">
        <f>'USE'!C24</f>
        <v/>
      </c>
    </row>
    <row r="25">
      <c r="A25" t="inlineStr">
        <is>
          <t>Product 22</t>
        </is>
      </c>
      <c r="B25">
        <f>'SUPPLY'!B25</f>
        <v/>
      </c>
      <c r="C25">
        <f>'SUPPLY'!C25</f>
        <v/>
      </c>
      <c r="D25">
        <f>'USE'!B25</f>
        <v/>
      </c>
      <c r="E25">
        <f>'USE'!C25</f>
        <v/>
      </c>
    </row>
    <row r="26">
      <c r="A26" t="inlineStr">
        <is>
          <t>Product 23</t>
        </is>
      </c>
      <c r="B26">
        <f>'SUPPLY'!B26</f>
        <v/>
      </c>
      <c r="C26">
        <f>'SUPPLY'!C26</f>
        <v/>
      </c>
      <c r="D26">
        <f>'USE'!B26</f>
        <v/>
      </c>
      <c r="E26">
        <f>'USE'!C26</f>
        <v/>
      </c>
    </row>
    <row r="27">
      <c r="A27" t="inlineStr">
        <is>
          <t>Product 24</t>
        </is>
      </c>
      <c r="B27">
        <f>'SUPPLY'!B27</f>
        <v/>
      </c>
      <c r="C27">
        <f>'SUPPLY'!C27</f>
        <v/>
      </c>
      <c r="D27">
        <f>'USE'!B27</f>
        <v/>
      </c>
      <c r="E27">
        <f>'USE'!C27</f>
        <v/>
      </c>
    </row>
    <row r="28">
      <c r="A28" t="inlineStr">
        <is>
          <t>Product 25</t>
        </is>
      </c>
      <c r="B28">
        <f>'SUPPLY'!B28</f>
        <v/>
      </c>
      <c r="C28">
        <f>'SUPPLY'!C28</f>
        <v/>
      </c>
      <c r="D28">
        <f>'USE'!B28</f>
        <v/>
      </c>
      <c r="E28">
        <f>'USE'!C28</f>
        <v/>
      </c>
    </row>
    <row r="29">
      <c r="A29" t="inlineStr">
        <is>
          <t>Product 26</t>
        </is>
      </c>
      <c r="B29">
        <f>'SUPPLY'!B29</f>
        <v/>
      </c>
      <c r="C29">
        <f>'SUPPLY'!C29</f>
        <v/>
      </c>
      <c r="D29">
        <f>'USE'!B29</f>
        <v/>
      </c>
      <c r="E29">
        <f>'USE'!C29</f>
        <v/>
      </c>
    </row>
    <row r="30">
      <c r="A30" t="inlineStr">
        <is>
          <t>Product 27</t>
        </is>
      </c>
      <c r="B30">
        <f>'SUPPLY'!B30</f>
        <v/>
      </c>
      <c r="C30">
        <f>'SUPPLY'!C30</f>
        <v/>
      </c>
      <c r="D30">
        <f>'USE'!B30</f>
        <v/>
      </c>
      <c r="E30">
        <f>'USE'!C30</f>
        <v/>
      </c>
    </row>
    <row r="31">
      <c r="A31" t="inlineStr">
        <is>
          <t>Product 28</t>
        </is>
      </c>
      <c r="B31">
        <f>'SUPPLY'!B31</f>
        <v/>
      </c>
      <c r="C31">
        <f>'SUPPLY'!C31</f>
        <v/>
      </c>
      <c r="D31">
        <f>'USE'!B31</f>
        <v/>
      </c>
      <c r="E31">
        <f>'USE'!C31</f>
        <v/>
      </c>
    </row>
    <row r="32">
      <c r="A32" t="inlineStr">
        <is>
          <t>Product 29</t>
        </is>
      </c>
      <c r="B32">
        <f>'SUPPLY'!B32</f>
        <v/>
      </c>
      <c r="C32">
        <f>'SUPPLY'!C32</f>
        <v/>
      </c>
      <c r="D32">
        <f>'USE'!B32</f>
        <v/>
      </c>
      <c r="E32">
        <f>'USE'!C32</f>
        <v/>
      </c>
    </row>
    <row r="33">
      <c r="A33" t="inlineStr">
        <is>
          <t>Product 30</t>
        </is>
      </c>
      <c r="B33">
        <f>'SUPPLY'!B33</f>
        <v/>
      </c>
      <c r="C33">
        <f>'SUPPLY'!C33</f>
        <v/>
      </c>
      <c r="D33">
        <f>'USE'!B33</f>
        <v/>
      </c>
      <c r="E33">
        <f>'USE'!C33</f>
        <v/>
      </c>
    </row>
    <row r="34">
      <c r="A34" t="inlineStr">
        <is>
          <t>Product 31</t>
        </is>
      </c>
      <c r="B34">
        <f>'SUPPLY'!B34</f>
        <v/>
      </c>
      <c r="C34">
        <f>'SUPPLY'!C34</f>
        <v/>
      </c>
      <c r="D34">
        <f>'USE'!B34</f>
        <v/>
      </c>
      <c r="E34">
        <f>'USE'!C34</f>
        <v/>
      </c>
    </row>
    <row r="35">
      <c r="A35" t="inlineStr">
        <is>
          <t>Product 32</t>
        </is>
      </c>
      <c r="B35">
        <f>'SUPPLY'!B35</f>
        <v/>
      </c>
      <c r="C35">
        <f>'SUPPLY'!C35</f>
        <v/>
      </c>
      <c r="D35">
        <f>'USE'!B35</f>
        <v/>
      </c>
      <c r="E35">
        <f>'USE'!C35</f>
        <v/>
      </c>
    </row>
    <row r="36">
      <c r="A36" t="inlineStr">
        <is>
          <t>Product 33</t>
        </is>
      </c>
      <c r="B36">
        <f>'SUPPLY'!B36</f>
        <v/>
      </c>
      <c r="C36">
        <f>'SUPPLY'!C36</f>
        <v/>
      </c>
      <c r="D36">
        <f>'USE'!B36</f>
        <v/>
      </c>
      <c r="E36">
        <f>'USE'!C36</f>
        <v/>
      </c>
    </row>
    <row r="37">
      <c r="A37" t="inlineStr">
        <is>
          <t>Product 34</t>
        </is>
      </c>
      <c r="B37">
        <f>'SUPPLY'!B37</f>
        <v/>
      </c>
      <c r="C37">
        <f>'SUPPLY'!C37</f>
        <v/>
      </c>
      <c r="D37">
        <f>'USE'!B37</f>
        <v/>
      </c>
      <c r="E37">
        <f>'USE'!C37</f>
        <v/>
      </c>
    </row>
    <row r="38">
      <c r="A38" t="inlineStr">
        <is>
          <t>Product 35</t>
        </is>
      </c>
      <c r="B38">
        <f>'SUPPLY'!B38</f>
        <v/>
      </c>
      <c r="C38">
        <f>'SUPPLY'!C38</f>
        <v/>
      </c>
      <c r="D38">
        <f>'USE'!B38</f>
        <v/>
      </c>
      <c r="E38">
        <f>'USE'!C38</f>
        <v/>
      </c>
    </row>
    <row r="39">
      <c r="A39" t="inlineStr">
        <is>
          <t>Product 36</t>
        </is>
      </c>
      <c r="B39">
        <f>'SUPPLY'!B39</f>
        <v/>
      </c>
      <c r="C39">
        <f>'SUPPLY'!C39</f>
        <v/>
      </c>
      <c r="D39">
        <f>'USE'!B39</f>
        <v/>
      </c>
      <c r="E39">
        <f>'USE'!C39</f>
        <v/>
      </c>
    </row>
    <row r="40">
      <c r="A40" t="inlineStr">
        <is>
          <t>Product 37</t>
        </is>
      </c>
      <c r="B40">
        <f>'SUPPLY'!B40</f>
        <v/>
      </c>
      <c r="C40">
        <f>'SUPPLY'!C40</f>
        <v/>
      </c>
      <c r="D40">
        <f>'USE'!B40</f>
        <v/>
      </c>
      <c r="E40">
        <f>'USE'!C40</f>
        <v/>
      </c>
    </row>
    <row r="41">
      <c r="A41" t="inlineStr">
        <is>
          <t>Product 38</t>
        </is>
      </c>
      <c r="B41">
        <f>'SUPPLY'!B41</f>
        <v/>
      </c>
      <c r="C41">
        <f>'SUPPLY'!C41</f>
        <v/>
      </c>
      <c r="D41">
        <f>'USE'!B41</f>
        <v/>
      </c>
      <c r="E41">
        <f>'USE'!C41</f>
        <v/>
      </c>
    </row>
    <row r="43">
      <c r="A43" s="33" t="inlineStr">
        <is>
          <t>TOTAL</t>
        </is>
      </c>
      <c r="B43">
        <f>SUM(B4:B41)</f>
        <v/>
      </c>
      <c r="C43">
        <f>SUM(C4:C41)</f>
        <v/>
      </c>
      <c r="D43">
        <f>SUM(D4:D41)</f>
        <v/>
      </c>
      <c r="E43">
        <f>SUM(E4:E41)</f>
        <v/>
      </c>
    </row>
    <row r="46">
      <c r="A46" t="inlineStr">
        <is>
          <t>Import Content Share (%)</t>
        </is>
      </c>
      <c r="B46" t="inlineStr">
        <is>
          <t>Formula will calculate total imports / total use</t>
        </is>
      </c>
      <c r="C46">
        <f>IF(D43=0,0,(E43/D43)*100)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K33"/>
  <sheetViews>
    <sheetView workbookViewId="0">
      <selection activeCell="A1" sqref="A1"/>
    </sheetView>
  </sheetViews>
  <sheetFormatPr baseColWidth="8" defaultRowHeight="12.45"/>
  <cols>
    <col width="18" customWidth="1" min="3" max="3"/>
    <col width="11" customWidth="1" min="5" max="5"/>
    <col width="11.15234375" customWidth="1" min="7" max="7"/>
    <col width="11.84375" customWidth="1" min="8" max="8"/>
    <col width="14.53515625" customWidth="1" style="14" min="10" max="10"/>
    <col width="17.3828125" bestFit="1" customWidth="1" style="14" min="11" max="11"/>
  </cols>
  <sheetData>
    <row r="1" ht="37.3" customFormat="1" customHeight="1" s="3">
      <c r="B1" s="30" t="inlineStr">
        <is>
          <t>Year</t>
        </is>
      </c>
      <c r="C1" s="2" t="inlineStr">
        <is>
          <t>Real GDP</t>
        </is>
      </c>
      <c r="D1" s="30" t="inlineStr">
        <is>
          <t>Project Allocation (%)</t>
        </is>
      </c>
      <c r="E1" s="30" t="inlineStr">
        <is>
          <t>Project Investment</t>
        </is>
      </c>
      <c r="F1" s="30" t="inlineStr">
        <is>
          <t>Imports</t>
        </is>
      </c>
      <c r="G1" s="30" t="inlineStr">
        <is>
          <t>GDP impact</t>
        </is>
      </c>
      <c r="H1" s="5" t="n"/>
      <c r="I1" s="31" t="n"/>
      <c r="J1" s="30" t="inlineStr">
        <is>
          <t>Baseline GDP Growth</t>
        </is>
      </c>
      <c r="K1" s="30" t="inlineStr">
        <is>
          <t>Projected Growth</t>
        </is>
      </c>
    </row>
    <row r="2">
      <c r="B2" s="9" t="n"/>
      <c r="C2" s="5" t="n"/>
      <c r="D2" s="5" t="n"/>
      <c r="E2" s="5" t="n"/>
      <c r="F2" s="5" t="n"/>
      <c r="G2" s="4" t="inlineStr">
        <is>
          <t>I-M</t>
        </is>
      </c>
      <c r="H2" s="6" t="inlineStr">
        <is>
          <t>Multiplier</t>
        </is>
      </c>
      <c r="I2" s="4" t="inlineStr">
        <is>
          <t>% of GDP</t>
        </is>
      </c>
      <c r="J2" s="7" t="n"/>
      <c r="K2" s="8" t="n"/>
    </row>
    <row r="3">
      <c r="B3" s="9" t="n">
        <v>2020</v>
      </c>
      <c r="C3" s="10">
        <f>'WEO_Data'!C4</f>
        <v/>
      </c>
      <c r="D3" s="10" t="n">
        <v>0</v>
      </c>
      <c r="E3" s="10">
        <f>D3*$D$30/100</f>
        <v/>
      </c>
      <c r="F3" s="10">
        <f>E3*$D$31/100</f>
        <v/>
      </c>
      <c r="G3" s="10">
        <f>E3-F3</f>
        <v/>
      </c>
      <c r="H3" s="10">
        <f>$D$32</f>
        <v/>
      </c>
      <c r="I3" s="10">
        <f>IF(C3=0,0,(G3/C3)*100)</f>
        <v/>
      </c>
      <c r="J3" s="11">
        <f>'WEO_Data'!E4</f>
        <v/>
      </c>
      <c r="K3" s="12">
        <f>IF(C3=0,J3,J3+(G3*H3/C3)*100)</f>
        <v/>
      </c>
    </row>
    <row r="4">
      <c r="B4" s="13" t="n">
        <v>2021</v>
      </c>
      <c r="C4">
        <f>'WEO_Data'!C5</f>
        <v/>
      </c>
      <c r="D4" t="n">
        <v>0</v>
      </c>
      <c r="E4">
        <f>D4*$D$30/100</f>
        <v/>
      </c>
      <c r="F4">
        <f>E4*$D$31/100</f>
        <v/>
      </c>
      <c r="G4">
        <f>E4-F4</f>
        <v/>
      </c>
      <c r="H4">
        <f>$D$32</f>
        <v/>
      </c>
      <c r="I4">
        <f>IF(C4=0,0,(G4/C4)*100)</f>
        <v/>
      </c>
      <c r="J4">
        <f>'WEO_Data'!E5</f>
        <v/>
      </c>
      <c r="K4" s="15">
        <f>IF(C4=0,J4,J4+(G4*H4/C4)*100)</f>
        <v/>
      </c>
    </row>
    <row r="5">
      <c r="B5" s="13" t="n">
        <v>2022</v>
      </c>
      <c r="C5">
        <f>'WEO_Data'!C6</f>
        <v/>
      </c>
      <c r="D5" t="n">
        <v>0</v>
      </c>
      <c r="E5">
        <f>D5*$D$30/100</f>
        <v/>
      </c>
      <c r="F5">
        <f>E5*$D$31/100</f>
        <v/>
      </c>
      <c r="G5">
        <f>E5-F5</f>
        <v/>
      </c>
      <c r="H5">
        <f>$D$32</f>
        <v/>
      </c>
      <c r="I5">
        <f>IF(C5=0,0,(G5/C5)*100)</f>
        <v/>
      </c>
      <c r="J5">
        <f>'WEO_Data'!E6</f>
        <v/>
      </c>
      <c r="K5" s="15">
        <f>IF(C5=0,J5,J5+(G5*H5/C5)*100)</f>
        <v/>
      </c>
    </row>
    <row r="6">
      <c r="B6" s="13" t="n">
        <v>2023</v>
      </c>
      <c r="C6">
        <f>'WEO_Data'!C7</f>
        <v/>
      </c>
      <c r="D6" t="n">
        <v>0</v>
      </c>
      <c r="E6">
        <f>D6*$D$30/100</f>
        <v/>
      </c>
      <c r="F6">
        <f>E6*$D$31/100</f>
        <v/>
      </c>
      <c r="G6">
        <f>E6-F6</f>
        <v/>
      </c>
      <c r="H6">
        <f>$D$32</f>
        <v/>
      </c>
      <c r="I6">
        <f>IF(C6=0,0,(G6/C6)*100)</f>
        <v/>
      </c>
      <c r="J6">
        <f>'WEO_Data'!E7</f>
        <v/>
      </c>
      <c r="K6" s="15">
        <f>IF(C6=0,J6,J6+(G6*H6/C6)*100)</f>
        <v/>
      </c>
    </row>
    <row r="7">
      <c r="B7" s="13" t="n">
        <v>2024</v>
      </c>
      <c r="C7">
        <f>'WEO_Data'!C8</f>
        <v/>
      </c>
      <c r="D7" t="n">
        <v>0</v>
      </c>
      <c r="E7">
        <f>D7*$D$30/100</f>
        <v/>
      </c>
      <c r="F7">
        <f>E7*$D$31/100</f>
        <v/>
      </c>
      <c r="G7">
        <f>E7-F7</f>
        <v/>
      </c>
      <c r="H7">
        <f>$D$32</f>
        <v/>
      </c>
      <c r="I7">
        <f>IF(C7=0,0,(G7/C7)*100)</f>
        <v/>
      </c>
      <c r="J7">
        <f>'WEO_Data'!E8</f>
        <v/>
      </c>
      <c r="K7" s="15">
        <f>IF(C7=0,J7,J7+(G7*H7/C7)*100)</f>
        <v/>
      </c>
    </row>
    <row r="8">
      <c r="B8" s="13" t="n">
        <v>2025</v>
      </c>
      <c r="C8">
        <f>'WEO_Data'!C9</f>
        <v/>
      </c>
      <c r="D8" t="n">
        <v>0</v>
      </c>
      <c r="E8">
        <f>D8*$D$30/100</f>
        <v/>
      </c>
      <c r="F8">
        <f>E8*$D$31/100</f>
        <v/>
      </c>
      <c r="G8">
        <f>E8-F8</f>
        <v/>
      </c>
      <c r="H8">
        <f>$D$32</f>
        <v/>
      </c>
      <c r="I8">
        <f>IF(C8=0,0,(G8/C8)*100)</f>
        <v/>
      </c>
      <c r="J8">
        <f>'WEO_Data'!E9</f>
        <v/>
      </c>
      <c r="K8" s="15">
        <f>IF(C8=0,J8,J8+(G8*H8/C8)*100)</f>
        <v/>
      </c>
    </row>
    <row r="9">
      <c r="B9" s="13" t="n">
        <v>2026</v>
      </c>
      <c r="C9">
        <f>'WEO_Data'!C10</f>
        <v/>
      </c>
      <c r="D9" t="n">
        <v>5</v>
      </c>
      <c r="E9">
        <f>D9*$D$30/100</f>
        <v/>
      </c>
      <c r="F9">
        <f>E9*$D$31/100</f>
        <v/>
      </c>
      <c r="G9">
        <f>E9-F9</f>
        <v/>
      </c>
      <c r="H9">
        <f>$D$32</f>
        <v/>
      </c>
      <c r="I9">
        <f>IF(C9=0,0,(G9/C9)*100)</f>
        <v/>
      </c>
      <c r="J9" s="16">
        <f>'WEO_Data'!E10</f>
        <v/>
      </c>
      <c r="K9" s="15">
        <f>IF(C9=0,J9,J9+(G9*H9/C9)*100)</f>
        <v/>
      </c>
    </row>
    <row r="10">
      <c r="B10" s="13" t="n">
        <v>2027</v>
      </c>
      <c r="C10">
        <f>'WEO_Data'!C11</f>
        <v/>
      </c>
      <c r="D10" t="n">
        <v>10</v>
      </c>
      <c r="E10">
        <f>D10*$D$30/100</f>
        <v/>
      </c>
      <c r="F10">
        <f>E10*$D$31/100</f>
        <v/>
      </c>
      <c r="G10">
        <f>E10-F10</f>
        <v/>
      </c>
      <c r="H10">
        <f>$D$32</f>
        <v/>
      </c>
      <c r="I10">
        <f>IF(C10=0,0,(G10/C10)*100)</f>
        <v/>
      </c>
      <c r="J10">
        <f>'WEO_Data'!E11</f>
        <v/>
      </c>
      <c r="K10" s="15">
        <f>IF(C10=0,J10,J10+(G10*H10/C10)*100)</f>
        <v/>
      </c>
    </row>
    <row r="11">
      <c r="B11" s="13" t="n">
        <v>2028</v>
      </c>
      <c r="C11">
        <f>'WEO_Data'!C12</f>
        <v/>
      </c>
      <c r="D11" t="n">
        <v>15</v>
      </c>
      <c r="E11">
        <f>D11*$D$30/100</f>
        <v/>
      </c>
      <c r="F11">
        <f>E11*$D$31/100</f>
        <v/>
      </c>
      <c r="G11">
        <f>E11-F11</f>
        <v/>
      </c>
      <c r="H11">
        <f>$D$32</f>
        <v/>
      </c>
      <c r="I11">
        <f>IF(C11=0,0,(G11/C11)*100)</f>
        <v/>
      </c>
      <c r="J11">
        <f>'WEO_Data'!E12</f>
        <v/>
      </c>
      <c r="K11" s="15">
        <f>IF(C11=0,J11,J11+(G11*H11/C11)*100)</f>
        <v/>
      </c>
    </row>
    <row r="12">
      <c r="B12" s="13" t="n">
        <v>2029</v>
      </c>
      <c r="C12">
        <f>'WEO_Data'!C13</f>
        <v/>
      </c>
      <c r="D12" t="n">
        <v>20</v>
      </c>
      <c r="E12">
        <f>D12*$D$30/100</f>
        <v/>
      </c>
      <c r="F12">
        <f>E12*$D$31/100</f>
        <v/>
      </c>
      <c r="G12">
        <f>E12-F12</f>
        <v/>
      </c>
      <c r="H12">
        <f>$D$32</f>
        <v/>
      </c>
      <c r="I12">
        <f>IF(C12=0,0,(G12/C12)*100)</f>
        <v/>
      </c>
      <c r="J12">
        <f>'WEO_Data'!E13</f>
        <v/>
      </c>
      <c r="K12" s="15">
        <f>IF(C12=0,J12,J12+(G12*H12/C12)*100)</f>
        <v/>
      </c>
    </row>
    <row r="13">
      <c r="B13" s="13" t="n">
        <v>2030</v>
      </c>
      <c r="C13">
        <f>'WEO_Data'!C14</f>
        <v/>
      </c>
      <c r="D13" t="n">
        <v>20</v>
      </c>
      <c r="E13">
        <f>D13*$D$30/100</f>
        <v/>
      </c>
      <c r="F13">
        <f>E13*$D$31/100</f>
        <v/>
      </c>
      <c r="G13">
        <f>E13-F13</f>
        <v/>
      </c>
      <c r="H13">
        <f>$D$32</f>
        <v/>
      </c>
      <c r="I13">
        <f>IF(C13=0,0,(G13/C13)*100)</f>
        <v/>
      </c>
      <c r="J13" s="17">
        <f>'WEO_Data'!E14</f>
        <v/>
      </c>
      <c r="K13" s="15">
        <f>IF(C13=0,J13,J13+(G13*H13/C13)*100)</f>
        <v/>
      </c>
    </row>
    <row r="14">
      <c r="B14" s="13" t="n">
        <v>2031</v>
      </c>
      <c r="C14">
        <f>'WEO_Data'!C15</f>
        <v/>
      </c>
      <c r="D14" t="n">
        <v>15</v>
      </c>
      <c r="E14">
        <f>D14*$D$30/100</f>
        <v/>
      </c>
      <c r="F14">
        <f>E14*$D$31/100</f>
        <v/>
      </c>
      <c r="G14">
        <f>E14-F14</f>
        <v/>
      </c>
      <c r="H14">
        <f>$D$32</f>
        <v/>
      </c>
      <c r="I14">
        <f>IF(C14=0,0,(G14/C14)*100)</f>
        <v/>
      </c>
      <c r="J14" s="17">
        <f>'WEO_Data'!E15</f>
        <v/>
      </c>
      <c r="K14" s="15">
        <f>IF(C14=0,J14,J14+(G14*H14/C14)*100)</f>
        <v/>
      </c>
    </row>
    <row r="15">
      <c r="B15" s="13" t="n">
        <v>2032</v>
      </c>
      <c r="C15">
        <f>'WEO_Data'!C16</f>
        <v/>
      </c>
      <c r="D15" t="n">
        <v>10</v>
      </c>
      <c r="E15">
        <f>D15*$D$30/100</f>
        <v/>
      </c>
      <c r="F15">
        <f>E15*$D$31/100</f>
        <v/>
      </c>
      <c r="G15">
        <f>E15-F15</f>
        <v/>
      </c>
      <c r="H15">
        <f>$D$32</f>
        <v/>
      </c>
      <c r="I15">
        <f>IF(C15=0,0,(G15/C15)*100)</f>
        <v/>
      </c>
      <c r="J15" s="17">
        <f>'WEO_Data'!E16</f>
        <v/>
      </c>
      <c r="K15" s="15">
        <f>IF(C15=0,J15,J15+(G15*H15/C15)*100)</f>
        <v/>
      </c>
    </row>
    <row r="16">
      <c r="B16" s="13" t="n">
        <v>2033</v>
      </c>
      <c r="C16">
        <f>'WEO_Data'!C17</f>
        <v/>
      </c>
      <c r="D16" t="n">
        <v>5</v>
      </c>
      <c r="E16">
        <f>D16*$D$30/100</f>
        <v/>
      </c>
      <c r="F16">
        <f>E16*$D$31/100</f>
        <v/>
      </c>
      <c r="G16">
        <f>E16-F16</f>
        <v/>
      </c>
      <c r="H16">
        <f>$D$32</f>
        <v/>
      </c>
      <c r="I16">
        <f>IF(C16=0,0,(G16/C16)*100)</f>
        <v/>
      </c>
      <c r="J16" s="17">
        <f>'WEO_Data'!E17</f>
        <v/>
      </c>
      <c r="K16" s="15">
        <f>IF(C16=0,J16,J16+(G16*H16/C16)*100)</f>
        <v/>
      </c>
    </row>
    <row r="17">
      <c r="B17" s="13" t="n">
        <v>2034</v>
      </c>
      <c r="C17">
        <f>'WEO_Data'!C18</f>
        <v/>
      </c>
      <c r="D17" t="n">
        <v>0</v>
      </c>
      <c r="E17">
        <f>D17*$D$30/100</f>
        <v/>
      </c>
      <c r="F17">
        <f>E17*$D$31/100</f>
        <v/>
      </c>
      <c r="G17">
        <f>E17-F17</f>
        <v/>
      </c>
      <c r="H17">
        <f>$D$32</f>
        <v/>
      </c>
      <c r="I17">
        <f>IF(C17=0,0,(G17/C17)*100)</f>
        <v/>
      </c>
      <c r="J17" s="17">
        <f>'WEO_Data'!E18</f>
        <v/>
      </c>
      <c r="K17" s="15">
        <f>IF(C17=0,J17,J17+(G17*H17/C17)*100)</f>
        <v/>
      </c>
    </row>
    <row r="18">
      <c r="B18" s="13" t="n">
        <v>2035</v>
      </c>
      <c r="C18">
        <f>'WEO_Data'!C19</f>
        <v/>
      </c>
      <c r="D18" t="n">
        <v>0</v>
      </c>
      <c r="E18">
        <f>D18*$D$30/100</f>
        <v/>
      </c>
      <c r="F18">
        <f>E18*$D$31/100</f>
        <v/>
      </c>
      <c r="G18">
        <f>E18-F18</f>
        <v/>
      </c>
      <c r="H18">
        <f>$D$32</f>
        <v/>
      </c>
      <c r="I18">
        <f>IF(C18=0,0,(G18/C18)*100)</f>
        <v/>
      </c>
      <c r="J18" s="17">
        <f>'WEO_Data'!E19</f>
        <v/>
      </c>
      <c r="K18" s="15">
        <f>IF(C18=0,J18,J18+(G18*H18/C18)*100)</f>
        <v/>
      </c>
    </row>
    <row r="19">
      <c r="B19" s="13" t="n">
        <v>2036</v>
      </c>
      <c r="C19">
        <f>'WEO_Data'!C20</f>
        <v/>
      </c>
      <c r="D19" t="n">
        <v>0</v>
      </c>
      <c r="E19">
        <f>D19*$D$30/100</f>
        <v/>
      </c>
      <c r="F19">
        <f>E19*$D$31/100</f>
        <v/>
      </c>
      <c r="G19">
        <f>E19-F19</f>
        <v/>
      </c>
      <c r="H19">
        <f>$D$32</f>
        <v/>
      </c>
      <c r="I19">
        <f>IF(C19=0,0,(G19/C19)*100)</f>
        <v/>
      </c>
      <c r="J19" s="17">
        <f>'WEO_Data'!E20</f>
        <v/>
      </c>
      <c r="K19" s="15">
        <f>IF(C19=0,J19,J19+(G19*H19/C19)*100)</f>
        <v/>
      </c>
    </row>
    <row r="20">
      <c r="B20" s="13" t="n">
        <v>2037</v>
      </c>
      <c r="C20">
        <f>'WEO_Data'!C21</f>
        <v/>
      </c>
      <c r="D20" t="n">
        <v>0</v>
      </c>
      <c r="E20">
        <f>D20*$D$30/100</f>
        <v/>
      </c>
      <c r="F20">
        <f>E20*$D$31/100</f>
        <v/>
      </c>
      <c r="G20">
        <f>E20-F20</f>
        <v/>
      </c>
      <c r="H20">
        <f>$D$32</f>
        <v/>
      </c>
      <c r="I20">
        <f>IF(C20=0,0,(G20/C20)*100)</f>
        <v/>
      </c>
      <c r="J20" s="17">
        <f>'WEO_Data'!E21</f>
        <v/>
      </c>
      <c r="K20" s="15">
        <f>IF(C20=0,J20,J20+(G20*H20/C20)*100)</f>
        <v/>
      </c>
    </row>
    <row r="21">
      <c r="B21" s="13" t="n">
        <v>2038</v>
      </c>
      <c r="C21">
        <f>'WEO_Data'!C22</f>
        <v/>
      </c>
      <c r="D21" t="n">
        <v>0</v>
      </c>
      <c r="E21">
        <f>D21*$D$30/100</f>
        <v/>
      </c>
      <c r="F21">
        <f>E21*$D$31/100</f>
        <v/>
      </c>
      <c r="G21">
        <f>E21-F21</f>
        <v/>
      </c>
      <c r="H21">
        <f>$D$32</f>
        <v/>
      </c>
      <c r="I21">
        <f>IF(C21=0,0,(G21/C21)*100)</f>
        <v/>
      </c>
      <c r="J21" s="17">
        <f>'WEO_Data'!E22</f>
        <v/>
      </c>
      <c r="K21" s="15">
        <f>IF(C21=0,J21,J21+(G21*H21/C21)*100)</f>
        <v/>
      </c>
    </row>
    <row r="22">
      <c r="B22" s="13" t="n">
        <v>2039</v>
      </c>
      <c r="C22">
        <f>'WEO_Data'!C23</f>
        <v/>
      </c>
      <c r="D22" t="n">
        <v>0</v>
      </c>
      <c r="E22">
        <f>D22*$D$30/100</f>
        <v/>
      </c>
      <c r="F22">
        <f>E22*$D$31/100</f>
        <v/>
      </c>
      <c r="G22">
        <f>E22-F22</f>
        <v/>
      </c>
      <c r="H22">
        <f>$D$32</f>
        <v/>
      </c>
      <c r="I22">
        <f>IF(C22=0,0,(G22/C22)*100)</f>
        <v/>
      </c>
      <c r="J22" s="17">
        <f>'WEO_Data'!E23</f>
        <v/>
      </c>
      <c r="K22" s="15">
        <f>IF(C22=0,J22,J22+(G22*H22/C22)*100)</f>
        <v/>
      </c>
    </row>
    <row r="23">
      <c r="B23" s="13" t="n">
        <v>2040</v>
      </c>
      <c r="C23">
        <f>'WEO_Data'!C24</f>
        <v/>
      </c>
      <c r="D23" t="n">
        <v>0</v>
      </c>
      <c r="E23">
        <f>D23*$D$30/100</f>
        <v/>
      </c>
      <c r="F23">
        <f>E23*$D$31/100</f>
        <v/>
      </c>
      <c r="G23">
        <f>E23-F23</f>
        <v/>
      </c>
      <c r="H23">
        <f>$D$32</f>
        <v/>
      </c>
      <c r="I23">
        <f>IF(C23=0,0,(G23/C23)*100)</f>
        <v/>
      </c>
      <c r="J23" s="17">
        <f>'WEO_Data'!E24</f>
        <v/>
      </c>
      <c r="K23" s="15">
        <f>IF(C23=0,J23,J23+(G23*H23/C23)*100)</f>
        <v/>
      </c>
    </row>
    <row r="24">
      <c r="B24" s="13" t="n">
        <v>2041</v>
      </c>
      <c r="C24">
        <f>'WEO_Data'!C25</f>
        <v/>
      </c>
      <c r="D24" t="n">
        <v>0</v>
      </c>
      <c r="E24">
        <f>D24*$D$30/100</f>
        <v/>
      </c>
      <c r="F24">
        <f>E24*$D$31/100</f>
        <v/>
      </c>
      <c r="G24">
        <f>E24-F24</f>
        <v/>
      </c>
      <c r="H24">
        <f>$D$32</f>
        <v/>
      </c>
      <c r="I24">
        <f>IF(C24=0,0,(G24/C24)*100)</f>
        <v/>
      </c>
      <c r="J24" s="17">
        <f>'WEO_Data'!E25</f>
        <v/>
      </c>
      <c r="K24" s="15">
        <f>IF(C24=0,J24,J24+(G24*H24/C24)*100)</f>
        <v/>
      </c>
    </row>
    <row r="25">
      <c r="B25" s="18" t="n">
        <v>2042</v>
      </c>
      <c r="C25" s="19">
        <f>'WEO_Data'!C26</f>
        <v/>
      </c>
      <c r="D25" s="19" t="n">
        <v>0</v>
      </c>
      <c r="E25" s="19">
        <f>D25*$D$30/100</f>
        <v/>
      </c>
      <c r="F25" s="19">
        <f>E25*$D$31/100</f>
        <v/>
      </c>
      <c r="G25" s="19">
        <f>E25-F25</f>
        <v/>
      </c>
      <c r="H25" s="19">
        <f>$D$32</f>
        <v/>
      </c>
      <c r="I25" s="19">
        <f>IF(C25=0,0,(G25/C25)*100)</f>
        <v/>
      </c>
      <c r="J25" s="20">
        <f>'WEO_Data'!E26</f>
        <v/>
      </c>
      <c r="K25" s="21">
        <f>IF(C25=0,J25,J25+(G25*H25/C25)*100)</f>
        <v/>
      </c>
    </row>
    <row r="26">
      <c r="C26">
        <f>'WEO_Data'!C27</f>
        <v/>
      </c>
      <c r="J26">
        <f>'WEO_Data'!E27</f>
        <v/>
      </c>
    </row>
    <row r="28">
      <c r="C28" s="22" t="inlineStr">
        <is>
          <t>Assumptions</t>
        </is>
      </c>
      <c r="D28" s="23" t="n"/>
      <c r="E28" s="24" t="n"/>
      <c r="F28" s="24" t="n"/>
      <c r="G28" s="24" t="n"/>
      <c r="H28" s="24" t="n"/>
      <c r="I28" s="24" t="n"/>
      <c r="J28" s="25" t="n"/>
      <c r="K28" s="26" t="n"/>
    </row>
    <row r="29">
      <c r="C29" s="13" t="n"/>
      <c r="K29" s="15" t="n"/>
    </row>
    <row r="30">
      <c r="C30" s="13" t="inlineStr">
        <is>
          <t>Total Investment (USD millions)</t>
        </is>
      </c>
      <c r="D30" t="n">
        <v>6500</v>
      </c>
      <c r="K30" s="15" t="n"/>
    </row>
    <row r="31">
      <c r="C31" s="13" t="inlineStr">
        <is>
          <t>Import Content Share (%)</t>
        </is>
      </c>
      <c r="D31" s="28">
        <f>'SUT Calc'!C46</f>
        <v/>
      </c>
      <c r="K31" s="15" t="n"/>
    </row>
    <row r="32">
      <c r="C32" s="13" t="inlineStr">
        <is>
          <t>Demand Multiplier</t>
        </is>
      </c>
      <c r="D32" s="29" t="n">
        <v>1</v>
      </c>
      <c r="K32" s="15" t="n"/>
    </row>
    <row r="33">
      <c r="C33" s="18" t="inlineStr">
        <is>
          <t>Project Allocation</t>
        </is>
      </c>
      <c r="D33" s="19" t="inlineStr">
        <is>
          <t>Bell shape (2026-2033)</t>
        </is>
      </c>
      <c r="E33" s="19" t="n"/>
      <c r="F33" s="19" t="n"/>
      <c r="G33" s="19" t="n"/>
      <c r="H33" s="19" t="n"/>
      <c r="I33" s="19" t="n"/>
      <c r="J33" s="27" t="n"/>
      <c r="K33" s="21" t="n"/>
    </row>
  </sheetData>
  <mergeCells count="1">
    <mergeCell ref="G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K33"/>
  <sheetViews>
    <sheetView workbookViewId="0">
      <selection activeCell="A1" sqref="A1"/>
    </sheetView>
  </sheetViews>
  <sheetFormatPr baseColWidth="8" defaultRowHeight="12.45"/>
  <cols>
    <col width="18" customWidth="1" min="3" max="3"/>
    <col width="11" customWidth="1" min="5" max="5"/>
    <col width="11.15234375" customWidth="1" min="7" max="7"/>
    <col width="11.84375" customWidth="1" min="8" max="8"/>
    <col width="14.53515625" customWidth="1" style="14" min="10" max="10"/>
    <col width="17.3828125" bestFit="1" customWidth="1" style="14" min="11" max="11"/>
  </cols>
  <sheetData>
    <row r="1" ht="37.3" customFormat="1" customHeight="1" s="3">
      <c r="B1" s="30" t="inlineStr">
        <is>
          <t>Year</t>
        </is>
      </c>
      <c r="C1" s="2" t="inlineStr">
        <is>
          <t>Real GDP</t>
        </is>
      </c>
      <c r="D1" s="30" t="inlineStr">
        <is>
          <t>Project Allocation (%)</t>
        </is>
      </c>
      <c r="E1" s="30" t="inlineStr">
        <is>
          <t>Project Investment</t>
        </is>
      </c>
      <c r="F1" s="30" t="inlineStr">
        <is>
          <t>Imports</t>
        </is>
      </c>
      <c r="G1" s="30" t="inlineStr">
        <is>
          <t>GDP impact</t>
        </is>
      </c>
      <c r="H1" s="5" t="n"/>
      <c r="I1" s="31" t="n"/>
      <c r="J1" s="30" t="inlineStr">
        <is>
          <t>Baseline GDP Growth</t>
        </is>
      </c>
      <c r="K1" s="30" t="inlineStr">
        <is>
          <t>Projected Growth</t>
        </is>
      </c>
    </row>
    <row r="2">
      <c r="B2" s="9" t="n"/>
      <c r="C2" s="5" t="n"/>
      <c r="D2" s="5" t="n"/>
      <c r="E2" s="5" t="n"/>
      <c r="F2" s="5" t="n"/>
      <c r="G2" s="4" t="inlineStr">
        <is>
          <t>I-M</t>
        </is>
      </c>
      <c r="H2" s="6" t="inlineStr">
        <is>
          <t>Multiplier</t>
        </is>
      </c>
      <c r="I2" s="4" t="inlineStr">
        <is>
          <t>% of GDP</t>
        </is>
      </c>
      <c r="J2" s="7" t="n"/>
      <c r="K2" s="8" t="n"/>
    </row>
    <row r="3">
      <c r="B3" s="9" t="n">
        <v>2020</v>
      </c>
      <c r="C3" s="10">
        <f>'WEO_Data'!C4</f>
        <v/>
      </c>
      <c r="D3" s="10" t="n">
        <v>0</v>
      </c>
      <c r="E3" s="10">
        <f>D3*$D$30/100</f>
        <v/>
      </c>
      <c r="F3" s="10">
        <f>E3*$D$31/100</f>
        <v/>
      </c>
      <c r="G3" s="10">
        <f>E3-F3</f>
        <v/>
      </c>
      <c r="H3" s="10">
        <f>$D$32</f>
        <v/>
      </c>
      <c r="I3" s="10">
        <f>IF(C3=0,0,(G3/C3)*100)</f>
        <v/>
      </c>
      <c r="J3" s="11">
        <f>'WEO_Data'!E4</f>
        <v/>
      </c>
      <c r="K3" s="12">
        <f>IF(C3=0,J3,J3+(G3*H3/C3)*100)</f>
        <v/>
      </c>
    </row>
    <row r="4">
      <c r="B4" s="13" t="n">
        <v>2021</v>
      </c>
      <c r="C4">
        <f>'WEO_Data'!C5</f>
        <v/>
      </c>
      <c r="D4" t="n">
        <v>0</v>
      </c>
      <c r="E4">
        <f>D4*$D$30/100</f>
        <v/>
      </c>
      <c r="F4">
        <f>E4*$D$31/100</f>
        <v/>
      </c>
      <c r="G4">
        <f>E4-F4</f>
        <v/>
      </c>
      <c r="H4">
        <f>$D$32</f>
        <v/>
      </c>
      <c r="I4">
        <f>IF(C4=0,0,(G4/C4)*100)</f>
        <v/>
      </c>
      <c r="J4">
        <f>'WEO_Data'!E5</f>
        <v/>
      </c>
      <c r="K4" s="15">
        <f>IF(C4=0,J4,J4+(G4*H4/C4)*100)</f>
        <v/>
      </c>
    </row>
    <row r="5">
      <c r="B5" s="13" t="n">
        <v>2022</v>
      </c>
      <c r="C5">
        <f>'WEO_Data'!C6</f>
        <v/>
      </c>
      <c r="D5" t="n">
        <v>0</v>
      </c>
      <c r="E5">
        <f>D5*$D$30/100</f>
        <v/>
      </c>
      <c r="F5">
        <f>E5*$D$31/100</f>
        <v/>
      </c>
      <c r="G5">
        <f>E5-F5</f>
        <v/>
      </c>
      <c r="H5">
        <f>$D$32</f>
        <v/>
      </c>
      <c r="I5">
        <f>IF(C5=0,0,(G5/C5)*100)</f>
        <v/>
      </c>
      <c r="J5">
        <f>'WEO_Data'!E6</f>
        <v/>
      </c>
      <c r="K5" s="15">
        <f>IF(C5=0,J5,J5+(G5*H5/C5)*100)</f>
        <v/>
      </c>
    </row>
    <row r="6">
      <c r="B6" s="13" t="n">
        <v>2023</v>
      </c>
      <c r="C6">
        <f>'WEO_Data'!C7</f>
        <v/>
      </c>
      <c r="D6" t="n">
        <v>0</v>
      </c>
      <c r="E6">
        <f>D6*$D$30/100</f>
        <v/>
      </c>
      <c r="F6">
        <f>E6*$D$31/100</f>
        <v/>
      </c>
      <c r="G6">
        <f>E6-F6</f>
        <v/>
      </c>
      <c r="H6">
        <f>$D$32</f>
        <v/>
      </c>
      <c r="I6">
        <f>IF(C6=0,0,(G6/C6)*100)</f>
        <v/>
      </c>
      <c r="J6">
        <f>'WEO_Data'!E7</f>
        <v/>
      </c>
      <c r="K6" s="15">
        <f>IF(C6=0,J6,J6+(G6*H6/C6)*100)</f>
        <v/>
      </c>
    </row>
    <row r="7">
      <c r="B7" s="13" t="n">
        <v>2024</v>
      </c>
      <c r="C7">
        <f>'WEO_Data'!C8</f>
        <v/>
      </c>
      <c r="D7" t="n">
        <v>0</v>
      </c>
      <c r="E7">
        <f>D7*$D$30/100</f>
        <v/>
      </c>
      <c r="F7">
        <f>E7*$D$31/100</f>
        <v/>
      </c>
      <c r="G7">
        <f>E7-F7</f>
        <v/>
      </c>
      <c r="H7">
        <f>$D$32</f>
        <v/>
      </c>
      <c r="I7">
        <f>IF(C7=0,0,(G7/C7)*100)</f>
        <v/>
      </c>
      <c r="J7">
        <f>'WEO_Data'!E8</f>
        <v/>
      </c>
      <c r="K7" s="15">
        <f>IF(C7=0,J7,J7+(G7*H7/C7)*100)</f>
        <v/>
      </c>
    </row>
    <row r="8">
      <c r="B8" s="13" t="n">
        <v>2025</v>
      </c>
      <c r="C8">
        <f>'WEO_Data'!C9</f>
        <v/>
      </c>
      <c r="D8" t="n">
        <v>0</v>
      </c>
      <c r="E8">
        <f>D8*$D$30/100</f>
        <v/>
      </c>
      <c r="F8">
        <f>E8*$D$31/100</f>
        <v/>
      </c>
      <c r="G8">
        <f>E8-F8</f>
        <v/>
      </c>
      <c r="H8">
        <f>$D$32</f>
        <v/>
      </c>
      <c r="I8">
        <f>IF(C8=0,0,(G8/C8)*100)</f>
        <v/>
      </c>
      <c r="J8">
        <f>'WEO_Data'!E9</f>
        <v/>
      </c>
      <c r="K8" s="15">
        <f>IF(C8=0,J8,J8+(G8*H8/C8)*100)</f>
        <v/>
      </c>
    </row>
    <row r="9">
      <c r="B9" s="13" t="n">
        <v>2026</v>
      </c>
      <c r="C9">
        <f>'WEO_Data'!C10</f>
        <v/>
      </c>
      <c r="D9" t="n">
        <v>5</v>
      </c>
      <c r="E9">
        <f>D9*$D$30/100</f>
        <v/>
      </c>
      <c r="F9">
        <f>E9*$D$31/100</f>
        <v/>
      </c>
      <c r="G9">
        <f>E9-F9</f>
        <v/>
      </c>
      <c r="H9">
        <f>$D$32</f>
        <v/>
      </c>
      <c r="I9">
        <f>IF(C9=0,0,(G9/C9)*100)</f>
        <v/>
      </c>
      <c r="J9" s="16">
        <f>'WEO_Data'!E10</f>
        <v/>
      </c>
      <c r="K9" s="15">
        <f>IF(C9=0,J9,J9+(G9*H9/C9)*100)</f>
        <v/>
      </c>
    </row>
    <row r="10">
      <c r="B10" s="13" t="n">
        <v>2027</v>
      </c>
      <c r="C10">
        <f>'WEO_Data'!C11</f>
        <v/>
      </c>
      <c r="D10" t="n">
        <v>10</v>
      </c>
      <c r="E10">
        <f>D10*$D$30/100</f>
        <v/>
      </c>
      <c r="F10">
        <f>E10*$D$31/100</f>
        <v/>
      </c>
      <c r="G10">
        <f>E10-F10</f>
        <v/>
      </c>
      <c r="H10">
        <f>$D$32</f>
        <v/>
      </c>
      <c r="I10">
        <f>IF(C10=0,0,(G10/C10)*100)</f>
        <v/>
      </c>
      <c r="J10">
        <f>'WEO_Data'!E11</f>
        <v/>
      </c>
      <c r="K10" s="15">
        <f>IF(C10=0,J10,J10+(G10*H10/C10)*100)</f>
        <v/>
      </c>
    </row>
    <row r="11">
      <c r="B11" s="13" t="n">
        <v>2028</v>
      </c>
      <c r="C11">
        <f>'WEO_Data'!C12</f>
        <v/>
      </c>
      <c r="D11" t="n">
        <v>15</v>
      </c>
      <c r="E11">
        <f>D11*$D$30/100</f>
        <v/>
      </c>
      <c r="F11">
        <f>E11*$D$31/100</f>
        <v/>
      </c>
      <c r="G11">
        <f>E11-F11</f>
        <v/>
      </c>
      <c r="H11">
        <f>$D$32</f>
        <v/>
      </c>
      <c r="I11">
        <f>IF(C11=0,0,(G11/C11)*100)</f>
        <v/>
      </c>
      <c r="J11">
        <f>'WEO_Data'!E12</f>
        <v/>
      </c>
      <c r="K11" s="15">
        <f>IF(C11=0,J11,J11+(G11*H11/C11)*100)</f>
        <v/>
      </c>
    </row>
    <row r="12">
      <c r="B12" s="13" t="n">
        <v>2029</v>
      </c>
      <c r="C12">
        <f>'WEO_Data'!C13</f>
        <v/>
      </c>
      <c r="D12" t="n">
        <v>20</v>
      </c>
      <c r="E12">
        <f>D12*$D$30/100</f>
        <v/>
      </c>
      <c r="F12">
        <f>E12*$D$31/100</f>
        <v/>
      </c>
      <c r="G12">
        <f>E12-F12</f>
        <v/>
      </c>
      <c r="H12">
        <f>$D$32</f>
        <v/>
      </c>
      <c r="I12">
        <f>IF(C12=0,0,(G12/C12)*100)</f>
        <v/>
      </c>
      <c r="J12">
        <f>'WEO_Data'!E13</f>
        <v/>
      </c>
      <c r="K12" s="15">
        <f>IF(C12=0,J12,J12+(G12*H12/C12)*100)</f>
        <v/>
      </c>
    </row>
    <row r="13">
      <c r="B13" s="13" t="n">
        <v>2030</v>
      </c>
      <c r="C13">
        <f>'WEO_Data'!C14</f>
        <v/>
      </c>
      <c r="D13" t="n">
        <v>20</v>
      </c>
      <c r="E13">
        <f>D13*$D$30/100</f>
        <v/>
      </c>
      <c r="F13">
        <f>E13*$D$31/100</f>
        <v/>
      </c>
      <c r="G13">
        <f>E13-F13</f>
        <v/>
      </c>
      <c r="H13">
        <f>$D$32</f>
        <v/>
      </c>
      <c r="I13">
        <f>IF(C13=0,0,(G13/C13)*100)</f>
        <v/>
      </c>
      <c r="J13" s="17">
        <f>'WEO_Data'!E14</f>
        <v/>
      </c>
      <c r="K13" s="15">
        <f>IF(C13=0,J13,J13+(G13*H13/C13)*100)</f>
        <v/>
      </c>
    </row>
    <row r="14">
      <c r="B14" s="13" t="n">
        <v>2031</v>
      </c>
      <c r="C14">
        <f>'WEO_Data'!C15</f>
        <v/>
      </c>
      <c r="D14" t="n">
        <v>15</v>
      </c>
      <c r="E14">
        <f>D14*$D$30/100</f>
        <v/>
      </c>
      <c r="F14">
        <f>E14*$D$31/100</f>
        <v/>
      </c>
      <c r="G14">
        <f>E14-F14</f>
        <v/>
      </c>
      <c r="H14">
        <f>$D$32</f>
        <v/>
      </c>
      <c r="I14">
        <f>IF(C14=0,0,(G14/C14)*100)</f>
        <v/>
      </c>
      <c r="J14" s="17">
        <f>'WEO_Data'!E15</f>
        <v/>
      </c>
      <c r="K14" s="15">
        <f>IF(C14=0,J14,J14+(G14*H14/C14)*100)</f>
        <v/>
      </c>
    </row>
    <row r="15">
      <c r="B15" s="13" t="n">
        <v>2032</v>
      </c>
      <c r="C15">
        <f>'WEO_Data'!C16</f>
        <v/>
      </c>
      <c r="D15" t="n">
        <v>10</v>
      </c>
      <c r="E15">
        <f>D15*$D$30/100</f>
        <v/>
      </c>
      <c r="F15">
        <f>E15*$D$31/100</f>
        <v/>
      </c>
      <c r="G15">
        <f>E15-F15</f>
        <v/>
      </c>
      <c r="H15">
        <f>$D$32</f>
        <v/>
      </c>
      <c r="I15">
        <f>IF(C15=0,0,(G15/C15)*100)</f>
        <v/>
      </c>
      <c r="J15" s="17">
        <f>'WEO_Data'!E16</f>
        <v/>
      </c>
      <c r="K15" s="15">
        <f>IF(C15=0,J15,J15+(G15*H15/C15)*100)</f>
        <v/>
      </c>
    </row>
    <row r="16">
      <c r="B16" s="13" t="n">
        <v>2033</v>
      </c>
      <c r="C16">
        <f>'WEO_Data'!C17</f>
        <v/>
      </c>
      <c r="D16" t="n">
        <v>5</v>
      </c>
      <c r="E16">
        <f>D16*$D$30/100</f>
        <v/>
      </c>
      <c r="F16">
        <f>E16*$D$31/100</f>
        <v/>
      </c>
      <c r="G16">
        <f>E16-F16</f>
        <v/>
      </c>
      <c r="H16">
        <f>$D$32</f>
        <v/>
      </c>
      <c r="I16">
        <f>IF(C16=0,0,(G16/C16)*100)</f>
        <v/>
      </c>
      <c r="J16" s="17">
        <f>'WEO_Data'!E17</f>
        <v/>
      </c>
      <c r="K16" s="15">
        <f>IF(C16=0,J16,J16+(G16*H16/C16)*100)</f>
        <v/>
      </c>
    </row>
    <row r="17">
      <c r="B17" s="13" t="n">
        <v>2034</v>
      </c>
      <c r="C17">
        <f>'WEO_Data'!C18</f>
        <v/>
      </c>
      <c r="D17" t="n">
        <v>0</v>
      </c>
      <c r="E17">
        <f>D17*$D$30/100</f>
        <v/>
      </c>
      <c r="F17">
        <f>E17*$D$31/100</f>
        <v/>
      </c>
      <c r="G17">
        <f>E17-F17</f>
        <v/>
      </c>
      <c r="H17">
        <f>$D$32</f>
        <v/>
      </c>
      <c r="I17">
        <f>IF(C17=0,0,(G17/C17)*100)</f>
        <v/>
      </c>
      <c r="J17" s="17">
        <f>'WEO_Data'!E18</f>
        <v/>
      </c>
      <c r="K17" s="15">
        <f>IF(C17=0,J17,J17+(G17*H17/C17)*100)</f>
        <v/>
      </c>
    </row>
    <row r="18">
      <c r="B18" s="13" t="n">
        <v>2035</v>
      </c>
      <c r="C18">
        <f>'WEO_Data'!C19</f>
        <v/>
      </c>
      <c r="D18" t="n">
        <v>0</v>
      </c>
      <c r="E18">
        <f>D18*$D$30/100</f>
        <v/>
      </c>
      <c r="F18">
        <f>E18*$D$31/100</f>
        <v/>
      </c>
      <c r="G18">
        <f>E18-F18</f>
        <v/>
      </c>
      <c r="H18">
        <f>$D$32</f>
        <v/>
      </c>
      <c r="I18">
        <f>IF(C18=0,0,(G18/C18)*100)</f>
        <v/>
      </c>
      <c r="J18" s="17">
        <f>'WEO_Data'!E19</f>
        <v/>
      </c>
      <c r="K18" s="15">
        <f>IF(C18=0,J18,J18+(G18*H18/C18)*100)</f>
        <v/>
      </c>
    </row>
    <row r="19">
      <c r="B19" s="13" t="n">
        <v>2036</v>
      </c>
      <c r="C19">
        <f>'WEO_Data'!C20</f>
        <v/>
      </c>
      <c r="D19" t="n">
        <v>0</v>
      </c>
      <c r="E19">
        <f>D19*$D$30/100</f>
        <v/>
      </c>
      <c r="F19">
        <f>E19*$D$31/100</f>
        <v/>
      </c>
      <c r="G19">
        <f>E19-F19</f>
        <v/>
      </c>
      <c r="H19">
        <f>$D$32</f>
        <v/>
      </c>
      <c r="I19">
        <f>IF(C19=0,0,(G19/C19)*100)</f>
        <v/>
      </c>
      <c r="J19" s="17">
        <f>'WEO_Data'!E20</f>
        <v/>
      </c>
      <c r="K19" s="15">
        <f>IF(C19=0,J19,J19+(G19*H19/C19)*100)</f>
        <v/>
      </c>
    </row>
    <row r="20">
      <c r="B20" s="13" t="n">
        <v>2037</v>
      </c>
      <c r="C20">
        <f>'WEO_Data'!C21</f>
        <v/>
      </c>
      <c r="D20" t="n">
        <v>0</v>
      </c>
      <c r="E20">
        <f>D20*$D$30/100</f>
        <v/>
      </c>
      <c r="F20">
        <f>E20*$D$31/100</f>
        <v/>
      </c>
      <c r="G20">
        <f>E20-F20</f>
        <v/>
      </c>
      <c r="H20">
        <f>$D$32</f>
        <v/>
      </c>
      <c r="I20">
        <f>IF(C20=0,0,(G20/C20)*100)</f>
        <v/>
      </c>
      <c r="J20" s="17">
        <f>'WEO_Data'!E21</f>
        <v/>
      </c>
      <c r="K20" s="15">
        <f>IF(C20=0,J20,J20+(G20*H20/C20)*100)</f>
        <v/>
      </c>
    </row>
    <row r="21">
      <c r="B21" s="13" t="n">
        <v>2038</v>
      </c>
      <c r="C21">
        <f>'WEO_Data'!C22</f>
        <v/>
      </c>
      <c r="D21" t="n">
        <v>0</v>
      </c>
      <c r="E21">
        <f>D21*$D$30/100</f>
        <v/>
      </c>
      <c r="F21">
        <f>E21*$D$31/100</f>
        <v/>
      </c>
      <c r="G21">
        <f>E21-F21</f>
        <v/>
      </c>
      <c r="H21">
        <f>$D$32</f>
        <v/>
      </c>
      <c r="I21">
        <f>IF(C21=0,0,(G21/C21)*100)</f>
        <v/>
      </c>
      <c r="J21" s="17">
        <f>'WEO_Data'!E22</f>
        <v/>
      </c>
      <c r="K21" s="15">
        <f>IF(C21=0,J21,J21+(G21*H21/C21)*100)</f>
        <v/>
      </c>
    </row>
    <row r="22">
      <c r="B22" s="13" t="n">
        <v>2039</v>
      </c>
      <c r="C22">
        <f>'WEO_Data'!C23</f>
        <v/>
      </c>
      <c r="D22" t="n">
        <v>0</v>
      </c>
      <c r="E22">
        <f>D22*$D$30/100</f>
        <v/>
      </c>
      <c r="F22">
        <f>E22*$D$31/100</f>
        <v/>
      </c>
      <c r="G22">
        <f>E22-F22</f>
        <v/>
      </c>
      <c r="H22">
        <f>$D$32</f>
        <v/>
      </c>
      <c r="I22">
        <f>IF(C22=0,0,(G22/C22)*100)</f>
        <v/>
      </c>
      <c r="J22" s="17">
        <f>'WEO_Data'!E23</f>
        <v/>
      </c>
      <c r="K22" s="15">
        <f>IF(C22=0,J22,J22+(G22*H22/C22)*100)</f>
        <v/>
      </c>
    </row>
    <row r="23">
      <c r="B23" s="13" t="n">
        <v>2040</v>
      </c>
      <c r="C23">
        <f>'WEO_Data'!C24</f>
        <v/>
      </c>
      <c r="D23" t="n">
        <v>0</v>
      </c>
      <c r="E23">
        <f>D23*$D$30/100</f>
        <v/>
      </c>
      <c r="F23">
        <f>E23*$D$31/100</f>
        <v/>
      </c>
      <c r="G23">
        <f>E23-F23</f>
        <v/>
      </c>
      <c r="H23">
        <f>$D$32</f>
        <v/>
      </c>
      <c r="I23">
        <f>IF(C23=0,0,(G23/C23)*100)</f>
        <v/>
      </c>
      <c r="J23" s="17">
        <f>'WEO_Data'!E24</f>
        <v/>
      </c>
      <c r="K23" s="15">
        <f>IF(C23=0,J23,J23+(G23*H23/C23)*100)</f>
        <v/>
      </c>
    </row>
    <row r="24">
      <c r="B24" s="13" t="n">
        <v>2041</v>
      </c>
      <c r="C24">
        <f>'WEO_Data'!C25</f>
        <v/>
      </c>
      <c r="D24" t="n">
        <v>0</v>
      </c>
      <c r="E24">
        <f>D24*$D$30/100</f>
        <v/>
      </c>
      <c r="F24">
        <f>E24*$D$31/100</f>
        <v/>
      </c>
      <c r="G24">
        <f>E24-F24</f>
        <v/>
      </c>
      <c r="H24">
        <f>$D$32</f>
        <v/>
      </c>
      <c r="I24">
        <f>IF(C24=0,0,(G24/C24)*100)</f>
        <v/>
      </c>
      <c r="J24" s="17">
        <f>'WEO_Data'!E25</f>
        <v/>
      </c>
      <c r="K24" s="15">
        <f>IF(C24=0,J24,J24+(G24*H24/C24)*100)</f>
        <v/>
      </c>
    </row>
    <row r="25">
      <c r="B25" s="18" t="n">
        <v>2042</v>
      </c>
      <c r="C25" s="19">
        <f>'WEO_Data'!C26</f>
        <v/>
      </c>
      <c r="D25" s="19" t="n">
        <v>0</v>
      </c>
      <c r="E25" s="19">
        <f>D25*$D$30/100</f>
        <v/>
      </c>
      <c r="F25" s="19">
        <f>E25*$D$31/100</f>
        <v/>
      </c>
      <c r="G25" s="19">
        <f>E25-F25</f>
        <v/>
      </c>
      <c r="H25" s="19">
        <f>$D$32</f>
        <v/>
      </c>
      <c r="I25" s="19">
        <f>IF(C25=0,0,(G25/C25)*100)</f>
        <v/>
      </c>
      <c r="J25" s="20">
        <f>'WEO_Data'!E26</f>
        <v/>
      </c>
      <c r="K25" s="21">
        <f>IF(C25=0,J25,J25+(G25*H25/C25)*100)</f>
        <v/>
      </c>
    </row>
    <row r="26">
      <c r="C26">
        <f>'WEO_Data'!C27</f>
        <v/>
      </c>
      <c r="J26">
        <f>'WEO_Data'!E27</f>
        <v/>
      </c>
    </row>
    <row r="28">
      <c r="C28" s="22" t="inlineStr">
        <is>
          <t>Assumptions</t>
        </is>
      </c>
      <c r="D28" s="23" t="n"/>
      <c r="E28" s="24" t="n"/>
      <c r="F28" s="24" t="n"/>
      <c r="G28" s="24" t="n"/>
      <c r="H28" s="24" t="n"/>
      <c r="I28" s="24" t="n"/>
      <c r="J28" s="25" t="n"/>
      <c r="K28" s="26" t="n"/>
    </row>
    <row r="29">
      <c r="C29" s="13" t="n"/>
      <c r="K29" s="15" t="n"/>
    </row>
    <row r="30">
      <c r="C30" s="13" t="inlineStr">
        <is>
          <t>Total Investment (USD millions)</t>
        </is>
      </c>
      <c r="D30" t="n">
        <v>6500</v>
      </c>
      <c r="K30" s="15" t="n"/>
    </row>
    <row r="31">
      <c r="C31" s="13" t="inlineStr">
        <is>
          <t>Import Content Share (%)</t>
        </is>
      </c>
      <c r="D31" s="28" t="n">
        <v>50</v>
      </c>
      <c r="K31" s="15" t="n"/>
    </row>
    <row r="32">
      <c r="C32" s="13" t="inlineStr">
        <is>
          <t>Demand Multiplier</t>
        </is>
      </c>
      <c r="D32" s="29" t="n">
        <v>0.8</v>
      </c>
      <c r="K32" s="15" t="n"/>
    </row>
    <row r="33">
      <c r="C33" s="18" t="inlineStr">
        <is>
          <t>Project Allocation</t>
        </is>
      </c>
      <c r="D33" s="19" t="inlineStr">
        <is>
          <t>Bell shape (2026-2033)</t>
        </is>
      </c>
      <c r="E33" s="19" t="n"/>
      <c r="F33" s="19" t="n"/>
      <c r="G33" s="19" t="n"/>
      <c r="H33" s="19" t="n"/>
      <c r="I33" s="19" t="n"/>
      <c r="J33" s="27" t="n"/>
      <c r="K33" s="21" t="n"/>
    </row>
  </sheetData>
  <mergeCells count="1">
    <mergeCell ref="G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2026-01-15T21:01:40Z</dcterms:created>
  <dcterms:modified xsi:type="dcterms:W3CDTF">2026-01-26T12:37:47Z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2026-01-15T21:08:21Z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a7f43044-04cc-4a22-bdae-ed404f682e4f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