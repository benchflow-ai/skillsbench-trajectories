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EO_Data" sheetId="1" state="visible" r:id="rId1"/>
    <sheet name="NA" sheetId="2" state="visible" r:id="rId2"/>
    <sheet name="SUPPLY" sheetId="3" state="visible" r:id="rId3"/>
    <sheet name="USE" sheetId="4" state="visible" r:id="rId4"/>
    <sheet name="SUT Calc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.0"/>
    <numFmt numFmtId="166" formatCode="0.00000000"/>
    <numFmt numFmtId="167" formatCode="0.000"/>
    <numFmt numFmtId="168" formatCode="0.0"/>
    <numFmt numFmtId="169" formatCode="_(* #,##0.0_);_(* \(#,##0.0\);_(* \-??_);_(@_)"/>
    <numFmt numFmtId="170" formatCode="_(* #,##0.0_);_(* \(#,##0.0\);_(* \-?_);_(@_)"/>
    <numFmt numFmtId="171" formatCode="_(* #,##0.00000000000000000_);_(* \(#,##0.00000000000000000\);_(* \-?_);_(@_)"/>
    <numFmt numFmtId="172" formatCode="_(* #,##0.00_);_(* \(#,##0.00\);_(* \-??_);_(@_)"/>
  </numFmts>
  <fonts count="32">
    <font>
      <name val="Arial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theme="1"/>
      <sz val="11"/>
    </font>
    <font>
      <name val="Arial"/>
      <charset val="1"/>
      <family val="2"/>
      <sz val="10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sz val="14"/>
    </font>
    <font>
      <name val="Cambria"/>
      <charset val="1"/>
      <family val="0"/>
      <b val="1"/>
      <sz val="9"/>
    </font>
    <font>
      <name val="Cambria"/>
      <charset val="1"/>
      <family val="0"/>
      <color rgb="FF00FF00"/>
      <sz val="11"/>
    </font>
    <font>
      <name val="Arial"/>
      <charset val="1"/>
      <family val="2"/>
      <b val="1"/>
      <color theme="5"/>
      <sz val="10"/>
    </font>
    <font>
      <name val="Arial"/>
      <charset val="1"/>
      <family val="2"/>
      <b val="1"/>
      <color rgb="FFFF0000"/>
      <sz val="10"/>
    </font>
    <font>
      <name val="Cambria"/>
      <charset val="1"/>
      <family val="0"/>
      <b val="1"/>
      <sz val="12"/>
    </font>
    <font>
      <name val="Arial"/>
      <charset val="1"/>
      <family val="2"/>
      <b val="1"/>
      <sz val="12"/>
    </font>
    <font>
      <name val="Sylfaen"/>
      <charset val="1"/>
      <family val="1"/>
      <b val="1"/>
      <sz val="8"/>
    </font>
    <font>
      <name val="Calibri"/>
      <charset val="1"/>
      <family val="2"/>
      <color theme="1"/>
      <sz val="11"/>
    </font>
    <font>
      <name val="Arial"/>
      <charset val="204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color rgb="FF000000"/>
      <sz val="10"/>
    </font>
    <font>
      <name val="Calibri"/>
      <charset val="1"/>
      <family val="2"/>
      <b val="1"/>
      <color theme="1"/>
      <sz val="11"/>
    </font>
    <font>
      <name val="Sylfaen"/>
      <charset val="1"/>
      <family val="1"/>
      <b val="1"/>
      <sz val="12"/>
    </font>
    <font>
      <name val="Arial"/>
      <charset val="1"/>
      <family val="2"/>
      <b val="1"/>
      <color rgb="FF000000"/>
      <sz val="10"/>
    </font>
    <font>
      <name val="Cambria"/>
      <charset val="1"/>
      <family val="0"/>
      <b val="1"/>
      <color rgb="FFFF0000"/>
      <sz val="11"/>
    </font>
    <font>
      <name val="Cambria"/>
      <charset val="1"/>
      <family val="0"/>
      <b val="1"/>
      <color rgb="FF0000FF"/>
      <sz val="12"/>
    </font>
    <font>
      <b val="1"/>
      <sz val="14"/>
    </font>
    <font>
      <b val="1"/>
    </font>
    <font>
      <b val="1"/>
      <sz val="9"/>
    </font>
    <font>
      <color rgb="0000FF00"/>
    </font>
    <font>
      <b val="1"/>
      <sz val="12"/>
    </font>
    <font>
      <color rgb="000000FF"/>
    </font>
  </fonts>
  <fills count="4">
    <fill>
      <patternFill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FF"/>
        <bgColor rgb="FFFFFFCC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 diagonalDown="1">
      <left/>
      <right style="thin"/>
      <top style="thin"/>
      <bottom style="thin"/>
      <diagonal style="hair"/>
    </border>
    <border>
      <left style="thin"/>
      <right/>
      <top style="thin"/>
      <bottom/>
      <diagonal/>
    </border>
    <border diagonalDown="1">
      <left/>
      <right/>
      <top style="thin"/>
      <bottom/>
      <diagonal style="hair"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2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2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0" borderId="4" applyAlignment="1" pivotButton="0" quotePrefix="0" xfId="0">
      <alignment horizontal="right" vertical="bottom"/>
    </xf>
    <xf numFmtId="0" fontId="9" fillId="0" borderId="2" applyAlignment="1" pivotButton="0" quotePrefix="0" xfId="0">
      <alignment horizontal="right" vertical="bottom"/>
    </xf>
    <xf numFmtId="0" fontId="0" fillId="0" borderId="3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right" vertical="bottom"/>
    </xf>
    <xf numFmtId="10" fontId="0" fillId="0" borderId="6" applyAlignment="1" pivotButton="0" quotePrefix="0" xfId="0">
      <alignment horizontal="right" vertical="bottom"/>
    </xf>
    <xf numFmtId="0" fontId="0" fillId="0" borderId="7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0" fontId="0" fillId="0" borderId="8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right" vertical="bottom"/>
    </xf>
    <xf numFmtId="167" fontId="10" fillId="0" borderId="0" applyAlignment="1" pivotButton="0" quotePrefix="0" xfId="0">
      <alignment horizontal="right" vertical="bottom"/>
    </xf>
    <xf numFmtId="0" fontId="0" fillId="0" borderId="9" applyAlignment="1" pivotButton="0" quotePrefix="0" xfId="0">
      <alignment horizontal="general" vertical="bottom"/>
    </xf>
    <xf numFmtId="0" fontId="10" fillId="0" borderId="1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167" fontId="10" fillId="0" borderId="10" applyAlignment="1" pivotButton="0" quotePrefix="0" xfId="0">
      <alignment horizontal="right" vertical="bottom"/>
    </xf>
    <xf numFmtId="10" fontId="0" fillId="0" borderId="11" applyAlignment="1" pivotButton="0" quotePrefix="0" xfId="0">
      <alignment horizontal="right" vertical="bottom"/>
    </xf>
    <xf numFmtId="0" fontId="11" fillId="2" borderId="1" applyAlignment="1" pivotButton="0" quotePrefix="0" xfId="0">
      <alignment horizontal="general" vertical="bottom"/>
    </xf>
    <xf numFmtId="0" fontId="12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right" vertical="bottom"/>
    </xf>
    <xf numFmtId="0" fontId="0" fillId="2" borderId="2" applyAlignment="1" pivotButton="0" quotePrefix="0" xfId="0">
      <alignment horizontal="right" vertical="bottom"/>
    </xf>
    <xf numFmtId="0" fontId="0" fillId="0" borderId="8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0" fillId="0" borderId="7" applyAlignment="1" pivotButton="0" quotePrefix="0" xfId="0">
      <alignment horizontal="right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8" fontId="7" fillId="0" borderId="10" applyAlignment="1" pivotButton="0" quotePrefix="0" xfId="0">
      <alignment horizontal="general" vertical="bottom"/>
    </xf>
    <xf numFmtId="0" fontId="0" fillId="0" borderId="10" applyAlignment="1" pivotButton="0" quotePrefix="0" xfId="0">
      <alignment horizontal="right" vertical="bottom"/>
    </xf>
    <xf numFmtId="0" fontId="0" fillId="0" borderId="11" applyAlignment="1" pivotButton="0" quotePrefix="0" xfId="0">
      <alignment horizontal="right" vertical="bottom"/>
    </xf>
    <xf numFmtId="164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5" fillId="0" borderId="12" applyAlignment="1" pivotButton="0" quotePrefix="0" xfId="0">
      <alignment horizontal="general" vertical="top" wrapText="1"/>
    </xf>
    <xf numFmtId="0" fontId="16" fillId="0" borderId="4" applyAlignment="1" pivotButton="0" quotePrefix="0" xfId="0">
      <alignment horizontal="general" vertical="bottom"/>
    </xf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 wrapText="1"/>
    </xf>
    <xf numFmtId="169" fontId="0" fillId="0" borderId="0" applyAlignment="1" pivotButton="0" quotePrefix="0" xfId="0">
      <alignment horizontal="general" vertical="center"/>
    </xf>
    <xf numFmtId="169" fontId="19" fillId="0" borderId="0" applyAlignment="1" pivotButton="0" quotePrefix="0" xfId="0">
      <alignment horizontal="general" vertical="center"/>
    </xf>
    <xf numFmtId="169" fontId="19" fillId="0" borderId="8" applyAlignment="1" pivotButton="0" quotePrefix="0" xfId="0">
      <alignment horizontal="general" vertical="center"/>
    </xf>
    <xf numFmtId="170" fontId="16" fillId="0" borderId="0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center" wrapText="1"/>
    </xf>
    <xf numFmtId="171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21" fillId="0" borderId="1" applyAlignment="1" pivotButton="0" quotePrefix="0" xfId="0">
      <alignment horizontal="general" vertical="bottom" wrapText="1"/>
    </xf>
    <xf numFmtId="0" fontId="19" fillId="0" borderId="4" applyAlignment="1" pivotButton="0" quotePrefix="0" xfId="0">
      <alignment horizontal="left" vertical="bottom" wrapText="1"/>
    </xf>
    <xf numFmtId="169" fontId="19" fillId="0" borderId="4" applyAlignment="1" pivotButton="0" quotePrefix="0" xfId="0">
      <alignment horizontal="general" vertical="center"/>
    </xf>
    <xf numFmtId="169" fontId="19" fillId="0" borderId="2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center"/>
    </xf>
    <xf numFmtId="0" fontId="5" fillId="0" borderId="1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center"/>
    </xf>
    <xf numFmtId="165" fontId="19" fillId="0" borderId="0" applyAlignment="1" pivotButton="0" quotePrefix="0" xfId="0">
      <alignment horizontal="general" vertical="center"/>
    </xf>
    <xf numFmtId="165" fontId="19" fillId="0" borderId="8" applyAlignment="1" pivotButton="0" quotePrefix="0" xfId="0">
      <alignment horizontal="general" vertical="center"/>
    </xf>
    <xf numFmtId="0" fontId="18" fillId="3" borderId="1" applyAlignment="1" pivotButton="0" quotePrefix="0" xfId="0">
      <alignment horizontal="left" vertical="bottom"/>
    </xf>
    <xf numFmtId="165" fontId="19" fillId="0" borderId="4" applyAlignment="1" pivotButton="0" quotePrefix="0" xfId="0">
      <alignment horizontal="general" vertical="center"/>
    </xf>
    <xf numFmtId="165" fontId="19" fillId="0" borderId="2" applyAlignment="1" pivotButton="0" quotePrefix="0" xfId="0">
      <alignment horizontal="general" vertical="center"/>
    </xf>
    <xf numFmtId="0" fontId="20" fillId="0" borderId="16" applyAlignment="1" pivotButton="0" quotePrefix="0" xfId="0">
      <alignment horizontal="general" vertical="bottom"/>
    </xf>
    <xf numFmtId="0" fontId="20" fillId="0" borderId="7" applyAlignment="1" pivotButton="0" quotePrefix="0" xfId="0">
      <alignment horizontal="general" vertical="bottom"/>
    </xf>
    <xf numFmtId="165" fontId="0" fillId="0" borderId="5" applyAlignment="1" pivotButton="0" quotePrefix="0" xfId="0">
      <alignment horizontal="general" vertical="bottom"/>
    </xf>
    <xf numFmtId="165" fontId="19" fillId="0" borderId="6" applyAlignment="1" pivotButton="0" quotePrefix="0" xfId="0">
      <alignment horizontal="general" vertical="bottom"/>
    </xf>
    <xf numFmtId="165" fontId="16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9" fillId="0" borderId="8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165" fontId="0" fillId="0" borderId="10" applyAlignment="1" pivotButton="0" quotePrefix="0" xfId="0">
      <alignment horizontal="general" vertical="bottom"/>
    </xf>
    <xf numFmtId="165" fontId="19" fillId="0" borderId="11" applyAlignment="1" pivotButton="0" quotePrefix="0" xfId="0">
      <alignment horizontal="general" vertical="bottom"/>
    </xf>
    <xf numFmtId="0" fontId="23" fillId="0" borderId="17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165" fontId="19" fillId="0" borderId="1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0" borderId="4" applyAlignment="1" pivotButton="0" quotePrefix="0" xfId="0">
      <alignment horizontal="right" vertical="bottom"/>
    </xf>
    <xf numFmtId="0" fontId="9" fillId="0" borderId="2" applyAlignment="1" pivotButton="0" quotePrefix="0" xfId="0">
      <alignment horizontal="right" vertical="bottom"/>
    </xf>
    <xf numFmtId="0" fontId="0" fillId="0" borderId="3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right" vertical="bottom"/>
    </xf>
    <xf numFmtId="10" fontId="0" fillId="0" borderId="6" applyAlignment="1" pivotButton="0" quotePrefix="0" xfId="0">
      <alignment horizontal="right" vertical="bottom"/>
    </xf>
    <xf numFmtId="0" fontId="0" fillId="0" borderId="7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0" fontId="0" fillId="0" borderId="8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right" vertical="bottom"/>
    </xf>
    <xf numFmtId="167" fontId="10" fillId="0" borderId="0" applyAlignment="1" pivotButton="0" quotePrefix="0" xfId="0">
      <alignment horizontal="right" vertical="bottom"/>
    </xf>
    <xf numFmtId="0" fontId="0" fillId="0" borderId="9" applyAlignment="1" pivotButton="0" quotePrefix="0" xfId="0">
      <alignment horizontal="general" vertical="bottom"/>
    </xf>
    <xf numFmtId="0" fontId="10" fillId="0" borderId="1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167" fontId="10" fillId="0" borderId="10" applyAlignment="1" pivotButton="0" quotePrefix="0" xfId="0">
      <alignment horizontal="right" vertical="bottom"/>
    </xf>
    <xf numFmtId="10" fontId="0" fillId="0" borderId="11" applyAlignment="1" pivotButton="0" quotePrefix="0" xfId="0">
      <alignment horizontal="right" vertical="bottom"/>
    </xf>
    <xf numFmtId="0" fontId="11" fillId="2" borderId="1" applyAlignment="1" pivotButton="0" quotePrefix="0" xfId="0">
      <alignment horizontal="general" vertical="bottom"/>
    </xf>
    <xf numFmtId="0" fontId="12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right" vertical="bottom"/>
    </xf>
    <xf numFmtId="0" fontId="0" fillId="2" borderId="2" applyAlignment="1" pivotButton="0" quotePrefix="0" xfId="0">
      <alignment horizontal="right" vertical="bottom"/>
    </xf>
    <xf numFmtId="0" fontId="0" fillId="0" borderId="8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0" fillId="0" borderId="7" applyAlignment="1" pivotButton="0" quotePrefix="0" xfId="0">
      <alignment horizontal="right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8" fontId="7" fillId="0" borderId="10" applyAlignment="1" pivotButton="0" quotePrefix="0" xfId="0">
      <alignment horizontal="general" vertical="bottom"/>
    </xf>
    <xf numFmtId="0" fontId="0" fillId="0" borderId="10" applyAlignment="1" pivotButton="0" quotePrefix="0" xfId="0">
      <alignment horizontal="right" vertical="bottom"/>
    </xf>
    <xf numFmtId="0" fontId="0" fillId="0" borderId="11" applyAlignment="1" pivotButton="0" quotePrefix="0" xfId="0">
      <alignment horizontal="right" vertical="bottom"/>
    </xf>
    <xf numFmtId="164" fontId="10" fillId="0" borderId="0" applyAlignment="1" pivotButton="0" quotePrefix="0" xfId="0">
      <alignment horizontal="general" vertical="bottom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10" fontId="0" fillId="0" borderId="0" pivotButton="0" quotePrefix="0" xfId="0"/>
    <xf numFmtId="0" fontId="30" fillId="0" borderId="0" pivotButton="0" quotePrefix="0" xfId="0"/>
    <xf numFmtId="3" fontId="31" fillId="0" borderId="0" pivotButton="0" quotePrefix="0" xfId="0"/>
    <xf numFmtId="165" fontId="0" fillId="0" borderId="0" pivotButton="0" quotePrefix="0" xfId="0"/>
    <xf numFmtId="167" fontId="31" fillId="0" borderId="0" pivotButton="0" quotePrefix="0" xfId="0"/>
    <xf numFmtId="168" fontId="31" fillId="0" borderId="0" pivotButton="0" quotePrefix="0" xfId="0"/>
    <xf numFmtId="164" fontId="29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0" borderId="12" applyAlignment="1" pivotButton="0" quotePrefix="0" xfId="0">
      <alignment horizontal="general" vertical="top" wrapText="1"/>
    </xf>
    <xf numFmtId="0" fontId="16" fillId="0" borderId="4" applyAlignment="1" pivotButton="0" quotePrefix="0" xfId="0">
      <alignment horizontal="general" vertical="bottom"/>
    </xf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 wrapText="1"/>
    </xf>
    <xf numFmtId="169" fontId="0" fillId="0" borderId="0" applyAlignment="1" pivotButton="0" quotePrefix="0" xfId="0">
      <alignment horizontal="general" vertical="center"/>
    </xf>
    <xf numFmtId="169" fontId="19" fillId="0" borderId="0" applyAlignment="1" pivotButton="0" quotePrefix="0" xfId="0">
      <alignment horizontal="general" vertical="center"/>
    </xf>
    <xf numFmtId="169" fontId="19" fillId="0" borderId="8" applyAlignment="1" pivotButton="0" quotePrefix="0" xfId="0">
      <alignment horizontal="general" vertical="center"/>
    </xf>
    <xf numFmtId="170" fontId="16" fillId="0" borderId="0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center" wrapText="1"/>
    </xf>
    <xf numFmtId="171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21" fillId="0" borderId="1" applyAlignment="1" pivotButton="0" quotePrefix="0" xfId="0">
      <alignment horizontal="general" vertical="bottom" wrapText="1"/>
    </xf>
    <xf numFmtId="0" fontId="19" fillId="0" borderId="4" applyAlignment="1" pivotButton="0" quotePrefix="0" xfId="0">
      <alignment horizontal="left" vertical="bottom" wrapText="1"/>
    </xf>
    <xf numFmtId="169" fontId="19" fillId="0" borderId="4" applyAlignment="1" pivotButton="0" quotePrefix="0" xfId="0">
      <alignment horizontal="general" vertical="center"/>
    </xf>
    <xf numFmtId="169" fontId="19" fillId="0" borderId="2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center"/>
    </xf>
    <xf numFmtId="0" fontId="5" fillId="0" borderId="1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center"/>
    </xf>
    <xf numFmtId="165" fontId="19" fillId="0" borderId="0" applyAlignment="1" pivotButton="0" quotePrefix="0" xfId="0">
      <alignment horizontal="general" vertical="center"/>
    </xf>
    <xf numFmtId="165" fontId="19" fillId="0" borderId="8" applyAlignment="1" pivotButton="0" quotePrefix="0" xfId="0">
      <alignment horizontal="general" vertical="center"/>
    </xf>
    <xf numFmtId="0" fontId="18" fillId="3" borderId="1" applyAlignment="1" pivotButton="0" quotePrefix="0" xfId="0">
      <alignment horizontal="left" vertical="bottom"/>
    </xf>
    <xf numFmtId="165" fontId="19" fillId="0" borderId="4" applyAlignment="1" pivotButton="0" quotePrefix="0" xfId="0">
      <alignment horizontal="general" vertical="center"/>
    </xf>
    <xf numFmtId="165" fontId="19" fillId="0" borderId="2" applyAlignment="1" pivotButton="0" quotePrefix="0" xfId="0">
      <alignment horizontal="general" vertical="center"/>
    </xf>
    <xf numFmtId="0" fontId="20" fillId="0" borderId="16" applyAlignment="1" pivotButton="0" quotePrefix="0" xfId="0">
      <alignment horizontal="general" vertical="bottom"/>
    </xf>
    <xf numFmtId="0" fontId="20" fillId="0" borderId="7" applyAlignment="1" pivotButton="0" quotePrefix="0" xfId="0">
      <alignment horizontal="general" vertical="bottom"/>
    </xf>
    <xf numFmtId="165" fontId="0" fillId="0" borderId="5" applyAlignment="1" pivotButton="0" quotePrefix="0" xfId="0">
      <alignment horizontal="general" vertical="bottom"/>
    </xf>
    <xf numFmtId="165" fontId="19" fillId="0" borderId="6" applyAlignment="1" pivotButton="0" quotePrefix="0" xfId="0">
      <alignment horizontal="general" vertical="bottom"/>
    </xf>
    <xf numFmtId="165" fontId="16" fillId="0" borderId="0" applyAlignment="1" pivotButton="0" quotePrefix="0" xfId="0">
      <alignment horizontal="general" vertical="bottom"/>
    </xf>
    <xf numFmtId="165" fontId="19" fillId="0" borderId="8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165" fontId="0" fillId="0" borderId="10" applyAlignment="1" pivotButton="0" quotePrefix="0" xfId="0">
      <alignment horizontal="general" vertical="bottom"/>
    </xf>
    <xf numFmtId="165" fontId="19" fillId="0" borderId="11" applyAlignment="1" pivotButton="0" quotePrefix="0" xfId="0">
      <alignment horizontal="general" vertical="bottom"/>
    </xf>
    <xf numFmtId="0" fontId="23" fillId="0" borderId="17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165" fontId="19" fillId="0" borderId="1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5" fillId="0" borderId="0" applyAlignment="1" pivotButton="0" quotePrefix="0" xfId="0">
      <alignment horizontal="general" vertical="bottom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Normal 2" xfId="7"/>
    <cellStyle name="Style 1" xf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103" min="1" max="1"/>
    <col width="15" customWidth="1" style="103" min="2" max="2"/>
    <col width="12" customWidth="1" style="103" min="3" max="26"/>
  </cols>
  <sheetData>
    <row r="1" ht="15" customHeight="1" s="104">
      <c r="A1" s="105" t="inlineStr">
        <is>
          <t>Indicator</t>
        </is>
      </c>
      <c r="B1" s="105" t="inlineStr">
        <is>
          <t>Unit</t>
        </is>
      </c>
      <c r="C1" s="105" t="inlineStr">
        <is>
          <t>2020</t>
        </is>
      </c>
      <c r="D1" s="105" t="inlineStr">
        <is>
          <t>2021</t>
        </is>
      </c>
      <c r="E1" s="105" t="inlineStr">
        <is>
          <t>2022</t>
        </is>
      </c>
      <c r="F1" s="105" t="inlineStr">
        <is>
          <t>2023</t>
        </is>
      </c>
      <c r="G1" s="105" t="inlineStr">
        <is>
          <t>2024</t>
        </is>
      </c>
      <c r="H1" s="105" t="inlineStr">
        <is>
          <t>2025</t>
        </is>
      </c>
      <c r="I1" s="105" t="inlineStr">
        <is>
          <t>2026</t>
        </is>
      </c>
      <c r="J1" s="105" t="inlineStr">
        <is>
          <t>2027</t>
        </is>
      </c>
      <c r="K1" s="105" t="inlineStr">
        <is>
          <t>2028</t>
        </is>
      </c>
      <c r="L1" s="105" t="inlineStr">
        <is>
          <t>2029</t>
        </is>
      </c>
      <c r="M1" s="105" t="inlineStr">
        <is>
          <t>2030</t>
        </is>
      </c>
      <c r="N1" s="105" t="inlineStr">
        <is>
          <t>2031</t>
        </is>
      </c>
      <c r="O1" s="105" t="inlineStr">
        <is>
          <t>2032</t>
        </is>
      </c>
      <c r="P1" s="105" t="inlineStr">
        <is>
          <t>2033</t>
        </is>
      </c>
      <c r="Q1" s="105" t="inlineStr">
        <is>
          <t>2034</t>
        </is>
      </c>
      <c r="R1" s="105" t="inlineStr">
        <is>
          <t>2035</t>
        </is>
      </c>
      <c r="S1" s="105" t="inlineStr">
        <is>
          <t>2036</t>
        </is>
      </c>
      <c r="T1" s="105" t="inlineStr">
        <is>
          <t>2037</t>
        </is>
      </c>
      <c r="U1" s="105" t="inlineStr">
        <is>
          <t>2038</t>
        </is>
      </c>
      <c r="V1" s="105" t="inlineStr">
        <is>
          <t>2039</t>
        </is>
      </c>
      <c r="W1" s="105" t="inlineStr">
        <is>
          <t>2040</t>
        </is>
      </c>
      <c r="X1" s="105" t="inlineStr">
        <is>
          <t>2041</t>
        </is>
      </c>
      <c r="Y1" s="105" t="inlineStr">
        <is>
          <t>2042</t>
        </is>
      </c>
      <c r="Z1" s="105" t="inlineStr">
        <is>
          <t>2043</t>
        </is>
      </c>
    </row>
    <row r="2" ht="15" customHeight="1" s="104">
      <c r="A2" s="103" t="inlineStr">
        <is>
          <t>Real GDP Growth Rate</t>
        </is>
      </c>
      <c r="B2" s="103" t="inlineStr">
        <is>
          <t>%</t>
        </is>
      </c>
      <c r="C2" s="106" t="n">
        <v>-6.291</v>
      </c>
      <c r="D2" s="106" t="n">
        <v>10.644</v>
      </c>
      <c r="E2" s="106" t="n">
        <v>10.96</v>
      </c>
      <c r="F2" s="106" t="n">
        <v>7.832</v>
      </c>
      <c r="G2" s="106" t="n">
        <v>9.429</v>
      </c>
      <c r="H2" s="106" t="n">
        <v>5.977</v>
      </c>
      <c r="I2" s="106" t="n">
        <v>5</v>
      </c>
      <c r="J2" s="106" t="n">
        <v>5</v>
      </c>
      <c r="K2" s="106" t="n">
        <v>5</v>
      </c>
      <c r="L2" s="106" t="n">
        <v>5</v>
      </c>
      <c r="M2" s="106" t="n">
        <v>5</v>
      </c>
      <c r="N2" s="106" t="n">
        <v>5</v>
      </c>
      <c r="O2" s="106" t="n">
        <v>5</v>
      </c>
      <c r="P2" s="106" t="n">
        <v>5</v>
      </c>
      <c r="Q2" s="106" t="n">
        <v>5</v>
      </c>
      <c r="R2" s="106" t="n">
        <v>5</v>
      </c>
      <c r="S2" s="106" t="n">
        <v>5</v>
      </c>
      <c r="T2" s="106" t="n">
        <v>5</v>
      </c>
      <c r="U2" s="106" t="n">
        <v>5</v>
      </c>
      <c r="V2" s="106" t="n">
        <v>5</v>
      </c>
      <c r="W2" s="106" t="n">
        <v>5</v>
      </c>
      <c r="X2" s="106" t="n">
        <v>5</v>
      </c>
      <c r="Y2" s="106" t="n">
        <v>5</v>
      </c>
      <c r="Z2" s="106" t="n">
        <v>5</v>
      </c>
    </row>
    <row r="3" ht="15" customHeight="1" s="104">
      <c r="A3" s="103" t="inlineStr">
        <is>
          <t>Nominal GDP</t>
        </is>
      </c>
      <c r="B3" s="103" t="inlineStr">
        <is>
          <t>Billion GEL</t>
        </is>
      </c>
      <c r="C3" s="106" t="n">
        <v>49.789</v>
      </c>
      <c r="D3" s="106" t="n">
        <v>60.724</v>
      </c>
      <c r="E3" s="106" t="n">
        <v>72.86</v>
      </c>
      <c r="F3" s="106" t="n">
        <v>80.883</v>
      </c>
      <c r="G3" s="106" t="n">
        <v>91.892</v>
      </c>
      <c r="H3" s="106" t="n">
        <v>101.487</v>
      </c>
      <c r="I3" s="106" t="n">
        <v>110.29</v>
      </c>
      <c r="J3" s="106" t="n">
        <v>119.858</v>
      </c>
      <c r="K3" s="106" t="n">
        <v>130.256</v>
      </c>
      <c r="L3" s="106" t="n">
        <v>141.556</v>
      </c>
      <c r="M3" s="106" t="n">
        <v>153.836</v>
      </c>
      <c r="N3" s="103">
        <f>M3*(1+N2/100)</f>
        <v/>
      </c>
      <c r="O3" s="103">
        <f>N3*(1+O2/100)</f>
        <v/>
      </c>
      <c r="P3" s="103">
        <f>O3*(1+P2/100)</f>
        <v/>
      </c>
      <c r="Q3" s="103">
        <f>P3*(1+Q2/100)</f>
        <v/>
      </c>
      <c r="R3" s="103">
        <f>Q3*(1+R2/100)</f>
        <v/>
      </c>
      <c r="S3" s="103">
        <f>R3*(1+S2/100)</f>
        <v/>
      </c>
      <c r="T3" s="103">
        <f>S3*(1+T2/100)</f>
        <v/>
      </c>
      <c r="U3" s="103">
        <f>T3*(1+U2/100)</f>
        <v/>
      </c>
      <c r="V3" s="103">
        <f>U3*(1+V2/100)</f>
        <v/>
      </c>
      <c r="W3" s="103">
        <f>V3*(1+W2/100)</f>
        <v/>
      </c>
      <c r="X3" s="103">
        <f>W3*(1+X2/100)</f>
        <v/>
      </c>
      <c r="Y3" s="103">
        <f>X3*(1+Y2/100)</f>
        <v/>
      </c>
      <c r="Z3" s="103">
        <f>Y3*(1+Z2/100)</f>
        <v/>
      </c>
    </row>
    <row r="4" ht="15" customHeight="1" s="104">
      <c r="A4" s="103" t="inlineStr">
        <is>
          <t>GDP Deflator</t>
        </is>
      </c>
      <c r="B4" s="103" t="inlineStr">
        <is>
          <t>Index</t>
        </is>
      </c>
      <c r="C4" s="106" t="n">
        <v>106.847</v>
      </c>
      <c r="D4" s="106" t="n">
        <v>117.779</v>
      </c>
      <c r="E4" s="106" t="n">
        <v>127.359</v>
      </c>
      <c r="F4" s="106" t="n">
        <v>131.115</v>
      </c>
      <c r="G4" s="106" t="n">
        <v>136.126</v>
      </c>
      <c r="H4" s="106" t="n">
        <v>141.86</v>
      </c>
      <c r="I4" s="106" t="n">
        <v>146.825</v>
      </c>
      <c r="J4" s="106" t="n">
        <v>151.964</v>
      </c>
      <c r="K4" s="106" t="n">
        <v>157.283</v>
      </c>
      <c r="L4" s="106" t="n">
        <v>162.788</v>
      </c>
      <c r="M4" s="106" t="n">
        <v>168.486</v>
      </c>
      <c r="N4" s="103">
        <f>M4*(1+0.0350016316603606)</f>
        <v/>
      </c>
      <c r="O4" s="103">
        <f>N4*(1+0.0350016316603606)</f>
        <v/>
      </c>
      <c r="P4" s="103">
        <f>O4*(1+0.0350016316603606)</f>
        <v/>
      </c>
      <c r="Q4" s="103">
        <f>P4*(1+0.0350016316603606)</f>
        <v/>
      </c>
      <c r="R4" s="103">
        <f>Q4*(1+0.0350016316603606)</f>
        <v/>
      </c>
      <c r="S4" s="103">
        <f>R4*(1+0.0350016316603606)</f>
        <v/>
      </c>
      <c r="T4" s="103">
        <f>S4*(1+0.0350016316603606)</f>
        <v/>
      </c>
      <c r="U4" s="103">
        <f>T4*(1+0.0350016316603606)</f>
        <v/>
      </c>
      <c r="V4" s="103">
        <f>U4*(1+0.0350016316603606)</f>
        <v/>
      </c>
      <c r="W4" s="103">
        <f>V4*(1+0.0350016316603606)</f>
        <v/>
      </c>
      <c r="X4" s="103">
        <f>W4*(1+0.0350016316603606)</f>
        <v/>
      </c>
      <c r="Y4" s="103">
        <f>X4*(1+0.0350016316603606)</f>
        <v/>
      </c>
      <c r="Z4" s="103">
        <f>Y4*(1+0.0350016316603606)</f>
        <v/>
      </c>
    </row>
    <row r="5" ht="15" customHeight="1" s="104">
      <c r="A5" s="103" t="inlineStr">
        <is>
          <t>Inflation (CPI)</t>
        </is>
      </c>
      <c r="B5" s="103" t="inlineStr">
        <is>
          <t>%</t>
        </is>
      </c>
      <c r="C5" s="106" t="n">
        <v>5.202</v>
      </c>
      <c r="D5" s="106" t="n">
        <v>9.567</v>
      </c>
      <c r="E5" s="106" t="n">
        <v>11.898</v>
      </c>
      <c r="F5" s="106" t="n">
        <v>2.488</v>
      </c>
      <c r="G5" s="106" t="n">
        <v>1.11</v>
      </c>
      <c r="H5" s="106" t="n">
        <v>3.624</v>
      </c>
      <c r="I5" s="106" t="n">
        <v>3.227</v>
      </c>
      <c r="J5" s="106" t="n">
        <v>3</v>
      </c>
      <c r="K5" s="106" t="n">
        <v>3</v>
      </c>
      <c r="L5" s="106" t="n">
        <v>3</v>
      </c>
      <c r="M5" s="106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6796875" defaultRowHeight="12" zeroHeight="0" outlineLevelRow="0"/>
  <cols>
    <col width="25" customWidth="1" style="103" min="1" max="1"/>
    <col width="13" customWidth="1" style="103" min="2" max="2"/>
    <col width="13" customWidth="1" style="103" min="3" max="3"/>
    <col width="13" customWidth="1" style="103" min="4" max="4"/>
    <col width="13" customWidth="1" style="103" min="5" max="5"/>
    <col width="13" customWidth="1" style="103" min="6" max="6"/>
    <col width="13" customWidth="1" style="103" min="7" max="8"/>
    <col width="13" customWidth="1" style="103" min="9" max="9"/>
    <col width="13" customWidth="1" style="107" min="10" max="11"/>
  </cols>
  <sheetData>
    <row r="1" ht="36.75" customFormat="1" customHeight="1" s="108">
      <c r="A1" s="109" t="inlineStr">
        <is>
          <t>Scenario 1: Base Case</t>
        </is>
      </c>
      <c r="B1" s="110" t="inlineStr">
        <is>
          <t>Year</t>
        </is>
      </c>
      <c r="C1" s="111" t="inlineStr">
        <is>
          <t>Real GDP</t>
        </is>
      </c>
      <c r="D1" s="110" t="inlineStr">
        <is>
          <t>Project Allocation (%)</t>
        </is>
      </c>
      <c r="E1" s="110" t="inlineStr">
        <is>
          <t>Project Investment</t>
        </is>
      </c>
      <c r="F1" s="110" t="inlineStr">
        <is>
          <t>Imports</t>
        </is>
      </c>
      <c r="G1" s="110" t="inlineStr">
        <is>
          <t>GDP impact</t>
        </is>
      </c>
      <c r="H1" s="108" t="inlineStr">
        <is>
          <t>Multiplier</t>
        </is>
      </c>
      <c r="I1" s="108" t="inlineStr">
        <is>
          <t>% of GDP</t>
        </is>
      </c>
      <c r="J1" s="110" t="inlineStr">
        <is>
          <t>Baseline GDP Growth</t>
        </is>
      </c>
      <c r="K1" s="110" t="inlineStr">
        <is>
          <t>Projected Growth</t>
        </is>
      </c>
    </row>
    <row r="2" ht="12" customHeight="1" s="104">
      <c r="B2" s="112" t="n"/>
      <c r="C2" s="113" t="n"/>
      <c r="D2" s="113" t="n"/>
      <c r="E2" s="113" t="n"/>
      <c r="F2" s="113" t="n"/>
      <c r="G2" s="114" t="inlineStr">
        <is>
          <t>I-M</t>
        </is>
      </c>
      <c r="H2" s="115" t="inlineStr">
        <is>
          <t>Multiplier</t>
        </is>
      </c>
      <c r="I2" s="114" t="inlineStr">
        <is>
          <t>% of GDP</t>
        </is>
      </c>
      <c r="J2" s="116" t="n"/>
      <c r="K2" s="117" t="n"/>
    </row>
    <row r="3" ht="12" customHeight="1" s="104">
      <c r="B3" s="118" t="n">
        <v>2020</v>
      </c>
      <c r="C3" s="119">
        <f>WEO_Data!C3</f>
        <v/>
      </c>
      <c r="D3" s="120" t="n"/>
      <c r="E3" s="120" t="n"/>
      <c r="F3" s="120" t="n"/>
      <c r="G3" s="120" t="n"/>
      <c r="H3" s="120" t="n"/>
      <c r="I3" s="120" t="n"/>
      <c r="J3" s="121">
        <f>WEO_Data!C2</f>
        <v/>
      </c>
      <c r="K3" s="122">
        <f>J3+IFERROR(I3,0)*100</f>
        <v/>
      </c>
    </row>
    <row r="4" ht="12" customHeight="1" s="104">
      <c r="B4" s="123" t="n">
        <v>2021</v>
      </c>
      <c r="C4" s="124">
        <f>WEO_Data!D3</f>
        <v/>
      </c>
      <c r="J4" s="124">
        <f>WEO_Data!D2</f>
        <v/>
      </c>
      <c r="K4" s="125">
        <f>J4+IFERROR(I4,0)*100</f>
        <v/>
      </c>
    </row>
    <row r="5" ht="12" customHeight="1" s="104">
      <c r="B5" s="123" t="n">
        <v>2022</v>
      </c>
      <c r="C5" s="124">
        <f>WEO_Data!E3</f>
        <v/>
      </c>
      <c r="J5" s="124">
        <f>WEO_Data!E2</f>
        <v/>
      </c>
      <c r="K5" s="125">
        <f>J5+IFERROR(I5,0)*100</f>
        <v/>
      </c>
    </row>
    <row r="6" ht="12" customHeight="1" s="104">
      <c r="B6" s="123" t="n">
        <v>2023</v>
      </c>
      <c r="C6" s="124">
        <f>WEO_Data!F3</f>
        <v/>
      </c>
      <c r="J6" s="124">
        <f>WEO_Data!F2</f>
        <v/>
      </c>
      <c r="K6" s="125">
        <f>J6+IFERROR(I6,0)*100</f>
        <v/>
      </c>
    </row>
    <row r="7" ht="12" customHeight="1" s="104">
      <c r="B7" s="123" t="n">
        <v>2024</v>
      </c>
      <c r="C7" s="124">
        <f>WEO_Data!G3</f>
        <v/>
      </c>
      <c r="J7" s="124">
        <f>WEO_Data!G2</f>
        <v/>
      </c>
      <c r="K7" s="125">
        <f>J7+IFERROR(I7,0)*100</f>
        <v/>
      </c>
    </row>
    <row r="8" ht="12" customHeight="1" s="104">
      <c r="B8" s="123" t="n">
        <v>2025</v>
      </c>
      <c r="C8" s="124">
        <f>WEO_Data!H3</f>
        <v/>
      </c>
      <c r="J8" s="124">
        <f>WEO_Data!H2</f>
        <v/>
      </c>
      <c r="K8" s="125">
        <f>J8+IFERROR(I8,0)*100</f>
        <v/>
      </c>
    </row>
    <row r="9" ht="12" customHeight="1" s="104">
      <c r="B9" s="123" t="n">
        <v>2026</v>
      </c>
      <c r="C9" s="124">
        <f>WEO_Data!I3</f>
        <v/>
      </c>
      <c r="D9" s="126" t="n">
        <v>0.05</v>
      </c>
      <c r="E9" s="127">
        <f>D31*D32/1000000*D9</f>
        <v/>
      </c>
      <c r="F9" s="127">
        <f>E9*$D$34</f>
        <v/>
      </c>
      <c r="G9" s="127">
        <f>E9-F9</f>
        <v/>
      </c>
      <c r="H9" s="127">
        <f>G9*$D$33</f>
        <v/>
      </c>
      <c r="I9" s="128">
        <f>H9/(C9*1000)</f>
        <v/>
      </c>
      <c r="J9" s="129">
        <f>WEO_Data!I2</f>
        <v/>
      </c>
      <c r="K9" s="125">
        <f>J9+IFERROR(I9,0)*100</f>
        <v/>
      </c>
    </row>
    <row r="10" ht="12" customHeight="1" s="104">
      <c r="B10" s="123" t="n">
        <v>2027</v>
      </c>
      <c r="C10" s="124">
        <f>WEO_Data!J3</f>
        <v/>
      </c>
      <c r="D10" s="126" t="n">
        <v>0.1</v>
      </c>
      <c r="E10" s="127">
        <f>D31*D32/1000000*D10</f>
        <v/>
      </c>
      <c r="F10" s="127">
        <f>E10*$D$34</f>
        <v/>
      </c>
      <c r="G10" s="127">
        <f>E10-F10</f>
        <v/>
      </c>
      <c r="H10" s="127">
        <f>G10*$D$33</f>
        <v/>
      </c>
      <c r="I10" s="128">
        <f>H10/(C10*1000)</f>
        <v/>
      </c>
      <c r="J10" s="124">
        <f>WEO_Data!J2</f>
        <v/>
      </c>
      <c r="K10" s="125">
        <f>J10+IFERROR(I10,0)*100</f>
        <v/>
      </c>
    </row>
    <row r="11" ht="12" customHeight="1" s="104">
      <c r="B11" s="123" t="n">
        <v>2028</v>
      </c>
      <c r="C11" s="124">
        <f>WEO_Data!K3</f>
        <v/>
      </c>
      <c r="D11" s="126" t="n">
        <v>0.15</v>
      </c>
      <c r="E11" s="127">
        <f>D31*D32/1000000*D11</f>
        <v/>
      </c>
      <c r="F11" s="127">
        <f>E11*$D$34</f>
        <v/>
      </c>
      <c r="G11" s="127">
        <f>E11-F11</f>
        <v/>
      </c>
      <c r="H11" s="127">
        <f>G11*$D$33</f>
        <v/>
      </c>
      <c r="I11" s="128">
        <f>H11/(C11*1000)</f>
        <v/>
      </c>
      <c r="J11" s="124">
        <f>WEO_Data!K2</f>
        <v/>
      </c>
      <c r="K11" s="125">
        <f>J11+IFERROR(I11,0)*100</f>
        <v/>
      </c>
    </row>
    <row r="12" ht="12" customHeight="1" s="104">
      <c r="B12" s="123" t="n">
        <v>2029</v>
      </c>
      <c r="C12" s="124">
        <f>WEO_Data!L3</f>
        <v/>
      </c>
      <c r="D12" s="126" t="n">
        <v>0.2</v>
      </c>
      <c r="E12" s="127">
        <f>D31*D32/1000000*D12</f>
        <v/>
      </c>
      <c r="F12" s="127">
        <f>E12*$D$34</f>
        <v/>
      </c>
      <c r="G12" s="127">
        <f>E12-F12</f>
        <v/>
      </c>
      <c r="H12" s="127">
        <f>G12*$D$33</f>
        <v/>
      </c>
      <c r="I12" s="128">
        <f>H12/(C12*1000)</f>
        <v/>
      </c>
      <c r="J12" s="124">
        <f>WEO_Data!L2</f>
        <v/>
      </c>
      <c r="K12" s="125">
        <f>J12+IFERROR(I12,0)*100</f>
        <v/>
      </c>
    </row>
    <row r="13" ht="12" customHeight="1" s="104">
      <c r="B13" s="123" t="n">
        <v>2030</v>
      </c>
      <c r="C13" s="124">
        <f>WEO_Data!M3</f>
        <v/>
      </c>
      <c r="D13" s="126" t="n">
        <v>0.2</v>
      </c>
      <c r="E13" s="127">
        <f>D31*D32/1000000*D13</f>
        <v/>
      </c>
      <c r="F13" s="127">
        <f>E13*$D$34</f>
        <v/>
      </c>
      <c r="G13" s="127">
        <f>E13-F13</f>
        <v/>
      </c>
      <c r="H13" s="127">
        <f>G13*$D$33</f>
        <v/>
      </c>
      <c r="I13" s="128">
        <f>H13/(C13*1000)</f>
        <v/>
      </c>
      <c r="J13" s="130">
        <f>WEO_Data!M2</f>
        <v/>
      </c>
      <c r="K13" s="125">
        <f>J13+IFERROR(I13,0)*100</f>
        <v/>
      </c>
    </row>
    <row r="14" ht="12" customHeight="1" s="104">
      <c r="B14" s="123" t="n">
        <v>2031</v>
      </c>
      <c r="C14" s="124">
        <f>WEO_Data!N3</f>
        <v/>
      </c>
      <c r="D14" s="126" t="n">
        <v>0.15</v>
      </c>
      <c r="E14" s="127">
        <f>D31*D32/1000000*D14</f>
        <v/>
      </c>
      <c r="F14" s="127">
        <f>E14*$D$34</f>
        <v/>
      </c>
      <c r="G14" s="127">
        <f>E14-F14</f>
        <v/>
      </c>
      <c r="H14" s="127">
        <f>G14*$D$33</f>
        <v/>
      </c>
      <c r="I14" s="128">
        <f>H14/(C14*1000)</f>
        <v/>
      </c>
      <c r="J14" s="130">
        <f>WEO_Data!N2</f>
        <v/>
      </c>
      <c r="K14" s="125">
        <f>J14+IFERROR(I14,0)*100</f>
        <v/>
      </c>
    </row>
    <row r="15" ht="12" customHeight="1" s="104">
      <c r="B15" s="123" t="n">
        <v>2032</v>
      </c>
      <c r="C15" s="124">
        <f>WEO_Data!O3</f>
        <v/>
      </c>
      <c r="D15" s="126" t="n">
        <v>0.1</v>
      </c>
      <c r="E15" s="127">
        <f>D31*D32/1000000*D15</f>
        <v/>
      </c>
      <c r="F15" s="127">
        <f>E15*$D$34</f>
        <v/>
      </c>
      <c r="G15" s="127">
        <f>E15-F15</f>
        <v/>
      </c>
      <c r="H15" s="127">
        <f>G15*$D$33</f>
        <v/>
      </c>
      <c r="I15" s="128">
        <f>H15/(C15*1000)</f>
        <v/>
      </c>
      <c r="J15" s="130">
        <f>WEO_Data!O2</f>
        <v/>
      </c>
      <c r="K15" s="125">
        <f>J15+IFERROR(I15,0)*100</f>
        <v/>
      </c>
    </row>
    <row r="16" ht="12" customHeight="1" s="104">
      <c r="B16" s="123" t="n">
        <v>2033</v>
      </c>
      <c r="C16" s="124">
        <f>WEO_Data!P3</f>
        <v/>
      </c>
      <c r="D16" s="126" t="n">
        <v>0.05</v>
      </c>
      <c r="E16" s="127">
        <f>D31*D32/1000000*D16</f>
        <v/>
      </c>
      <c r="F16" s="127">
        <f>E16*$D$34</f>
        <v/>
      </c>
      <c r="G16" s="127">
        <f>E16-F16</f>
        <v/>
      </c>
      <c r="H16" s="127">
        <f>G16*$D$33</f>
        <v/>
      </c>
      <c r="I16" s="128">
        <f>H16/(C16*1000)</f>
        <v/>
      </c>
      <c r="J16" s="130">
        <f>WEO_Data!P2</f>
        <v/>
      </c>
      <c r="K16" s="125">
        <f>J16+IFERROR(I16,0)*100</f>
        <v/>
      </c>
    </row>
    <row r="17" ht="12" customHeight="1" s="104">
      <c r="B17" s="123" t="n">
        <v>2034</v>
      </c>
      <c r="C17" s="124">
        <f>WEO_Data!Q3</f>
        <v/>
      </c>
      <c r="J17" s="130">
        <f>WEO_Data!Q2</f>
        <v/>
      </c>
      <c r="K17" s="125">
        <f>J17+IFERROR(I17,0)*100</f>
        <v/>
      </c>
    </row>
    <row r="18" ht="12" customHeight="1" s="104">
      <c r="B18" s="123" t="n">
        <v>2035</v>
      </c>
      <c r="C18" s="124">
        <f>WEO_Data!R3</f>
        <v/>
      </c>
      <c r="J18" s="130">
        <f>WEO_Data!R2</f>
        <v/>
      </c>
      <c r="K18" s="125">
        <f>J18+IFERROR(I18,0)*100</f>
        <v/>
      </c>
    </row>
    <row r="19" ht="12" customHeight="1" s="104">
      <c r="B19" s="123" t="n">
        <v>2036</v>
      </c>
      <c r="C19" s="124">
        <f>WEO_Data!S3</f>
        <v/>
      </c>
      <c r="J19" s="130">
        <f>WEO_Data!S2</f>
        <v/>
      </c>
      <c r="K19" s="125">
        <f>J19+IFERROR(I19,0)*100</f>
        <v/>
      </c>
    </row>
    <row r="20" ht="12" customHeight="1" s="104">
      <c r="B20" s="123" t="n">
        <v>2037</v>
      </c>
      <c r="C20" s="124">
        <f>WEO_Data!T3</f>
        <v/>
      </c>
      <c r="J20" s="130">
        <f>WEO_Data!T2</f>
        <v/>
      </c>
      <c r="K20" s="125">
        <f>J20+IFERROR(I20,0)*100</f>
        <v/>
      </c>
    </row>
    <row r="21" ht="12" customHeight="1" s="104">
      <c r="B21" s="123" t="n">
        <v>2038</v>
      </c>
      <c r="C21" s="124">
        <f>WEO_Data!U3</f>
        <v/>
      </c>
      <c r="J21" s="130">
        <f>WEO_Data!U2</f>
        <v/>
      </c>
      <c r="K21" s="125">
        <f>J21+IFERROR(I21,0)*100</f>
        <v/>
      </c>
    </row>
    <row r="22" ht="12" customHeight="1" s="104">
      <c r="B22" s="123" t="n">
        <v>2039</v>
      </c>
      <c r="C22" s="124">
        <f>WEO_Data!V3</f>
        <v/>
      </c>
      <c r="J22" s="130">
        <f>WEO_Data!V2</f>
        <v/>
      </c>
      <c r="K22" s="125">
        <f>J22+IFERROR(I22,0)*100</f>
        <v/>
      </c>
    </row>
    <row r="23" ht="12" customHeight="1" s="104">
      <c r="B23" s="123" t="n">
        <v>2040</v>
      </c>
      <c r="C23" s="124">
        <f>WEO_Data!W3</f>
        <v/>
      </c>
      <c r="J23" s="130">
        <f>WEO_Data!W2</f>
        <v/>
      </c>
      <c r="K23" s="125">
        <f>J23+IFERROR(I23,0)*100</f>
        <v/>
      </c>
    </row>
    <row r="24" ht="12" customHeight="1" s="104">
      <c r="B24" s="123" t="n">
        <v>2041</v>
      </c>
      <c r="C24" s="124">
        <f>WEO_Data!X3</f>
        <v/>
      </c>
      <c r="J24" s="130">
        <f>WEO_Data!X2</f>
        <v/>
      </c>
      <c r="K24" s="125">
        <f>J24+IFERROR(I24,0)*100</f>
        <v/>
      </c>
    </row>
    <row r="25" ht="12" customHeight="1" s="104">
      <c r="B25" s="131" t="n">
        <v>2042</v>
      </c>
      <c r="C25" s="132">
        <f>WEO_Data!Y3</f>
        <v/>
      </c>
      <c r="D25" s="133" t="n"/>
      <c r="E25" s="133" t="n"/>
      <c r="F25" s="133" t="n"/>
      <c r="G25" s="133" t="n"/>
      <c r="H25" s="133" t="n"/>
      <c r="I25" s="133" t="n"/>
      <c r="J25" s="134">
        <f>WEO_Data!Y2</f>
        <v/>
      </c>
      <c r="K25" s="135">
        <f>J25+IFERROR(I25,0)*100</f>
        <v/>
      </c>
    </row>
    <row r="26" ht="13.8" customHeight="1" s="104">
      <c r="B26" s="103" t="n">
        <v>2043</v>
      </c>
      <c r="C26" s="124">
        <f>WEO_Data!Z3</f>
        <v/>
      </c>
      <c r="J26" s="124">
        <f>WEO_Data!Z2</f>
        <v/>
      </c>
      <c r="K26" s="128">
        <f>J26+IFERROR(I26,0)*100</f>
        <v/>
      </c>
    </row>
    <row r="28" ht="12" customHeight="1" s="104">
      <c r="C28" s="136" t="n"/>
      <c r="D28" s="137" t="n"/>
      <c r="E28" s="138" t="n"/>
      <c r="F28" s="138" t="n"/>
      <c r="G28" s="138" t="n"/>
      <c r="H28" s="138" t="n"/>
      <c r="I28" s="138" t="n"/>
      <c r="J28" s="139" t="n"/>
      <c r="K28" s="140" t="n"/>
    </row>
    <row r="29" ht="12" customHeight="1" s="104">
      <c r="C29" s="123" t="n"/>
      <c r="K29" s="141" t="n"/>
    </row>
    <row r="30" ht="12" customHeight="1" s="104">
      <c r="A30" s="142" t="inlineStr">
        <is>
          <t>ASSUMPTIONS:</t>
        </is>
      </c>
      <c r="C30" s="123" t="n"/>
      <c r="K30" s="141" t="n"/>
    </row>
    <row r="31" ht="12" customHeight="1" s="104">
      <c r="A31" s="103" t="inlineStr">
        <is>
          <t>Total Project Value (USD):</t>
        </is>
      </c>
      <c r="C31" s="143" t="inlineStr">
        <is>
          <t>Million USD:</t>
        </is>
      </c>
      <c r="D31" s="144" t="n">
        <v>6500000000</v>
      </c>
      <c r="E31" s="127">
        <f>D31/1000000</f>
        <v/>
      </c>
      <c r="K31" s="141" t="n"/>
    </row>
    <row r="32" ht="12" customHeight="1" s="104">
      <c r="A32" s="103" t="inlineStr">
        <is>
          <t>Exchange Rate (GEL/USD):</t>
        </is>
      </c>
      <c r="C32" s="123" t="n"/>
      <c r="D32" s="145" t="n">
        <v>2.746</v>
      </c>
      <c r="K32" s="141" t="n"/>
    </row>
    <row r="33" ht="12" customHeight="1" s="104">
      <c r="A33" s="103" t="inlineStr">
        <is>
          <t>Demand Multiplier:</t>
        </is>
      </c>
      <c r="C33" s="131" t="n"/>
      <c r="D33" s="146" t="n">
        <v>0.8</v>
      </c>
      <c r="E33" s="133" t="n"/>
      <c r="F33" s="133" t="n"/>
      <c r="G33" s="133" t="n"/>
      <c r="H33" s="133" t="n"/>
      <c r="I33" s="133" t="n"/>
      <c r="J33" s="147" t="n"/>
      <c r="K33" s="148" t="n"/>
    </row>
    <row r="34" ht="13.8" customHeight="1" s="104">
      <c r="A34" s="103" t="inlineStr">
        <is>
          <t>Import Content Share:</t>
        </is>
      </c>
      <c r="D34" s="149">
        <f>'SUT Calc'!C31</f>
        <v/>
      </c>
    </row>
    <row r="40">
      <c r="A40" s="150" t="inlineStr">
        <is>
          <t>Scenario 2: Demand Multiplier = 1.0</t>
        </is>
      </c>
      <c r="B40" s="151" t="inlineStr">
        <is>
          <t>Year</t>
        </is>
      </c>
      <c r="C40" s="151" t="inlineStr">
        <is>
          <t>Real GDP</t>
        </is>
      </c>
      <c r="D40" s="151" t="inlineStr">
        <is>
          <t>Project Allocation (%)</t>
        </is>
      </c>
      <c r="E40" s="151" t="inlineStr">
        <is>
          <t>Project Investment</t>
        </is>
      </c>
      <c r="F40" s="151" t="inlineStr">
        <is>
          <t>Imports</t>
        </is>
      </c>
      <c r="G40" s="151" t="inlineStr">
        <is>
          <t>GDP impact</t>
        </is>
      </c>
      <c r="H40" s="151" t="inlineStr">
        <is>
          <t>Multiplier</t>
        </is>
      </c>
      <c r="I40" s="151" t="inlineStr">
        <is>
          <t>% of GDP</t>
        </is>
      </c>
      <c r="J40" s="151" t="inlineStr">
        <is>
          <t>Baseline GDP Growth</t>
        </is>
      </c>
      <c r="K40" s="151" t="inlineStr">
        <is>
          <t>Projected Growth</t>
        </is>
      </c>
    </row>
    <row r="41">
      <c r="B41" s="152" t="n"/>
      <c r="C41" s="152" t="n"/>
      <c r="D41" s="152" t="n"/>
      <c r="E41" s="152" t="n"/>
      <c r="F41" s="152" t="n"/>
      <c r="G41" s="152" t="inlineStr">
        <is>
          <t>I-M</t>
        </is>
      </c>
      <c r="H41" s="152" t="inlineStr">
        <is>
          <t>Multiplier</t>
        </is>
      </c>
      <c r="I41" s="152" t="inlineStr">
        <is>
          <t>% of GDP</t>
        </is>
      </c>
      <c r="J41" s="152" t="n"/>
      <c r="K41" s="152" t="n"/>
    </row>
    <row r="42">
      <c r="B42" t="n">
        <v>2020</v>
      </c>
      <c r="C42" s="153">
        <f>WEO_Data!BXE3</f>
        <v/>
      </c>
      <c r="J42" s="153">
        <f>WEO_Data!BXE2</f>
        <v/>
      </c>
      <c r="K42" s="154">
        <f>J42+IFERROR(I42,0)*100</f>
        <v/>
      </c>
    </row>
    <row r="43">
      <c r="B43" t="n">
        <v>2021</v>
      </c>
      <c r="C43" s="153">
        <f>WEO_Data!BXF3</f>
        <v/>
      </c>
      <c r="J43" s="153">
        <f>WEO_Data!BXF2</f>
        <v/>
      </c>
      <c r="K43" s="154">
        <f>J43+IFERROR(I43,0)*100</f>
        <v/>
      </c>
    </row>
    <row r="44">
      <c r="B44" t="n">
        <v>2022</v>
      </c>
      <c r="C44" s="153">
        <f>WEO_Data!BXG3</f>
        <v/>
      </c>
      <c r="J44" s="153">
        <f>WEO_Data!BXG2</f>
        <v/>
      </c>
      <c r="K44" s="154">
        <f>J44+IFERROR(I44,0)*100</f>
        <v/>
      </c>
    </row>
    <row r="45">
      <c r="B45" t="n">
        <v>2023</v>
      </c>
      <c r="C45" s="153">
        <f>WEO_Data!BXH3</f>
        <v/>
      </c>
      <c r="J45" s="153">
        <f>WEO_Data!BXH2</f>
        <v/>
      </c>
      <c r="K45" s="154">
        <f>J45+IFERROR(I45,0)*100</f>
        <v/>
      </c>
    </row>
    <row r="46">
      <c r="B46" t="n">
        <v>2024</v>
      </c>
      <c r="C46" s="153">
        <f>WEO_Data!BXI3</f>
        <v/>
      </c>
      <c r="J46" s="153">
        <f>WEO_Data!BXI2</f>
        <v/>
      </c>
      <c r="K46" s="154">
        <f>J46+IFERROR(I46,0)*100</f>
        <v/>
      </c>
    </row>
    <row r="47">
      <c r="B47" t="n">
        <v>2025</v>
      </c>
      <c r="C47" s="153">
        <f>WEO_Data!BXJ3</f>
        <v/>
      </c>
      <c r="J47" s="153">
        <f>WEO_Data!BXJ2</f>
        <v/>
      </c>
      <c r="K47" s="154">
        <f>J47+IFERROR(I47,0)*100</f>
        <v/>
      </c>
    </row>
    <row r="48">
      <c r="B48" t="n">
        <v>2026</v>
      </c>
      <c r="C48" s="153">
        <f>WEO_Data!BXK3</f>
        <v/>
      </c>
      <c r="J48" s="153">
        <f>WEO_Data!BXK2</f>
        <v/>
      </c>
      <c r="K48" s="154">
        <f>J48+IFERROR(I48,0)*100</f>
        <v/>
      </c>
    </row>
    <row r="49">
      <c r="B49" t="n">
        <v>2027</v>
      </c>
      <c r="C49" s="153">
        <f>WEO_Data!BXL3</f>
        <v/>
      </c>
      <c r="J49" s="153">
        <f>WEO_Data!BXL2</f>
        <v/>
      </c>
      <c r="K49" s="154">
        <f>J49+IFERROR(I49,0)*100</f>
        <v/>
      </c>
    </row>
    <row r="50">
      <c r="B50" t="n">
        <v>2028</v>
      </c>
      <c r="C50" s="153">
        <f>WEO_Data!BXM3</f>
        <v/>
      </c>
      <c r="J50" s="153">
        <f>WEO_Data!BXM2</f>
        <v/>
      </c>
      <c r="K50" s="154">
        <f>J50+IFERROR(I50,0)*100</f>
        <v/>
      </c>
    </row>
    <row r="51">
      <c r="B51" t="n">
        <v>2029</v>
      </c>
      <c r="C51" s="153">
        <f>WEO_Data!BXN3</f>
        <v/>
      </c>
      <c r="J51" s="153">
        <f>WEO_Data!BXN2</f>
        <v/>
      </c>
      <c r="K51" s="154">
        <f>J51+IFERROR(I51,0)*100</f>
        <v/>
      </c>
    </row>
    <row r="52">
      <c r="B52" t="n">
        <v>2030</v>
      </c>
      <c r="C52" s="153">
        <f>WEO_Data!BXO3</f>
        <v/>
      </c>
      <c r="J52" s="153">
        <f>WEO_Data!BXO2</f>
        <v/>
      </c>
      <c r="K52" s="154">
        <f>J52+IFERROR(I52,0)*100</f>
        <v/>
      </c>
    </row>
    <row r="53">
      <c r="B53" t="n">
        <v>2031</v>
      </c>
      <c r="C53" s="153">
        <f>WEO_Data!BXP3</f>
        <v/>
      </c>
      <c r="J53" s="153">
        <f>WEO_Data!BXP2</f>
        <v/>
      </c>
      <c r="K53" s="154">
        <f>J53+IFERROR(I53,0)*100</f>
        <v/>
      </c>
    </row>
    <row r="54">
      <c r="B54" t="n">
        <v>2032</v>
      </c>
      <c r="C54" s="153">
        <f>WEO_Data!BXQ3</f>
        <v/>
      </c>
      <c r="J54" s="153">
        <f>WEO_Data!BXQ2</f>
        <v/>
      </c>
      <c r="K54" s="154">
        <f>J54+IFERROR(I54,0)*100</f>
        <v/>
      </c>
    </row>
    <row r="55">
      <c r="B55" t="n">
        <v>2033</v>
      </c>
      <c r="C55" s="153">
        <f>WEO_Data!BXR3</f>
        <v/>
      </c>
      <c r="J55" s="153">
        <f>WEO_Data!BXR2</f>
        <v/>
      </c>
      <c r="K55" s="154">
        <f>J55+IFERROR(I55,0)*100</f>
        <v/>
      </c>
    </row>
    <row r="56">
      <c r="B56" t="n">
        <v>2034</v>
      </c>
      <c r="C56" s="153">
        <f>WEO_Data!BXS3</f>
        <v/>
      </c>
      <c r="J56" s="153">
        <f>WEO_Data!BXS2</f>
        <v/>
      </c>
      <c r="K56" s="154">
        <f>J56+IFERROR(I56,0)*100</f>
        <v/>
      </c>
    </row>
    <row r="57">
      <c r="B57" t="n">
        <v>2035</v>
      </c>
      <c r="C57" s="153">
        <f>WEO_Data!BXT3</f>
        <v/>
      </c>
      <c r="J57" s="153">
        <f>WEO_Data!BXT2</f>
        <v/>
      </c>
      <c r="K57" s="154">
        <f>J57+IFERROR(I57,0)*100</f>
        <v/>
      </c>
    </row>
    <row r="58">
      <c r="B58" t="n">
        <v>2036</v>
      </c>
      <c r="C58" s="153">
        <f>WEO_Data!BXU3</f>
        <v/>
      </c>
      <c r="J58" s="153">
        <f>WEO_Data!BXU2</f>
        <v/>
      </c>
      <c r="K58" s="154">
        <f>J58+IFERROR(I58,0)*100</f>
        <v/>
      </c>
    </row>
    <row r="59">
      <c r="B59" t="n">
        <v>2037</v>
      </c>
      <c r="C59" s="153">
        <f>WEO_Data!BXV3</f>
        <v/>
      </c>
      <c r="J59" s="153">
        <f>WEO_Data!BXV2</f>
        <v/>
      </c>
      <c r="K59" s="154">
        <f>J59+IFERROR(I59,0)*100</f>
        <v/>
      </c>
    </row>
    <row r="60">
      <c r="B60" t="n">
        <v>2038</v>
      </c>
      <c r="C60" s="153">
        <f>WEO_Data!BXW3</f>
        <v/>
      </c>
      <c r="J60" s="153">
        <f>WEO_Data!BXW2</f>
        <v/>
      </c>
      <c r="K60" s="154">
        <f>J60+IFERROR(I60,0)*100</f>
        <v/>
      </c>
    </row>
    <row r="61">
      <c r="B61" t="n">
        <v>2039</v>
      </c>
      <c r="C61" s="153">
        <f>WEO_Data!BXX3</f>
        <v/>
      </c>
      <c r="J61" s="153">
        <f>WEO_Data!BXX2</f>
        <v/>
      </c>
      <c r="K61" s="154">
        <f>J61+IFERROR(I61,0)*100</f>
        <v/>
      </c>
    </row>
    <row r="62">
      <c r="B62" t="n">
        <v>2040</v>
      </c>
      <c r="C62" s="153">
        <f>WEO_Data!BXY3</f>
        <v/>
      </c>
      <c r="J62" s="153">
        <f>WEO_Data!BXY2</f>
        <v/>
      </c>
      <c r="K62" s="154">
        <f>J62+IFERROR(I62,0)*100</f>
        <v/>
      </c>
    </row>
    <row r="63">
      <c r="B63" t="n">
        <v>2041</v>
      </c>
      <c r="C63" s="153">
        <f>WEO_Data!BXZ3</f>
        <v/>
      </c>
      <c r="J63" s="153">
        <f>WEO_Data!BXZ2</f>
        <v/>
      </c>
      <c r="K63" s="154">
        <f>J63+IFERROR(I63,0)*100</f>
        <v/>
      </c>
    </row>
    <row r="64">
      <c r="B64" t="n">
        <v>2042</v>
      </c>
      <c r="C64" s="153">
        <f>WEO_Data!BYA3</f>
        <v/>
      </c>
      <c r="J64" s="153">
        <f>WEO_Data!BYA2</f>
        <v/>
      </c>
      <c r="K64" s="154">
        <f>J64+IFERROR(I64,0)*100</f>
        <v/>
      </c>
    </row>
    <row r="65">
      <c r="B65" t="n">
        <v>2043</v>
      </c>
      <c r="C65" s="153">
        <f>WEO_Data!BYB3</f>
        <v/>
      </c>
      <c r="J65" s="153">
        <f>WEO_Data!BYB2</f>
        <v/>
      </c>
      <c r="K65" s="154">
        <f>J65+IFERROR(I65,0)*100</f>
        <v/>
      </c>
    </row>
    <row r="66">
      <c r="A66" s="155" t="inlineStr">
        <is>
          <t>ASSUMPTIONS:</t>
        </is>
      </c>
    </row>
    <row r="67">
      <c r="A67" t="inlineStr">
        <is>
          <t>Total Project Value (USD):</t>
        </is>
      </c>
      <c r="C67" t="inlineStr">
        <is>
          <t>Million USD:</t>
        </is>
      </c>
      <c r="D67" s="156" t="n">
        <v>6500000000</v>
      </c>
      <c r="E67" s="157">
        <f>D67/1000000</f>
        <v/>
      </c>
    </row>
    <row r="68">
      <c r="A68" t="inlineStr">
        <is>
          <t>Exchange Rate (GEL/USD):</t>
        </is>
      </c>
      <c r="D68" s="158" t="n">
        <v>2.746</v>
      </c>
    </row>
    <row r="69">
      <c r="A69" t="inlineStr">
        <is>
          <t>Demand Multiplier:</t>
        </is>
      </c>
      <c r="D69" s="159" t="n">
        <v>1</v>
      </c>
    </row>
    <row r="70">
      <c r="A70" t="inlineStr">
        <is>
          <t>Import Content Share:</t>
        </is>
      </c>
      <c r="D70" s="160">
        <f>'SUT Calc'!C31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W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.71" customWidth="1" style="103" min="1" max="1"/>
    <col width="46.86" customWidth="1" style="103" min="2" max="2"/>
    <col width="12" customWidth="1" style="103" min="3" max="3"/>
    <col width="17.57" customWidth="1" style="103" min="4" max="4"/>
    <col width="14.57" customWidth="1" style="103" min="5" max="5"/>
    <col width="17" customWidth="1" style="103" min="6" max="6"/>
    <col width="15.42" customWidth="1" style="103" min="7" max="7"/>
    <col width="20.71" customWidth="1" style="103" min="8" max="8"/>
    <col width="16" customWidth="1" style="103" min="9" max="9"/>
    <col width="17.42" customWidth="1" style="103" min="10" max="10"/>
    <col width="19.57" customWidth="1" style="103" min="11" max="11"/>
    <col width="20.85" customWidth="1" style="103" min="12" max="12"/>
    <col width="19.14" customWidth="1" style="103" min="13" max="13"/>
    <col width="13.71" customWidth="1" style="103" min="14" max="14"/>
    <col width="18.86" customWidth="1" style="103" min="15" max="15"/>
    <col width="18.42" customWidth="1" style="103" min="16" max="16"/>
    <col width="17.29" customWidth="1" style="103" min="17" max="17"/>
    <col width="18" customWidth="1" style="103" min="18" max="18"/>
    <col width="21.43" customWidth="1" style="103" min="19" max="19"/>
    <col width="16.14" customWidth="1" style="103" min="20" max="20"/>
    <col width="19.42" customWidth="1" style="103" min="21" max="21"/>
    <col width="17.57" customWidth="1" style="103" min="22" max="22"/>
    <col width="15.85" customWidth="1" style="103" min="23" max="23"/>
    <col width="17.57" customWidth="1" style="103" min="24" max="24"/>
    <col width="20.42" customWidth="1" style="103" min="25" max="25"/>
    <col width="28.57" customWidth="1" style="103" min="26" max="26"/>
    <col width="18.57" customWidth="1" style="103" min="27" max="27"/>
    <col width="16.71" customWidth="1" style="103" min="28" max="28"/>
    <col width="36.71" customWidth="1" style="103" min="29" max="29"/>
    <col width="19.86" customWidth="1" style="103" min="30" max="30"/>
    <col width="31.57" customWidth="1" style="103" min="31" max="31"/>
    <col width="24.86" customWidth="1" style="103" min="32" max="32"/>
    <col width="29.42" customWidth="1" style="103" min="33" max="33"/>
    <col width="15.14" customWidth="1" style="103" min="34" max="34"/>
    <col width="19.42" customWidth="1" style="103" min="35" max="35"/>
    <col width="15.85" customWidth="1" style="103" min="36" max="36"/>
    <col width="21.71" customWidth="1" style="103" min="37" max="37"/>
    <col width="14.42" customWidth="1" style="103" min="38" max="38"/>
    <col width="33.57" customWidth="1" style="103" min="39" max="39"/>
    <col width="18.29" customWidth="1" style="103" min="40" max="40"/>
    <col width="13" customWidth="1" style="103" min="41" max="41"/>
    <col width="18.71" customWidth="1" style="103" min="42" max="42"/>
    <col width="15" customWidth="1" style="103" min="43" max="43"/>
    <col width="12.86" customWidth="1" style="103" min="44" max="44"/>
    <col width="15.29" customWidth="1" style="103" min="45" max="45"/>
    <col width="9.57" customWidth="1" style="103" min="46" max="46"/>
    <col width="22.15" customWidth="1" style="103" min="47" max="47"/>
    <col width="10.57" customWidth="1" style="103" min="48" max="48"/>
    <col width="11.57" customWidth="1" style="103" min="49" max="49"/>
    <col width="12.86" customWidth="1" style="103" min="88" max="88"/>
    <col width="16.71" customWidth="1" style="103" min="89" max="89"/>
    <col width="15.42" customWidth="1" style="103" min="90" max="90"/>
    <col width="16.57" customWidth="1" style="103" min="91" max="91"/>
    <col width="13" customWidth="1" style="103" min="92" max="92"/>
    <col width="14.86" customWidth="1" style="103" min="93" max="93"/>
    <col width="11.57" customWidth="1" style="103" min="94" max="94"/>
    <col width="12.15" customWidth="1" style="103" min="95" max="95"/>
  </cols>
  <sheetData>
    <row r="1" ht="22.5" customHeight="1" s="104">
      <c r="A1" s="161" t="inlineStr">
        <is>
          <t xml:space="preserve">Supply, 2024 (Current prices, mil. GEL) </t>
        </is>
      </c>
    </row>
    <row r="2" ht="38.25" customHeight="1" s="104">
      <c r="A2" s="162" t="inlineStr">
        <is>
          <t xml:space="preserve">        NACE rev.2
CPA 2008</t>
        </is>
      </c>
      <c r="B2" s="163" t="n"/>
      <c r="C2" s="164" t="inlineStr">
        <is>
          <t>1-3</t>
        </is>
      </c>
      <c r="D2" s="165" t="inlineStr">
        <is>
          <t>5-9</t>
        </is>
      </c>
      <c r="E2" s="165" t="inlineStr">
        <is>
          <t>10-12</t>
        </is>
      </c>
      <c r="F2" s="165" t="inlineStr">
        <is>
          <t>13-15</t>
        </is>
      </c>
      <c r="G2" s="165" t="inlineStr">
        <is>
          <t>16-18</t>
        </is>
      </c>
      <c r="H2" s="165" t="n">
        <v>19</v>
      </c>
      <c r="I2" s="165" t="n">
        <v>20</v>
      </c>
      <c r="J2" s="165" t="n">
        <v>21</v>
      </c>
      <c r="K2" s="165" t="inlineStr">
        <is>
          <t>22-23</t>
        </is>
      </c>
      <c r="L2" s="165" t="inlineStr">
        <is>
          <t>24-25</t>
        </is>
      </c>
      <c r="M2" s="165" t="n">
        <v>26</v>
      </c>
      <c r="N2" s="165" t="n">
        <v>27</v>
      </c>
      <c r="O2" s="165" t="n">
        <v>28</v>
      </c>
      <c r="P2" s="165" t="inlineStr">
        <is>
          <t>29-30</t>
        </is>
      </c>
      <c r="Q2" s="165" t="inlineStr">
        <is>
          <t>31-33</t>
        </is>
      </c>
      <c r="R2" s="165" t="inlineStr">
        <is>
          <t>35</t>
        </is>
      </c>
      <c r="S2" s="165" t="inlineStr">
        <is>
          <t>36-39</t>
        </is>
      </c>
      <c r="T2" s="165" t="inlineStr">
        <is>
          <t>41-43</t>
        </is>
      </c>
      <c r="U2" s="165" t="inlineStr">
        <is>
          <t>45-47</t>
        </is>
      </c>
      <c r="V2" s="165" t="inlineStr">
        <is>
          <t>49-53</t>
        </is>
      </c>
      <c r="W2" s="165" t="inlineStr">
        <is>
          <t>55-56</t>
        </is>
      </c>
      <c r="X2" s="165" t="inlineStr">
        <is>
          <t>58-60</t>
        </is>
      </c>
      <c r="Y2" s="165" t="inlineStr">
        <is>
          <t>61</t>
        </is>
      </c>
      <c r="Z2" s="165" t="inlineStr">
        <is>
          <t>62-63</t>
        </is>
      </c>
      <c r="AA2" s="165" t="inlineStr">
        <is>
          <t>64-66</t>
        </is>
      </c>
      <c r="AB2" s="165" t="inlineStr">
        <is>
          <t>68</t>
        </is>
      </c>
      <c r="AC2" s="165" t="inlineStr">
        <is>
          <t>69-71</t>
        </is>
      </c>
      <c r="AD2" s="165" t="n">
        <v>72</v>
      </c>
      <c r="AE2" s="165" t="inlineStr">
        <is>
          <t>73-75</t>
        </is>
      </c>
      <c r="AF2" s="165" t="inlineStr">
        <is>
          <t>77-82</t>
        </is>
      </c>
      <c r="AG2" s="165" t="n">
        <v>84</v>
      </c>
      <c r="AH2" s="165" t="n">
        <v>85</v>
      </c>
      <c r="AI2" s="165" t="n">
        <v>86</v>
      </c>
      <c r="AJ2" s="165" t="inlineStr">
        <is>
          <t>87-88</t>
        </is>
      </c>
      <c r="AK2" s="165" t="inlineStr">
        <is>
          <t>90-93</t>
        </is>
      </c>
      <c r="AL2" s="165" t="inlineStr">
        <is>
          <t>94-96</t>
        </is>
      </c>
      <c r="AM2" s="165" t="inlineStr">
        <is>
          <t>97-98</t>
        </is>
      </c>
      <c r="AN2" s="165" t="inlineStr">
        <is>
          <t>99</t>
        </is>
      </c>
      <c r="AO2" s="166" t="inlineStr">
        <is>
          <t>TotBP</t>
        </is>
      </c>
      <c r="AP2" s="166" t="inlineStr">
        <is>
          <t>TTM</t>
        </is>
      </c>
      <c r="AQ2" s="166" t="inlineStr">
        <is>
          <t>D21</t>
        </is>
      </c>
      <c r="AR2" s="166" t="inlineStr">
        <is>
          <t>P7</t>
        </is>
      </c>
      <c r="AS2" s="167" t="inlineStr">
        <is>
          <t>TotPP</t>
        </is>
      </c>
    </row>
    <row r="3" ht="102" customHeight="1" s="104">
      <c r="A3" s="168" t="n"/>
      <c r="B3" s="169" t="inlineStr">
        <is>
          <t xml:space="preserve">                            
                                             Industry, NACE rev.2
Product, CPA 2008</t>
        </is>
      </c>
      <c r="C3" s="170" t="inlineStr">
        <is>
          <t xml:space="preserve">Agriculture, forestry and fishing </t>
        </is>
      </c>
      <c r="D3" s="171" t="inlineStr">
        <is>
          <t xml:space="preserve">Mining and quarrying </t>
        </is>
      </c>
      <c r="E3" s="171" t="inlineStr">
        <is>
          <t xml:space="preserve">Manufacture of food products, beverages and tobacco products </t>
        </is>
      </c>
      <c r="F3" s="171" t="inlineStr">
        <is>
          <t xml:space="preserve">Manufacture of textiles, wearing apparel and leather products </t>
        </is>
      </c>
      <c r="G3" s="171" t="inlineStr">
        <is>
          <t>Manufacture of wood and paper products, and printing</t>
        </is>
      </c>
      <c r="H3" s="171" t="inlineStr">
        <is>
          <t xml:space="preserve">Manufacture of coke and refined petroleum products </t>
        </is>
      </c>
      <c r="I3" s="171" t="inlineStr">
        <is>
          <t xml:space="preserve">Manufacture of chemicals and chemical products </t>
        </is>
      </c>
      <c r="J3" s="171" t="inlineStr">
        <is>
          <t xml:space="preserve">Manufacture of basic pharmaceutical products and pharmaceutical preparations </t>
        </is>
      </c>
      <c r="K3" s="171" t="inlineStr">
        <is>
          <t xml:space="preserve">Manufacture of rubber and plastics products, and other non-metallic mineral products </t>
        </is>
      </c>
      <c r="L3" s="171" t="inlineStr">
        <is>
          <t xml:space="preserve">Manufacture of basic metals and fabricated metal products, except machinery and equipment </t>
        </is>
      </c>
      <c r="M3" s="171" t="inlineStr">
        <is>
          <t xml:space="preserve">Manufacture of computer, electronic and optical products </t>
        </is>
      </c>
      <c r="N3" s="171" t="inlineStr">
        <is>
          <t xml:space="preserve">Manufacture of electrical equipment </t>
        </is>
      </c>
      <c r="O3" s="171" t="inlineStr">
        <is>
          <t xml:space="preserve">Manufacture of machinery and equipment n.e.c. </t>
        </is>
      </c>
      <c r="P3" s="171" t="inlineStr">
        <is>
          <t xml:space="preserve">Manufacture of transport equipment </t>
        </is>
      </c>
      <c r="Q3" s="171" t="inlineStr">
        <is>
          <t xml:space="preserve">Manufacture of furniture; other manufacturing; repair and installation of machinery and equipment </t>
        </is>
      </c>
      <c r="R3" s="171" t="inlineStr">
        <is>
          <t xml:space="preserve">Electricity, gas, steam and air conditioning supply </t>
        </is>
      </c>
      <c r="S3" s="171" t="inlineStr">
        <is>
          <t xml:space="preserve">Water supply; sewerage, waste management and remediation activities </t>
        </is>
      </c>
      <c r="T3" s="171" t="inlineStr">
        <is>
          <t>Construction</t>
        </is>
      </c>
      <c r="U3" s="171" t="inlineStr">
        <is>
          <t xml:space="preserve">Wholesale and retail trade, repair of motor vehicles and motorcycles </t>
        </is>
      </c>
      <c r="V3" s="171" t="inlineStr">
        <is>
          <t xml:space="preserve">Transportation and storage </t>
        </is>
      </c>
      <c r="W3" s="171" t="inlineStr">
        <is>
          <t>Accommodation and food service activities</t>
        </is>
      </c>
      <c r="X3" s="171" t="inlineStr">
        <is>
          <t xml:space="preserve">Publishing, audiovisual and broadcasting activities </t>
        </is>
      </c>
      <c r="Y3" s="171" t="inlineStr">
        <is>
          <t>Telecommunications</t>
        </is>
      </c>
      <c r="Z3" s="171" t="inlineStr">
        <is>
          <t xml:space="preserve">Computer programming, consultancy and related activities; information service activities </t>
        </is>
      </c>
      <c r="AA3" s="171" t="inlineStr">
        <is>
          <t xml:space="preserve">Financial and insurance activities </t>
        </is>
      </c>
      <c r="AB3" s="171" t="inlineStr">
        <is>
          <t xml:space="preserve">Real estate activities </t>
        </is>
      </c>
      <c r="AC3" s="171" t="inlineStr">
        <is>
          <t>Legal and accounting activities; activities of head offices; management consultancy activities; architecture and engineering activities; technical testing and analysis</t>
        </is>
      </c>
      <c r="AD3" s="171" t="inlineStr">
        <is>
          <t xml:space="preserve">Scientific research and development </t>
        </is>
      </c>
      <c r="AE3" s="171" t="inlineStr">
        <is>
          <t xml:space="preserve">Advertising and market research; other professional, scientific and technical activities; veterinary activities </t>
        </is>
      </c>
      <c r="AF3" s="171" t="inlineStr">
        <is>
          <t xml:space="preserve">Administrative and support service activities </t>
        </is>
      </c>
      <c r="AG3" s="171" t="inlineStr">
        <is>
          <t xml:space="preserve">Public administration and defence; compulsory social security </t>
        </is>
      </c>
      <c r="AH3" s="171" t="inlineStr">
        <is>
          <t>Education</t>
        </is>
      </c>
      <c r="AI3" s="171" t="inlineStr">
        <is>
          <t xml:space="preserve">Human health activities </t>
        </is>
      </c>
      <c r="AJ3" s="171" t="inlineStr">
        <is>
          <t xml:space="preserve">Social work activities </t>
        </is>
      </c>
      <c r="AK3" s="171" t="inlineStr">
        <is>
          <t xml:space="preserve">Arts, entertainment and recreation </t>
        </is>
      </c>
      <c r="AL3" s="171" t="inlineStr">
        <is>
          <t xml:space="preserve">Other service activities </t>
        </is>
      </c>
      <c r="AM3" s="171" t="inlineStr">
        <is>
          <t xml:space="preserve">Activities of households as employers of domestic personnel and undifferentiated goods and services production of households for own use </t>
        </is>
      </c>
      <c r="AN3" s="171" t="inlineStr">
        <is>
          <t>Activities of extra-territorial organisations and bodies</t>
        </is>
      </c>
      <c r="AO3" s="172" t="inlineStr">
        <is>
          <t>Output, total</t>
        </is>
      </c>
      <c r="AP3" s="172" t="inlineStr">
        <is>
          <t>Trade and transport margins</t>
        </is>
      </c>
      <c r="AQ3" s="172" t="inlineStr">
        <is>
          <t>Taxes on products</t>
        </is>
      </c>
      <c r="AR3" s="172" t="inlineStr">
        <is>
          <t>Import, total</t>
        </is>
      </c>
      <c r="AS3" s="173" t="inlineStr">
        <is>
          <t>Resources, total</t>
        </is>
      </c>
    </row>
    <row r="4" ht="15" customHeight="1" s="104">
      <c r="A4" s="174" t="inlineStr">
        <is>
          <t>1-3</t>
        </is>
      </c>
      <c r="B4" s="175" t="inlineStr">
        <is>
          <t xml:space="preserve">Products of agriculture, forestry and fishing </t>
        </is>
      </c>
      <c r="C4" s="176" t="n">
        <v>8082.22819815753</v>
      </c>
      <c r="D4" s="176" t="n">
        <v>0</v>
      </c>
      <c r="E4" s="176" t="n">
        <v>0</v>
      </c>
      <c r="F4" s="176" t="n">
        <v>0</v>
      </c>
      <c r="G4" s="176" t="n">
        <v>0</v>
      </c>
      <c r="H4" s="176" t="n">
        <v>0</v>
      </c>
      <c r="I4" s="176" t="n">
        <v>0</v>
      </c>
      <c r="J4" s="176" t="n">
        <v>0</v>
      </c>
      <c r="K4" s="176" t="n">
        <v>0</v>
      </c>
      <c r="L4" s="176" t="n">
        <v>0</v>
      </c>
      <c r="M4" s="176" t="n">
        <v>0</v>
      </c>
      <c r="N4" s="176" t="n">
        <v>0</v>
      </c>
      <c r="O4" s="176" t="n">
        <v>0</v>
      </c>
      <c r="P4" s="176" t="n">
        <v>0</v>
      </c>
      <c r="Q4" s="176" t="n">
        <v>0</v>
      </c>
      <c r="R4" s="176" t="n">
        <v>0</v>
      </c>
      <c r="S4" s="176" t="n">
        <v>0</v>
      </c>
      <c r="T4" s="176" t="n">
        <v>0</v>
      </c>
      <c r="U4" s="176" t="n">
        <v>0.00710293044711415</v>
      </c>
      <c r="V4" s="176" t="n">
        <v>0</v>
      </c>
      <c r="W4" s="176" t="n">
        <v>0</v>
      </c>
      <c r="X4" s="176" t="n">
        <v>0</v>
      </c>
      <c r="Y4" s="176" t="n">
        <v>0</v>
      </c>
      <c r="Z4" s="176" t="n">
        <v>0</v>
      </c>
      <c r="AA4" s="176" t="n">
        <v>0</v>
      </c>
      <c r="AB4" s="176" t="n">
        <v>0</v>
      </c>
      <c r="AC4" s="176" t="n">
        <v>0</v>
      </c>
      <c r="AD4" s="176" t="n">
        <v>0</v>
      </c>
      <c r="AE4" s="176" t="n">
        <v>0</v>
      </c>
      <c r="AF4" s="176" t="n">
        <v>0</v>
      </c>
      <c r="AG4" s="176" t="n">
        <v>0</v>
      </c>
      <c r="AH4" s="176" t="n">
        <v>0</v>
      </c>
      <c r="AI4" s="176" t="n">
        <v>0</v>
      </c>
      <c r="AJ4" s="176" t="n">
        <v>0</v>
      </c>
      <c r="AK4" s="176" t="n">
        <v>0</v>
      </c>
      <c r="AL4" s="176" t="n">
        <v>0</v>
      </c>
      <c r="AM4" s="176" t="n">
        <v>0</v>
      </c>
      <c r="AN4" s="176" t="n">
        <v>0</v>
      </c>
      <c r="AO4" s="177" t="n">
        <v>8082.23530108798</v>
      </c>
      <c r="AP4" s="177" t="n">
        <v>2638.07495226093</v>
      </c>
      <c r="AQ4" s="177" t="n">
        <v>-78.9171089010984</v>
      </c>
      <c r="AR4" s="177" t="n">
        <v>908.353589988697</v>
      </c>
      <c r="AS4" s="178" t="n">
        <v>11549.7467344365</v>
      </c>
      <c r="AT4" s="179" t="n"/>
      <c r="AU4" s="179" t="n"/>
    </row>
    <row r="5" ht="15" customHeight="1" s="104">
      <c r="A5" s="180" t="inlineStr">
        <is>
          <t>5-9</t>
        </is>
      </c>
      <c r="B5" s="175" t="inlineStr">
        <is>
          <t xml:space="preserve">Mining and quarrying </t>
        </is>
      </c>
      <c r="C5" s="176" t="n">
        <v>0</v>
      </c>
      <c r="D5" s="176" t="n">
        <v>2204.83484944466</v>
      </c>
      <c r="E5" s="176" t="n">
        <v>0.0158666682394992</v>
      </c>
      <c r="F5" s="176" t="n">
        <v>0</v>
      </c>
      <c r="G5" s="176" t="n">
        <v>0</v>
      </c>
      <c r="H5" s="176" t="n">
        <v>0</v>
      </c>
      <c r="I5" s="176" t="n">
        <v>0</v>
      </c>
      <c r="J5" s="176" t="n">
        <v>0</v>
      </c>
      <c r="K5" s="176" t="n">
        <v>31.5985535694618</v>
      </c>
      <c r="L5" s="176" t="n">
        <v>0.00807372288964665</v>
      </c>
      <c r="M5" s="176" t="n">
        <v>0</v>
      </c>
      <c r="N5" s="176" t="n">
        <v>0</v>
      </c>
      <c r="O5" s="176" t="n">
        <v>0</v>
      </c>
      <c r="P5" s="176" t="n">
        <v>0</v>
      </c>
      <c r="Q5" s="176" t="n">
        <v>0</v>
      </c>
      <c r="R5" s="176" t="n">
        <v>0</v>
      </c>
      <c r="S5" s="176" t="n">
        <v>0</v>
      </c>
      <c r="T5" s="176" t="n">
        <v>11.7693393367709</v>
      </c>
      <c r="U5" s="176" t="n">
        <v>6.28138780556308</v>
      </c>
      <c r="V5" s="176" t="n">
        <v>0.009861215970148831</v>
      </c>
      <c r="W5" s="176" t="n">
        <v>0</v>
      </c>
      <c r="X5" s="176" t="n">
        <v>0</v>
      </c>
      <c r="Y5" s="176" t="n">
        <v>0</v>
      </c>
      <c r="Z5" s="176" t="n">
        <v>0</v>
      </c>
      <c r="AA5" s="176" t="n">
        <v>0</v>
      </c>
      <c r="AB5" s="176" t="n">
        <v>0</v>
      </c>
      <c r="AC5" s="176" t="n">
        <v>0</v>
      </c>
      <c r="AD5" s="176" t="n">
        <v>0</v>
      </c>
      <c r="AE5" s="176" t="n">
        <v>0</v>
      </c>
      <c r="AF5" s="176" t="n">
        <v>1.39150198466674</v>
      </c>
      <c r="AG5" s="176" t="n">
        <v>0</v>
      </c>
      <c r="AH5" s="176" t="n">
        <v>0</v>
      </c>
      <c r="AI5" s="176" t="n">
        <v>0</v>
      </c>
      <c r="AJ5" s="176" t="n">
        <v>0</v>
      </c>
      <c r="AK5" s="176" t="n">
        <v>0</v>
      </c>
      <c r="AL5" s="176" t="n">
        <v>0</v>
      </c>
      <c r="AM5" s="176" t="n">
        <v>0</v>
      </c>
      <c r="AN5" s="176" t="n">
        <v>0</v>
      </c>
      <c r="AO5" s="177" t="n">
        <v>2255.90943374822</v>
      </c>
      <c r="AP5" s="177" t="n">
        <v>717.687754654187</v>
      </c>
      <c r="AQ5" s="177" t="n">
        <v>16.9623255137626</v>
      </c>
      <c r="AR5" s="177" t="n">
        <v>212.062948370197</v>
      </c>
      <c r="AS5" s="178" t="n">
        <v>3202.62246228637</v>
      </c>
      <c r="AT5" s="179" t="n"/>
      <c r="AU5" s="181" t="n"/>
    </row>
    <row r="6" ht="15" customHeight="1" s="104">
      <c r="A6" s="180" t="inlineStr">
        <is>
          <t>10-12</t>
        </is>
      </c>
      <c r="B6" s="175" t="inlineStr">
        <is>
          <t xml:space="preserve">Food products, beverages and tobacco products </t>
        </is>
      </c>
      <c r="C6" s="176" t="n">
        <v>0</v>
      </c>
      <c r="D6" s="176" t="n">
        <v>0</v>
      </c>
      <c r="E6" s="176" t="n">
        <v>13806.6016862674</v>
      </c>
      <c r="F6" s="176" t="n">
        <v>0</v>
      </c>
      <c r="G6" s="176" t="n">
        <v>0</v>
      </c>
      <c r="H6" s="176" t="n">
        <v>0</v>
      </c>
      <c r="I6" s="176" t="n">
        <v>0</v>
      </c>
      <c r="J6" s="176" t="n">
        <v>0</v>
      </c>
      <c r="K6" s="176" t="n">
        <v>0.0110585765085473</v>
      </c>
      <c r="L6" s="176" t="n">
        <v>0</v>
      </c>
      <c r="M6" s="176" t="n">
        <v>0</v>
      </c>
      <c r="N6" s="176" t="n">
        <v>0</v>
      </c>
      <c r="O6" s="176" t="n">
        <v>0</v>
      </c>
      <c r="P6" s="176" t="n">
        <v>0</v>
      </c>
      <c r="Q6" s="176" t="n">
        <v>0</v>
      </c>
      <c r="R6" s="176" t="n">
        <v>0</v>
      </c>
      <c r="S6" s="176" t="n">
        <v>0</v>
      </c>
      <c r="T6" s="176" t="n">
        <v>0</v>
      </c>
      <c r="U6" s="176" t="n">
        <v>10.8534774193944</v>
      </c>
      <c r="V6" s="176" t="n">
        <v>0.0564172450644795</v>
      </c>
      <c r="W6" s="176" t="n">
        <v>11.8638623755143</v>
      </c>
      <c r="X6" s="176" t="n">
        <v>0</v>
      </c>
      <c r="Y6" s="176" t="n">
        <v>0</v>
      </c>
      <c r="Z6" s="176" t="n">
        <v>0</v>
      </c>
      <c r="AA6" s="176" t="n">
        <v>0</v>
      </c>
      <c r="AB6" s="176" t="n">
        <v>7.43232016040384</v>
      </c>
      <c r="AC6" s="176" t="n">
        <v>0</v>
      </c>
      <c r="AD6" s="176" t="n">
        <v>0</v>
      </c>
      <c r="AE6" s="176" t="n">
        <v>0</v>
      </c>
      <c r="AF6" s="176" t="n">
        <v>0</v>
      </c>
      <c r="AG6" s="176" t="n">
        <v>0</v>
      </c>
      <c r="AH6" s="176" t="n">
        <v>0</v>
      </c>
      <c r="AI6" s="176" t="n">
        <v>0</v>
      </c>
      <c r="AJ6" s="176" t="n">
        <v>0</v>
      </c>
      <c r="AK6" s="176" t="n">
        <v>0</v>
      </c>
      <c r="AL6" s="176" t="n">
        <v>0</v>
      </c>
      <c r="AM6" s="176" t="n">
        <v>0</v>
      </c>
      <c r="AN6" s="176" t="n">
        <v>0</v>
      </c>
      <c r="AO6" s="177" t="n">
        <v>13836.8188220443</v>
      </c>
      <c r="AP6" s="177" t="n">
        <v>6498.37183648715</v>
      </c>
      <c r="AQ6" s="177" t="n">
        <v>3942.80957005059</v>
      </c>
      <c r="AR6" s="177" t="n">
        <v>3804.31006526038</v>
      </c>
      <c r="AS6" s="178" t="n">
        <v>28082.3102938425</v>
      </c>
      <c r="AT6" s="179" t="n"/>
      <c r="AU6" s="179" t="n"/>
    </row>
    <row r="7" ht="15" customHeight="1" s="104">
      <c r="A7" s="180" t="inlineStr">
        <is>
          <t>13-15</t>
        </is>
      </c>
      <c r="B7" s="175" t="inlineStr">
        <is>
          <t xml:space="preserve">Textiles, wearing apparel and leather products </t>
        </is>
      </c>
      <c r="C7" s="176" t="n">
        <v>0</v>
      </c>
      <c r="D7" s="176" t="n">
        <v>0</v>
      </c>
      <c r="E7" s="176" t="n">
        <v>0</v>
      </c>
      <c r="F7" s="176" t="n">
        <v>668.305936486545</v>
      </c>
      <c r="G7" s="176" t="n">
        <v>0</v>
      </c>
      <c r="H7" s="176" t="n">
        <v>0</v>
      </c>
      <c r="I7" s="176" t="n">
        <v>0</v>
      </c>
      <c r="J7" s="176" t="n">
        <v>0</v>
      </c>
      <c r="K7" s="176" t="n">
        <v>0</v>
      </c>
      <c r="L7" s="176" t="n">
        <v>0</v>
      </c>
      <c r="M7" s="176" t="n">
        <v>0</v>
      </c>
      <c r="N7" s="176" t="n">
        <v>0</v>
      </c>
      <c r="O7" s="176" t="n">
        <v>0</v>
      </c>
      <c r="P7" s="176" t="n">
        <v>0</v>
      </c>
      <c r="Q7" s="176" t="n">
        <v>0</v>
      </c>
      <c r="R7" s="176" t="n">
        <v>0</v>
      </c>
      <c r="S7" s="176" t="n">
        <v>0</v>
      </c>
      <c r="T7" s="176" t="n">
        <v>0</v>
      </c>
      <c r="U7" s="176" t="n">
        <v>0.342461661762355</v>
      </c>
      <c r="V7" s="176" t="n">
        <v>0</v>
      </c>
      <c r="W7" s="176" t="n">
        <v>0</v>
      </c>
      <c r="X7" s="176" t="n">
        <v>0</v>
      </c>
      <c r="Y7" s="176" t="n">
        <v>0</v>
      </c>
      <c r="Z7" s="176" t="n">
        <v>0</v>
      </c>
      <c r="AA7" s="176" t="n">
        <v>0</v>
      </c>
      <c r="AB7" s="176" t="n">
        <v>0</v>
      </c>
      <c r="AC7" s="176" t="n">
        <v>0</v>
      </c>
      <c r="AD7" s="176" t="n">
        <v>0</v>
      </c>
      <c r="AE7" s="176" t="n">
        <v>0</v>
      </c>
      <c r="AF7" s="176" t="n">
        <v>0</v>
      </c>
      <c r="AG7" s="176" t="n">
        <v>0</v>
      </c>
      <c r="AH7" s="176" t="n">
        <v>0.07174067310257599</v>
      </c>
      <c r="AI7" s="176" t="n">
        <v>0</v>
      </c>
      <c r="AJ7" s="176" t="n">
        <v>0</v>
      </c>
      <c r="AK7" s="176" t="n">
        <v>0</v>
      </c>
      <c r="AL7" s="176" t="n">
        <v>0</v>
      </c>
      <c r="AM7" s="176" t="n">
        <v>0</v>
      </c>
      <c r="AN7" s="176" t="n">
        <v>0</v>
      </c>
      <c r="AO7" s="177" t="n">
        <v>668.72013882141</v>
      </c>
      <c r="AP7" s="177" t="n">
        <v>1376.28148472425</v>
      </c>
      <c r="AQ7" s="177" t="n">
        <v>371.253990055975</v>
      </c>
      <c r="AR7" s="177" t="n">
        <v>2216.40158004296</v>
      </c>
      <c r="AS7" s="178" t="n">
        <v>4632.6571936446</v>
      </c>
      <c r="AT7" s="179" t="n"/>
      <c r="AU7" s="179" t="n"/>
    </row>
    <row r="8" ht="15" customHeight="1" s="104">
      <c r="A8" s="180" t="inlineStr">
        <is>
          <t>16-18</t>
        </is>
      </c>
      <c r="B8" s="175" t="inlineStr">
        <is>
          <t xml:space="preserve">Wood and paper products, and printing services </t>
        </is>
      </c>
      <c r="C8" s="176" t="n">
        <v>0</v>
      </c>
      <c r="D8" s="176" t="n">
        <v>0</v>
      </c>
      <c r="E8" s="176" t="n">
        <v>0</v>
      </c>
      <c r="F8" s="176" t="n">
        <v>0</v>
      </c>
      <c r="G8" s="176" t="n">
        <v>720.9099499319479</v>
      </c>
      <c r="H8" s="176" t="n">
        <v>0</v>
      </c>
      <c r="I8" s="176" t="n">
        <v>0</v>
      </c>
      <c r="J8" s="176" t="n">
        <v>0</v>
      </c>
      <c r="K8" s="176" t="n">
        <v>2.97972342964562</v>
      </c>
      <c r="L8" s="176" t="n">
        <v>0</v>
      </c>
      <c r="M8" s="176" t="n">
        <v>0</v>
      </c>
      <c r="N8" s="176" t="n">
        <v>0</v>
      </c>
      <c r="O8" s="176" t="n">
        <v>0</v>
      </c>
      <c r="P8" s="176" t="n">
        <v>0</v>
      </c>
      <c r="Q8" s="176" t="n">
        <v>1.28483217093681</v>
      </c>
      <c r="R8" s="176" t="n">
        <v>0</v>
      </c>
      <c r="S8" s="176" t="n">
        <v>0</v>
      </c>
      <c r="T8" s="176" t="n">
        <v>0</v>
      </c>
      <c r="U8" s="176" t="n">
        <v>3.9001651900952</v>
      </c>
      <c r="V8" s="176" t="n">
        <v>0</v>
      </c>
      <c r="W8" s="176" t="n">
        <v>0</v>
      </c>
      <c r="X8" s="176" t="n">
        <v>0.007822954442979421</v>
      </c>
      <c r="Y8" s="176" t="n">
        <v>0</v>
      </c>
      <c r="Z8" s="176" t="n">
        <v>0</v>
      </c>
      <c r="AA8" s="176" t="n">
        <v>0</v>
      </c>
      <c r="AB8" s="176" t="n">
        <v>0</v>
      </c>
      <c r="AC8" s="176" t="n">
        <v>0</v>
      </c>
      <c r="AD8" s="176" t="n">
        <v>0</v>
      </c>
      <c r="AE8" s="176" t="n">
        <v>0</v>
      </c>
      <c r="AF8" s="176" t="n">
        <v>0</v>
      </c>
      <c r="AG8" s="176" t="n">
        <v>0</v>
      </c>
      <c r="AH8" s="176" t="n">
        <v>0</v>
      </c>
      <c r="AI8" s="176" t="n">
        <v>0</v>
      </c>
      <c r="AJ8" s="176" t="n">
        <v>0</v>
      </c>
      <c r="AK8" s="176" t="n">
        <v>0</v>
      </c>
      <c r="AL8" s="176" t="n">
        <v>0</v>
      </c>
      <c r="AM8" s="176" t="n">
        <v>0</v>
      </c>
      <c r="AN8" s="176" t="n">
        <v>0</v>
      </c>
      <c r="AO8" s="177" t="n">
        <v>729.082493677069</v>
      </c>
      <c r="AP8" s="177" t="n">
        <v>629.622788267287</v>
      </c>
      <c r="AQ8" s="177" t="n">
        <v>117.912044785005</v>
      </c>
      <c r="AR8" s="177" t="n">
        <v>1118.74467596094</v>
      </c>
      <c r="AS8" s="178" t="n">
        <v>2595.3620026903</v>
      </c>
      <c r="AT8" s="179" t="n"/>
      <c r="AU8" s="179" t="n"/>
    </row>
    <row r="9" ht="15" customHeight="1" s="104">
      <c r="A9" s="180" t="n">
        <v>19</v>
      </c>
      <c r="B9" s="182" t="inlineStr">
        <is>
          <t>Coke and refined petroleum products</t>
        </is>
      </c>
      <c r="C9" s="176" t="n">
        <v>0</v>
      </c>
      <c r="D9" s="176" t="n">
        <v>0</v>
      </c>
      <c r="E9" s="176" t="n">
        <v>0</v>
      </c>
      <c r="F9" s="176" t="n">
        <v>0</v>
      </c>
      <c r="G9" s="176" t="n">
        <v>0</v>
      </c>
      <c r="H9" s="176" t="n">
        <v>256.494138268037</v>
      </c>
      <c r="I9" s="176" t="n">
        <v>0</v>
      </c>
      <c r="J9" s="176" t="n">
        <v>0</v>
      </c>
      <c r="K9" s="176" t="n">
        <v>0</v>
      </c>
      <c r="L9" s="176" t="n">
        <v>0</v>
      </c>
      <c r="M9" s="176" t="n">
        <v>0</v>
      </c>
      <c r="N9" s="176" t="n">
        <v>0</v>
      </c>
      <c r="O9" s="176" t="n">
        <v>0</v>
      </c>
      <c r="P9" s="176" t="n">
        <v>0</v>
      </c>
      <c r="Q9" s="176" t="n">
        <v>0</v>
      </c>
      <c r="R9" s="176" t="n">
        <v>0</v>
      </c>
      <c r="S9" s="176" t="n">
        <v>0</v>
      </c>
      <c r="T9" s="176" t="n">
        <v>0</v>
      </c>
      <c r="U9" s="176" t="n">
        <v>0</v>
      </c>
      <c r="V9" s="176" t="n">
        <v>0</v>
      </c>
      <c r="W9" s="176" t="n">
        <v>0</v>
      </c>
      <c r="X9" s="176" t="n">
        <v>0</v>
      </c>
      <c r="Y9" s="176" t="n">
        <v>0</v>
      </c>
      <c r="Z9" s="176" t="n">
        <v>0</v>
      </c>
      <c r="AA9" s="176" t="n">
        <v>0</v>
      </c>
      <c r="AB9" s="176" t="n">
        <v>0</v>
      </c>
      <c r="AC9" s="176" t="n">
        <v>0</v>
      </c>
      <c r="AD9" s="176" t="n">
        <v>0</v>
      </c>
      <c r="AE9" s="176" t="n">
        <v>0</v>
      </c>
      <c r="AF9" s="176" t="n">
        <v>0</v>
      </c>
      <c r="AG9" s="176" t="n">
        <v>0</v>
      </c>
      <c r="AH9" s="176" t="n">
        <v>0</v>
      </c>
      <c r="AI9" s="176" t="n">
        <v>0</v>
      </c>
      <c r="AJ9" s="176" t="n">
        <v>0</v>
      </c>
      <c r="AK9" s="176" t="n">
        <v>0</v>
      </c>
      <c r="AL9" s="176" t="n">
        <v>0</v>
      </c>
      <c r="AM9" s="176" t="n">
        <v>0</v>
      </c>
      <c r="AN9" s="176" t="n">
        <v>0</v>
      </c>
      <c r="AO9" s="177" t="n">
        <v>256.494138268037</v>
      </c>
      <c r="AP9" s="177" t="n">
        <v>1442.85382172327</v>
      </c>
      <c r="AQ9" s="177" t="n">
        <v>1158.38928291639</v>
      </c>
      <c r="AR9" s="177" t="n">
        <v>2370.84456286824</v>
      </c>
      <c r="AS9" s="178" t="n">
        <v>5228.58180577594</v>
      </c>
      <c r="AT9" s="179" t="n"/>
      <c r="AU9" s="179" t="n"/>
    </row>
    <row r="10" ht="15" customHeight="1" s="104">
      <c r="A10" s="180" t="n">
        <v>20</v>
      </c>
      <c r="B10" s="182" t="inlineStr">
        <is>
          <t xml:space="preserve">Chemicals and chemical products </t>
        </is>
      </c>
      <c r="C10" s="176" t="n">
        <v>0</v>
      </c>
      <c r="D10" s="176" t="n">
        <v>0</v>
      </c>
      <c r="E10" s="176" t="n">
        <v>0.407955812797603</v>
      </c>
      <c r="F10" s="176" t="n">
        <v>0</v>
      </c>
      <c r="G10" s="176" t="n">
        <v>3.9409001102128</v>
      </c>
      <c r="H10" s="176" t="n">
        <v>0</v>
      </c>
      <c r="I10" s="176" t="n">
        <v>740.074880076159</v>
      </c>
      <c r="J10" s="176" t="n">
        <v>1.04180150140899</v>
      </c>
      <c r="K10" s="176" t="n">
        <v>1.32849122216142</v>
      </c>
      <c r="L10" s="176" t="n">
        <v>0</v>
      </c>
      <c r="M10" s="176" t="n">
        <v>0</v>
      </c>
      <c r="N10" s="176" t="n">
        <v>0</v>
      </c>
      <c r="O10" s="176" t="n">
        <v>0</v>
      </c>
      <c r="P10" s="176" t="n">
        <v>0</v>
      </c>
      <c r="Q10" s="176" t="n">
        <v>1.85203714972234</v>
      </c>
      <c r="R10" s="176" t="n">
        <v>0</v>
      </c>
      <c r="S10" s="176" t="n">
        <v>0</v>
      </c>
      <c r="T10" s="176" t="n">
        <v>0</v>
      </c>
      <c r="U10" s="176" t="n">
        <v>2.78502869367911</v>
      </c>
      <c r="V10" s="176" t="n">
        <v>0</v>
      </c>
      <c r="W10" s="176" t="n">
        <v>0</v>
      </c>
      <c r="X10" s="176" t="n">
        <v>0</v>
      </c>
      <c r="Y10" s="176" t="n">
        <v>0</v>
      </c>
      <c r="Z10" s="176" t="n">
        <v>0</v>
      </c>
      <c r="AA10" s="176" t="n">
        <v>0</v>
      </c>
      <c r="AB10" s="176" t="n">
        <v>0.00540693933071253</v>
      </c>
      <c r="AC10" s="176" t="n">
        <v>0</v>
      </c>
      <c r="AD10" s="176" t="n">
        <v>0</v>
      </c>
      <c r="AE10" s="176" t="n">
        <v>0</v>
      </c>
      <c r="AF10" s="176" t="n">
        <v>0</v>
      </c>
      <c r="AG10" s="176" t="n">
        <v>0</v>
      </c>
      <c r="AH10" s="176" t="n">
        <v>0</v>
      </c>
      <c r="AI10" s="176" t="n">
        <v>0</v>
      </c>
      <c r="AJ10" s="176" t="n">
        <v>0</v>
      </c>
      <c r="AK10" s="176" t="n">
        <v>0</v>
      </c>
      <c r="AL10" s="176" t="n">
        <v>0</v>
      </c>
      <c r="AM10" s="176" t="n">
        <v>0</v>
      </c>
      <c r="AN10" s="176" t="n">
        <v>0</v>
      </c>
      <c r="AO10" s="177" t="n">
        <v>751.4365015054721</v>
      </c>
      <c r="AP10" s="177" t="n">
        <v>1244.63299473355</v>
      </c>
      <c r="AQ10" s="177" t="n">
        <v>324.578269270694</v>
      </c>
      <c r="AR10" s="177" t="n">
        <v>2402.24284709411</v>
      </c>
      <c r="AS10" s="178" t="n">
        <v>4722.89061260382</v>
      </c>
      <c r="AT10" s="179" t="n"/>
      <c r="AU10" s="179" t="n"/>
    </row>
    <row r="11" ht="26.25" customHeight="1" s="104">
      <c r="A11" s="180" t="n">
        <v>21</v>
      </c>
      <c r="B11" s="182" t="inlineStr">
        <is>
          <t xml:space="preserve">Basic pharmaceutical products and pharmaceutical preparations </t>
        </is>
      </c>
      <c r="C11" s="176" t="n">
        <v>0</v>
      </c>
      <c r="D11" s="176" t="n">
        <v>0</v>
      </c>
      <c r="E11" s="176" t="n">
        <v>0</v>
      </c>
      <c r="F11" s="176" t="n">
        <v>0</v>
      </c>
      <c r="G11" s="176" t="n">
        <v>0</v>
      </c>
      <c r="H11" s="176" t="n">
        <v>0</v>
      </c>
      <c r="I11" s="176" t="n">
        <v>0</v>
      </c>
      <c r="J11" s="176" t="n">
        <v>437.765452455112</v>
      </c>
      <c r="K11" s="176" t="n">
        <v>0</v>
      </c>
      <c r="L11" s="176" t="n">
        <v>0</v>
      </c>
      <c r="M11" s="176" t="n">
        <v>0</v>
      </c>
      <c r="N11" s="176" t="n">
        <v>0</v>
      </c>
      <c r="O11" s="176" t="n">
        <v>0</v>
      </c>
      <c r="P11" s="176" t="n">
        <v>0</v>
      </c>
      <c r="Q11" s="176" t="n">
        <v>0</v>
      </c>
      <c r="R11" s="176" t="n">
        <v>0</v>
      </c>
      <c r="S11" s="176" t="n">
        <v>0</v>
      </c>
      <c r="T11" s="176" t="n">
        <v>0</v>
      </c>
      <c r="U11" s="176" t="n">
        <v>0.0551651829322938</v>
      </c>
      <c r="V11" s="176" t="n">
        <v>0</v>
      </c>
      <c r="W11" s="176" t="n">
        <v>0</v>
      </c>
      <c r="X11" s="176" t="n">
        <v>0</v>
      </c>
      <c r="Y11" s="176" t="n">
        <v>0</v>
      </c>
      <c r="Z11" s="176" t="n">
        <v>0</v>
      </c>
      <c r="AA11" s="176" t="n">
        <v>0</v>
      </c>
      <c r="AB11" s="176" t="n">
        <v>0</v>
      </c>
      <c r="AC11" s="176" t="n">
        <v>0</v>
      </c>
      <c r="AD11" s="176" t="n">
        <v>0</v>
      </c>
      <c r="AE11" s="176" t="n">
        <v>0</v>
      </c>
      <c r="AF11" s="176" t="n">
        <v>0</v>
      </c>
      <c r="AG11" s="176" t="n">
        <v>0</v>
      </c>
      <c r="AH11" s="176" t="n">
        <v>0</v>
      </c>
      <c r="AI11" s="176" t="n">
        <v>0</v>
      </c>
      <c r="AJ11" s="176" t="n">
        <v>0</v>
      </c>
      <c r="AK11" s="176" t="n">
        <v>0</v>
      </c>
      <c r="AL11" s="176" t="n">
        <v>0</v>
      </c>
      <c r="AM11" s="176" t="n">
        <v>0</v>
      </c>
      <c r="AN11" s="176" t="n">
        <v>0</v>
      </c>
      <c r="AO11" s="177" t="n">
        <v>437.820617638044</v>
      </c>
      <c r="AP11" s="177" t="n">
        <v>757.1382030919819</v>
      </c>
      <c r="AQ11" s="177" t="n">
        <v>277.297927795272</v>
      </c>
      <c r="AR11" s="177" t="n">
        <v>1579.00820711507</v>
      </c>
      <c r="AS11" s="178" t="n">
        <v>3051.26495564037</v>
      </c>
      <c r="AT11" s="179" t="n"/>
      <c r="AU11" s="179" t="n"/>
    </row>
    <row r="12" ht="26.25" customHeight="1" s="104">
      <c r="A12" s="180" t="inlineStr">
        <is>
          <t>22-23</t>
        </is>
      </c>
      <c r="B12" s="182" t="inlineStr">
        <is>
          <t xml:space="preserve">Rubber and plastics products, and other non-metallic mineral products </t>
        </is>
      </c>
      <c r="C12" s="176" t="n">
        <v>0</v>
      </c>
      <c r="D12" s="176" t="n">
        <v>24.1534630075071</v>
      </c>
      <c r="E12" s="176" t="n">
        <v>2.45828931324288</v>
      </c>
      <c r="F12" s="176" t="n">
        <v>0.85865734741777</v>
      </c>
      <c r="G12" s="176" t="n">
        <v>0</v>
      </c>
      <c r="H12" s="176" t="n">
        <v>0</v>
      </c>
      <c r="I12" s="176" t="n">
        <v>5.81978249693827</v>
      </c>
      <c r="J12" s="176" t="n">
        <v>0</v>
      </c>
      <c r="K12" s="176" t="n">
        <v>3553.76061959259</v>
      </c>
      <c r="L12" s="176" t="n">
        <v>9.25653145677741</v>
      </c>
      <c r="M12" s="176" t="n">
        <v>0</v>
      </c>
      <c r="N12" s="176" t="n">
        <v>1.3595498620841</v>
      </c>
      <c r="O12" s="176" t="n">
        <v>0.411376623050064</v>
      </c>
      <c r="P12" s="176" t="n">
        <v>0</v>
      </c>
      <c r="Q12" s="176" t="n">
        <v>1.38634103761697</v>
      </c>
      <c r="R12" s="176" t="n">
        <v>0</v>
      </c>
      <c r="S12" s="176" t="n">
        <v>0</v>
      </c>
      <c r="T12" s="176" t="n">
        <v>18.9781732420924</v>
      </c>
      <c r="U12" s="176" t="n">
        <v>5.50075790204532</v>
      </c>
      <c r="V12" s="176" t="n">
        <v>6.06418182079441</v>
      </c>
      <c r="W12" s="176" t="n">
        <v>0</v>
      </c>
      <c r="X12" s="176" t="n">
        <v>0</v>
      </c>
      <c r="Y12" s="176" t="n">
        <v>0</v>
      </c>
      <c r="Z12" s="176" t="n">
        <v>0</v>
      </c>
      <c r="AA12" s="176" t="n">
        <v>0</v>
      </c>
      <c r="AB12" s="176" t="n">
        <v>0</v>
      </c>
      <c r="AC12" s="176" t="n">
        <v>0</v>
      </c>
      <c r="AD12" s="176" t="n">
        <v>0</v>
      </c>
      <c r="AE12" s="176" t="n">
        <v>0</v>
      </c>
      <c r="AF12" s="176" t="n">
        <v>0</v>
      </c>
      <c r="AG12" s="176" t="n">
        <v>0</v>
      </c>
      <c r="AH12" s="176" t="n">
        <v>0</v>
      </c>
      <c r="AI12" s="176" t="n">
        <v>0</v>
      </c>
      <c r="AJ12" s="176" t="n">
        <v>0</v>
      </c>
      <c r="AK12" s="176" t="n">
        <v>0</v>
      </c>
      <c r="AL12" s="176" t="n">
        <v>0</v>
      </c>
      <c r="AM12" s="176" t="n">
        <v>0</v>
      </c>
      <c r="AN12" s="176" t="n">
        <v>0</v>
      </c>
      <c r="AO12" s="177" t="n">
        <v>3630.00772370215</v>
      </c>
      <c r="AP12" s="177" t="n">
        <v>1520.79351665885</v>
      </c>
      <c r="AQ12" s="177" t="n">
        <v>355.050640896046</v>
      </c>
      <c r="AR12" s="177" t="n">
        <v>2469.13461091629</v>
      </c>
      <c r="AS12" s="178" t="n">
        <v>7974.98649217334</v>
      </c>
      <c r="AT12" s="179" t="n"/>
      <c r="AU12" s="179" t="n"/>
    </row>
    <row r="13" ht="26.25" customHeight="1" s="104">
      <c r="A13" s="180" t="inlineStr">
        <is>
          <t>24-25</t>
        </is>
      </c>
      <c r="B13" s="182" t="inlineStr">
        <is>
          <t xml:space="preserve">Basic metals and fabricated metal products, except machinery and equipment </t>
        </is>
      </c>
      <c r="C13" s="176" t="n">
        <v>0</v>
      </c>
      <c r="D13" s="176" t="n">
        <v>0</v>
      </c>
      <c r="E13" s="176" t="n">
        <v>2.3582793103753</v>
      </c>
      <c r="F13" s="176" t="n">
        <v>10.0939904852008</v>
      </c>
      <c r="G13" s="176" t="n">
        <v>0</v>
      </c>
      <c r="H13" s="176" t="n">
        <v>0</v>
      </c>
      <c r="I13" s="176" t="n">
        <v>0</v>
      </c>
      <c r="J13" s="176" t="n">
        <v>0</v>
      </c>
      <c r="K13" s="176" t="n">
        <v>27.7771572947957</v>
      </c>
      <c r="L13" s="176" t="n">
        <v>2072.04184751313</v>
      </c>
      <c r="M13" s="176" t="n">
        <v>0</v>
      </c>
      <c r="N13" s="176" t="n">
        <v>0.713690886409881</v>
      </c>
      <c r="O13" s="176" t="n">
        <v>0</v>
      </c>
      <c r="P13" s="176" t="n">
        <v>0</v>
      </c>
      <c r="Q13" s="176" t="n">
        <v>0</v>
      </c>
      <c r="R13" s="176" t="n">
        <v>0</v>
      </c>
      <c r="S13" s="176" t="n">
        <v>0</v>
      </c>
      <c r="T13" s="176" t="n">
        <v>0</v>
      </c>
      <c r="U13" s="176" t="n">
        <v>3.56409818947911</v>
      </c>
      <c r="V13" s="176" t="n">
        <v>0</v>
      </c>
      <c r="W13" s="176" t="n">
        <v>0</v>
      </c>
      <c r="X13" s="176" t="n">
        <v>0</v>
      </c>
      <c r="Y13" s="176" t="n">
        <v>0</v>
      </c>
      <c r="Z13" s="176" t="n">
        <v>0</v>
      </c>
      <c r="AA13" s="176" t="n">
        <v>0</v>
      </c>
      <c r="AB13" s="176" t="n">
        <v>0</v>
      </c>
      <c r="AC13" s="176" t="n">
        <v>0</v>
      </c>
      <c r="AD13" s="176" t="n">
        <v>0</v>
      </c>
      <c r="AE13" s="176" t="n">
        <v>0</v>
      </c>
      <c r="AF13" s="176" t="n">
        <v>0</v>
      </c>
      <c r="AG13" s="176" t="n">
        <v>0</v>
      </c>
      <c r="AH13" s="176" t="n">
        <v>0</v>
      </c>
      <c r="AI13" s="176" t="n">
        <v>0</v>
      </c>
      <c r="AJ13" s="176" t="n">
        <v>0</v>
      </c>
      <c r="AK13" s="176" t="n">
        <v>0</v>
      </c>
      <c r="AL13" s="176" t="n">
        <v>0</v>
      </c>
      <c r="AM13" s="176" t="n">
        <v>0</v>
      </c>
      <c r="AN13" s="176" t="n">
        <v>0</v>
      </c>
      <c r="AO13" s="177" t="n">
        <v>2116.54906367939</v>
      </c>
      <c r="AP13" s="177" t="n">
        <v>1086.75034860371</v>
      </c>
      <c r="AQ13" s="177" t="n">
        <v>219.562860463439</v>
      </c>
      <c r="AR13" s="177" t="n">
        <v>3550.84476762572</v>
      </c>
      <c r="AS13" s="178" t="n">
        <v>6973.70704037226</v>
      </c>
      <c r="AT13" s="179" t="n"/>
      <c r="AU13" s="179" t="n"/>
    </row>
    <row r="14" ht="15" customHeight="1" s="104">
      <c r="A14" s="180" t="n">
        <v>26</v>
      </c>
      <c r="B14" s="182" t="inlineStr">
        <is>
          <t xml:space="preserve">Computer, electronic and optical products </t>
        </is>
      </c>
      <c r="C14" s="176" t="n">
        <v>0</v>
      </c>
      <c r="D14" s="176" t="n">
        <v>0</v>
      </c>
      <c r="E14" s="176" t="n">
        <v>0</v>
      </c>
      <c r="F14" s="176" t="n">
        <v>0</v>
      </c>
      <c r="G14" s="176" t="n">
        <v>0</v>
      </c>
      <c r="H14" s="176" t="n">
        <v>0</v>
      </c>
      <c r="I14" s="176" t="n">
        <v>0</v>
      </c>
      <c r="J14" s="176" t="n">
        <v>0</v>
      </c>
      <c r="K14" s="176" t="n">
        <v>0</v>
      </c>
      <c r="L14" s="176" t="n">
        <v>0</v>
      </c>
      <c r="M14" s="176" t="n">
        <v>3.23819583394165</v>
      </c>
      <c r="N14" s="176" t="n">
        <v>0</v>
      </c>
      <c r="O14" s="176" t="n">
        <v>0</v>
      </c>
      <c r="P14" s="176" t="n">
        <v>0</v>
      </c>
      <c r="Q14" s="176" t="n">
        <v>0.0598221552638509</v>
      </c>
      <c r="R14" s="176" t="n">
        <v>0</v>
      </c>
      <c r="S14" s="176" t="n">
        <v>0</v>
      </c>
      <c r="T14" s="176" t="n">
        <v>0</v>
      </c>
      <c r="U14" s="176" t="n">
        <v>0</v>
      </c>
      <c r="V14" s="176" t="n">
        <v>0</v>
      </c>
      <c r="W14" s="176" t="n">
        <v>0</v>
      </c>
      <c r="X14" s="176" t="n">
        <v>0</v>
      </c>
      <c r="Y14" s="176" t="n">
        <v>0</v>
      </c>
      <c r="Z14" s="176" t="n">
        <v>0</v>
      </c>
      <c r="AA14" s="176" t="n">
        <v>0</v>
      </c>
      <c r="AB14" s="176" t="n">
        <v>0</v>
      </c>
      <c r="AC14" s="176" t="n">
        <v>0</v>
      </c>
      <c r="AD14" s="176" t="n">
        <v>0</v>
      </c>
      <c r="AE14" s="176" t="n">
        <v>0</v>
      </c>
      <c r="AF14" s="176" t="n">
        <v>0</v>
      </c>
      <c r="AG14" s="176" t="n">
        <v>0</v>
      </c>
      <c r="AH14" s="176" t="n">
        <v>0</v>
      </c>
      <c r="AI14" s="176" t="n">
        <v>0</v>
      </c>
      <c r="AJ14" s="176" t="n">
        <v>0</v>
      </c>
      <c r="AK14" s="176" t="n">
        <v>0</v>
      </c>
      <c r="AL14" s="176" t="n">
        <v>0</v>
      </c>
      <c r="AM14" s="176" t="n">
        <v>0</v>
      </c>
      <c r="AN14" s="176" t="n">
        <v>0</v>
      </c>
      <c r="AO14" s="177" t="n">
        <v>3.2980179892055</v>
      </c>
      <c r="AP14" s="177" t="n">
        <v>869.340048582534</v>
      </c>
      <c r="AQ14" s="177" t="n">
        <v>303.382541400406</v>
      </c>
      <c r="AR14" s="177" t="n">
        <v>2508.20022446294</v>
      </c>
      <c r="AS14" s="178" t="n">
        <v>3684.22083243508</v>
      </c>
      <c r="AT14" s="179" t="n"/>
      <c r="AU14" s="179" t="n"/>
    </row>
    <row r="15" ht="15" customHeight="1" s="104">
      <c r="A15" s="180" t="n">
        <v>27</v>
      </c>
      <c r="B15" s="182" t="inlineStr">
        <is>
          <t xml:space="preserve">Electrical equipment </t>
        </is>
      </c>
      <c r="C15" s="176" t="n">
        <v>0</v>
      </c>
      <c r="D15" s="176" t="n">
        <v>0</v>
      </c>
      <c r="E15" s="176" t="n">
        <v>0</v>
      </c>
      <c r="F15" s="176" t="n">
        <v>0</v>
      </c>
      <c r="G15" s="176" t="n">
        <v>0</v>
      </c>
      <c r="H15" s="176" t="n">
        <v>0</v>
      </c>
      <c r="I15" s="176" t="n">
        <v>0</v>
      </c>
      <c r="J15" s="176" t="n">
        <v>0</v>
      </c>
      <c r="K15" s="176" t="n">
        <v>0</v>
      </c>
      <c r="L15" s="176" t="n">
        <v>0</v>
      </c>
      <c r="M15" s="176" t="n">
        <v>0</v>
      </c>
      <c r="N15" s="176" t="n">
        <v>248.105104476546</v>
      </c>
      <c r="O15" s="176" t="n">
        <v>0</v>
      </c>
      <c r="P15" s="176" t="n">
        <v>0</v>
      </c>
      <c r="Q15" s="176" t="n">
        <v>0</v>
      </c>
      <c r="R15" s="176" t="n">
        <v>0</v>
      </c>
      <c r="S15" s="176" t="n">
        <v>0</v>
      </c>
      <c r="T15" s="176" t="n">
        <v>0</v>
      </c>
      <c r="U15" s="176" t="n">
        <v>0</v>
      </c>
      <c r="V15" s="176" t="n">
        <v>0</v>
      </c>
      <c r="W15" s="176" t="n">
        <v>0</v>
      </c>
      <c r="X15" s="176" t="n">
        <v>0</v>
      </c>
      <c r="Y15" s="176" t="n">
        <v>0</v>
      </c>
      <c r="Z15" s="176" t="n">
        <v>0</v>
      </c>
      <c r="AA15" s="176" t="n">
        <v>0</v>
      </c>
      <c r="AB15" s="176" t="n">
        <v>0</v>
      </c>
      <c r="AC15" s="176" t="n">
        <v>0</v>
      </c>
      <c r="AD15" s="176" t="n">
        <v>0</v>
      </c>
      <c r="AE15" s="176" t="n">
        <v>0</v>
      </c>
      <c r="AF15" s="176" t="n">
        <v>0</v>
      </c>
      <c r="AG15" s="176" t="n">
        <v>0</v>
      </c>
      <c r="AH15" s="176" t="n">
        <v>0</v>
      </c>
      <c r="AI15" s="176" t="n">
        <v>0</v>
      </c>
      <c r="AJ15" s="176" t="n">
        <v>0</v>
      </c>
      <c r="AK15" s="176" t="n">
        <v>0</v>
      </c>
      <c r="AL15" s="176" t="n">
        <v>0</v>
      </c>
      <c r="AM15" s="176" t="n">
        <v>0</v>
      </c>
      <c r="AN15" s="176" t="n">
        <v>0</v>
      </c>
      <c r="AO15" s="177" t="n">
        <v>248.105104476546</v>
      </c>
      <c r="AP15" s="177" t="n">
        <v>938.827799356882</v>
      </c>
      <c r="AQ15" s="177" t="n">
        <v>266.119028265305</v>
      </c>
      <c r="AR15" s="177" t="n">
        <v>1682.87781533571</v>
      </c>
      <c r="AS15" s="178" t="n">
        <v>3135.92974743444</v>
      </c>
      <c r="AT15" s="179" t="n"/>
      <c r="AU15" s="179" t="n"/>
    </row>
    <row r="16" ht="15" customHeight="1" s="104">
      <c r="A16" s="180" t="n">
        <v>28</v>
      </c>
      <c r="B16" s="182" t="inlineStr">
        <is>
          <t xml:space="preserve">Machinery and equipment n.e.c. </t>
        </is>
      </c>
      <c r="C16" s="176" t="n">
        <v>0</v>
      </c>
      <c r="D16" s="176" t="n">
        <v>0</v>
      </c>
      <c r="E16" s="176" t="n">
        <v>0</v>
      </c>
      <c r="F16" s="176" t="n">
        <v>0</v>
      </c>
      <c r="G16" s="176" t="n">
        <v>0</v>
      </c>
      <c r="H16" s="176" t="n">
        <v>0</v>
      </c>
      <c r="I16" s="176" t="n">
        <v>0</v>
      </c>
      <c r="J16" s="176" t="n">
        <v>0</v>
      </c>
      <c r="K16" s="176" t="n">
        <v>0</v>
      </c>
      <c r="L16" s="176" t="n">
        <v>0</v>
      </c>
      <c r="M16" s="176" t="n">
        <v>0</v>
      </c>
      <c r="N16" s="176" t="n">
        <v>0</v>
      </c>
      <c r="O16" s="176" t="n">
        <v>59.4574878367549</v>
      </c>
      <c r="P16" s="176" t="n">
        <v>0</v>
      </c>
      <c r="Q16" s="176" t="n">
        <v>0</v>
      </c>
      <c r="R16" s="176" t="n">
        <v>0</v>
      </c>
      <c r="S16" s="176" t="n">
        <v>0</v>
      </c>
      <c r="T16" s="176" t="n">
        <v>0</v>
      </c>
      <c r="U16" s="176" t="n">
        <v>0</v>
      </c>
      <c r="V16" s="176" t="n">
        <v>0</v>
      </c>
      <c r="W16" s="176" t="n">
        <v>0</v>
      </c>
      <c r="X16" s="176" t="n">
        <v>0</v>
      </c>
      <c r="Y16" s="176" t="n">
        <v>0</v>
      </c>
      <c r="Z16" s="176" t="n">
        <v>0</v>
      </c>
      <c r="AA16" s="176" t="n">
        <v>0</v>
      </c>
      <c r="AB16" s="176" t="n">
        <v>0</v>
      </c>
      <c r="AC16" s="176" t="n">
        <v>0</v>
      </c>
      <c r="AD16" s="176" t="n">
        <v>0</v>
      </c>
      <c r="AE16" s="176" t="n">
        <v>0</v>
      </c>
      <c r="AF16" s="176" t="n">
        <v>0</v>
      </c>
      <c r="AG16" s="176" t="n">
        <v>0</v>
      </c>
      <c r="AH16" s="176" t="n">
        <v>0</v>
      </c>
      <c r="AI16" s="176" t="n">
        <v>0</v>
      </c>
      <c r="AJ16" s="176" t="n">
        <v>0</v>
      </c>
      <c r="AK16" s="176" t="n">
        <v>0</v>
      </c>
      <c r="AL16" s="176" t="n">
        <v>0</v>
      </c>
      <c r="AM16" s="176" t="n">
        <v>0</v>
      </c>
      <c r="AN16" s="176" t="n">
        <v>0</v>
      </c>
      <c r="AO16" s="177" t="n">
        <v>59.4574878367549</v>
      </c>
      <c r="AP16" s="177" t="n">
        <v>837.269433878966</v>
      </c>
      <c r="AQ16" s="177" t="n">
        <v>151.096739948184</v>
      </c>
      <c r="AR16" s="177" t="n">
        <v>2705.08204118413</v>
      </c>
      <c r="AS16" s="178" t="n">
        <v>3752.90570284803</v>
      </c>
      <c r="AT16" s="179" t="n"/>
      <c r="AU16" s="179" t="n"/>
    </row>
    <row r="17" ht="15" customHeight="1" s="104">
      <c r="A17" s="180" t="inlineStr">
        <is>
          <t>29-30</t>
        </is>
      </c>
      <c r="B17" s="182" t="inlineStr">
        <is>
          <t xml:space="preserve">Transport equipment </t>
        </is>
      </c>
      <c r="C17" s="176" t="n">
        <v>0</v>
      </c>
      <c r="D17" s="176" t="n">
        <v>0</v>
      </c>
      <c r="E17" s="176" t="n">
        <v>0</v>
      </c>
      <c r="F17" s="176" t="n">
        <v>0</v>
      </c>
      <c r="G17" s="176" t="n">
        <v>0</v>
      </c>
      <c r="H17" s="176" t="n">
        <v>0</v>
      </c>
      <c r="I17" s="176" t="n">
        <v>0</v>
      </c>
      <c r="J17" s="176" t="n">
        <v>0</v>
      </c>
      <c r="K17" s="176" t="n">
        <v>0</v>
      </c>
      <c r="L17" s="176" t="n">
        <v>0</v>
      </c>
      <c r="M17" s="176" t="n">
        <v>0</v>
      </c>
      <c r="N17" s="176" t="n">
        <v>0</v>
      </c>
      <c r="O17" s="176" t="n">
        <v>0</v>
      </c>
      <c r="P17" s="176" t="n">
        <v>79.74922327674599</v>
      </c>
      <c r="Q17" s="176" t="n">
        <v>0</v>
      </c>
      <c r="R17" s="176" t="n">
        <v>0</v>
      </c>
      <c r="S17" s="176" t="n">
        <v>0</v>
      </c>
      <c r="T17" s="176" t="n">
        <v>0</v>
      </c>
      <c r="U17" s="176" t="n">
        <v>0</v>
      </c>
      <c r="V17" s="176" t="n">
        <v>0</v>
      </c>
      <c r="W17" s="176" t="n">
        <v>0</v>
      </c>
      <c r="X17" s="176" t="n">
        <v>0</v>
      </c>
      <c r="Y17" s="176" t="n">
        <v>0</v>
      </c>
      <c r="Z17" s="176" t="n">
        <v>0</v>
      </c>
      <c r="AA17" s="176" t="n">
        <v>0</v>
      </c>
      <c r="AB17" s="176" t="n">
        <v>0</v>
      </c>
      <c r="AC17" s="176" t="n">
        <v>0</v>
      </c>
      <c r="AD17" s="176" t="n">
        <v>0</v>
      </c>
      <c r="AE17" s="176" t="n">
        <v>0</v>
      </c>
      <c r="AF17" s="176" t="n">
        <v>0</v>
      </c>
      <c r="AG17" s="176" t="n">
        <v>0</v>
      </c>
      <c r="AH17" s="176" t="n">
        <v>0</v>
      </c>
      <c r="AI17" s="176" t="n">
        <v>0</v>
      </c>
      <c r="AJ17" s="176" t="n">
        <v>0</v>
      </c>
      <c r="AK17" s="176" t="n">
        <v>0</v>
      </c>
      <c r="AL17" s="176" t="n">
        <v>0</v>
      </c>
      <c r="AM17" s="176" t="n">
        <v>0</v>
      </c>
      <c r="AN17" s="176" t="n">
        <v>0</v>
      </c>
      <c r="AO17" s="177" t="n">
        <v>79.74922327674599</v>
      </c>
      <c r="AP17" s="177" t="n">
        <v>2407.08100850537</v>
      </c>
      <c r="AQ17" s="177" t="n">
        <v>568.468733885404</v>
      </c>
      <c r="AR17" s="177" t="n">
        <v>11519.1681092843</v>
      </c>
      <c r="AS17" s="178" t="n">
        <v>14574.4670749519</v>
      </c>
      <c r="AT17" s="179" t="n"/>
      <c r="AU17" s="179" t="n"/>
    </row>
    <row r="18" ht="26.25" customHeight="1" s="104">
      <c r="A18" s="180" t="inlineStr">
        <is>
          <t>31-33</t>
        </is>
      </c>
      <c r="B18" s="175" t="inlineStr">
        <is>
          <t xml:space="preserve">Furniture; other manufactured goods; repair and installation services of machinery and equipment </t>
        </is>
      </c>
      <c r="C18" s="176" t="n">
        <v>0</v>
      </c>
      <c r="D18" s="176" t="n">
        <v>0</v>
      </c>
      <c r="E18" s="176" t="n">
        <v>0.1052192938001</v>
      </c>
      <c r="F18" s="176" t="n">
        <v>0.166169532887195</v>
      </c>
      <c r="G18" s="176" t="n">
        <v>0</v>
      </c>
      <c r="H18" s="176" t="n">
        <v>0</v>
      </c>
      <c r="I18" s="176" t="n">
        <v>0</v>
      </c>
      <c r="J18" s="176" t="n">
        <v>0</v>
      </c>
      <c r="K18" s="176" t="n">
        <v>0.329719244220859</v>
      </c>
      <c r="L18" s="176" t="n">
        <v>4.73631224258711</v>
      </c>
      <c r="M18" s="176" t="n">
        <v>0</v>
      </c>
      <c r="N18" s="176" t="n">
        <v>0.660752411117121</v>
      </c>
      <c r="O18" s="176" t="n">
        <v>0.261841991558184</v>
      </c>
      <c r="P18" s="176" t="n">
        <v>0</v>
      </c>
      <c r="Q18" s="176" t="n">
        <v>678.534086447743</v>
      </c>
      <c r="R18" s="176" t="n">
        <v>0.0496302250585632</v>
      </c>
      <c r="S18" s="176" t="n">
        <v>0</v>
      </c>
      <c r="T18" s="176" t="n">
        <v>0</v>
      </c>
      <c r="U18" s="176" t="n">
        <v>6.97241570496099</v>
      </c>
      <c r="V18" s="176" t="n">
        <v>0.726656753361965</v>
      </c>
      <c r="W18" s="176" t="n">
        <v>0</v>
      </c>
      <c r="X18" s="176" t="n">
        <v>0</v>
      </c>
      <c r="Y18" s="176" t="n">
        <v>0</v>
      </c>
      <c r="Z18" s="176" t="n">
        <v>0</v>
      </c>
      <c r="AA18" s="176" t="n">
        <v>0</v>
      </c>
      <c r="AB18" s="176" t="n">
        <v>0</v>
      </c>
      <c r="AC18" s="176" t="n">
        <v>0</v>
      </c>
      <c r="AD18" s="176" t="n">
        <v>0</v>
      </c>
      <c r="AE18" s="176" t="n">
        <v>0</v>
      </c>
      <c r="AF18" s="176" t="n">
        <v>0</v>
      </c>
      <c r="AG18" s="176" t="n">
        <v>0</v>
      </c>
      <c r="AH18" s="176" t="n">
        <v>0</v>
      </c>
      <c r="AI18" s="176" t="n">
        <v>6.24757116879852</v>
      </c>
      <c r="AJ18" s="176" t="n">
        <v>0</v>
      </c>
      <c r="AK18" s="176" t="n">
        <v>0</v>
      </c>
      <c r="AL18" s="176" t="n">
        <v>0</v>
      </c>
      <c r="AM18" s="176" t="n">
        <v>0</v>
      </c>
      <c r="AN18" s="176" t="n">
        <v>0</v>
      </c>
      <c r="AO18" s="177" t="n">
        <v>698.790375016093</v>
      </c>
      <c r="AP18" s="177" t="n">
        <v>625.525945784352</v>
      </c>
      <c r="AQ18" s="177" t="n">
        <v>251.419514704756</v>
      </c>
      <c r="AR18" s="177" t="n">
        <v>1553.13509699696</v>
      </c>
      <c r="AS18" s="178" t="n">
        <v>3128.87093250216</v>
      </c>
      <c r="AT18" s="179" t="n"/>
      <c r="AU18" s="179" t="n"/>
    </row>
    <row r="19" ht="15" customHeight="1" s="104">
      <c r="A19" s="180" t="inlineStr">
        <is>
          <t>35</t>
        </is>
      </c>
      <c r="B19" s="182" t="inlineStr">
        <is>
          <t xml:space="preserve">Electricity, gas, steam and air conditioning </t>
        </is>
      </c>
      <c r="C19" s="176" t="n">
        <v>0</v>
      </c>
      <c r="D19" s="176" t="n">
        <v>0</v>
      </c>
      <c r="E19" s="176" t="n">
        <v>1.04634497557772</v>
      </c>
      <c r="F19" s="176" t="n">
        <v>0</v>
      </c>
      <c r="G19" s="176" t="n">
        <v>0</v>
      </c>
      <c r="H19" s="176" t="n">
        <v>0</v>
      </c>
      <c r="I19" s="176" t="n">
        <v>0</v>
      </c>
      <c r="J19" s="176" t="n">
        <v>0</v>
      </c>
      <c r="K19" s="176" t="n">
        <v>0</v>
      </c>
      <c r="L19" s="176" t="n">
        <v>1.28263110843008</v>
      </c>
      <c r="M19" s="176" t="n">
        <v>0</v>
      </c>
      <c r="N19" s="176" t="n">
        <v>0</v>
      </c>
      <c r="O19" s="176" t="n">
        <v>0</v>
      </c>
      <c r="P19" s="176" t="n">
        <v>0</v>
      </c>
      <c r="Q19" s="176" t="n">
        <v>0</v>
      </c>
      <c r="R19" s="176" t="n">
        <v>2844.47584958905</v>
      </c>
      <c r="S19" s="176" t="n">
        <v>160.410469696728</v>
      </c>
      <c r="T19" s="176" t="n">
        <v>0.780827393224672</v>
      </c>
      <c r="U19" s="176" t="n">
        <v>109.318268088593</v>
      </c>
      <c r="V19" s="176" t="n">
        <v>0</v>
      </c>
      <c r="W19" s="176" t="n">
        <v>0</v>
      </c>
      <c r="X19" s="176" t="n">
        <v>0</v>
      </c>
      <c r="Y19" s="176" t="n">
        <v>0</v>
      </c>
      <c r="Z19" s="176" t="n">
        <v>0</v>
      </c>
      <c r="AA19" s="176" t="n">
        <v>0</v>
      </c>
      <c r="AB19" s="176" t="n">
        <v>1.35403952590695</v>
      </c>
      <c r="AC19" s="176" t="n">
        <v>0</v>
      </c>
      <c r="AD19" s="176" t="n">
        <v>0</v>
      </c>
      <c r="AE19" s="176" t="n">
        <v>0</v>
      </c>
      <c r="AF19" s="176" t="n">
        <v>0</v>
      </c>
      <c r="AG19" s="176" t="n">
        <v>0</v>
      </c>
      <c r="AH19" s="176" t="n">
        <v>0</v>
      </c>
      <c r="AI19" s="176" t="n">
        <v>0</v>
      </c>
      <c r="AJ19" s="176" t="n">
        <v>0</v>
      </c>
      <c r="AK19" s="176" t="n">
        <v>0</v>
      </c>
      <c r="AL19" s="176" t="n">
        <v>0</v>
      </c>
      <c r="AM19" s="176" t="n">
        <v>0</v>
      </c>
      <c r="AN19" s="176" t="n">
        <v>0</v>
      </c>
      <c r="AO19" s="177" t="n">
        <v>3118.66843037751</v>
      </c>
      <c r="AP19" s="177" t="n">
        <v>317.804917995774</v>
      </c>
      <c r="AQ19" s="177" t="n">
        <v>385.266579565999</v>
      </c>
      <c r="AR19" s="177" t="n">
        <v>1138.3411980847</v>
      </c>
      <c r="AS19" s="178" t="n">
        <v>4960.08112602399</v>
      </c>
      <c r="AT19" s="179" t="n"/>
      <c r="AU19" s="179" t="n"/>
    </row>
    <row r="20" ht="26.25" customHeight="1" s="104">
      <c r="A20" s="180" t="inlineStr">
        <is>
          <t>36-39</t>
        </is>
      </c>
      <c r="B20" s="182" t="inlineStr">
        <is>
          <t xml:space="preserve">Water supply; sewerage, waste management and remediation services </t>
        </is>
      </c>
      <c r="C20" s="176" t="n">
        <v>0</v>
      </c>
      <c r="D20" s="176" t="n">
        <v>0.09008696093841551</v>
      </c>
      <c r="E20" s="176" t="n">
        <v>0.759193354390177</v>
      </c>
      <c r="F20" s="176" t="n">
        <v>0</v>
      </c>
      <c r="G20" s="176" t="n">
        <v>0</v>
      </c>
      <c r="H20" s="176" t="n">
        <v>0</v>
      </c>
      <c r="I20" s="176" t="n">
        <v>0</v>
      </c>
      <c r="J20" s="176" t="n">
        <v>0</v>
      </c>
      <c r="K20" s="176" t="n">
        <v>0</v>
      </c>
      <c r="L20" s="176" t="n">
        <v>0</v>
      </c>
      <c r="M20" s="176" t="n">
        <v>0</v>
      </c>
      <c r="N20" s="176" t="n">
        <v>0</v>
      </c>
      <c r="O20" s="176" t="n">
        <v>0</v>
      </c>
      <c r="P20" s="176" t="n">
        <v>0</v>
      </c>
      <c r="Q20" s="176" t="n">
        <v>0</v>
      </c>
      <c r="R20" s="176" t="n">
        <v>0</v>
      </c>
      <c r="S20" s="176" t="n">
        <v>928.227789366093</v>
      </c>
      <c r="T20" s="176" t="n">
        <v>0</v>
      </c>
      <c r="U20" s="176" t="n">
        <v>0.6791548993179291</v>
      </c>
      <c r="V20" s="176" t="n">
        <v>0</v>
      </c>
      <c r="W20" s="176" t="n">
        <v>0</v>
      </c>
      <c r="X20" s="176" t="n">
        <v>0</v>
      </c>
      <c r="Y20" s="176" t="n">
        <v>0</v>
      </c>
      <c r="Z20" s="176" t="n">
        <v>0</v>
      </c>
      <c r="AA20" s="176" t="n">
        <v>0</v>
      </c>
      <c r="AB20" s="176" t="n">
        <v>0</v>
      </c>
      <c r="AC20" s="176" t="n">
        <v>0</v>
      </c>
      <c r="AD20" s="176" t="n">
        <v>0</v>
      </c>
      <c r="AE20" s="176" t="n">
        <v>0</v>
      </c>
      <c r="AF20" s="176" t="n">
        <v>0</v>
      </c>
      <c r="AG20" s="176" t="n">
        <v>0</v>
      </c>
      <c r="AH20" s="176" t="n">
        <v>0</v>
      </c>
      <c r="AI20" s="176" t="n">
        <v>0</v>
      </c>
      <c r="AJ20" s="176" t="n">
        <v>0</v>
      </c>
      <c r="AK20" s="176" t="n">
        <v>0</v>
      </c>
      <c r="AL20" s="176" t="n">
        <v>0</v>
      </c>
      <c r="AM20" s="176" t="n">
        <v>0</v>
      </c>
      <c r="AN20" s="176" t="n">
        <v>0</v>
      </c>
      <c r="AO20" s="177" t="n">
        <v>929.75622458074</v>
      </c>
      <c r="AP20" s="177" t="n">
        <v>0</v>
      </c>
      <c r="AQ20" s="177" t="n">
        <v>13.1461046709963</v>
      </c>
      <c r="AR20" s="177" t="n">
        <v>59.7991713387299</v>
      </c>
      <c r="AS20" s="178" t="n">
        <v>1002.70150059047</v>
      </c>
      <c r="AT20" s="179" t="n"/>
      <c r="AU20" s="179" t="n"/>
    </row>
    <row r="21" ht="15" customHeight="1" s="104">
      <c r="A21" s="180" t="inlineStr">
        <is>
          <t>41-43</t>
        </is>
      </c>
      <c r="B21" s="175" t="inlineStr">
        <is>
          <t xml:space="preserve">Constructions and construction works </t>
        </is>
      </c>
      <c r="C21" s="176" t="n">
        <v>0</v>
      </c>
      <c r="D21" s="176" t="n">
        <v>1.74601307508161</v>
      </c>
      <c r="E21" s="176" t="n">
        <v>0</v>
      </c>
      <c r="F21" s="176" t="n">
        <v>0</v>
      </c>
      <c r="G21" s="176" t="n">
        <v>0</v>
      </c>
      <c r="H21" s="176" t="n">
        <v>1.66994928091017</v>
      </c>
      <c r="I21" s="176" t="n">
        <v>0.0364213481233553</v>
      </c>
      <c r="J21" s="176" t="n">
        <v>0</v>
      </c>
      <c r="K21" s="176" t="n">
        <v>132.299092780822</v>
      </c>
      <c r="L21" s="176" t="n">
        <v>5.84900241335298</v>
      </c>
      <c r="M21" s="176" t="n">
        <v>0</v>
      </c>
      <c r="N21" s="176" t="n">
        <v>0.285745346226666</v>
      </c>
      <c r="O21" s="176" t="n">
        <v>0</v>
      </c>
      <c r="P21" s="176" t="n">
        <v>0</v>
      </c>
      <c r="Q21" s="176" t="n">
        <v>16.5264460505724</v>
      </c>
      <c r="R21" s="176" t="n">
        <v>81.2740204076634</v>
      </c>
      <c r="S21" s="176" t="n">
        <v>43.8448166324504</v>
      </c>
      <c r="T21" s="176" t="n">
        <v>18803.3405248562</v>
      </c>
      <c r="U21" s="176" t="n">
        <v>28.6994101075042</v>
      </c>
      <c r="V21" s="176" t="n">
        <v>2.44052277389472</v>
      </c>
      <c r="W21" s="176" t="n">
        <v>13.7594886035466</v>
      </c>
      <c r="X21" s="176" t="n">
        <v>0</v>
      </c>
      <c r="Y21" s="176" t="n">
        <v>8.00099311111466</v>
      </c>
      <c r="Z21" s="176" t="n">
        <v>0</v>
      </c>
      <c r="AA21" s="176" t="n">
        <v>0</v>
      </c>
      <c r="AB21" s="176" t="n">
        <v>3.93790206348287</v>
      </c>
      <c r="AC21" s="176" t="n">
        <v>6.34206822049183</v>
      </c>
      <c r="AD21" s="176" t="n">
        <v>0</v>
      </c>
      <c r="AE21" s="176" t="n">
        <v>0</v>
      </c>
      <c r="AF21" s="176" t="n">
        <v>0.93511699170736</v>
      </c>
      <c r="AG21" s="176" t="n">
        <v>0</v>
      </c>
      <c r="AH21" s="176" t="n">
        <v>0</v>
      </c>
      <c r="AI21" s="176" t="n">
        <v>4.49949339993722</v>
      </c>
      <c r="AJ21" s="176" t="n">
        <v>0</v>
      </c>
      <c r="AK21" s="176" t="n">
        <v>0</v>
      </c>
      <c r="AL21" s="176" t="n">
        <v>1.12413807681025</v>
      </c>
      <c r="AM21" s="176" t="n">
        <v>0</v>
      </c>
      <c r="AN21" s="176" t="n">
        <v>0</v>
      </c>
      <c r="AO21" s="177" t="n">
        <v>19156.6111655399</v>
      </c>
      <c r="AP21" s="177" t="n">
        <v>0</v>
      </c>
      <c r="AQ21" s="177" t="n">
        <v>2066.49969536025</v>
      </c>
      <c r="AR21" s="177" t="n">
        <v>56.4950845597333</v>
      </c>
      <c r="AS21" s="178" t="n">
        <v>21279.6059454599</v>
      </c>
      <c r="AT21" s="179" t="n"/>
      <c r="AU21" s="179" t="n"/>
    </row>
    <row r="22" ht="26.25" customHeight="1" s="104">
      <c r="A22" s="180" t="inlineStr">
        <is>
          <t>45-47</t>
        </is>
      </c>
      <c r="B22" s="175" t="inlineStr">
        <is>
          <t xml:space="preserve">Wholesale and retail trade services; repair services of motor vehicles and motorcycles </t>
        </is>
      </c>
      <c r="C22" s="176" t="n">
        <v>0</v>
      </c>
      <c r="D22" s="176" t="n">
        <v>63.6634704680047</v>
      </c>
      <c r="E22" s="176" t="n">
        <v>522.371639660974</v>
      </c>
      <c r="F22" s="176" t="n">
        <v>5.59146792250585</v>
      </c>
      <c r="G22" s="176" t="n">
        <v>26.6479046169064</v>
      </c>
      <c r="H22" s="176" t="n">
        <v>7.77724973556686</v>
      </c>
      <c r="I22" s="176" t="n">
        <v>46.2150797967481</v>
      </c>
      <c r="J22" s="176" t="n">
        <v>2.1526547744811</v>
      </c>
      <c r="K22" s="176" t="n">
        <v>95.48015859274339</v>
      </c>
      <c r="L22" s="176" t="n">
        <v>873.297455839754</v>
      </c>
      <c r="M22" s="176" t="n">
        <v>0</v>
      </c>
      <c r="N22" s="176" t="n">
        <v>0.756710814634772</v>
      </c>
      <c r="O22" s="176" t="n">
        <v>5.43529885335468</v>
      </c>
      <c r="P22" s="176" t="n">
        <v>0.0454562387358324</v>
      </c>
      <c r="Q22" s="176" t="n">
        <v>19.8612296085017</v>
      </c>
      <c r="R22" s="176" t="n">
        <v>0</v>
      </c>
      <c r="S22" s="176" t="n">
        <v>0</v>
      </c>
      <c r="T22" s="176" t="n">
        <v>44.8974343368458</v>
      </c>
      <c r="U22" s="176" t="n">
        <v>19077.2892103299</v>
      </c>
      <c r="V22" s="176" t="n">
        <v>107.154664704053</v>
      </c>
      <c r="W22" s="176" t="n">
        <v>0.562017994507966</v>
      </c>
      <c r="X22" s="176" t="n">
        <v>0</v>
      </c>
      <c r="Y22" s="176" t="n">
        <v>0.101083378397377</v>
      </c>
      <c r="Z22" s="176" t="n">
        <v>0.0441761584343107</v>
      </c>
      <c r="AA22" s="176" t="n">
        <v>0</v>
      </c>
      <c r="AB22" s="176" t="n">
        <v>12.4870249562095</v>
      </c>
      <c r="AC22" s="176" t="n">
        <v>0</v>
      </c>
      <c r="AD22" s="176" t="n">
        <v>0</v>
      </c>
      <c r="AE22" s="176" t="n">
        <v>267.472295470297</v>
      </c>
      <c r="AF22" s="176" t="n">
        <v>30.0982369374436</v>
      </c>
      <c r="AG22" s="176" t="n">
        <v>0</v>
      </c>
      <c r="AH22" s="176" t="n">
        <v>1.46262289482572</v>
      </c>
      <c r="AI22" s="176" t="n">
        <v>4.28389566668657</v>
      </c>
      <c r="AJ22" s="176" t="n">
        <v>0</v>
      </c>
      <c r="AK22" s="176" t="n">
        <v>2.59487587821864</v>
      </c>
      <c r="AL22" s="176" t="n">
        <v>31.7945319117724</v>
      </c>
      <c r="AM22" s="176" t="n">
        <v>0</v>
      </c>
      <c r="AN22" s="176" t="n">
        <v>0</v>
      </c>
      <c r="AO22" s="177" t="n">
        <v>21249.5378475405</v>
      </c>
      <c r="AP22" s="177" t="n">
        <v>-20734.2587166325</v>
      </c>
      <c r="AQ22" s="177" t="n">
        <v>8.737310702318871</v>
      </c>
      <c r="AR22" s="177" t="n">
        <v>0</v>
      </c>
      <c r="AS22" s="178" t="n">
        <v>524.016441610302</v>
      </c>
      <c r="AT22" s="179" t="n"/>
      <c r="AU22" s="179" t="n"/>
    </row>
    <row r="23" ht="15" customHeight="1" s="104">
      <c r="A23" s="180" t="inlineStr">
        <is>
          <t>49-53</t>
        </is>
      </c>
      <c r="B23" s="182" t="inlineStr">
        <is>
          <t>Transportation and storage services</t>
        </is>
      </c>
      <c r="C23" s="176" t="n">
        <v>0</v>
      </c>
      <c r="D23" s="176" t="n">
        <v>4.35521922619727</v>
      </c>
      <c r="E23" s="176" t="n">
        <v>3.79201955481783</v>
      </c>
      <c r="F23" s="176" t="n">
        <v>0</v>
      </c>
      <c r="G23" s="176" t="n">
        <v>1.62764079367004</v>
      </c>
      <c r="H23" s="176" t="n">
        <v>0</v>
      </c>
      <c r="I23" s="176" t="n">
        <v>0.181576158300529</v>
      </c>
      <c r="J23" s="176" t="n">
        <v>0</v>
      </c>
      <c r="K23" s="176" t="n">
        <v>12.0786878858338</v>
      </c>
      <c r="L23" s="176" t="n">
        <v>0.0988764118468493</v>
      </c>
      <c r="M23" s="176" t="n">
        <v>0</v>
      </c>
      <c r="N23" s="176" t="n">
        <v>0</v>
      </c>
      <c r="O23" s="176" t="n">
        <v>0</v>
      </c>
      <c r="P23" s="176" t="n">
        <v>0</v>
      </c>
      <c r="Q23" s="176" t="n">
        <v>0</v>
      </c>
      <c r="R23" s="176" t="n">
        <v>0</v>
      </c>
      <c r="S23" s="176" t="n">
        <v>0</v>
      </c>
      <c r="T23" s="176" t="n">
        <v>1.98841033913693</v>
      </c>
      <c r="U23" s="176" t="n">
        <v>20.2402282747377</v>
      </c>
      <c r="V23" s="176" t="n">
        <v>9562.996869456951</v>
      </c>
      <c r="W23" s="176" t="n">
        <v>0</v>
      </c>
      <c r="X23" s="176" t="n">
        <v>0</v>
      </c>
      <c r="Y23" s="176" t="n">
        <v>0</v>
      </c>
      <c r="Z23" s="176" t="n">
        <v>36.5231817331499</v>
      </c>
      <c r="AA23" s="176" t="n">
        <v>0</v>
      </c>
      <c r="AB23" s="176" t="n">
        <v>12.10233588373</v>
      </c>
      <c r="AC23" s="176" t="n">
        <v>0</v>
      </c>
      <c r="AD23" s="176" t="n">
        <v>0</v>
      </c>
      <c r="AE23" s="176" t="n">
        <v>0</v>
      </c>
      <c r="AF23" s="176" t="n">
        <v>0.653849970280964</v>
      </c>
      <c r="AG23" s="176" t="n">
        <v>0</v>
      </c>
      <c r="AH23" s="176" t="n">
        <v>0.412490311302354</v>
      </c>
      <c r="AI23" s="176" t="n">
        <v>1.07210739905493</v>
      </c>
      <c r="AJ23" s="176" t="n">
        <v>0</v>
      </c>
      <c r="AK23" s="176" t="n">
        <v>0</v>
      </c>
      <c r="AL23" s="176" t="n">
        <v>0</v>
      </c>
      <c r="AM23" s="176" t="n">
        <v>0</v>
      </c>
      <c r="AN23" s="176" t="n">
        <v>0</v>
      </c>
      <c r="AO23" s="177" t="n">
        <v>9658.123493399011</v>
      </c>
      <c r="AP23" s="177" t="n">
        <v>-3173.79813867657</v>
      </c>
      <c r="AQ23" s="177" t="n">
        <v>266.573420600591</v>
      </c>
      <c r="AR23" s="177" t="n">
        <v>6221.6799852583</v>
      </c>
      <c r="AS23" s="178" t="n">
        <v>12972.5787605813</v>
      </c>
      <c r="AT23" s="179" t="n"/>
      <c r="AU23" s="179" t="n"/>
    </row>
    <row r="24" ht="15" customHeight="1" s="104">
      <c r="A24" s="180" t="inlineStr">
        <is>
          <t>55-56</t>
        </is>
      </c>
      <c r="B24" s="175" t="inlineStr">
        <is>
          <t xml:space="preserve">Accommodation and food services </t>
        </is>
      </c>
      <c r="C24" s="176" t="n">
        <v>0</v>
      </c>
      <c r="D24" s="176" t="n">
        <v>0</v>
      </c>
      <c r="E24" s="176" t="n">
        <v>25.9432873286842</v>
      </c>
      <c r="F24" s="176" t="n">
        <v>0</v>
      </c>
      <c r="G24" s="176" t="n">
        <v>1.1309440187661</v>
      </c>
      <c r="H24" s="176" t="n">
        <v>0</v>
      </c>
      <c r="I24" s="176" t="n">
        <v>0</v>
      </c>
      <c r="J24" s="176" t="n">
        <v>0</v>
      </c>
      <c r="K24" s="176" t="n">
        <v>0.0173270494439096</v>
      </c>
      <c r="L24" s="176" t="n">
        <v>0.337823725170797</v>
      </c>
      <c r="M24" s="176" t="n">
        <v>0</v>
      </c>
      <c r="N24" s="176" t="n">
        <v>0</v>
      </c>
      <c r="O24" s="176" t="n">
        <v>0</v>
      </c>
      <c r="P24" s="176" t="n">
        <v>0</v>
      </c>
      <c r="Q24" s="176" t="n">
        <v>0</v>
      </c>
      <c r="R24" s="176" t="n">
        <v>0</v>
      </c>
      <c r="S24" s="176" t="n">
        <v>0</v>
      </c>
      <c r="T24" s="176" t="n">
        <v>35.6036129851721</v>
      </c>
      <c r="U24" s="176" t="n">
        <v>3.82157382952284</v>
      </c>
      <c r="V24" s="176" t="n">
        <v>0</v>
      </c>
      <c r="W24" s="176" t="n">
        <v>6567.99885055212</v>
      </c>
      <c r="X24" s="176" t="n">
        <v>6.57333205372122</v>
      </c>
      <c r="Y24" s="176" t="n">
        <v>0</v>
      </c>
      <c r="Z24" s="176" t="n">
        <v>0</v>
      </c>
      <c r="AA24" s="176" t="n">
        <v>0</v>
      </c>
      <c r="AB24" s="176" t="n">
        <v>9.9501305419034</v>
      </c>
      <c r="AC24" s="176" t="n">
        <v>0.361484128198774</v>
      </c>
      <c r="AD24" s="176" t="n">
        <v>0</v>
      </c>
      <c r="AE24" s="176" t="n">
        <v>0</v>
      </c>
      <c r="AF24" s="176" t="n">
        <v>5.84053073037614</v>
      </c>
      <c r="AG24" s="176" t="n">
        <v>0</v>
      </c>
      <c r="AH24" s="176" t="n">
        <v>3.38407544777324</v>
      </c>
      <c r="AI24" s="176" t="n">
        <v>0.349331862146569</v>
      </c>
      <c r="AJ24" s="176" t="n">
        <v>0.463314058512673</v>
      </c>
      <c r="AK24" s="176" t="n">
        <v>1.42426868152284</v>
      </c>
      <c r="AL24" s="176" t="n">
        <v>1.0997290927418</v>
      </c>
      <c r="AM24" s="176" t="n">
        <v>0</v>
      </c>
      <c r="AN24" s="176" t="n">
        <v>0</v>
      </c>
      <c r="AO24" s="177" t="n">
        <v>6664.29961608578</v>
      </c>
      <c r="AP24" s="177" t="n">
        <v>0</v>
      </c>
      <c r="AQ24" s="177" t="n">
        <v>182.319894565036</v>
      </c>
      <c r="AR24" s="177" t="n">
        <v>592.719377179673</v>
      </c>
      <c r="AS24" s="178" t="n">
        <v>7439.33888783049</v>
      </c>
      <c r="AT24" s="179" t="n"/>
      <c r="AU24" s="179" t="n"/>
    </row>
    <row r="25" ht="15" customHeight="1" s="104">
      <c r="A25" s="180" t="inlineStr">
        <is>
          <t>58-60</t>
        </is>
      </c>
      <c r="B25" s="175" t="inlineStr">
        <is>
          <t xml:space="preserve">Publishing, audiovisual and broadcasting services </t>
        </is>
      </c>
      <c r="C25" s="176" t="n">
        <v>0</v>
      </c>
      <c r="D25" s="176" t="n">
        <v>0</v>
      </c>
      <c r="E25" s="176" t="n">
        <v>0</v>
      </c>
      <c r="F25" s="176" t="n">
        <v>0</v>
      </c>
      <c r="G25" s="176" t="n">
        <v>0</v>
      </c>
      <c r="H25" s="176" t="n">
        <v>0</v>
      </c>
      <c r="I25" s="176" t="n">
        <v>0</v>
      </c>
      <c r="J25" s="176" t="n">
        <v>0</v>
      </c>
      <c r="K25" s="176" t="n">
        <v>0</v>
      </c>
      <c r="L25" s="176" t="n">
        <v>0</v>
      </c>
      <c r="M25" s="176" t="n">
        <v>0</v>
      </c>
      <c r="N25" s="176" t="n">
        <v>0</v>
      </c>
      <c r="O25" s="176" t="n">
        <v>0</v>
      </c>
      <c r="P25" s="176" t="n">
        <v>0</v>
      </c>
      <c r="Q25" s="176" t="n">
        <v>0</v>
      </c>
      <c r="R25" s="176" t="n">
        <v>0</v>
      </c>
      <c r="S25" s="176" t="n">
        <v>0</v>
      </c>
      <c r="T25" s="176" t="n">
        <v>0</v>
      </c>
      <c r="U25" s="176" t="n">
        <v>0</v>
      </c>
      <c r="V25" s="176" t="n">
        <v>0</v>
      </c>
      <c r="W25" s="176" t="n">
        <v>0.00378822202194041</v>
      </c>
      <c r="X25" s="176" t="n">
        <v>1340.58353262148</v>
      </c>
      <c r="Y25" s="176" t="n">
        <v>0</v>
      </c>
      <c r="Z25" s="176" t="n">
        <v>0</v>
      </c>
      <c r="AA25" s="176" t="n">
        <v>0</v>
      </c>
      <c r="AB25" s="176" t="n">
        <v>0</v>
      </c>
      <c r="AC25" s="176" t="n">
        <v>0</v>
      </c>
      <c r="AD25" s="176" t="n">
        <v>0</v>
      </c>
      <c r="AE25" s="176" t="n">
        <v>0</v>
      </c>
      <c r="AF25" s="176" t="n">
        <v>0.00811532062731788</v>
      </c>
      <c r="AG25" s="176" t="n">
        <v>0</v>
      </c>
      <c r="AH25" s="176" t="n">
        <v>0</v>
      </c>
      <c r="AI25" s="176" t="n">
        <v>0</v>
      </c>
      <c r="AJ25" s="176" t="n">
        <v>0</v>
      </c>
      <c r="AK25" s="176" t="n">
        <v>0</v>
      </c>
      <c r="AL25" s="176" t="n">
        <v>0</v>
      </c>
      <c r="AM25" s="176" t="n">
        <v>0</v>
      </c>
      <c r="AN25" s="176" t="n">
        <v>0</v>
      </c>
      <c r="AO25" s="177" t="n">
        <v>1340.59543616413</v>
      </c>
      <c r="AP25" s="177" t="n">
        <v>0</v>
      </c>
      <c r="AQ25" s="177" t="n">
        <v>36.9434640143683</v>
      </c>
      <c r="AR25" s="177" t="n">
        <v>51.7075998225774</v>
      </c>
      <c r="AS25" s="178" t="n">
        <v>1429.24650000108</v>
      </c>
      <c r="AT25" s="179" t="n"/>
      <c r="AU25" s="179" t="n"/>
    </row>
    <row r="26" ht="15" customHeight="1" s="104">
      <c r="A26" s="180" t="inlineStr">
        <is>
          <t>61</t>
        </is>
      </c>
      <c r="B26" s="182" t="inlineStr">
        <is>
          <t xml:space="preserve">Telecommunications services </t>
        </is>
      </c>
      <c r="C26" s="176" t="n">
        <v>0</v>
      </c>
      <c r="D26" s="176" t="n">
        <v>0</v>
      </c>
      <c r="E26" s="176" t="n">
        <v>0</v>
      </c>
      <c r="F26" s="176" t="n">
        <v>0</v>
      </c>
      <c r="G26" s="176" t="n">
        <v>0</v>
      </c>
      <c r="H26" s="176" t="n">
        <v>0</v>
      </c>
      <c r="I26" s="176" t="n">
        <v>0</v>
      </c>
      <c r="J26" s="176" t="n">
        <v>0</v>
      </c>
      <c r="K26" s="176" t="n">
        <v>0</v>
      </c>
      <c r="L26" s="176" t="n">
        <v>0</v>
      </c>
      <c r="M26" s="176" t="n">
        <v>0</v>
      </c>
      <c r="N26" s="176" t="n">
        <v>0</v>
      </c>
      <c r="O26" s="176" t="n">
        <v>0</v>
      </c>
      <c r="P26" s="176" t="n">
        <v>0</v>
      </c>
      <c r="Q26" s="176" t="n">
        <v>0</v>
      </c>
      <c r="R26" s="176" t="n">
        <v>0</v>
      </c>
      <c r="S26" s="176" t="n">
        <v>0</v>
      </c>
      <c r="T26" s="176" t="n">
        <v>0</v>
      </c>
      <c r="U26" s="176" t="n">
        <v>0</v>
      </c>
      <c r="V26" s="176" t="n">
        <v>1.97944854698126</v>
      </c>
      <c r="W26" s="176" t="n">
        <v>0</v>
      </c>
      <c r="X26" s="176" t="n">
        <v>1.14611300441274</v>
      </c>
      <c r="Y26" s="176" t="n">
        <v>2104.00843310797</v>
      </c>
      <c r="Z26" s="176" t="n">
        <v>0</v>
      </c>
      <c r="AA26" s="176" t="n">
        <v>0</v>
      </c>
      <c r="AB26" s="176" t="n">
        <v>0</v>
      </c>
      <c r="AC26" s="176" t="n">
        <v>0</v>
      </c>
      <c r="AD26" s="176" t="n">
        <v>0</v>
      </c>
      <c r="AE26" s="176" t="n">
        <v>0</v>
      </c>
      <c r="AF26" s="176" t="n">
        <v>0</v>
      </c>
      <c r="AG26" s="176" t="n">
        <v>0</v>
      </c>
      <c r="AH26" s="176" t="n">
        <v>0</v>
      </c>
      <c r="AI26" s="176" t="n">
        <v>0</v>
      </c>
      <c r="AJ26" s="176" t="n">
        <v>0</v>
      </c>
      <c r="AK26" s="176" t="n">
        <v>0</v>
      </c>
      <c r="AL26" s="176" t="n">
        <v>0</v>
      </c>
      <c r="AM26" s="176" t="n">
        <v>0</v>
      </c>
      <c r="AN26" s="176" t="n">
        <v>0</v>
      </c>
      <c r="AO26" s="177" t="n">
        <v>2107.13399465936</v>
      </c>
      <c r="AP26" s="177" t="n">
        <v>0</v>
      </c>
      <c r="AQ26" s="177" t="n">
        <v>233.570044264998</v>
      </c>
      <c r="AR26" s="177" t="n">
        <v>176.693589680819</v>
      </c>
      <c r="AS26" s="178" t="n">
        <v>2517.39762860518</v>
      </c>
      <c r="AT26" s="179" t="n"/>
      <c r="AU26" s="179" t="n"/>
    </row>
    <row r="27" ht="26.25" customHeight="1" s="104">
      <c r="A27" s="180" t="inlineStr">
        <is>
          <t>62-63</t>
        </is>
      </c>
      <c r="B27" s="175" t="inlineStr">
        <is>
          <t xml:space="preserve">Computer programming, consultancy and related services; information services </t>
        </is>
      </c>
      <c r="C27" s="176" t="n">
        <v>0</v>
      </c>
      <c r="D27" s="176" t="n">
        <v>0</v>
      </c>
      <c r="E27" s="176" t="n">
        <v>0</v>
      </c>
      <c r="F27" s="176" t="n">
        <v>0</v>
      </c>
      <c r="G27" s="176" t="n">
        <v>0</v>
      </c>
      <c r="H27" s="176" t="n">
        <v>0</v>
      </c>
      <c r="I27" s="176" t="n">
        <v>0</v>
      </c>
      <c r="J27" s="176" t="n">
        <v>0</v>
      </c>
      <c r="K27" s="176" t="n">
        <v>0</v>
      </c>
      <c r="L27" s="176" t="n">
        <v>0</v>
      </c>
      <c r="M27" s="176" t="n">
        <v>0</v>
      </c>
      <c r="N27" s="176" t="n">
        <v>0</v>
      </c>
      <c r="O27" s="176" t="n">
        <v>0</v>
      </c>
      <c r="P27" s="176" t="n">
        <v>0</v>
      </c>
      <c r="Q27" s="176" t="n">
        <v>0</v>
      </c>
      <c r="R27" s="176" t="n">
        <v>0</v>
      </c>
      <c r="S27" s="176" t="n">
        <v>0</v>
      </c>
      <c r="T27" s="176" t="n">
        <v>0</v>
      </c>
      <c r="U27" s="176" t="n">
        <v>4.51825864459024</v>
      </c>
      <c r="V27" s="176" t="n">
        <v>0</v>
      </c>
      <c r="W27" s="176" t="n">
        <v>0</v>
      </c>
      <c r="X27" s="176" t="n">
        <v>1.24435266064792</v>
      </c>
      <c r="Y27" s="176" t="n">
        <v>0</v>
      </c>
      <c r="Z27" s="176" t="n">
        <v>3900.90915746646</v>
      </c>
      <c r="AA27" s="176" t="n">
        <v>0</v>
      </c>
      <c r="AB27" s="176" t="n">
        <v>0</v>
      </c>
      <c r="AC27" s="176" t="n">
        <v>0</v>
      </c>
      <c r="AD27" s="176" t="n">
        <v>0</v>
      </c>
      <c r="AE27" s="176" t="n">
        <v>0.452402267873101</v>
      </c>
      <c r="AF27" s="176" t="n">
        <v>19.1474993161109</v>
      </c>
      <c r="AG27" s="176" t="n">
        <v>0</v>
      </c>
      <c r="AH27" s="176" t="n">
        <v>0</v>
      </c>
      <c r="AI27" s="176" t="n">
        <v>0</v>
      </c>
      <c r="AJ27" s="176" t="n">
        <v>0</v>
      </c>
      <c r="AK27" s="176" t="n">
        <v>0</v>
      </c>
      <c r="AL27" s="176" t="n">
        <v>0</v>
      </c>
      <c r="AM27" s="176" t="n">
        <v>0</v>
      </c>
      <c r="AN27" s="176" t="n">
        <v>0</v>
      </c>
      <c r="AO27" s="177" t="n">
        <v>3926.27167035568</v>
      </c>
      <c r="AP27" s="177" t="n">
        <v>0</v>
      </c>
      <c r="AQ27" s="177" t="n">
        <v>78.5219398434734</v>
      </c>
      <c r="AR27" s="177" t="n">
        <v>444.025718872321</v>
      </c>
      <c r="AS27" s="178" t="n">
        <v>4448.81932907147</v>
      </c>
      <c r="AT27" s="179" t="n"/>
      <c r="AU27" s="179" t="n"/>
    </row>
    <row r="28" ht="15" customHeight="1" s="104">
      <c r="A28" s="180" t="inlineStr">
        <is>
          <t>64-66</t>
        </is>
      </c>
      <c r="B28" s="175" t="inlineStr">
        <is>
          <t xml:space="preserve">Financial and insurance services </t>
        </is>
      </c>
      <c r="C28" s="176" t="n">
        <v>0</v>
      </c>
      <c r="D28" s="176" t="n">
        <v>0</v>
      </c>
      <c r="E28" s="176" t="n">
        <v>0</v>
      </c>
      <c r="F28" s="176" t="n">
        <v>0</v>
      </c>
      <c r="G28" s="176" t="n">
        <v>0</v>
      </c>
      <c r="H28" s="176" t="n">
        <v>0</v>
      </c>
      <c r="I28" s="176" t="n">
        <v>0</v>
      </c>
      <c r="J28" s="176" t="n">
        <v>0</v>
      </c>
      <c r="K28" s="176" t="n">
        <v>0</v>
      </c>
      <c r="L28" s="176" t="n">
        <v>0</v>
      </c>
      <c r="M28" s="176" t="n">
        <v>0</v>
      </c>
      <c r="N28" s="176" t="n">
        <v>0</v>
      </c>
      <c r="O28" s="176" t="n">
        <v>0</v>
      </c>
      <c r="P28" s="176" t="n">
        <v>0</v>
      </c>
      <c r="Q28" s="176" t="n">
        <v>0</v>
      </c>
      <c r="R28" s="176" t="n">
        <v>0</v>
      </c>
      <c r="S28" s="176" t="n">
        <v>0</v>
      </c>
      <c r="T28" s="176" t="n">
        <v>0</v>
      </c>
      <c r="U28" s="176" t="n">
        <v>0</v>
      </c>
      <c r="V28" s="176" t="n">
        <v>0</v>
      </c>
      <c r="W28" s="176" t="n">
        <v>0</v>
      </c>
      <c r="X28" s="176" t="n">
        <v>0</v>
      </c>
      <c r="Y28" s="176" t="n">
        <v>0</v>
      </c>
      <c r="Z28" s="176" t="n">
        <v>0</v>
      </c>
      <c r="AA28" s="176" t="n">
        <v>5666.36970546485</v>
      </c>
      <c r="AB28" s="176" t="n">
        <v>0</v>
      </c>
      <c r="AC28" s="176" t="n">
        <v>0</v>
      </c>
      <c r="AD28" s="176" t="n">
        <v>0</v>
      </c>
      <c r="AE28" s="176" t="n">
        <v>0</v>
      </c>
      <c r="AF28" s="176" t="n">
        <v>0</v>
      </c>
      <c r="AG28" s="176" t="n">
        <v>0</v>
      </c>
      <c r="AH28" s="176" t="n">
        <v>0</v>
      </c>
      <c r="AI28" s="176" t="n">
        <v>0</v>
      </c>
      <c r="AJ28" s="176" t="n">
        <v>0</v>
      </c>
      <c r="AK28" s="176" t="n">
        <v>0</v>
      </c>
      <c r="AL28" s="176" t="n">
        <v>0</v>
      </c>
      <c r="AM28" s="176" t="n">
        <v>0</v>
      </c>
      <c r="AN28" s="176" t="n">
        <v>0</v>
      </c>
      <c r="AO28" s="177" t="n">
        <v>5666.36970546485</v>
      </c>
      <c r="AP28" s="177" t="n">
        <v>0</v>
      </c>
      <c r="AQ28" s="177" t="n">
        <v>0</v>
      </c>
      <c r="AR28" s="177" t="n">
        <v>766.197227127414</v>
      </c>
      <c r="AS28" s="178" t="n">
        <v>6432.56693259226</v>
      </c>
      <c r="AT28" s="179" t="n"/>
      <c r="AU28" s="179" t="n"/>
    </row>
    <row r="29" ht="15" customHeight="1" s="104">
      <c r="A29" s="180" t="inlineStr">
        <is>
          <t>68</t>
        </is>
      </c>
      <c r="B29" s="182" t="inlineStr">
        <is>
          <t xml:space="preserve">Real estate services </t>
        </is>
      </c>
      <c r="C29" s="176" t="n">
        <v>0</v>
      </c>
      <c r="D29" s="176" t="n">
        <v>2.91022218116559</v>
      </c>
      <c r="E29" s="176" t="n">
        <v>14.5636514262368</v>
      </c>
      <c r="F29" s="176" t="n">
        <v>0.659280450431033</v>
      </c>
      <c r="G29" s="176" t="n">
        <v>0.873198794607516</v>
      </c>
      <c r="H29" s="176" t="n">
        <v>0.000894811266378673</v>
      </c>
      <c r="I29" s="176" t="n">
        <v>2.10918518865674</v>
      </c>
      <c r="J29" s="176" t="n">
        <v>0.01278557001728</v>
      </c>
      <c r="K29" s="176" t="n">
        <v>5.44057009835336</v>
      </c>
      <c r="L29" s="176" t="n">
        <v>10.8908181896695</v>
      </c>
      <c r="M29" s="176" t="n">
        <v>0</v>
      </c>
      <c r="N29" s="176" t="n">
        <v>0</v>
      </c>
      <c r="O29" s="176" t="n">
        <v>2.05155656269654</v>
      </c>
      <c r="P29" s="176" t="n">
        <v>0.252847592244075</v>
      </c>
      <c r="Q29" s="176" t="n">
        <v>0.864357687585909</v>
      </c>
      <c r="R29" s="176" t="n">
        <v>0.999352388162895</v>
      </c>
      <c r="S29" s="176" t="n">
        <v>2.97032298454569</v>
      </c>
      <c r="T29" s="176" t="n">
        <v>102.159232308984</v>
      </c>
      <c r="U29" s="176" t="n">
        <v>38.9064899188115</v>
      </c>
      <c r="V29" s="176" t="n">
        <v>136.958421675615</v>
      </c>
      <c r="W29" s="176" t="n">
        <v>76.2452591103674</v>
      </c>
      <c r="X29" s="176" t="n">
        <v>1.8021653600761</v>
      </c>
      <c r="Y29" s="176" t="n">
        <v>3.73845060015317</v>
      </c>
      <c r="Z29" s="176" t="n">
        <v>0.195172943816882</v>
      </c>
      <c r="AA29" s="176" t="n">
        <v>0</v>
      </c>
      <c r="AB29" s="176" t="n">
        <v>9767.46961059822</v>
      </c>
      <c r="AC29" s="176" t="n">
        <v>3.04360360673164</v>
      </c>
      <c r="AD29" s="176" t="n">
        <v>0</v>
      </c>
      <c r="AE29" s="176" t="n">
        <v>1.29949334593437</v>
      </c>
      <c r="AF29" s="176" t="n">
        <v>0</v>
      </c>
      <c r="AG29" s="176" t="n">
        <v>0</v>
      </c>
      <c r="AH29" s="176" t="n">
        <v>2.09243793582741</v>
      </c>
      <c r="AI29" s="176" t="n">
        <v>6.64821249405386</v>
      </c>
      <c r="AJ29" s="176" t="n">
        <v>0</v>
      </c>
      <c r="AK29" s="176" t="n">
        <v>5.05166716641897</v>
      </c>
      <c r="AL29" s="176" t="n">
        <v>7.71116831823665</v>
      </c>
      <c r="AM29" s="176" t="n">
        <v>0</v>
      </c>
      <c r="AN29" s="176" t="n">
        <v>0</v>
      </c>
      <c r="AO29" s="177" t="n">
        <v>10197.9204293089</v>
      </c>
      <c r="AP29" s="177" t="n">
        <v>0</v>
      </c>
      <c r="AQ29" s="177" t="n">
        <v>16.0635835347008</v>
      </c>
      <c r="AR29" s="177" t="n">
        <v>0</v>
      </c>
      <c r="AS29" s="178" t="n">
        <v>10213.9840128436</v>
      </c>
      <c r="AT29" s="179" t="n"/>
      <c r="AU29" s="179" t="n"/>
    </row>
    <row r="30" ht="51.75" customHeight="1" s="104">
      <c r="A30" s="180" t="inlineStr">
        <is>
          <t>69-71</t>
        </is>
      </c>
      <c r="B30" s="182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76" t="n">
        <v>0</v>
      </c>
      <c r="D30" s="176" t="n">
        <v>0</v>
      </c>
      <c r="E30" s="176" t="n">
        <v>0</v>
      </c>
      <c r="F30" s="176" t="n">
        <v>0</v>
      </c>
      <c r="G30" s="176" t="n">
        <v>0</v>
      </c>
      <c r="H30" s="176" t="n">
        <v>0</v>
      </c>
      <c r="I30" s="176" t="n">
        <v>0.757159500911569</v>
      </c>
      <c r="J30" s="176" t="n">
        <v>0</v>
      </c>
      <c r="K30" s="176" t="n">
        <v>0</v>
      </c>
      <c r="L30" s="176" t="n">
        <v>0</v>
      </c>
      <c r="M30" s="176" t="n">
        <v>0</v>
      </c>
      <c r="N30" s="176" t="n">
        <v>0</v>
      </c>
      <c r="O30" s="176" t="n">
        <v>0</v>
      </c>
      <c r="P30" s="176" t="n">
        <v>0</v>
      </c>
      <c r="Q30" s="176" t="n">
        <v>0</v>
      </c>
      <c r="R30" s="176" t="n">
        <v>0.334666016923609</v>
      </c>
      <c r="S30" s="176" t="n">
        <v>0</v>
      </c>
      <c r="T30" s="176" t="n">
        <v>1.0204114271903</v>
      </c>
      <c r="U30" s="176" t="n">
        <v>2.68486479976789</v>
      </c>
      <c r="V30" s="176" t="n">
        <v>1.54949973241496</v>
      </c>
      <c r="W30" s="176" t="n">
        <v>0</v>
      </c>
      <c r="X30" s="176" t="n">
        <v>0</v>
      </c>
      <c r="Y30" s="176" t="n">
        <v>0</v>
      </c>
      <c r="Z30" s="176" t="n">
        <v>2.39639599726158</v>
      </c>
      <c r="AA30" s="176" t="n">
        <v>0</v>
      </c>
      <c r="AB30" s="176" t="n">
        <v>0</v>
      </c>
      <c r="AC30" s="176" t="n">
        <v>1459.9049352759</v>
      </c>
      <c r="AD30" s="176" t="n">
        <v>0</v>
      </c>
      <c r="AE30" s="176" t="n">
        <v>0</v>
      </c>
      <c r="AF30" s="176" t="n">
        <v>0</v>
      </c>
      <c r="AG30" s="176" t="n">
        <v>0</v>
      </c>
      <c r="AH30" s="176" t="n">
        <v>0.0611683032719536</v>
      </c>
      <c r="AI30" s="176" t="n">
        <v>0.115547045984349</v>
      </c>
      <c r="AJ30" s="176" t="n">
        <v>0</v>
      </c>
      <c r="AK30" s="176" t="n">
        <v>0</v>
      </c>
      <c r="AL30" s="176" t="n">
        <v>0</v>
      </c>
      <c r="AM30" s="176" t="n">
        <v>0</v>
      </c>
      <c r="AN30" s="176" t="n">
        <v>0</v>
      </c>
      <c r="AO30" s="177" t="n">
        <v>1468.82464809963</v>
      </c>
      <c r="AP30" s="177" t="n">
        <v>0</v>
      </c>
      <c r="AQ30" s="177" t="n">
        <v>75.4384814770187</v>
      </c>
      <c r="AR30" s="177" t="n">
        <v>269.201931534384</v>
      </c>
      <c r="AS30" s="178" t="n">
        <v>1813.46506111103</v>
      </c>
      <c r="AT30" s="179" t="n"/>
      <c r="AU30" s="179" t="n"/>
    </row>
    <row r="31" ht="15" customHeight="1" s="104">
      <c r="A31" s="180" t="inlineStr">
        <is>
          <t>72</t>
        </is>
      </c>
      <c r="B31" s="182" t="inlineStr">
        <is>
          <t xml:space="preserve">Scientific research and development services </t>
        </is>
      </c>
      <c r="C31" s="176" t="n">
        <v>0</v>
      </c>
      <c r="D31" s="176" t="n">
        <v>0</v>
      </c>
      <c r="E31" s="176" t="n">
        <v>0</v>
      </c>
      <c r="F31" s="176" t="n">
        <v>0</v>
      </c>
      <c r="G31" s="176" t="n">
        <v>0</v>
      </c>
      <c r="H31" s="176" t="n">
        <v>0</v>
      </c>
      <c r="I31" s="176" t="n">
        <v>0</v>
      </c>
      <c r="J31" s="176" t="n">
        <v>0</v>
      </c>
      <c r="K31" s="176" t="n">
        <v>0</v>
      </c>
      <c r="L31" s="176" t="n">
        <v>0</v>
      </c>
      <c r="M31" s="176" t="n">
        <v>0</v>
      </c>
      <c r="N31" s="176" t="n">
        <v>0</v>
      </c>
      <c r="O31" s="176" t="n">
        <v>0</v>
      </c>
      <c r="P31" s="176" t="n">
        <v>0</v>
      </c>
      <c r="Q31" s="176" t="n">
        <v>0</v>
      </c>
      <c r="R31" s="176" t="n">
        <v>0</v>
      </c>
      <c r="S31" s="176" t="n">
        <v>0</v>
      </c>
      <c r="T31" s="176" t="n">
        <v>0</v>
      </c>
      <c r="U31" s="176" t="n">
        <v>0.0122011123455598</v>
      </c>
      <c r="V31" s="176" t="n">
        <v>0</v>
      </c>
      <c r="W31" s="176" t="n">
        <v>0</v>
      </c>
      <c r="X31" s="176" t="n">
        <v>0</v>
      </c>
      <c r="Y31" s="176" t="n">
        <v>0</v>
      </c>
      <c r="Z31" s="176" t="n">
        <v>0</v>
      </c>
      <c r="AA31" s="176" t="n">
        <v>0</v>
      </c>
      <c r="AB31" s="176" t="n">
        <v>0</v>
      </c>
      <c r="AC31" s="176" t="n">
        <v>0</v>
      </c>
      <c r="AD31" s="176" t="n">
        <v>299.528589938032</v>
      </c>
      <c r="AE31" s="176" t="n">
        <v>0</v>
      </c>
      <c r="AF31" s="176" t="n">
        <v>0</v>
      </c>
      <c r="AG31" s="176" t="n">
        <v>0</v>
      </c>
      <c r="AH31" s="176" t="n">
        <v>0</v>
      </c>
      <c r="AI31" s="176" t="n">
        <v>0</v>
      </c>
      <c r="AJ31" s="176" t="n">
        <v>0</v>
      </c>
      <c r="AK31" s="176" t="n">
        <v>0</v>
      </c>
      <c r="AL31" s="176" t="n">
        <v>0</v>
      </c>
      <c r="AM31" s="176" t="n">
        <v>0</v>
      </c>
      <c r="AN31" s="176" t="n">
        <v>0</v>
      </c>
      <c r="AO31" s="177" t="n">
        <v>299.540791050377</v>
      </c>
      <c r="AP31" s="177" t="n">
        <v>0</v>
      </c>
      <c r="AQ31" s="177" t="n">
        <v>-12.2291074084647</v>
      </c>
      <c r="AR31" s="177" t="n">
        <v>15.6274148228879</v>
      </c>
      <c r="AS31" s="178" t="n">
        <v>302.939098464801</v>
      </c>
      <c r="AT31" s="179" t="n"/>
      <c r="AU31" s="179" t="n"/>
    </row>
    <row r="32" ht="39" customHeight="1" s="104">
      <c r="A32" s="180" t="inlineStr">
        <is>
          <t>73-75</t>
        </is>
      </c>
      <c r="B32" s="175" t="inlineStr">
        <is>
          <t xml:space="preserve">Advertising and market research services; other professional, scientific and technical services; veterinary services </t>
        </is>
      </c>
      <c r="C32" s="176" t="n">
        <v>0</v>
      </c>
      <c r="D32" s="176" t="n">
        <v>0</v>
      </c>
      <c r="E32" s="176" t="n">
        <v>0</v>
      </c>
      <c r="F32" s="176" t="n">
        <v>0.0723452800972376</v>
      </c>
      <c r="G32" s="176" t="n">
        <v>0.266882037994015</v>
      </c>
      <c r="H32" s="176" t="n">
        <v>0</v>
      </c>
      <c r="I32" s="176" t="n">
        <v>0</v>
      </c>
      <c r="J32" s="176" t="n">
        <v>0</v>
      </c>
      <c r="K32" s="176" t="n">
        <v>0</v>
      </c>
      <c r="L32" s="176" t="n">
        <v>0</v>
      </c>
      <c r="M32" s="176" t="n">
        <v>0</v>
      </c>
      <c r="N32" s="176" t="n">
        <v>0</v>
      </c>
      <c r="O32" s="176" t="n">
        <v>0</v>
      </c>
      <c r="P32" s="176" t="n">
        <v>0</v>
      </c>
      <c r="Q32" s="176" t="n">
        <v>0</v>
      </c>
      <c r="R32" s="176" t="n">
        <v>0</v>
      </c>
      <c r="S32" s="176" t="n">
        <v>0</v>
      </c>
      <c r="T32" s="176" t="n">
        <v>0</v>
      </c>
      <c r="U32" s="176" t="n">
        <v>17.9660966762189</v>
      </c>
      <c r="V32" s="176" t="n">
        <v>0.0308574595169891</v>
      </c>
      <c r="W32" s="176" t="n">
        <v>0.08176841157235</v>
      </c>
      <c r="X32" s="176" t="n">
        <v>3.33443244494647</v>
      </c>
      <c r="Y32" s="176" t="n">
        <v>0</v>
      </c>
      <c r="Z32" s="176" t="n">
        <v>0.384729532641916</v>
      </c>
      <c r="AA32" s="176" t="n">
        <v>0</v>
      </c>
      <c r="AB32" s="176" t="n">
        <v>0</v>
      </c>
      <c r="AC32" s="176" t="n">
        <v>0.648844871233491</v>
      </c>
      <c r="AD32" s="176" t="n">
        <v>0</v>
      </c>
      <c r="AE32" s="176" t="n">
        <v>791.0461173658319</v>
      </c>
      <c r="AF32" s="176" t="n">
        <v>0.00351851349363781</v>
      </c>
      <c r="AG32" s="176" t="n">
        <v>0</v>
      </c>
      <c r="AH32" s="176" t="n">
        <v>0</v>
      </c>
      <c r="AI32" s="176" t="n">
        <v>0</v>
      </c>
      <c r="AJ32" s="176" t="n">
        <v>0</v>
      </c>
      <c r="AK32" s="176" t="n">
        <v>2.02594105599261</v>
      </c>
      <c r="AL32" s="176" t="n">
        <v>0</v>
      </c>
      <c r="AM32" s="176" t="n">
        <v>0</v>
      </c>
      <c r="AN32" s="176" t="n">
        <v>0</v>
      </c>
      <c r="AO32" s="177" t="n">
        <v>815.861533649539</v>
      </c>
      <c r="AP32" s="177" t="n">
        <v>0</v>
      </c>
      <c r="AQ32" s="177" t="n">
        <v>20.5086954382744</v>
      </c>
      <c r="AR32" s="177" t="n">
        <v>57.4759163914406</v>
      </c>
      <c r="AS32" s="178" t="n">
        <v>893.846145479255</v>
      </c>
      <c r="AT32" s="179" t="n"/>
      <c r="AU32" s="179" t="n"/>
    </row>
    <row r="33" ht="15" customHeight="1" s="104">
      <c r="A33" s="180" t="inlineStr">
        <is>
          <t>77-82</t>
        </is>
      </c>
      <c r="B33" s="175" t="inlineStr">
        <is>
          <t>Administrative and support services</t>
        </is>
      </c>
      <c r="C33" s="176" t="n">
        <v>0</v>
      </c>
      <c r="D33" s="176" t="n">
        <v>12.7007248502812</v>
      </c>
      <c r="E33" s="176" t="n">
        <v>15.3935798344903</v>
      </c>
      <c r="F33" s="176" t="n">
        <v>0</v>
      </c>
      <c r="G33" s="176" t="n">
        <v>1.43955800692898</v>
      </c>
      <c r="H33" s="176" t="n">
        <v>0</v>
      </c>
      <c r="I33" s="176" t="n">
        <v>1.79157954093249</v>
      </c>
      <c r="J33" s="176" t="n">
        <v>0.00563718367013822</v>
      </c>
      <c r="K33" s="176" t="n">
        <v>2.74040867868292</v>
      </c>
      <c r="L33" s="176" t="n">
        <v>0.611337367486918</v>
      </c>
      <c r="M33" s="176" t="n">
        <v>0</v>
      </c>
      <c r="N33" s="176" t="n">
        <v>0</v>
      </c>
      <c r="O33" s="176" t="n">
        <v>0</v>
      </c>
      <c r="P33" s="176" t="n">
        <v>0</v>
      </c>
      <c r="Q33" s="176" t="n">
        <v>0.0931279119024358</v>
      </c>
      <c r="R33" s="176" t="n">
        <v>0.351107944404608</v>
      </c>
      <c r="S33" s="176" t="n">
        <v>5.86658848267759</v>
      </c>
      <c r="T33" s="176" t="n">
        <v>2.73649394081392</v>
      </c>
      <c r="U33" s="176" t="n">
        <v>4.5875531060745</v>
      </c>
      <c r="V33" s="176" t="n">
        <v>19.7519518726435</v>
      </c>
      <c r="W33" s="176" t="n">
        <v>0</v>
      </c>
      <c r="X33" s="176" t="n">
        <v>0.287440780171833</v>
      </c>
      <c r="Y33" s="176" t="n">
        <v>0.910228615236934</v>
      </c>
      <c r="Z33" s="176" t="n">
        <v>0</v>
      </c>
      <c r="AA33" s="176" t="n">
        <v>0</v>
      </c>
      <c r="AB33" s="176" t="n">
        <v>6.85763170898956</v>
      </c>
      <c r="AC33" s="176" t="n">
        <v>0</v>
      </c>
      <c r="AD33" s="176" t="n">
        <v>0</v>
      </c>
      <c r="AE33" s="176" t="n">
        <v>0</v>
      </c>
      <c r="AF33" s="176" t="n">
        <v>1557.5167714925</v>
      </c>
      <c r="AG33" s="176" t="n">
        <v>0</v>
      </c>
      <c r="AH33" s="176" t="n">
        <v>0.00150185441582245</v>
      </c>
      <c r="AI33" s="176" t="n">
        <v>0.000296335263603686</v>
      </c>
      <c r="AJ33" s="176" t="n">
        <v>0</v>
      </c>
      <c r="AK33" s="176" t="n">
        <v>0</v>
      </c>
      <c r="AL33" s="176" t="n">
        <v>2.27923687157588</v>
      </c>
      <c r="AM33" s="176" t="n">
        <v>0</v>
      </c>
      <c r="AN33" s="176" t="n">
        <v>0</v>
      </c>
      <c r="AO33" s="177" t="n">
        <v>1635.92275637915</v>
      </c>
      <c r="AP33" s="177" t="n">
        <v>0</v>
      </c>
      <c r="AQ33" s="177" t="n">
        <v>90.9893106146079</v>
      </c>
      <c r="AR33" s="177" t="n">
        <v>652.053271023714</v>
      </c>
      <c r="AS33" s="178" t="n">
        <v>2378.96533801747</v>
      </c>
      <c r="AT33" s="179" t="n"/>
      <c r="AU33" s="179" t="n"/>
    </row>
    <row r="34" ht="26.25" customHeight="1" s="104">
      <c r="A34" s="180" t="n">
        <v>84</v>
      </c>
      <c r="B34" s="182" t="inlineStr">
        <is>
          <t xml:space="preserve">Public administration and defence services; compulsory social security services </t>
        </is>
      </c>
      <c r="C34" s="176" t="n">
        <v>0</v>
      </c>
      <c r="D34" s="176" t="n">
        <v>0</v>
      </c>
      <c r="E34" s="176" t="n">
        <v>0</v>
      </c>
      <c r="F34" s="176" t="n">
        <v>0</v>
      </c>
      <c r="G34" s="176" t="n">
        <v>0</v>
      </c>
      <c r="H34" s="176" t="n">
        <v>0</v>
      </c>
      <c r="I34" s="176" t="n">
        <v>0</v>
      </c>
      <c r="J34" s="176" t="n">
        <v>0</v>
      </c>
      <c r="K34" s="176" t="n">
        <v>0</v>
      </c>
      <c r="L34" s="176" t="n">
        <v>0</v>
      </c>
      <c r="M34" s="176" t="n">
        <v>0</v>
      </c>
      <c r="N34" s="176" t="n">
        <v>0</v>
      </c>
      <c r="O34" s="176" t="n">
        <v>0</v>
      </c>
      <c r="P34" s="176" t="n">
        <v>0</v>
      </c>
      <c r="Q34" s="176" t="n">
        <v>0</v>
      </c>
      <c r="R34" s="176" t="n">
        <v>0</v>
      </c>
      <c r="S34" s="176" t="n">
        <v>0</v>
      </c>
      <c r="T34" s="176" t="n">
        <v>0</v>
      </c>
      <c r="U34" s="176" t="n">
        <v>0</v>
      </c>
      <c r="V34" s="176" t="n">
        <v>0</v>
      </c>
      <c r="W34" s="176" t="n">
        <v>0</v>
      </c>
      <c r="X34" s="176" t="n">
        <v>0</v>
      </c>
      <c r="Y34" s="176" t="n">
        <v>0</v>
      </c>
      <c r="Z34" s="176" t="n">
        <v>0</v>
      </c>
      <c r="AA34" s="176" t="n">
        <v>0</v>
      </c>
      <c r="AB34" s="176" t="n">
        <v>0</v>
      </c>
      <c r="AC34" s="176" t="n">
        <v>0</v>
      </c>
      <c r="AD34" s="176" t="n">
        <v>0</v>
      </c>
      <c r="AE34" s="176" t="n">
        <v>0</v>
      </c>
      <c r="AF34" s="176" t="n">
        <v>0</v>
      </c>
      <c r="AG34" s="176" t="n">
        <v>7892.64231035817</v>
      </c>
      <c r="AH34" s="176" t="n">
        <v>0</v>
      </c>
      <c r="AI34" s="176" t="n">
        <v>0</v>
      </c>
      <c r="AJ34" s="176" t="n">
        <v>0</v>
      </c>
      <c r="AK34" s="176" t="n">
        <v>0</v>
      </c>
      <c r="AL34" s="176" t="n">
        <v>0</v>
      </c>
      <c r="AM34" s="176" t="n">
        <v>0</v>
      </c>
      <c r="AN34" s="176" t="n">
        <v>0</v>
      </c>
      <c r="AO34" s="177" t="n">
        <v>7892.64231035817</v>
      </c>
      <c r="AP34" s="177" t="n">
        <v>0</v>
      </c>
      <c r="AQ34" s="177" t="n">
        <v>0</v>
      </c>
      <c r="AR34" s="177" t="n">
        <v>0</v>
      </c>
      <c r="AS34" s="178" t="n">
        <v>7892.64231035817</v>
      </c>
      <c r="AT34" s="179" t="n"/>
      <c r="AU34" s="179" t="n"/>
    </row>
    <row r="35" ht="15" customHeight="1" s="104">
      <c r="A35" s="180" t="n">
        <v>85</v>
      </c>
      <c r="B35" s="182" t="inlineStr">
        <is>
          <t xml:space="preserve">Education services </t>
        </is>
      </c>
      <c r="C35" s="176" t="n">
        <v>0</v>
      </c>
      <c r="D35" s="176" t="n">
        <v>0</v>
      </c>
      <c r="E35" s="176" t="n">
        <v>0</v>
      </c>
      <c r="F35" s="176" t="n">
        <v>0</v>
      </c>
      <c r="G35" s="176" t="n">
        <v>0.00821754095672567</v>
      </c>
      <c r="H35" s="176" t="n">
        <v>0</v>
      </c>
      <c r="I35" s="176" t="n">
        <v>0</v>
      </c>
      <c r="J35" s="176" t="n">
        <v>0</v>
      </c>
      <c r="K35" s="176" t="n">
        <v>0</v>
      </c>
      <c r="L35" s="176" t="n">
        <v>0</v>
      </c>
      <c r="M35" s="176" t="n">
        <v>0</v>
      </c>
      <c r="N35" s="176" t="n">
        <v>0</v>
      </c>
      <c r="O35" s="176" t="n">
        <v>0</v>
      </c>
      <c r="P35" s="176" t="n">
        <v>0</v>
      </c>
      <c r="Q35" s="176" t="n">
        <v>0.060688567905041</v>
      </c>
      <c r="R35" s="176" t="n">
        <v>0</v>
      </c>
      <c r="S35" s="176" t="n">
        <v>0</v>
      </c>
      <c r="T35" s="176" t="n">
        <v>0</v>
      </c>
      <c r="U35" s="176" t="n">
        <v>0</v>
      </c>
      <c r="V35" s="176" t="n">
        <v>0.140999258621635</v>
      </c>
      <c r="W35" s="176" t="n">
        <v>0</v>
      </c>
      <c r="X35" s="176" t="n">
        <v>0</v>
      </c>
      <c r="Y35" s="176" t="n">
        <v>0</v>
      </c>
      <c r="Z35" s="176" t="n">
        <v>0</v>
      </c>
      <c r="AA35" s="176" t="n">
        <v>0</v>
      </c>
      <c r="AB35" s="176" t="n">
        <v>0</v>
      </c>
      <c r="AC35" s="176" t="n">
        <v>0</v>
      </c>
      <c r="AD35" s="176" t="n">
        <v>0</v>
      </c>
      <c r="AE35" s="176" t="n">
        <v>0</v>
      </c>
      <c r="AF35" s="176" t="n">
        <v>0</v>
      </c>
      <c r="AG35" s="176" t="n">
        <v>0</v>
      </c>
      <c r="AH35" s="176" t="n">
        <v>5417.76493614958</v>
      </c>
      <c r="AI35" s="176" t="n">
        <v>1.93911128432762</v>
      </c>
      <c r="AJ35" s="176" t="n">
        <v>0</v>
      </c>
      <c r="AK35" s="176" t="n">
        <v>0</v>
      </c>
      <c r="AL35" s="176" t="n">
        <v>0</v>
      </c>
      <c r="AM35" s="176" t="n">
        <v>0</v>
      </c>
      <c r="AN35" s="176" t="n">
        <v>0</v>
      </c>
      <c r="AO35" s="177" t="n">
        <v>5419.9139528014</v>
      </c>
      <c r="AP35" s="177" t="n">
        <v>0</v>
      </c>
      <c r="AQ35" s="177" t="n">
        <v>0</v>
      </c>
      <c r="AR35" s="177" t="n">
        <v>293.632729454516</v>
      </c>
      <c r="AS35" s="178" t="n">
        <v>5713.54668225591</v>
      </c>
      <c r="AT35" s="179" t="n"/>
      <c r="AU35" s="179" t="n"/>
    </row>
    <row r="36" ht="15" customHeight="1" s="104">
      <c r="A36" s="180" t="n">
        <v>86</v>
      </c>
      <c r="B36" s="182" t="inlineStr">
        <is>
          <t xml:space="preserve">Human health services </t>
        </is>
      </c>
      <c r="C36" s="176" t="n">
        <v>0</v>
      </c>
      <c r="D36" s="176" t="n">
        <v>0</v>
      </c>
      <c r="E36" s="176" t="n">
        <v>0</v>
      </c>
      <c r="F36" s="176" t="n">
        <v>0</v>
      </c>
      <c r="G36" s="176" t="n">
        <v>0</v>
      </c>
      <c r="H36" s="176" t="n">
        <v>0</v>
      </c>
      <c r="I36" s="176" t="n">
        <v>0</v>
      </c>
      <c r="J36" s="176" t="n">
        <v>0</v>
      </c>
      <c r="K36" s="176" t="n">
        <v>0</v>
      </c>
      <c r="L36" s="176" t="n">
        <v>0.0426004576990729</v>
      </c>
      <c r="M36" s="176" t="n">
        <v>0</v>
      </c>
      <c r="N36" s="176" t="n">
        <v>0</v>
      </c>
      <c r="O36" s="176" t="n">
        <v>0</v>
      </c>
      <c r="P36" s="176" t="n">
        <v>0</v>
      </c>
      <c r="Q36" s="176" t="n">
        <v>0</v>
      </c>
      <c r="R36" s="176" t="n">
        <v>0</v>
      </c>
      <c r="S36" s="176" t="n">
        <v>0</v>
      </c>
      <c r="T36" s="176" t="n">
        <v>0.221836110225154</v>
      </c>
      <c r="U36" s="176" t="n">
        <v>0.127160430163185</v>
      </c>
      <c r="V36" s="176" t="n">
        <v>0</v>
      </c>
      <c r="W36" s="176" t="n">
        <v>13.5576909778203</v>
      </c>
      <c r="X36" s="176" t="n">
        <v>0</v>
      </c>
      <c r="Y36" s="176" t="n">
        <v>0</v>
      </c>
      <c r="Z36" s="176" t="n">
        <v>0</v>
      </c>
      <c r="AA36" s="176" t="n">
        <v>0</v>
      </c>
      <c r="AB36" s="176" t="n">
        <v>0</v>
      </c>
      <c r="AC36" s="176" t="n">
        <v>0</v>
      </c>
      <c r="AD36" s="176" t="n">
        <v>0</v>
      </c>
      <c r="AE36" s="176" t="n">
        <v>0</v>
      </c>
      <c r="AF36" s="176" t="n">
        <v>0</v>
      </c>
      <c r="AG36" s="176" t="n">
        <v>0</v>
      </c>
      <c r="AH36" s="176" t="n">
        <v>1.40150541476403</v>
      </c>
      <c r="AI36" s="176" t="n">
        <v>4157.32691053876</v>
      </c>
      <c r="AJ36" s="176" t="n">
        <v>0</v>
      </c>
      <c r="AK36" s="176" t="n">
        <v>0</v>
      </c>
      <c r="AL36" s="176" t="n">
        <v>4.68437839563052</v>
      </c>
      <c r="AM36" s="176" t="n">
        <v>0</v>
      </c>
      <c r="AN36" s="176" t="n">
        <v>0</v>
      </c>
      <c r="AO36" s="177" t="n">
        <v>4177.36208232507</v>
      </c>
      <c r="AP36" s="177" t="n">
        <v>0</v>
      </c>
      <c r="AQ36" s="177" t="n">
        <v>0</v>
      </c>
      <c r="AR36" s="177" t="n">
        <v>91.2632284887399</v>
      </c>
      <c r="AS36" s="178" t="n">
        <v>4268.62531081381</v>
      </c>
      <c r="AT36" s="179" t="n"/>
      <c r="AU36" s="179" t="n"/>
    </row>
    <row r="37" ht="15" customHeight="1" s="104">
      <c r="A37" s="180" t="inlineStr">
        <is>
          <t>87-88</t>
        </is>
      </c>
      <c r="B37" s="175" t="inlineStr">
        <is>
          <t xml:space="preserve">Social work services </t>
        </is>
      </c>
      <c r="C37" s="176" t="n">
        <v>0</v>
      </c>
      <c r="D37" s="176" t="n">
        <v>0</v>
      </c>
      <c r="E37" s="176" t="n">
        <v>0</v>
      </c>
      <c r="F37" s="176" t="n">
        <v>0</v>
      </c>
      <c r="G37" s="176" t="n">
        <v>0</v>
      </c>
      <c r="H37" s="176" t="n">
        <v>0</v>
      </c>
      <c r="I37" s="176" t="n">
        <v>0</v>
      </c>
      <c r="J37" s="176" t="n">
        <v>0</v>
      </c>
      <c r="K37" s="176" t="n">
        <v>0</v>
      </c>
      <c r="L37" s="176" t="n">
        <v>0</v>
      </c>
      <c r="M37" s="176" t="n">
        <v>0</v>
      </c>
      <c r="N37" s="176" t="n">
        <v>0</v>
      </c>
      <c r="O37" s="176" t="n">
        <v>0</v>
      </c>
      <c r="P37" s="176" t="n">
        <v>0</v>
      </c>
      <c r="Q37" s="176" t="n">
        <v>0</v>
      </c>
      <c r="R37" s="176" t="n">
        <v>0</v>
      </c>
      <c r="S37" s="176" t="n">
        <v>0</v>
      </c>
      <c r="T37" s="176" t="n">
        <v>0</v>
      </c>
      <c r="U37" s="176" t="n">
        <v>0</v>
      </c>
      <c r="V37" s="176" t="n">
        <v>0</v>
      </c>
      <c r="W37" s="176" t="n">
        <v>0</v>
      </c>
      <c r="X37" s="176" t="n">
        <v>0</v>
      </c>
      <c r="Y37" s="176" t="n">
        <v>0</v>
      </c>
      <c r="Z37" s="176" t="n">
        <v>0</v>
      </c>
      <c r="AA37" s="176" t="n">
        <v>0</v>
      </c>
      <c r="AB37" s="176" t="n">
        <v>0</v>
      </c>
      <c r="AC37" s="176" t="n">
        <v>0</v>
      </c>
      <c r="AD37" s="176" t="n">
        <v>0</v>
      </c>
      <c r="AE37" s="176" t="n">
        <v>0</v>
      </c>
      <c r="AF37" s="176" t="n">
        <v>0</v>
      </c>
      <c r="AG37" s="176" t="n">
        <v>0.209679949997176</v>
      </c>
      <c r="AH37" s="176" t="n">
        <v>0</v>
      </c>
      <c r="AI37" s="176" t="n">
        <v>0</v>
      </c>
      <c r="AJ37" s="176" t="n">
        <v>378.912196128284</v>
      </c>
      <c r="AK37" s="176" t="n">
        <v>0</v>
      </c>
      <c r="AL37" s="176" t="n">
        <v>0</v>
      </c>
      <c r="AM37" s="176" t="n">
        <v>0</v>
      </c>
      <c r="AN37" s="176" t="n">
        <v>0</v>
      </c>
      <c r="AO37" s="177" t="n">
        <v>379.121876078281</v>
      </c>
      <c r="AP37" s="177" t="n">
        <v>0</v>
      </c>
      <c r="AQ37" s="177" t="n">
        <v>0</v>
      </c>
      <c r="AR37" s="177" t="n">
        <v>0</v>
      </c>
      <c r="AS37" s="178" t="n">
        <v>379.121876078281</v>
      </c>
      <c r="AT37" s="179" t="n"/>
      <c r="AU37" s="179" t="n"/>
    </row>
    <row r="38" ht="15" customHeight="1" s="104">
      <c r="A38" s="180" t="inlineStr">
        <is>
          <t>90-93</t>
        </is>
      </c>
      <c r="B38" s="175" t="inlineStr">
        <is>
          <t xml:space="preserve">Arts, entertainment and recreation services </t>
        </is>
      </c>
      <c r="C38" s="176" t="n">
        <v>0</v>
      </c>
      <c r="D38" s="176" t="n">
        <v>0</v>
      </c>
      <c r="E38" s="176" t="n">
        <v>0</v>
      </c>
      <c r="F38" s="176" t="n">
        <v>0</v>
      </c>
      <c r="G38" s="176" t="n">
        <v>0</v>
      </c>
      <c r="H38" s="176" t="n">
        <v>0</v>
      </c>
      <c r="I38" s="176" t="n">
        <v>0</v>
      </c>
      <c r="J38" s="176" t="n">
        <v>0</v>
      </c>
      <c r="K38" s="176" t="n">
        <v>0</v>
      </c>
      <c r="L38" s="176" t="n">
        <v>0</v>
      </c>
      <c r="M38" s="176" t="n">
        <v>0</v>
      </c>
      <c r="N38" s="176" t="n">
        <v>0</v>
      </c>
      <c r="O38" s="176" t="n">
        <v>0</v>
      </c>
      <c r="P38" s="176" t="n">
        <v>0</v>
      </c>
      <c r="Q38" s="176" t="n">
        <v>0</v>
      </c>
      <c r="R38" s="176" t="n">
        <v>0</v>
      </c>
      <c r="S38" s="176" t="n">
        <v>0</v>
      </c>
      <c r="T38" s="176" t="n">
        <v>0</v>
      </c>
      <c r="U38" s="176" t="n">
        <v>0.248883778101544</v>
      </c>
      <c r="V38" s="176" t="n">
        <v>0</v>
      </c>
      <c r="W38" s="176" t="n">
        <v>8.5279115411631</v>
      </c>
      <c r="X38" s="176" t="n">
        <v>0.513737868208042</v>
      </c>
      <c r="Y38" s="176" t="n">
        <v>0</v>
      </c>
      <c r="Z38" s="176" t="n">
        <v>0</v>
      </c>
      <c r="AA38" s="176" t="n">
        <v>0</v>
      </c>
      <c r="AB38" s="176" t="n">
        <v>6.91998275058609</v>
      </c>
      <c r="AC38" s="176" t="n">
        <v>0</v>
      </c>
      <c r="AD38" s="176" t="n">
        <v>0</v>
      </c>
      <c r="AE38" s="176" t="n">
        <v>1.50822272094494</v>
      </c>
      <c r="AF38" s="176" t="n">
        <v>0</v>
      </c>
      <c r="AG38" s="176" t="n">
        <v>0</v>
      </c>
      <c r="AH38" s="176" t="n">
        <v>0</v>
      </c>
      <c r="AI38" s="176" t="n">
        <v>0</v>
      </c>
      <c r="AJ38" s="176" t="n">
        <v>0</v>
      </c>
      <c r="AK38" s="176" t="n">
        <v>5545.2776654413</v>
      </c>
      <c r="AL38" s="176" t="n">
        <v>0</v>
      </c>
      <c r="AM38" s="176" t="n">
        <v>0</v>
      </c>
      <c r="AN38" s="176" t="n">
        <v>0</v>
      </c>
      <c r="AO38" s="177" t="n">
        <v>5562.9964041003</v>
      </c>
      <c r="AP38" s="177" t="n">
        <v>0</v>
      </c>
      <c r="AQ38" s="177" t="n">
        <v>246.893027477209</v>
      </c>
      <c r="AR38" s="177" t="n">
        <v>172.932522943431</v>
      </c>
      <c r="AS38" s="178" t="n">
        <v>5982.82195452094</v>
      </c>
      <c r="AT38" s="179" t="n"/>
      <c r="AU38" s="179" t="n"/>
    </row>
    <row r="39" ht="15" customHeight="1" s="104">
      <c r="A39" s="180" t="inlineStr">
        <is>
          <t>94-96</t>
        </is>
      </c>
      <c r="B39" s="175" t="inlineStr">
        <is>
          <t>Other services</t>
        </is>
      </c>
      <c r="C39" s="176" t="n">
        <v>0</v>
      </c>
      <c r="D39" s="176" t="n">
        <v>0</v>
      </c>
      <c r="E39" s="176" t="n">
        <v>0</v>
      </c>
      <c r="F39" s="176" t="n">
        <v>0</v>
      </c>
      <c r="G39" s="176" t="n">
        <v>0</v>
      </c>
      <c r="H39" s="176" t="n">
        <v>0</v>
      </c>
      <c r="I39" s="176" t="n">
        <v>0</v>
      </c>
      <c r="J39" s="176" t="n">
        <v>0</v>
      </c>
      <c r="K39" s="176" t="n">
        <v>0</v>
      </c>
      <c r="L39" s="176" t="n">
        <v>0</v>
      </c>
      <c r="M39" s="176" t="n">
        <v>0</v>
      </c>
      <c r="N39" s="176" t="n">
        <v>0</v>
      </c>
      <c r="O39" s="176" t="n">
        <v>0</v>
      </c>
      <c r="P39" s="176" t="n">
        <v>0</v>
      </c>
      <c r="Q39" s="176" t="n">
        <v>0</v>
      </c>
      <c r="R39" s="176" t="n">
        <v>0</v>
      </c>
      <c r="S39" s="176" t="n">
        <v>0.227657135661198</v>
      </c>
      <c r="T39" s="176" t="n">
        <v>0</v>
      </c>
      <c r="U39" s="176" t="n">
        <v>0.48121086706957</v>
      </c>
      <c r="V39" s="176" t="n">
        <v>0</v>
      </c>
      <c r="W39" s="176" t="n">
        <v>0.0610196771358662</v>
      </c>
      <c r="X39" s="176" t="n">
        <v>0</v>
      </c>
      <c r="Y39" s="176" t="n">
        <v>0</v>
      </c>
      <c r="Z39" s="176" t="n">
        <v>0</v>
      </c>
      <c r="AA39" s="176" t="n">
        <v>0</v>
      </c>
      <c r="AB39" s="176" t="n">
        <v>0</v>
      </c>
      <c r="AC39" s="176" t="n">
        <v>0</v>
      </c>
      <c r="AD39" s="176" t="n">
        <v>0</v>
      </c>
      <c r="AE39" s="176" t="n">
        <v>0</v>
      </c>
      <c r="AF39" s="176" t="n">
        <v>0.0294435142232354</v>
      </c>
      <c r="AG39" s="176" t="n">
        <v>0</v>
      </c>
      <c r="AH39" s="176" t="n">
        <v>0</v>
      </c>
      <c r="AI39" s="176" t="n">
        <v>0.356011258988196</v>
      </c>
      <c r="AJ39" s="176" t="n">
        <v>0</v>
      </c>
      <c r="AK39" s="176" t="n">
        <v>0</v>
      </c>
      <c r="AL39" s="176" t="n">
        <v>1263.7914948247</v>
      </c>
      <c r="AM39" s="176" t="n">
        <v>0</v>
      </c>
      <c r="AN39" s="176" t="n">
        <v>0</v>
      </c>
      <c r="AO39" s="177" t="n">
        <v>1264.94683727778</v>
      </c>
      <c r="AP39" s="177" t="n">
        <v>0</v>
      </c>
      <c r="AQ39" s="177" t="n">
        <v>88.2212828324793</v>
      </c>
      <c r="AR39" s="177" t="n">
        <v>98.6441527131031</v>
      </c>
      <c r="AS39" s="178" t="n">
        <v>1451.81227282336</v>
      </c>
      <c r="AT39" s="179" t="n"/>
      <c r="AU39" s="179" t="n"/>
    </row>
    <row r="40" ht="51.75" customHeight="1" s="104">
      <c r="A40" s="180" t="inlineStr">
        <is>
          <t>97-98</t>
        </is>
      </c>
      <c r="B40" s="175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76" t="n">
        <v>0</v>
      </c>
      <c r="D40" s="176" t="n">
        <v>0</v>
      </c>
      <c r="E40" s="176" t="n">
        <v>0</v>
      </c>
      <c r="F40" s="176" t="n">
        <v>0</v>
      </c>
      <c r="G40" s="176" t="n">
        <v>0</v>
      </c>
      <c r="H40" s="176" t="n">
        <v>0</v>
      </c>
      <c r="I40" s="176" t="n">
        <v>0</v>
      </c>
      <c r="J40" s="176" t="n">
        <v>0</v>
      </c>
      <c r="K40" s="176" t="n">
        <v>0</v>
      </c>
      <c r="L40" s="176" t="n">
        <v>0</v>
      </c>
      <c r="M40" s="176" t="n">
        <v>0</v>
      </c>
      <c r="N40" s="176" t="n">
        <v>0</v>
      </c>
      <c r="O40" s="176" t="n">
        <v>0</v>
      </c>
      <c r="P40" s="176" t="n">
        <v>0</v>
      </c>
      <c r="Q40" s="176" t="n">
        <v>0</v>
      </c>
      <c r="R40" s="176" t="n">
        <v>0</v>
      </c>
      <c r="S40" s="176" t="n">
        <v>0</v>
      </c>
      <c r="T40" s="176" t="n">
        <v>0</v>
      </c>
      <c r="U40" s="176" t="n">
        <v>0</v>
      </c>
      <c r="V40" s="176" t="n">
        <v>0</v>
      </c>
      <c r="W40" s="176" t="n">
        <v>0</v>
      </c>
      <c r="X40" s="176" t="n">
        <v>0</v>
      </c>
      <c r="Y40" s="176" t="n">
        <v>0</v>
      </c>
      <c r="Z40" s="176" t="n">
        <v>0</v>
      </c>
      <c r="AA40" s="176" t="n">
        <v>0</v>
      </c>
      <c r="AB40" s="176" t="n">
        <v>0</v>
      </c>
      <c r="AC40" s="176" t="n">
        <v>0</v>
      </c>
      <c r="AD40" s="176" t="n">
        <v>0</v>
      </c>
      <c r="AE40" s="176" t="n">
        <v>0</v>
      </c>
      <c r="AF40" s="176" t="n">
        <v>0</v>
      </c>
      <c r="AG40" s="176" t="n">
        <v>0</v>
      </c>
      <c r="AH40" s="176" t="n">
        <v>0</v>
      </c>
      <c r="AI40" s="176" t="n">
        <v>0</v>
      </c>
      <c r="AJ40" s="176" t="n">
        <v>0</v>
      </c>
      <c r="AK40" s="176" t="n">
        <v>0</v>
      </c>
      <c r="AL40" s="176" t="n">
        <v>0</v>
      </c>
      <c r="AM40" s="176" t="n">
        <v>95.1807998819878</v>
      </c>
      <c r="AN40" s="176" t="n">
        <v>0</v>
      </c>
      <c r="AO40" s="177" t="n">
        <v>95.1807998819878</v>
      </c>
      <c r="AP40" s="177" t="n">
        <v>0</v>
      </c>
      <c r="AQ40" s="177" t="n">
        <v>0</v>
      </c>
      <c r="AR40" s="177" t="n">
        <v>0</v>
      </c>
      <c r="AS40" s="178" t="n">
        <v>95.1807998819878</v>
      </c>
      <c r="AT40" s="179" t="n"/>
      <c r="AU40" s="179" t="n"/>
    </row>
    <row r="41" ht="26.25" customHeight="1" s="104">
      <c r="A41" s="180" t="inlineStr">
        <is>
          <t>99</t>
        </is>
      </c>
      <c r="B41" s="182" t="inlineStr">
        <is>
          <t>Services provided by extraterritorial organisations and bodies</t>
        </is>
      </c>
      <c r="C41" s="176" t="n">
        <v>0</v>
      </c>
      <c r="D41" s="176" t="n">
        <v>0</v>
      </c>
      <c r="E41" s="176" t="n">
        <v>0</v>
      </c>
      <c r="F41" s="176" t="n">
        <v>0</v>
      </c>
      <c r="G41" s="176" t="n">
        <v>0</v>
      </c>
      <c r="H41" s="176" t="n">
        <v>0</v>
      </c>
      <c r="I41" s="176" t="n">
        <v>0</v>
      </c>
      <c r="J41" s="176" t="n">
        <v>0</v>
      </c>
      <c r="K41" s="176" t="n">
        <v>0</v>
      </c>
      <c r="L41" s="176" t="n">
        <v>0</v>
      </c>
      <c r="M41" s="176" t="n">
        <v>0</v>
      </c>
      <c r="N41" s="176" t="n">
        <v>0</v>
      </c>
      <c r="O41" s="176" t="n">
        <v>0</v>
      </c>
      <c r="P41" s="176" t="n">
        <v>0</v>
      </c>
      <c r="Q41" s="176" t="n">
        <v>0</v>
      </c>
      <c r="R41" s="176" t="n">
        <v>0</v>
      </c>
      <c r="S41" s="176" t="n">
        <v>0</v>
      </c>
      <c r="T41" s="176" t="n">
        <v>0</v>
      </c>
      <c r="U41" s="176" t="n">
        <v>0</v>
      </c>
      <c r="V41" s="176" t="n">
        <v>0</v>
      </c>
      <c r="W41" s="176" t="n">
        <v>0</v>
      </c>
      <c r="X41" s="176" t="n">
        <v>0</v>
      </c>
      <c r="Y41" s="176" t="n">
        <v>0</v>
      </c>
      <c r="Z41" s="176" t="n">
        <v>0</v>
      </c>
      <c r="AA41" s="176" t="n">
        <v>0</v>
      </c>
      <c r="AB41" s="176" t="n">
        <v>0</v>
      </c>
      <c r="AC41" s="176" t="n">
        <v>0</v>
      </c>
      <c r="AD41" s="176" t="n">
        <v>0</v>
      </c>
      <c r="AE41" s="176" t="n">
        <v>0</v>
      </c>
      <c r="AF41" s="176" t="n">
        <v>0</v>
      </c>
      <c r="AG41" s="176" t="n">
        <v>0</v>
      </c>
      <c r="AH41" s="176" t="n">
        <v>0</v>
      </c>
      <c r="AI41" s="176" t="n">
        <v>0</v>
      </c>
      <c r="AJ41" s="176" t="n">
        <v>0</v>
      </c>
      <c r="AK41" s="176" t="n">
        <v>0</v>
      </c>
      <c r="AL41" s="176" t="n">
        <v>0</v>
      </c>
      <c r="AM41" s="176" t="n">
        <v>0</v>
      </c>
      <c r="AN41" s="176" t="n">
        <v>0</v>
      </c>
      <c r="AO41" s="177" t="n">
        <v>0</v>
      </c>
      <c r="AP41" s="177" t="n">
        <v>0</v>
      </c>
      <c r="AQ41" s="177" t="n">
        <v>0</v>
      </c>
      <c r="AR41" s="177" t="n">
        <v>0</v>
      </c>
      <c r="AS41" s="178" t="n">
        <v>0</v>
      </c>
      <c r="AT41" s="179" t="n"/>
      <c r="AU41" s="179" t="n"/>
    </row>
    <row r="42" ht="15" customHeight="1" s="104">
      <c r="A42" s="183" t="n"/>
      <c r="B42" s="184" t="inlineStr">
        <is>
          <t>Total</t>
        </is>
      </c>
      <c r="C42" s="185" t="n">
        <v>8082.22819815753</v>
      </c>
      <c r="D42" s="185" t="n">
        <v>2314.45404921384</v>
      </c>
      <c r="E42" s="185" t="n">
        <v>14395.8170128011</v>
      </c>
      <c r="F42" s="185" t="n">
        <v>685.747847505085</v>
      </c>
      <c r="G42" s="185" t="n">
        <v>756.845195851991</v>
      </c>
      <c r="H42" s="185" t="n">
        <v>265.942232095781</v>
      </c>
      <c r="I42" s="185" t="n">
        <v>796.9856641067699</v>
      </c>
      <c r="J42" s="185" t="n">
        <v>440.97833148469</v>
      </c>
      <c r="K42" s="185" t="n">
        <v>3865.84156801526</v>
      </c>
      <c r="L42" s="185" t="n">
        <v>2978.4533104488</v>
      </c>
      <c r="M42" s="185" t="n">
        <v>3.23819583394165</v>
      </c>
      <c r="N42" s="185" t="n">
        <v>251.881553797018</v>
      </c>
      <c r="O42" s="185" t="n">
        <v>67.6175618674143</v>
      </c>
      <c r="P42" s="185" t="n">
        <v>80.0475271077259</v>
      </c>
      <c r="Q42" s="185" t="n">
        <v>720.52296878775</v>
      </c>
      <c r="R42" s="185" t="n">
        <v>2927.48462657126</v>
      </c>
      <c r="S42" s="185" t="n">
        <v>1141.54764429816</v>
      </c>
      <c r="T42" s="185" t="n">
        <v>19023.4962962767</v>
      </c>
      <c r="U42" s="185" t="n">
        <v>19349.842625543</v>
      </c>
      <c r="V42" s="185" t="n">
        <v>9839.860352515891</v>
      </c>
      <c r="W42" s="185" t="n">
        <v>6692.66165746577</v>
      </c>
      <c r="X42" s="185" t="n">
        <v>1355.49292974811</v>
      </c>
      <c r="Y42" s="185" t="n">
        <v>2116.75918881287</v>
      </c>
      <c r="Z42" s="185" t="n">
        <v>3940.45281383176</v>
      </c>
      <c r="AA42" s="185" t="n">
        <v>5666.36970546485</v>
      </c>
      <c r="AB42" s="185" t="n">
        <v>9828.51638512876</v>
      </c>
      <c r="AC42" s="185" t="n">
        <v>1470.30093610255</v>
      </c>
      <c r="AD42" s="185" t="n">
        <v>299.528589938032</v>
      </c>
      <c r="AE42" s="185" t="n">
        <v>1061.77853117088</v>
      </c>
      <c r="AF42" s="185" t="n">
        <v>1615.62458477143</v>
      </c>
      <c r="AG42" s="185" t="n">
        <v>7892.85199030817</v>
      </c>
      <c r="AH42" s="185" t="n">
        <v>5426.65247898487</v>
      </c>
      <c r="AI42" s="185" t="n">
        <v>4182.83848845401</v>
      </c>
      <c r="AJ42" s="185" t="n">
        <v>379.375510186797</v>
      </c>
      <c r="AK42" s="185" t="n">
        <v>5556.37441822345</v>
      </c>
      <c r="AL42" s="185" t="n">
        <v>1312.48467749147</v>
      </c>
      <c r="AM42" s="185" t="n">
        <v>95.1807998819878</v>
      </c>
      <c r="AN42" s="185" t="n">
        <v>0</v>
      </c>
      <c r="AO42" s="185" t="n">
        <v>146882.076448245</v>
      </c>
      <c r="AP42" s="185" t="n">
        <v>0</v>
      </c>
      <c r="AQ42" s="185" t="n">
        <v>12042.850088604</v>
      </c>
      <c r="AR42" s="185" t="n">
        <v>51758.9012618032</v>
      </c>
      <c r="AS42" s="186" t="n">
        <v>210683.827798653</v>
      </c>
      <c r="AT42" s="179" t="n"/>
      <c r="AU42" s="179" t="n"/>
      <c r="AV42" s="187" t="n"/>
      <c r="AW42" s="18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X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.14" customWidth="1" style="103" min="1" max="1"/>
    <col width="46.86" customWidth="1" style="103" min="2" max="2"/>
    <col width="12" customWidth="1" style="103" min="3" max="3"/>
    <col width="17.57" customWidth="1" style="103" min="4" max="4"/>
    <col width="14.57" customWidth="1" style="103" min="5" max="5"/>
    <col width="17" customWidth="1" style="103" min="6" max="6"/>
    <col width="15.42" customWidth="1" style="103" min="7" max="7"/>
    <col width="20.71" customWidth="1" style="103" min="8" max="8"/>
    <col width="16" customWidth="1" style="103" min="9" max="9"/>
    <col width="17.42" customWidth="1" style="103" min="10" max="10"/>
    <col width="19.57" customWidth="1" style="103" min="11" max="11"/>
    <col width="20.85" customWidth="1" style="103" min="12" max="12"/>
    <col width="19.14" customWidth="1" style="103" min="13" max="13"/>
    <col width="13.71" customWidth="1" style="103" min="14" max="14"/>
    <col width="18.86" customWidth="1" style="103" min="15" max="15"/>
    <col width="18.42" customWidth="1" style="103" min="16" max="16"/>
    <col width="17.29" customWidth="1" style="103" min="17" max="17"/>
    <col width="18" customWidth="1" style="103" min="18" max="18"/>
    <col width="21.43" customWidth="1" style="103" min="19" max="19"/>
    <col width="16.14" customWidth="1" style="103" min="20" max="20"/>
    <col width="19.42" customWidth="1" style="103" min="21" max="21"/>
    <col width="17.57" customWidth="1" style="103" min="22" max="22"/>
    <col width="15.85" customWidth="1" style="103" min="23" max="23"/>
    <col width="17.57" customWidth="1" style="103" min="24" max="24"/>
    <col width="20.42" customWidth="1" style="103" min="25" max="25"/>
    <col width="28.57" customWidth="1" style="103" min="26" max="26"/>
    <col width="18.57" customWidth="1" style="103" min="27" max="27"/>
    <col width="16.71" customWidth="1" style="103" min="28" max="28"/>
    <col width="36.71" customWidth="1" style="103" min="29" max="29"/>
    <col width="19.86" customWidth="1" style="103" min="30" max="30"/>
    <col width="31.57" customWidth="1" style="103" min="31" max="31"/>
    <col width="24.86" customWidth="1" style="103" min="32" max="32"/>
    <col width="29.42" customWidth="1" style="103" min="33" max="33"/>
    <col width="15.14" customWidth="1" style="103" min="34" max="34"/>
    <col width="19.42" customWidth="1" style="103" min="35" max="35"/>
    <col width="15.85" customWidth="1" style="103" min="36" max="36"/>
    <col width="21.71" customWidth="1" style="103" min="37" max="37"/>
    <col width="14.42" customWidth="1" style="103" min="38" max="38"/>
    <col width="33.57" customWidth="1" style="103" min="39" max="39"/>
    <col width="18.29" customWidth="1" style="103" min="40" max="40"/>
    <col width="15" customWidth="1" style="103" min="41" max="41"/>
    <col width="22.42" customWidth="1" style="103" min="42" max="42"/>
    <col width="22.15" customWidth="1" style="103" min="43" max="43"/>
    <col width="16.84" customWidth="1" style="103" min="44" max="44"/>
    <col width="13.29" customWidth="1" style="103" min="45" max="45"/>
    <col width="14.71" customWidth="1" style="103" min="46" max="46"/>
    <col width="12.86" customWidth="1" style="103" min="47" max="47"/>
    <col width="14.57" customWidth="1" style="103" min="48" max="48"/>
    <col width="15" customWidth="1" style="103" min="49" max="49"/>
    <col width="14.29" customWidth="1" style="103" min="50" max="50"/>
    <col width="12.86" customWidth="1" style="103" min="82" max="82"/>
    <col width="16.71" customWidth="1" style="103" min="83" max="83"/>
    <col width="15.42" customWidth="1" style="103" min="84" max="84"/>
    <col width="16.57" customWidth="1" style="103" min="85" max="85"/>
    <col width="13" customWidth="1" style="103" min="86" max="86"/>
    <col width="14.86" customWidth="1" style="103" min="87" max="87"/>
    <col width="11.57" customWidth="1" style="103" min="88" max="88"/>
    <col width="12.15" customWidth="1" style="103" min="89" max="89"/>
  </cols>
  <sheetData>
    <row r="1" ht="22.5" customHeight="1" s="104">
      <c r="A1" s="161" t="inlineStr">
        <is>
          <t xml:space="preserve">Use, 2024 (Current prices, mil. GEL) </t>
        </is>
      </c>
      <c r="C1" s="188" t="n"/>
      <c r="D1" s="188" t="n"/>
    </row>
    <row r="2" ht="48.75" customHeight="1" s="104">
      <c r="A2" s="162" t="inlineStr">
        <is>
          <t xml:space="preserve">       NACE rev.2
CPA 2008</t>
        </is>
      </c>
      <c r="B2" s="163" t="n"/>
      <c r="C2" s="164" t="inlineStr">
        <is>
          <t>1-3</t>
        </is>
      </c>
      <c r="D2" s="165" t="inlineStr">
        <is>
          <t>5-9</t>
        </is>
      </c>
      <c r="E2" s="165" t="inlineStr">
        <is>
          <t>10-12</t>
        </is>
      </c>
      <c r="F2" s="165" t="inlineStr">
        <is>
          <t>13-15</t>
        </is>
      </c>
      <c r="G2" s="165" t="inlineStr">
        <is>
          <t>16-18</t>
        </is>
      </c>
      <c r="H2" s="165" t="n">
        <v>19</v>
      </c>
      <c r="I2" s="165" t="n">
        <v>20</v>
      </c>
      <c r="J2" s="165" t="n">
        <v>21</v>
      </c>
      <c r="K2" s="165" t="inlineStr">
        <is>
          <t>22-23</t>
        </is>
      </c>
      <c r="L2" s="165" t="inlineStr">
        <is>
          <t>24-25</t>
        </is>
      </c>
      <c r="M2" s="165" t="n">
        <v>26</v>
      </c>
      <c r="N2" s="165" t="n">
        <v>27</v>
      </c>
      <c r="O2" s="165" t="n">
        <v>28</v>
      </c>
      <c r="P2" s="165" t="inlineStr">
        <is>
          <t>29-30</t>
        </is>
      </c>
      <c r="Q2" s="165" t="inlineStr">
        <is>
          <t>31-33</t>
        </is>
      </c>
      <c r="R2" s="165" t="inlineStr">
        <is>
          <t>35</t>
        </is>
      </c>
      <c r="S2" s="165" t="inlineStr">
        <is>
          <t>36-39</t>
        </is>
      </c>
      <c r="T2" s="165" t="inlineStr">
        <is>
          <t>41-43</t>
        </is>
      </c>
      <c r="U2" s="165" t="inlineStr">
        <is>
          <t>45-47</t>
        </is>
      </c>
      <c r="V2" s="165" t="inlineStr">
        <is>
          <t>49-53</t>
        </is>
      </c>
      <c r="W2" s="165" t="inlineStr">
        <is>
          <t>55-56</t>
        </is>
      </c>
      <c r="X2" s="165" t="inlineStr">
        <is>
          <t>58-60</t>
        </is>
      </c>
      <c r="Y2" s="165" t="inlineStr">
        <is>
          <t>61</t>
        </is>
      </c>
      <c r="Z2" s="165" t="inlineStr">
        <is>
          <t>62-63</t>
        </is>
      </c>
      <c r="AA2" s="165" t="inlineStr">
        <is>
          <t>64-66</t>
        </is>
      </c>
      <c r="AB2" s="165" t="inlineStr">
        <is>
          <t>68</t>
        </is>
      </c>
      <c r="AC2" s="165" t="inlineStr">
        <is>
          <t>69-71</t>
        </is>
      </c>
      <c r="AD2" s="165" t="n">
        <v>72</v>
      </c>
      <c r="AE2" s="165" t="inlineStr">
        <is>
          <t>73-75</t>
        </is>
      </c>
      <c r="AF2" s="165" t="inlineStr">
        <is>
          <t>77-82</t>
        </is>
      </c>
      <c r="AG2" s="165" t="n">
        <v>84</v>
      </c>
      <c r="AH2" s="165" t="n">
        <v>85</v>
      </c>
      <c r="AI2" s="165" t="n">
        <v>86</v>
      </c>
      <c r="AJ2" s="165" t="inlineStr">
        <is>
          <t>87-88</t>
        </is>
      </c>
      <c r="AK2" s="165" t="inlineStr">
        <is>
          <t>90-93</t>
        </is>
      </c>
      <c r="AL2" s="165" t="inlineStr">
        <is>
          <t>94-96</t>
        </is>
      </c>
      <c r="AM2" s="165" t="inlineStr">
        <is>
          <t>97-98</t>
        </is>
      </c>
      <c r="AN2" s="165" t="inlineStr">
        <is>
          <t>99</t>
        </is>
      </c>
      <c r="AO2" s="166" t="inlineStr">
        <is>
          <t>Tot1</t>
        </is>
      </c>
      <c r="AP2" s="166" t="inlineStr">
        <is>
          <t>P31</t>
        </is>
      </c>
      <c r="AQ2" s="166" t="inlineStr">
        <is>
          <t>P32</t>
        </is>
      </c>
      <c r="AR2" s="166" t="inlineStr">
        <is>
          <t>P3</t>
        </is>
      </c>
      <c r="AS2" s="166" t="inlineStr">
        <is>
          <t>P6</t>
        </is>
      </c>
      <c r="AT2" s="166" t="inlineStr">
        <is>
          <t>P51</t>
        </is>
      </c>
      <c r="AU2" s="166" t="inlineStr">
        <is>
          <t>P52</t>
        </is>
      </c>
      <c r="AV2" s="166" t="inlineStr">
        <is>
          <t>P5</t>
        </is>
      </c>
      <c r="AW2" s="166" t="inlineStr">
        <is>
          <t>FD</t>
        </is>
      </c>
      <c r="AX2" s="167" t="inlineStr">
        <is>
          <t>Tot2</t>
        </is>
      </c>
    </row>
    <row r="3" ht="121.5" customHeight="1" s="104">
      <c r="A3" s="168" t="n"/>
      <c r="B3" s="169" t="inlineStr">
        <is>
          <t xml:space="preserve">                            
                                             Industry, NACE rev.2
Product, CPA 2008</t>
        </is>
      </c>
      <c r="C3" s="170" t="inlineStr">
        <is>
          <t xml:space="preserve">Agriculture, forestry and fishing </t>
        </is>
      </c>
      <c r="D3" s="171" t="inlineStr">
        <is>
          <t xml:space="preserve">Mining and quarrying </t>
        </is>
      </c>
      <c r="E3" s="171" t="inlineStr">
        <is>
          <t xml:space="preserve">Manufacture of food products, beverages and tobacco products </t>
        </is>
      </c>
      <c r="F3" s="171" t="inlineStr">
        <is>
          <t xml:space="preserve">Manufacture of textiles, wearing apparel and leather products </t>
        </is>
      </c>
      <c r="G3" s="171" t="inlineStr">
        <is>
          <t>Manufacture of wood and paper products, and printing</t>
        </is>
      </c>
      <c r="H3" s="171" t="inlineStr">
        <is>
          <t xml:space="preserve">Manufacture of coke and refined petroleum products </t>
        </is>
      </c>
      <c r="I3" s="171" t="inlineStr">
        <is>
          <t xml:space="preserve">Manufacture of chemicals and chemical products </t>
        </is>
      </c>
      <c r="J3" s="171" t="inlineStr">
        <is>
          <t xml:space="preserve">Manufacture of basic pharmaceutical products and pharmaceutical preparations </t>
        </is>
      </c>
      <c r="K3" s="171" t="inlineStr">
        <is>
          <t xml:space="preserve">Manufacture of rubber and plastics products, and other non-metallic mineral products </t>
        </is>
      </c>
      <c r="L3" s="171" t="inlineStr">
        <is>
          <t xml:space="preserve">Manufacture of basic metals and fabricated metal products, except machinery and equipment </t>
        </is>
      </c>
      <c r="M3" s="171" t="inlineStr">
        <is>
          <t xml:space="preserve">Manufacture of computer, electronic and optical products </t>
        </is>
      </c>
      <c r="N3" s="171" t="inlineStr">
        <is>
          <t xml:space="preserve">Manufacture of electrical equipment </t>
        </is>
      </c>
      <c r="O3" s="171" t="inlineStr">
        <is>
          <t xml:space="preserve">Manufacture of machinery and equipment n.e.c. </t>
        </is>
      </c>
      <c r="P3" s="171" t="inlineStr">
        <is>
          <t xml:space="preserve">Manufacture of transport equipment </t>
        </is>
      </c>
      <c r="Q3" s="171" t="inlineStr">
        <is>
          <t xml:space="preserve">Manufacture of furniture; other manufacturing; repair and installation of machinery and equipment </t>
        </is>
      </c>
      <c r="R3" s="171" t="inlineStr">
        <is>
          <t xml:space="preserve">Electricity, gas, steam and air conditioning supply </t>
        </is>
      </c>
      <c r="S3" s="171" t="inlineStr">
        <is>
          <t xml:space="preserve">Water supply; sewerage, waste management and remediation activities </t>
        </is>
      </c>
      <c r="T3" s="171" t="inlineStr">
        <is>
          <t>Construction</t>
        </is>
      </c>
      <c r="U3" s="171" t="inlineStr">
        <is>
          <t xml:space="preserve">Wholesale and retail trade, repair of motor vehicles and motorcycles </t>
        </is>
      </c>
      <c r="V3" s="171" t="inlineStr">
        <is>
          <t xml:space="preserve">Transportation and storage </t>
        </is>
      </c>
      <c r="W3" s="171" t="inlineStr">
        <is>
          <t>Accommodation and food service activities</t>
        </is>
      </c>
      <c r="X3" s="171" t="inlineStr">
        <is>
          <t xml:space="preserve">Publishing, audiovisual and broadcasting activities </t>
        </is>
      </c>
      <c r="Y3" s="171" t="inlineStr">
        <is>
          <t>Telecommunications</t>
        </is>
      </c>
      <c r="Z3" s="171" t="inlineStr">
        <is>
          <t xml:space="preserve">Computer programming, consultancy and related activities; information service activities </t>
        </is>
      </c>
      <c r="AA3" s="171" t="inlineStr">
        <is>
          <t xml:space="preserve">Financial and insurance activities </t>
        </is>
      </c>
      <c r="AB3" s="171" t="inlineStr">
        <is>
          <t xml:space="preserve">Real estate activities </t>
        </is>
      </c>
      <c r="AC3" s="171" t="inlineStr">
        <is>
          <t>Legal and accounting activities; activities of head offices; management consultancy activities; architecture and engineering activities; technical testing and analysis</t>
        </is>
      </c>
      <c r="AD3" s="171" t="inlineStr">
        <is>
          <t xml:space="preserve">Scientific research and development </t>
        </is>
      </c>
      <c r="AE3" s="171" t="inlineStr">
        <is>
          <t xml:space="preserve">Advertising and market research; other professional, scientific and technical activities; veterinary activities </t>
        </is>
      </c>
      <c r="AF3" s="171" t="inlineStr">
        <is>
          <t xml:space="preserve">Administrative and support service activities </t>
        </is>
      </c>
      <c r="AG3" s="171" t="inlineStr">
        <is>
          <t xml:space="preserve">Public administration and defence; compulsory social security </t>
        </is>
      </c>
      <c r="AH3" s="171" t="inlineStr">
        <is>
          <t>Education</t>
        </is>
      </c>
      <c r="AI3" s="171" t="inlineStr">
        <is>
          <t xml:space="preserve">Human health activities </t>
        </is>
      </c>
      <c r="AJ3" s="171" t="inlineStr">
        <is>
          <t xml:space="preserve">Social work activities </t>
        </is>
      </c>
      <c r="AK3" s="171" t="inlineStr">
        <is>
          <t xml:space="preserve">Arts, entertainment and recreation </t>
        </is>
      </c>
      <c r="AL3" s="171" t="inlineStr">
        <is>
          <t xml:space="preserve">Other service activities </t>
        </is>
      </c>
      <c r="AM3" s="171" t="inlineStr">
        <is>
          <t xml:space="preserve">Activities of households as employers of domestic personnel and undifferentiated goods and services production of households for own use </t>
        </is>
      </c>
      <c r="AN3" s="171" t="inlineStr">
        <is>
          <t>Activities of extra-territorial organisations and bodies</t>
        </is>
      </c>
      <c r="AO3" s="172" t="inlineStr">
        <is>
          <t>Intermediate consumption, total</t>
        </is>
      </c>
      <c r="AP3" s="189" t="inlineStr">
        <is>
          <t>Final consumption expenditure by households and non-profit organisations serving households (NPISH)</t>
        </is>
      </c>
      <c r="AQ3" s="189" t="inlineStr">
        <is>
          <t>Final consumption expenditure by government</t>
        </is>
      </c>
      <c r="AR3" s="190" t="inlineStr">
        <is>
          <t>Final consumption expenditure</t>
        </is>
      </c>
      <c r="AS3" s="190" t="inlineStr">
        <is>
          <t>Export, total</t>
        </is>
      </c>
      <c r="AT3" s="189" t="inlineStr">
        <is>
          <t>Gross fixed capital formation</t>
        </is>
      </c>
      <c r="AU3" s="189" t="inlineStr">
        <is>
          <t>Changes in inventories</t>
        </is>
      </c>
      <c r="AV3" s="172" t="inlineStr">
        <is>
          <t>Gross capital formation</t>
        </is>
      </c>
      <c r="AW3" s="172" t="inlineStr">
        <is>
          <t>Final uses</t>
        </is>
      </c>
      <c r="AX3" s="173" t="inlineStr">
        <is>
          <t>Use, total</t>
        </is>
      </c>
    </row>
    <row r="4" ht="15" customHeight="1" s="104">
      <c r="A4" s="174" t="inlineStr">
        <is>
          <t>1-3</t>
        </is>
      </c>
      <c r="B4" s="175" t="inlineStr">
        <is>
          <t xml:space="preserve">Products of agriculture, forestry and fishing </t>
        </is>
      </c>
      <c r="C4" s="191" t="n">
        <v>1350.80830168607</v>
      </c>
      <c r="D4" s="191" t="n">
        <v>0</v>
      </c>
      <c r="E4" s="191" t="n">
        <v>5397.62118039001</v>
      </c>
      <c r="F4" s="191" t="n">
        <v>4.5750327269142</v>
      </c>
      <c r="G4" s="191" t="n">
        <v>17.7524899546938</v>
      </c>
      <c r="H4" s="191" t="n">
        <v>0</v>
      </c>
      <c r="I4" s="191" t="n">
        <v>0</v>
      </c>
      <c r="J4" s="191" t="n">
        <v>0</v>
      </c>
      <c r="K4" s="191" t="n">
        <v>0</v>
      </c>
      <c r="L4" s="191" t="n">
        <v>0</v>
      </c>
      <c r="M4" s="191" t="n">
        <v>0</v>
      </c>
      <c r="N4" s="191" t="n">
        <v>0</v>
      </c>
      <c r="O4" s="191" t="n">
        <v>0</v>
      </c>
      <c r="P4" s="191" t="n">
        <v>0</v>
      </c>
      <c r="Q4" s="191" t="n">
        <v>0</v>
      </c>
      <c r="R4" s="191" t="n">
        <v>0.0306095241086358</v>
      </c>
      <c r="S4" s="191" t="n">
        <v>0</v>
      </c>
      <c r="T4" s="191" t="n">
        <v>0.649473143928035</v>
      </c>
      <c r="U4" s="191" t="n">
        <v>63.3282952689323</v>
      </c>
      <c r="V4" s="191" t="n">
        <v>0.0290711463993758</v>
      </c>
      <c r="W4" s="191" t="n">
        <v>332.560082642469</v>
      </c>
      <c r="X4" s="191" t="n">
        <v>0</v>
      </c>
      <c r="Y4" s="191" t="n">
        <v>0</v>
      </c>
      <c r="Z4" s="191" t="n">
        <v>0</v>
      </c>
      <c r="AA4" s="191" t="n">
        <v>0.00363023088583512</v>
      </c>
      <c r="AB4" s="191" t="n">
        <v>0</v>
      </c>
      <c r="AC4" s="191" t="n">
        <v>0.0237920457769958</v>
      </c>
      <c r="AD4" s="191" t="n">
        <v>0</v>
      </c>
      <c r="AE4" s="191" t="n">
        <v>0</v>
      </c>
      <c r="AF4" s="191" t="n">
        <v>0</v>
      </c>
      <c r="AG4" s="191" t="n">
        <v>0</v>
      </c>
      <c r="AH4" s="191" t="n">
        <v>10.1842552150385</v>
      </c>
      <c r="AI4" s="191" t="n">
        <v>0.065691562510875</v>
      </c>
      <c r="AJ4" s="191" t="n">
        <v>15.0587889249115</v>
      </c>
      <c r="AK4" s="191" t="n">
        <v>48.0958003826571</v>
      </c>
      <c r="AL4" s="191" t="n">
        <v>0</v>
      </c>
      <c r="AM4" s="191" t="n">
        <v>0</v>
      </c>
      <c r="AN4" s="191" t="n">
        <v>0</v>
      </c>
      <c r="AO4" s="192" t="n">
        <v>7240.7864948453</v>
      </c>
      <c r="AP4" s="191" t="n">
        <v>2692.29321040166</v>
      </c>
      <c r="AQ4" s="191" t="n">
        <v>0</v>
      </c>
      <c r="AR4" s="192" t="n">
        <v>2692.29321040166</v>
      </c>
      <c r="AS4" s="192" t="n">
        <v>946.930104177388</v>
      </c>
      <c r="AT4" s="191" t="n">
        <v>625.7817119477201</v>
      </c>
      <c r="AU4" s="191" t="n">
        <v>43.9552130644366</v>
      </c>
      <c r="AV4" s="192" t="n">
        <v>669.736925012157</v>
      </c>
      <c r="AW4" s="192" t="n">
        <v>4308.9602395912</v>
      </c>
      <c r="AX4" s="193" t="n">
        <v>11549.7467344365</v>
      </c>
    </row>
    <row r="5" ht="15" customHeight="1" s="104">
      <c r="A5" s="180" t="inlineStr">
        <is>
          <t>5-9</t>
        </is>
      </c>
      <c r="B5" s="175" t="inlineStr">
        <is>
          <t xml:space="preserve">Mining and quarrying </t>
        </is>
      </c>
      <c r="C5" s="191" t="n">
        <v>2.12018069030851</v>
      </c>
      <c r="D5" s="191" t="n">
        <v>275.04982152213</v>
      </c>
      <c r="E5" s="191" t="n">
        <v>0.89442647059106</v>
      </c>
      <c r="F5" s="191" t="n">
        <v>0</v>
      </c>
      <c r="G5" s="191" t="n">
        <v>0</v>
      </c>
      <c r="H5" s="191" t="n">
        <v>60.8215914110607</v>
      </c>
      <c r="I5" s="191" t="n">
        <v>0</v>
      </c>
      <c r="J5" s="191" t="n">
        <v>0.0552331467784813</v>
      </c>
      <c r="K5" s="191" t="n">
        <v>273.554156101206</v>
      </c>
      <c r="L5" s="191" t="n">
        <v>44.7930442371144</v>
      </c>
      <c r="M5" s="191" t="n">
        <v>0</v>
      </c>
      <c r="N5" s="191" t="n">
        <v>0</v>
      </c>
      <c r="O5" s="191" t="n">
        <v>0</v>
      </c>
      <c r="P5" s="191" t="n">
        <v>0</v>
      </c>
      <c r="Q5" s="191" t="n">
        <v>0.0355477033585696</v>
      </c>
      <c r="R5" s="191" t="n">
        <v>1.96057952953167</v>
      </c>
      <c r="S5" s="191" t="n">
        <v>0</v>
      </c>
      <c r="T5" s="191" t="n">
        <v>199.831359323408</v>
      </c>
      <c r="U5" s="191" t="n">
        <v>2.12916751629307</v>
      </c>
      <c r="V5" s="191" t="n">
        <v>3.82177577190272</v>
      </c>
      <c r="W5" s="191" t="n">
        <v>0</v>
      </c>
      <c r="X5" s="191" t="n">
        <v>0</v>
      </c>
      <c r="Y5" s="191" t="n">
        <v>0</v>
      </c>
      <c r="Z5" s="191" t="n">
        <v>0</v>
      </c>
      <c r="AA5" s="191" t="n">
        <v>0.00582610447881676</v>
      </c>
      <c r="AB5" s="191" t="n">
        <v>9.74371647926988</v>
      </c>
      <c r="AC5" s="191" t="n">
        <v>0</v>
      </c>
      <c r="AD5" s="191" t="n">
        <v>0</v>
      </c>
      <c r="AE5" s="191" t="n">
        <v>0</v>
      </c>
      <c r="AF5" s="191" t="n">
        <v>0</v>
      </c>
      <c r="AG5" s="191" t="n">
        <v>0</v>
      </c>
      <c r="AH5" s="191" t="n">
        <v>0.0511224042382546</v>
      </c>
      <c r="AI5" s="191" t="n">
        <v>0.119880186029411</v>
      </c>
      <c r="AJ5" s="191" t="n">
        <v>0</v>
      </c>
      <c r="AK5" s="191" t="n">
        <v>0</v>
      </c>
      <c r="AL5" s="191" t="n">
        <v>1.29049241609194</v>
      </c>
      <c r="AM5" s="191" t="n">
        <v>0</v>
      </c>
      <c r="AN5" s="191" t="n">
        <v>0</v>
      </c>
      <c r="AO5" s="192" t="n">
        <v>876.277921013791</v>
      </c>
      <c r="AP5" s="191" t="n">
        <v>0.655167538129424</v>
      </c>
      <c r="AQ5" s="191" t="n">
        <v>0</v>
      </c>
      <c r="AR5" s="192" t="n">
        <v>0.655167538129424</v>
      </c>
      <c r="AS5" s="192" t="n">
        <v>2289.42622320357</v>
      </c>
      <c r="AT5" s="191" t="n">
        <v>0</v>
      </c>
      <c r="AU5" s="191" t="n">
        <v>36.2631505308851</v>
      </c>
      <c r="AV5" s="192" t="n">
        <v>36.2631505308851</v>
      </c>
      <c r="AW5" s="192" t="n">
        <v>2326.34454127258</v>
      </c>
      <c r="AX5" s="193" t="n">
        <v>3202.62246228637</v>
      </c>
    </row>
    <row r="6" ht="15" customHeight="1" s="104">
      <c r="A6" s="180" t="inlineStr">
        <is>
          <t>10-12</t>
        </is>
      </c>
      <c r="B6" s="175" t="inlineStr">
        <is>
          <t xml:space="preserve">Food products, beverages and tobacco products </t>
        </is>
      </c>
      <c r="C6" s="191" t="n">
        <v>537.77772421949</v>
      </c>
      <c r="D6" s="191" t="n">
        <v>0</v>
      </c>
      <c r="E6" s="191" t="n">
        <v>2613.61309818149</v>
      </c>
      <c r="F6" s="191" t="n">
        <v>0</v>
      </c>
      <c r="G6" s="191" t="n">
        <v>0</v>
      </c>
      <c r="H6" s="191" t="n">
        <v>0</v>
      </c>
      <c r="I6" s="191" t="n">
        <v>1.35339438415987</v>
      </c>
      <c r="J6" s="191" t="n">
        <v>0</v>
      </c>
      <c r="K6" s="191" t="n">
        <v>0</v>
      </c>
      <c r="L6" s="191" t="n">
        <v>0</v>
      </c>
      <c r="M6" s="191" t="n">
        <v>0</v>
      </c>
      <c r="N6" s="191" t="n">
        <v>0</v>
      </c>
      <c r="O6" s="191" t="n">
        <v>0</v>
      </c>
      <c r="P6" s="191" t="n">
        <v>0</v>
      </c>
      <c r="Q6" s="191" t="n">
        <v>0</v>
      </c>
      <c r="R6" s="191" t="n">
        <v>0.320776224727179</v>
      </c>
      <c r="S6" s="191" t="n">
        <v>39.5097870528247</v>
      </c>
      <c r="T6" s="191" t="n">
        <v>0</v>
      </c>
      <c r="U6" s="191" t="n">
        <v>415.602661571103</v>
      </c>
      <c r="V6" s="191" t="n">
        <v>0.164982088270812</v>
      </c>
      <c r="W6" s="191" t="n">
        <v>1637.68789477874</v>
      </c>
      <c r="X6" s="191" t="n">
        <v>1.28131697367182</v>
      </c>
      <c r="Y6" s="191" t="n">
        <v>0</v>
      </c>
      <c r="Z6" s="191" t="n">
        <v>0.173382417921849</v>
      </c>
      <c r="AA6" s="191" t="n">
        <v>0.200558928933699</v>
      </c>
      <c r="AB6" s="191" t="n">
        <v>0</v>
      </c>
      <c r="AC6" s="191" t="n">
        <v>1.70015181458778</v>
      </c>
      <c r="AD6" s="191" t="n">
        <v>0</v>
      </c>
      <c r="AE6" s="191" t="n">
        <v>0.112787172618244</v>
      </c>
      <c r="AF6" s="191" t="n">
        <v>0</v>
      </c>
      <c r="AG6" s="191" t="n">
        <v>0</v>
      </c>
      <c r="AH6" s="191" t="n">
        <v>82.96304537842531</v>
      </c>
      <c r="AI6" s="191" t="n">
        <v>1.29712330882931</v>
      </c>
      <c r="AJ6" s="191" t="n">
        <v>55.1545477328253</v>
      </c>
      <c r="AK6" s="191" t="n">
        <v>42.6973600771055</v>
      </c>
      <c r="AL6" s="191" t="n">
        <v>0.316894853828582</v>
      </c>
      <c r="AM6" s="191" t="n">
        <v>0</v>
      </c>
      <c r="AN6" s="191" t="n">
        <v>0</v>
      </c>
      <c r="AO6" s="192" t="n">
        <v>5431.92748715955</v>
      </c>
      <c r="AP6" s="191" t="n">
        <v>16861.6356623827</v>
      </c>
      <c r="AQ6" s="191" t="n">
        <v>0</v>
      </c>
      <c r="AR6" s="192" t="n">
        <v>16861.6356623827</v>
      </c>
      <c r="AS6" s="192" t="n">
        <v>5607.81052805235</v>
      </c>
      <c r="AT6" s="191" t="n">
        <v>0</v>
      </c>
      <c r="AU6" s="191" t="n">
        <v>180.936616247885</v>
      </c>
      <c r="AV6" s="192" t="n">
        <v>180.936616247885</v>
      </c>
      <c r="AW6" s="192" t="n">
        <v>22650.3828066829</v>
      </c>
      <c r="AX6" s="193" t="n">
        <v>28082.3102938425</v>
      </c>
    </row>
    <row r="7" ht="15" customHeight="1" s="104">
      <c r="A7" s="180" t="inlineStr">
        <is>
          <t>13-15</t>
        </is>
      </c>
      <c r="B7" s="175" t="inlineStr">
        <is>
          <t xml:space="preserve">Textiles, wearing apparel and leather products </t>
        </is>
      </c>
      <c r="C7" s="191" t="n">
        <v>10.2760196161836</v>
      </c>
      <c r="D7" s="191" t="n">
        <v>1.02287130521218</v>
      </c>
      <c r="E7" s="191" t="n">
        <v>0.771962033446892</v>
      </c>
      <c r="F7" s="191" t="n">
        <v>346.704657948215</v>
      </c>
      <c r="G7" s="191" t="n">
        <v>0</v>
      </c>
      <c r="H7" s="191" t="n">
        <v>0</v>
      </c>
      <c r="I7" s="191" t="n">
        <v>0</v>
      </c>
      <c r="J7" s="191" t="n">
        <v>0</v>
      </c>
      <c r="K7" s="191" t="n">
        <v>10.5439571644602</v>
      </c>
      <c r="L7" s="191" t="n">
        <v>0</v>
      </c>
      <c r="M7" s="191" t="n">
        <v>0</v>
      </c>
      <c r="N7" s="191" t="n">
        <v>0</v>
      </c>
      <c r="O7" s="191" t="n">
        <v>0</v>
      </c>
      <c r="P7" s="191" t="n">
        <v>0</v>
      </c>
      <c r="Q7" s="191" t="n">
        <v>4.86507970252356</v>
      </c>
      <c r="R7" s="191" t="n">
        <v>0.222588596910836</v>
      </c>
      <c r="S7" s="191" t="n">
        <v>0.856234236721903</v>
      </c>
      <c r="T7" s="191" t="n">
        <v>18.0221396242044</v>
      </c>
      <c r="U7" s="191" t="n">
        <v>168.343308732999</v>
      </c>
      <c r="V7" s="191" t="n">
        <v>1.78367429749842</v>
      </c>
      <c r="W7" s="191" t="n">
        <v>5.33194810307114</v>
      </c>
      <c r="X7" s="191" t="n">
        <v>0.458266246209458</v>
      </c>
      <c r="Y7" s="191" t="n">
        <v>0</v>
      </c>
      <c r="Z7" s="191" t="n">
        <v>0</v>
      </c>
      <c r="AA7" s="191" t="n">
        <v>0.172423848204047</v>
      </c>
      <c r="AB7" s="191" t="n">
        <v>0.008646744378041769</v>
      </c>
      <c r="AC7" s="191" t="n">
        <v>0.139265474995424</v>
      </c>
      <c r="AD7" s="191" t="n">
        <v>0.06834713786407411</v>
      </c>
      <c r="AE7" s="191" t="n">
        <v>3.70445978246329</v>
      </c>
      <c r="AF7" s="191" t="n">
        <v>0.343329384434908</v>
      </c>
      <c r="AG7" s="191" t="n">
        <v>108.054788339041</v>
      </c>
      <c r="AH7" s="191" t="n">
        <v>9.878777701414441</v>
      </c>
      <c r="AI7" s="191" t="n">
        <v>5.49901070189262</v>
      </c>
      <c r="AJ7" s="191" t="n">
        <v>18.2096484317314</v>
      </c>
      <c r="AK7" s="191" t="n">
        <v>11.1381238180181</v>
      </c>
      <c r="AL7" s="191" t="n">
        <v>18.6487925883883</v>
      </c>
      <c r="AM7" s="191" t="n">
        <v>0</v>
      </c>
      <c r="AN7" s="191" t="n">
        <v>0</v>
      </c>
      <c r="AO7" s="192" t="n">
        <v>745.068321560483</v>
      </c>
      <c r="AP7" s="191" t="n">
        <v>2364.8141647917</v>
      </c>
      <c r="AQ7" s="191" t="n">
        <v>0</v>
      </c>
      <c r="AR7" s="192" t="n">
        <v>2364.8141647917</v>
      </c>
      <c r="AS7" s="192" t="n">
        <v>1515.79968991836</v>
      </c>
      <c r="AT7" s="191" t="n">
        <v>0</v>
      </c>
      <c r="AU7" s="191" t="n">
        <v>6.97501737405832</v>
      </c>
      <c r="AV7" s="192" t="n">
        <v>6.97501737405832</v>
      </c>
      <c r="AW7" s="192" t="n">
        <v>3887.58887208412</v>
      </c>
      <c r="AX7" s="193" t="n">
        <v>4632.6571936446</v>
      </c>
    </row>
    <row r="8" ht="15" customHeight="1" s="104">
      <c r="A8" s="180" t="inlineStr">
        <is>
          <t>16-18</t>
        </is>
      </c>
      <c r="B8" s="175" t="inlineStr">
        <is>
          <t xml:space="preserve">Wood and paper products, and printing services </t>
        </is>
      </c>
      <c r="C8" s="191" t="n">
        <v>44.537690494703</v>
      </c>
      <c r="D8" s="191" t="n">
        <v>29.1192177653171</v>
      </c>
      <c r="E8" s="191" t="n">
        <v>80.18665506187421</v>
      </c>
      <c r="F8" s="191" t="n">
        <v>5.65050458287319</v>
      </c>
      <c r="G8" s="191" t="n">
        <v>295.945609041799</v>
      </c>
      <c r="H8" s="191" t="n">
        <v>0.0699648564919136</v>
      </c>
      <c r="I8" s="191" t="n">
        <v>0.0705374125502482</v>
      </c>
      <c r="J8" s="191" t="n">
        <v>5.1433819458258</v>
      </c>
      <c r="K8" s="191" t="n">
        <v>43.9471855054107</v>
      </c>
      <c r="L8" s="191" t="n">
        <v>3.45292211628756</v>
      </c>
      <c r="M8" s="191" t="n">
        <v>0</v>
      </c>
      <c r="N8" s="191" t="n">
        <v>0.108804301840414</v>
      </c>
      <c r="O8" s="191" t="n">
        <v>0.0110669128384794</v>
      </c>
      <c r="P8" s="191" t="n">
        <v>0.267087962804733</v>
      </c>
      <c r="Q8" s="191" t="n">
        <v>127.816842919028</v>
      </c>
      <c r="R8" s="191" t="n">
        <v>1.5621547034186</v>
      </c>
      <c r="S8" s="191" t="n">
        <v>10.5950929781923</v>
      </c>
      <c r="T8" s="191" t="n">
        <v>298.485275667838</v>
      </c>
      <c r="U8" s="191" t="n">
        <v>278.211557116933</v>
      </c>
      <c r="V8" s="191" t="n">
        <v>38.0003190317585</v>
      </c>
      <c r="W8" s="191" t="n">
        <v>41.6675784601374</v>
      </c>
      <c r="X8" s="191" t="n">
        <v>79.89796158534929</v>
      </c>
      <c r="Y8" s="191" t="n">
        <v>2.01641788488695</v>
      </c>
      <c r="Z8" s="191" t="n">
        <v>5.1442762339585</v>
      </c>
      <c r="AA8" s="191" t="n">
        <v>26.4290465240781</v>
      </c>
      <c r="AB8" s="191" t="n">
        <v>63.9313963468744</v>
      </c>
      <c r="AC8" s="191" t="n">
        <v>14.6437632180663</v>
      </c>
      <c r="AD8" s="191" t="n">
        <v>0.16126534972969</v>
      </c>
      <c r="AE8" s="191" t="n">
        <v>15.9433470844407</v>
      </c>
      <c r="AF8" s="191" t="n">
        <v>12.2659843823851</v>
      </c>
      <c r="AG8" s="191" t="n">
        <v>12.8046695560526</v>
      </c>
      <c r="AH8" s="191" t="n">
        <v>55.8531405473329</v>
      </c>
      <c r="AI8" s="191" t="n">
        <v>21.7158560456911</v>
      </c>
      <c r="AJ8" s="191" t="n">
        <v>7.07394641931526</v>
      </c>
      <c r="AK8" s="191" t="n">
        <v>50.867919976843</v>
      </c>
      <c r="AL8" s="191" t="n">
        <v>29.9855732346133</v>
      </c>
      <c r="AM8" s="191" t="n">
        <v>0</v>
      </c>
      <c r="AN8" s="191" t="n">
        <v>0</v>
      </c>
      <c r="AO8" s="192" t="n">
        <v>1703.58401322754</v>
      </c>
      <c r="AP8" s="191" t="n">
        <v>567.584084672678</v>
      </c>
      <c r="AQ8" s="191" t="n">
        <v>0</v>
      </c>
      <c r="AR8" s="192" t="n">
        <v>567.584084672678</v>
      </c>
      <c r="AS8" s="192" t="n">
        <v>298.084202924707</v>
      </c>
      <c r="AT8" s="191" t="n">
        <v>0</v>
      </c>
      <c r="AU8" s="191" t="n">
        <v>26.1097018653789</v>
      </c>
      <c r="AV8" s="192" t="n">
        <v>26.1097018653789</v>
      </c>
      <c r="AW8" s="192" t="n">
        <v>891.777989462764</v>
      </c>
      <c r="AX8" s="193" t="n">
        <v>2595.3620026903</v>
      </c>
    </row>
    <row r="9" ht="15" customHeight="1" s="104">
      <c r="A9" s="180" t="n">
        <v>19</v>
      </c>
      <c r="B9" s="182" t="inlineStr">
        <is>
          <t>Coke and refined petroleum products</t>
        </is>
      </c>
      <c r="C9" s="191" t="n">
        <v>121.463623406545</v>
      </c>
      <c r="D9" s="191" t="n">
        <v>186.23523421103</v>
      </c>
      <c r="E9" s="191" t="n">
        <v>59.7889067320468</v>
      </c>
      <c r="F9" s="191" t="n">
        <v>0.61139774941155</v>
      </c>
      <c r="G9" s="191" t="n">
        <v>5.18100565541169</v>
      </c>
      <c r="H9" s="191" t="n">
        <v>164.355954938789</v>
      </c>
      <c r="I9" s="191" t="n">
        <v>10.4243647230924</v>
      </c>
      <c r="J9" s="191" t="n">
        <v>0.0347865783600725</v>
      </c>
      <c r="K9" s="191" t="n">
        <v>183.468001370734</v>
      </c>
      <c r="L9" s="191" t="n">
        <v>165.093371199252</v>
      </c>
      <c r="M9" s="191" t="n">
        <v>0</v>
      </c>
      <c r="N9" s="191" t="n">
        <v>0.707789162074863</v>
      </c>
      <c r="O9" s="191" t="n">
        <v>0.0525136771835929</v>
      </c>
      <c r="P9" s="191" t="n">
        <v>0.594011320620491</v>
      </c>
      <c r="Q9" s="191" t="n">
        <v>1.68912398519551</v>
      </c>
      <c r="R9" s="191" t="n">
        <v>10.9554543008543</v>
      </c>
      <c r="S9" s="191" t="n">
        <v>63.2323809031372</v>
      </c>
      <c r="T9" s="191" t="n">
        <v>151.33211009793</v>
      </c>
      <c r="U9" s="191" t="n">
        <v>126.476526292638</v>
      </c>
      <c r="V9" s="191" t="n">
        <v>1089.39751104323</v>
      </c>
      <c r="W9" s="191" t="n">
        <v>23.6241534331128</v>
      </c>
      <c r="X9" s="191" t="n">
        <v>5.919603629247</v>
      </c>
      <c r="Y9" s="191" t="n">
        <v>0.8449858334161769</v>
      </c>
      <c r="Z9" s="191" t="n">
        <v>3.33036014334399</v>
      </c>
      <c r="AA9" s="191" t="n">
        <v>3.39050078056396</v>
      </c>
      <c r="AB9" s="191" t="n">
        <v>3.09443498458849</v>
      </c>
      <c r="AC9" s="191" t="n">
        <v>8.23990754273072</v>
      </c>
      <c r="AD9" s="191" t="n">
        <v>1.08309756656573</v>
      </c>
      <c r="AE9" s="191" t="n">
        <v>1.97154091195456</v>
      </c>
      <c r="AF9" s="191" t="n">
        <v>28.124755555631</v>
      </c>
      <c r="AG9" s="191" t="n">
        <v>279.776729939653</v>
      </c>
      <c r="AH9" s="191" t="n">
        <v>13.3506080754287</v>
      </c>
      <c r="AI9" s="191" t="n">
        <v>16.3775025377287</v>
      </c>
      <c r="AJ9" s="191" t="n">
        <v>12.487080476162</v>
      </c>
      <c r="AK9" s="191" t="n">
        <v>28.0777799091161</v>
      </c>
      <c r="AL9" s="191" t="n">
        <v>6.60130810555734</v>
      </c>
      <c r="AM9" s="191" t="n">
        <v>0</v>
      </c>
      <c r="AN9" s="191" t="n">
        <v>0</v>
      </c>
      <c r="AO9" s="192" t="n">
        <v>2777.38841677233</v>
      </c>
      <c r="AP9" s="191" t="n">
        <v>2226.51845068448</v>
      </c>
      <c r="AQ9" s="191" t="n">
        <v>0</v>
      </c>
      <c r="AR9" s="192" t="n">
        <v>2226.51845068448</v>
      </c>
      <c r="AS9" s="192" t="n">
        <v>219.186966367228</v>
      </c>
      <c r="AT9" s="191" t="n">
        <v>0</v>
      </c>
      <c r="AU9" s="191" t="n">
        <v>5.48797195189676</v>
      </c>
      <c r="AV9" s="192" t="n">
        <v>5.48797195189676</v>
      </c>
      <c r="AW9" s="192" t="n">
        <v>2451.19338900361</v>
      </c>
      <c r="AX9" s="193" t="n">
        <v>5228.58180577594</v>
      </c>
    </row>
    <row r="10" ht="15" customHeight="1" s="104">
      <c r="A10" s="180" t="n">
        <v>20</v>
      </c>
      <c r="B10" s="182" t="inlineStr">
        <is>
          <t xml:space="preserve">Chemicals and chemical products </t>
        </is>
      </c>
      <c r="C10" s="191" t="n">
        <v>293.953432664069</v>
      </c>
      <c r="D10" s="191" t="n">
        <v>13.2654635606248</v>
      </c>
      <c r="E10" s="191" t="n">
        <v>25.6725977822373</v>
      </c>
      <c r="F10" s="191" t="n">
        <v>4.20729162951491</v>
      </c>
      <c r="G10" s="191" t="n">
        <v>27.3710742666768</v>
      </c>
      <c r="H10" s="191" t="n">
        <v>0</v>
      </c>
      <c r="I10" s="191" t="n">
        <v>245.40662367247</v>
      </c>
      <c r="J10" s="191" t="n">
        <v>22.9032352035867</v>
      </c>
      <c r="K10" s="191" t="n">
        <v>344.546358785667</v>
      </c>
      <c r="L10" s="191" t="n">
        <v>9.86279216093441</v>
      </c>
      <c r="M10" s="191" t="n">
        <v>0</v>
      </c>
      <c r="N10" s="191" t="n">
        <v>0.218901182012764</v>
      </c>
      <c r="O10" s="191" t="n">
        <v>0.659739837628596</v>
      </c>
      <c r="P10" s="191" t="n">
        <v>0.282823560632027</v>
      </c>
      <c r="Q10" s="191" t="n">
        <v>6.22766348419478</v>
      </c>
      <c r="R10" s="191" t="n">
        <v>0.0488197170301719</v>
      </c>
      <c r="S10" s="191" t="n">
        <v>2.30208651009603</v>
      </c>
      <c r="T10" s="191" t="n">
        <v>129.650683943612</v>
      </c>
      <c r="U10" s="191" t="n">
        <v>164.675363312509</v>
      </c>
      <c r="V10" s="191" t="n">
        <v>11.5651125671624</v>
      </c>
      <c r="W10" s="191" t="n">
        <v>82.64552090150779</v>
      </c>
      <c r="X10" s="191" t="n">
        <v>1.63682098165552</v>
      </c>
      <c r="Y10" s="191" t="n">
        <v>0.0209283936787598</v>
      </c>
      <c r="Z10" s="191" t="n">
        <v>0.108315705904788</v>
      </c>
      <c r="AA10" s="191" t="n">
        <v>0.07602609260554841</v>
      </c>
      <c r="AB10" s="191" t="n">
        <v>30.0175331734358</v>
      </c>
      <c r="AC10" s="191" t="n">
        <v>2.52133788278153</v>
      </c>
      <c r="AD10" s="191" t="n">
        <v>0.584053458556651</v>
      </c>
      <c r="AE10" s="191" t="n">
        <v>5.80804819946881</v>
      </c>
      <c r="AF10" s="191" t="n">
        <v>2.27197922758911</v>
      </c>
      <c r="AG10" s="191" t="n">
        <v>39.1602753496146</v>
      </c>
      <c r="AH10" s="191" t="n">
        <v>9.793521131647649</v>
      </c>
      <c r="AI10" s="191" t="n">
        <v>5.56024326814418</v>
      </c>
      <c r="AJ10" s="191" t="n">
        <v>2.78518866759582</v>
      </c>
      <c r="AK10" s="191" t="n">
        <v>22.9546784623497</v>
      </c>
      <c r="AL10" s="191" t="n">
        <v>29.1380973290522</v>
      </c>
      <c r="AM10" s="191" t="n">
        <v>0</v>
      </c>
      <c r="AN10" s="191" t="n">
        <v>0</v>
      </c>
      <c r="AO10" s="192" t="n">
        <v>1537.90263206625</v>
      </c>
      <c r="AP10" s="191" t="n">
        <v>1805.98539180894</v>
      </c>
      <c r="AQ10" s="191" t="n">
        <v>0</v>
      </c>
      <c r="AR10" s="192" t="n">
        <v>1805.98539180894</v>
      </c>
      <c r="AS10" s="192" t="n">
        <v>1391.7642523993</v>
      </c>
      <c r="AT10" s="191" t="n">
        <v>0</v>
      </c>
      <c r="AU10" s="191" t="n">
        <v>-12.7616636706652</v>
      </c>
      <c r="AV10" s="192" t="n">
        <v>-12.7616636706652</v>
      </c>
      <c r="AW10" s="192" t="n">
        <v>3184.98798053758</v>
      </c>
      <c r="AX10" s="193" t="n">
        <v>4722.89061260382</v>
      </c>
    </row>
    <row r="11" ht="26.25" customHeight="1" s="104">
      <c r="A11" s="180" t="n">
        <v>21</v>
      </c>
      <c r="B11" s="182" t="inlineStr">
        <is>
          <t xml:space="preserve">Basic pharmaceutical products and pharmaceutical preparations </t>
        </is>
      </c>
      <c r="C11" s="191" t="n">
        <v>11.5967305164354</v>
      </c>
      <c r="D11" s="191" t="n">
        <v>0</v>
      </c>
      <c r="E11" s="191" t="n">
        <v>0.00245136839809746</v>
      </c>
      <c r="F11" s="191" t="n">
        <v>0</v>
      </c>
      <c r="G11" s="191" t="n">
        <v>0</v>
      </c>
      <c r="H11" s="191" t="n">
        <v>0</v>
      </c>
      <c r="I11" s="191" t="n">
        <v>0.323911987080724</v>
      </c>
      <c r="J11" s="191" t="n">
        <v>165.114041307018</v>
      </c>
      <c r="K11" s="191" t="n">
        <v>0</v>
      </c>
      <c r="L11" s="191" t="n">
        <v>0</v>
      </c>
      <c r="M11" s="191" t="n">
        <v>0</v>
      </c>
      <c r="N11" s="191" t="n">
        <v>0</v>
      </c>
      <c r="O11" s="191" t="n">
        <v>0</v>
      </c>
      <c r="P11" s="191" t="n">
        <v>0</v>
      </c>
      <c r="Q11" s="191" t="n">
        <v>2.9522522842608</v>
      </c>
      <c r="R11" s="191" t="n">
        <v>0.0565626828370248</v>
      </c>
      <c r="S11" s="191" t="n">
        <v>0.0308824509699521</v>
      </c>
      <c r="T11" s="191" t="n">
        <v>0</v>
      </c>
      <c r="U11" s="191" t="n">
        <v>40.7895495334</v>
      </c>
      <c r="V11" s="191" t="n">
        <v>0.0419581893190722</v>
      </c>
      <c r="W11" s="191" t="n">
        <v>0</v>
      </c>
      <c r="X11" s="191" t="n">
        <v>0</v>
      </c>
      <c r="Y11" s="191" t="n">
        <v>0</v>
      </c>
      <c r="Z11" s="191" t="n">
        <v>0</v>
      </c>
      <c r="AA11" s="191" t="n">
        <v>0.0034441353276674</v>
      </c>
      <c r="AB11" s="191" t="n">
        <v>0</v>
      </c>
      <c r="AC11" s="191" t="n">
        <v>17.9721700739849</v>
      </c>
      <c r="AD11" s="191" t="n">
        <v>0.11630708468163</v>
      </c>
      <c r="AE11" s="191" t="n">
        <v>9.251991873122</v>
      </c>
      <c r="AF11" s="191" t="n">
        <v>0.0176371088719316</v>
      </c>
      <c r="AG11" s="191" t="n">
        <v>97.88853051246311</v>
      </c>
      <c r="AH11" s="191" t="n">
        <v>0.96582698408306</v>
      </c>
      <c r="AI11" s="191" t="n">
        <v>579.825985671125</v>
      </c>
      <c r="AJ11" s="191" t="n">
        <v>18.2575708618511</v>
      </c>
      <c r="AK11" s="191" t="n">
        <v>0.444799247200589</v>
      </c>
      <c r="AL11" s="191" t="n">
        <v>39.4536434552803</v>
      </c>
      <c r="AM11" s="191" t="n">
        <v>0</v>
      </c>
      <c r="AN11" s="191" t="n">
        <v>0</v>
      </c>
      <c r="AO11" s="192" t="n">
        <v>985.10624732771</v>
      </c>
      <c r="AP11" s="191" t="n">
        <v>1638.1096944449</v>
      </c>
      <c r="AQ11" s="191" t="n">
        <v>0</v>
      </c>
      <c r="AR11" s="192" t="n">
        <v>1638.1096944449</v>
      </c>
      <c r="AS11" s="192" t="n">
        <v>410.389797833042</v>
      </c>
      <c r="AT11" s="191" t="n">
        <v>0</v>
      </c>
      <c r="AU11" s="191" t="n">
        <v>17.6592160347192</v>
      </c>
      <c r="AV11" s="192" t="n">
        <v>17.6592160347192</v>
      </c>
      <c r="AW11" s="192" t="n">
        <v>2066.15870831266</v>
      </c>
      <c r="AX11" s="193" t="n">
        <v>3051.26495564037</v>
      </c>
    </row>
    <row r="12" ht="26.25" customHeight="1" s="104">
      <c r="A12" s="180" t="inlineStr">
        <is>
          <t>22-23</t>
        </is>
      </c>
      <c r="B12" s="182" t="inlineStr">
        <is>
          <t xml:space="preserve">Rubber and plastics products, and other non-metallic mineral products </t>
        </is>
      </c>
      <c r="C12" s="191" t="n">
        <v>33.0585742543005</v>
      </c>
      <c r="D12" s="191" t="n">
        <v>100.666227583048</v>
      </c>
      <c r="E12" s="191" t="n">
        <v>433.933287145582</v>
      </c>
      <c r="F12" s="191" t="n">
        <v>1.07337097022603</v>
      </c>
      <c r="G12" s="191" t="n">
        <v>5.00695214443997</v>
      </c>
      <c r="H12" s="191" t="n">
        <v>0</v>
      </c>
      <c r="I12" s="191" t="n">
        <v>47.2786396395745</v>
      </c>
      <c r="J12" s="191" t="n">
        <v>0</v>
      </c>
      <c r="K12" s="191" t="n">
        <v>964.945642688666</v>
      </c>
      <c r="L12" s="191" t="n">
        <v>3.36884341064089</v>
      </c>
      <c r="M12" s="191" t="n">
        <v>0</v>
      </c>
      <c r="N12" s="191" t="n">
        <v>3.57681411343561</v>
      </c>
      <c r="O12" s="191" t="n">
        <v>0</v>
      </c>
      <c r="P12" s="191" t="n">
        <v>0.343834639073903</v>
      </c>
      <c r="Q12" s="191" t="n">
        <v>1.28122638546074</v>
      </c>
      <c r="R12" s="191" t="n">
        <v>0.462084076153193</v>
      </c>
      <c r="S12" s="191" t="n">
        <v>1.08480981258186</v>
      </c>
      <c r="T12" s="191" t="n">
        <v>3232.97660073947</v>
      </c>
      <c r="U12" s="191" t="n">
        <v>529.128162015739</v>
      </c>
      <c r="V12" s="191" t="n">
        <v>66.4311522545072</v>
      </c>
      <c r="W12" s="191" t="n">
        <v>4.48304151583084</v>
      </c>
      <c r="X12" s="191" t="n">
        <v>0.09260961502342339</v>
      </c>
      <c r="Y12" s="191" t="n">
        <v>0</v>
      </c>
      <c r="Z12" s="191" t="n">
        <v>0.630945610601643</v>
      </c>
      <c r="AA12" s="191" t="n">
        <v>4.04282281076299</v>
      </c>
      <c r="AB12" s="191" t="n">
        <v>435.826087894001</v>
      </c>
      <c r="AC12" s="191" t="n">
        <v>0.939114889913257</v>
      </c>
      <c r="AD12" s="191" t="n">
        <v>0</v>
      </c>
      <c r="AE12" s="191" t="n">
        <v>7.8632488233393</v>
      </c>
      <c r="AF12" s="191" t="n">
        <v>8.275226031813411</v>
      </c>
      <c r="AG12" s="191" t="n">
        <v>116.57055878225</v>
      </c>
      <c r="AH12" s="191" t="n">
        <v>30.7395545738038</v>
      </c>
      <c r="AI12" s="191" t="n">
        <v>0.877488562455321</v>
      </c>
      <c r="AJ12" s="191" t="n">
        <v>1.09756869191833</v>
      </c>
      <c r="AK12" s="191" t="n">
        <v>35.5976661154476</v>
      </c>
      <c r="AL12" s="191" t="n">
        <v>4.56949174118314</v>
      </c>
      <c r="AM12" s="191" t="n">
        <v>0</v>
      </c>
      <c r="AN12" s="191" t="n">
        <v>0</v>
      </c>
      <c r="AO12" s="192" t="n">
        <v>6076.22164753124</v>
      </c>
      <c r="AP12" s="191" t="n">
        <v>1419.89674477139</v>
      </c>
      <c r="AQ12" s="191" t="n">
        <v>0</v>
      </c>
      <c r="AR12" s="192" t="n">
        <v>1419.89674477139</v>
      </c>
      <c r="AS12" s="192" t="n">
        <v>332.962577349788</v>
      </c>
      <c r="AT12" s="191" t="n">
        <v>0</v>
      </c>
      <c r="AU12" s="191" t="n">
        <v>145.905522520916</v>
      </c>
      <c r="AV12" s="192" t="n">
        <v>145.905522520916</v>
      </c>
      <c r="AW12" s="192" t="n">
        <v>1898.76484464209</v>
      </c>
      <c r="AX12" s="193" t="n">
        <v>7974.98649217333</v>
      </c>
    </row>
    <row r="13" ht="26.25" customHeight="1" s="104">
      <c r="A13" s="180" t="inlineStr">
        <is>
          <t>24-25</t>
        </is>
      </c>
      <c r="B13" s="182" t="inlineStr">
        <is>
          <t xml:space="preserve">Basic metals and fabricated metal products, except machinery and equipment </t>
        </is>
      </c>
      <c r="C13" s="191" t="n">
        <v>54.2410297867759</v>
      </c>
      <c r="D13" s="191" t="n">
        <v>22.5331352027817</v>
      </c>
      <c r="E13" s="191" t="n">
        <v>337.274356588118</v>
      </c>
      <c r="F13" s="191" t="n">
        <v>1.69406545905148</v>
      </c>
      <c r="G13" s="191" t="n">
        <v>1.26548492784704</v>
      </c>
      <c r="H13" s="191" t="n">
        <v>0</v>
      </c>
      <c r="I13" s="191" t="n">
        <v>0</v>
      </c>
      <c r="J13" s="191" t="n">
        <v>0</v>
      </c>
      <c r="K13" s="191" t="n">
        <v>102.093973687076</v>
      </c>
      <c r="L13" s="191" t="n">
        <v>1336.97484025221</v>
      </c>
      <c r="M13" s="191" t="n">
        <v>0</v>
      </c>
      <c r="N13" s="191" t="n">
        <v>56.3638988445287</v>
      </c>
      <c r="O13" s="191" t="n">
        <v>34.5567587132496</v>
      </c>
      <c r="P13" s="191" t="n">
        <v>6.4782649711219</v>
      </c>
      <c r="Q13" s="191" t="n">
        <v>36.0129874277628</v>
      </c>
      <c r="R13" s="191" t="n">
        <v>0.573191756356249</v>
      </c>
      <c r="S13" s="191" t="n">
        <v>0.198410114809089</v>
      </c>
      <c r="T13" s="191" t="n">
        <v>1379.15472001431</v>
      </c>
      <c r="U13" s="191" t="n">
        <v>118.620743458839</v>
      </c>
      <c r="V13" s="191" t="n">
        <v>13.2356263418612</v>
      </c>
      <c r="W13" s="191" t="n">
        <v>19.0845487694155</v>
      </c>
      <c r="X13" s="191" t="n">
        <v>0</v>
      </c>
      <c r="Y13" s="191" t="n">
        <v>0</v>
      </c>
      <c r="Z13" s="191" t="n">
        <v>0</v>
      </c>
      <c r="AA13" s="191" t="n">
        <v>4.93444533485974</v>
      </c>
      <c r="AB13" s="191" t="n">
        <v>179.369041904322</v>
      </c>
      <c r="AC13" s="191" t="n">
        <v>4.21617986205976</v>
      </c>
      <c r="AD13" s="191" t="n">
        <v>0</v>
      </c>
      <c r="AE13" s="191" t="n">
        <v>60.6002585182466</v>
      </c>
      <c r="AF13" s="191" t="n">
        <v>15.0378583883081</v>
      </c>
      <c r="AG13" s="191" t="n">
        <v>32.3163291925004</v>
      </c>
      <c r="AH13" s="191" t="n">
        <v>0.612268470014053</v>
      </c>
      <c r="AI13" s="191" t="n">
        <v>0.000375044793765393</v>
      </c>
      <c r="AJ13" s="191" t="n">
        <v>0.115737428547534</v>
      </c>
      <c r="AK13" s="191" t="n">
        <v>4.2605052144475</v>
      </c>
      <c r="AL13" s="191" t="n">
        <v>1.16408038342943</v>
      </c>
      <c r="AM13" s="191" t="n">
        <v>0</v>
      </c>
      <c r="AN13" s="191" t="n">
        <v>0</v>
      </c>
      <c r="AO13" s="192" t="n">
        <v>3822.98311605765</v>
      </c>
      <c r="AP13" s="191" t="n">
        <v>870.79113117348</v>
      </c>
      <c r="AQ13" s="191" t="n">
        <v>0</v>
      </c>
      <c r="AR13" s="192" t="n">
        <v>870.79113117348</v>
      </c>
      <c r="AS13" s="192" t="n">
        <v>2150.33905683491</v>
      </c>
      <c r="AT13" s="191" t="n">
        <v>145.111404254362</v>
      </c>
      <c r="AU13" s="191" t="n">
        <v>-15.5176679481361</v>
      </c>
      <c r="AV13" s="192" t="n">
        <v>129.593736306226</v>
      </c>
      <c r="AW13" s="192" t="n">
        <v>3150.72392431461</v>
      </c>
      <c r="AX13" s="193" t="n">
        <v>6973.70704037226</v>
      </c>
    </row>
    <row r="14" ht="15" customHeight="1" s="104">
      <c r="A14" s="180" t="n">
        <v>26</v>
      </c>
      <c r="B14" s="182" t="inlineStr">
        <is>
          <t xml:space="preserve">Computer, electronic and optical products </t>
        </is>
      </c>
      <c r="C14" s="191" t="n">
        <v>0.030290027438384</v>
      </c>
      <c r="D14" s="191" t="n">
        <v>0</v>
      </c>
      <c r="E14" s="191" t="n">
        <v>0.00846743246233247</v>
      </c>
      <c r="F14" s="191" t="n">
        <v>0</v>
      </c>
      <c r="G14" s="191" t="n">
        <v>0</v>
      </c>
      <c r="H14" s="191" t="n">
        <v>0</v>
      </c>
      <c r="I14" s="191" t="n">
        <v>0.0481493077565213</v>
      </c>
      <c r="J14" s="191" t="n">
        <v>0.575884344831834</v>
      </c>
      <c r="K14" s="191" t="n">
        <v>0.00748180271536918</v>
      </c>
      <c r="L14" s="191" t="n">
        <v>2.08959419176639</v>
      </c>
      <c r="M14" s="191" t="n">
        <v>0</v>
      </c>
      <c r="N14" s="191" t="n">
        <v>60.717735304248</v>
      </c>
      <c r="O14" s="191" t="n">
        <v>0</v>
      </c>
      <c r="P14" s="191" t="n">
        <v>0.166751578171807</v>
      </c>
      <c r="Q14" s="191" t="n">
        <v>15.590180486124</v>
      </c>
      <c r="R14" s="191" t="n">
        <v>6.05569441230236</v>
      </c>
      <c r="S14" s="191" t="n">
        <v>0.0338877922508506</v>
      </c>
      <c r="T14" s="191" t="n">
        <v>15.6829549328087</v>
      </c>
      <c r="U14" s="191" t="n">
        <v>150.409101131865</v>
      </c>
      <c r="V14" s="191" t="n">
        <v>36.0478181147706</v>
      </c>
      <c r="W14" s="191" t="n">
        <v>4.94564993042509</v>
      </c>
      <c r="X14" s="191" t="n">
        <v>0.460558970502469</v>
      </c>
      <c r="Y14" s="191" t="n">
        <v>73.080626433424</v>
      </c>
      <c r="Z14" s="191" t="n">
        <v>72.6076962794276</v>
      </c>
      <c r="AA14" s="191" t="n">
        <v>23.2705823873128</v>
      </c>
      <c r="AB14" s="191" t="n">
        <v>0.0197367652478965</v>
      </c>
      <c r="AC14" s="191" t="n">
        <v>14.9700475526126</v>
      </c>
      <c r="AD14" s="191" t="n">
        <v>0.221985169244075</v>
      </c>
      <c r="AE14" s="191" t="n">
        <v>5.15610535985757</v>
      </c>
      <c r="AF14" s="191" t="n">
        <v>1.1814769149978</v>
      </c>
      <c r="AG14" s="191" t="n">
        <v>12.577505159241</v>
      </c>
      <c r="AH14" s="191" t="n">
        <v>31.5888316765349</v>
      </c>
      <c r="AI14" s="191" t="n">
        <v>13.3833801789866</v>
      </c>
      <c r="AJ14" s="191" t="n">
        <v>6.34364037981948</v>
      </c>
      <c r="AK14" s="191" t="n">
        <v>3.0336724681983</v>
      </c>
      <c r="AL14" s="191" t="n">
        <v>72.48783407157249</v>
      </c>
      <c r="AM14" s="191" t="n">
        <v>0</v>
      </c>
      <c r="AN14" s="191" t="n">
        <v>0</v>
      </c>
      <c r="AO14" s="192" t="n">
        <v>622.793320556916</v>
      </c>
      <c r="AP14" s="191" t="n">
        <v>1431.31284212624</v>
      </c>
      <c r="AQ14" s="191" t="n">
        <v>0</v>
      </c>
      <c r="AR14" s="192" t="n">
        <v>1431.31284212624</v>
      </c>
      <c r="AS14" s="192" t="n">
        <v>125.514357502451</v>
      </c>
      <c r="AT14" s="191" t="n">
        <v>1503.89217453108</v>
      </c>
      <c r="AU14" s="191" t="n">
        <v>0.708137718394098</v>
      </c>
      <c r="AV14" s="192" t="n">
        <v>1504.60031224947</v>
      </c>
      <c r="AW14" s="192" t="n">
        <v>3061.42751187817</v>
      </c>
      <c r="AX14" s="193" t="n">
        <v>3684.22083243508</v>
      </c>
    </row>
    <row r="15" ht="15" customHeight="1" s="104">
      <c r="A15" s="180" t="n">
        <v>27</v>
      </c>
      <c r="B15" s="182" t="inlineStr">
        <is>
          <t xml:space="preserve">Electrical equipment </t>
        </is>
      </c>
      <c r="C15" s="191" t="n">
        <v>0.0947556305674009</v>
      </c>
      <c r="D15" s="191" t="n">
        <v>4.2053629251678</v>
      </c>
      <c r="E15" s="191" t="n">
        <v>3.53555318043066</v>
      </c>
      <c r="F15" s="191" t="n">
        <v>0</v>
      </c>
      <c r="G15" s="191" t="n">
        <v>0</v>
      </c>
      <c r="H15" s="191" t="n">
        <v>0</v>
      </c>
      <c r="I15" s="191" t="n">
        <v>1.50200005242509</v>
      </c>
      <c r="J15" s="191" t="n">
        <v>0</v>
      </c>
      <c r="K15" s="191" t="n">
        <v>0.0104815881752171</v>
      </c>
      <c r="L15" s="191" t="n">
        <v>85.3993352282365</v>
      </c>
      <c r="M15" s="191" t="n">
        <v>0</v>
      </c>
      <c r="N15" s="191" t="n">
        <v>37.8474104938407</v>
      </c>
      <c r="O15" s="191" t="n">
        <v>0</v>
      </c>
      <c r="P15" s="191" t="n">
        <v>2.99329704819434</v>
      </c>
      <c r="Q15" s="191" t="n">
        <v>0.0652231737529612</v>
      </c>
      <c r="R15" s="191" t="n">
        <v>27.2509406198051</v>
      </c>
      <c r="S15" s="191" t="n">
        <v>3.39299345083331</v>
      </c>
      <c r="T15" s="191" t="n">
        <v>380.280849087314</v>
      </c>
      <c r="U15" s="191" t="n">
        <v>100.88035865724</v>
      </c>
      <c r="V15" s="191" t="n">
        <v>75.817912926216</v>
      </c>
      <c r="W15" s="191" t="n">
        <v>6.26702935588527</v>
      </c>
      <c r="X15" s="191" t="n">
        <v>5.82099658126253</v>
      </c>
      <c r="Y15" s="191" t="n">
        <v>0.954492384636441</v>
      </c>
      <c r="Z15" s="191" t="n">
        <v>0.95796512211179</v>
      </c>
      <c r="AA15" s="191" t="n">
        <v>2.33173941791519</v>
      </c>
      <c r="AB15" s="191" t="n">
        <v>0.580451338285762</v>
      </c>
      <c r="AC15" s="191" t="n">
        <v>4.70234367214705</v>
      </c>
      <c r="AD15" s="191" t="n">
        <v>0.108801308945117</v>
      </c>
      <c r="AE15" s="191" t="n">
        <v>0.0612856623043703</v>
      </c>
      <c r="AF15" s="191" t="n">
        <v>52.5673158013873</v>
      </c>
      <c r="AG15" s="191" t="n">
        <v>11.6095705955369</v>
      </c>
      <c r="AH15" s="191" t="n">
        <v>2.48037901987827</v>
      </c>
      <c r="AI15" s="191" t="n">
        <v>7.37598722080432</v>
      </c>
      <c r="AJ15" s="191" t="n">
        <v>4.9648816991458</v>
      </c>
      <c r="AK15" s="191" t="n">
        <v>10.8205968954646</v>
      </c>
      <c r="AL15" s="191" t="n">
        <v>2.31476969956257</v>
      </c>
      <c r="AM15" s="191" t="n">
        <v>0</v>
      </c>
      <c r="AN15" s="191" t="n">
        <v>0</v>
      </c>
      <c r="AO15" s="192" t="n">
        <v>837.195079837472</v>
      </c>
      <c r="AP15" s="191" t="n">
        <v>1595.79727694092</v>
      </c>
      <c r="AQ15" s="191" t="n">
        <v>0</v>
      </c>
      <c r="AR15" s="192" t="n">
        <v>1595.79727694092</v>
      </c>
      <c r="AS15" s="192" t="n">
        <v>231.722581362646</v>
      </c>
      <c r="AT15" s="191" t="n">
        <v>466.311295852766</v>
      </c>
      <c r="AU15" s="191" t="n">
        <v>4.90351344064037</v>
      </c>
      <c r="AV15" s="192" t="n">
        <v>471.214809293406</v>
      </c>
      <c r="AW15" s="192" t="n">
        <v>2298.73466759697</v>
      </c>
      <c r="AX15" s="193" t="n">
        <v>3135.92974743444</v>
      </c>
    </row>
    <row r="16" ht="15" customHeight="1" s="104">
      <c r="A16" s="180" t="n">
        <v>28</v>
      </c>
      <c r="B16" s="182" t="inlineStr">
        <is>
          <t xml:space="preserve">Machinery and equipment n.e.c. </t>
        </is>
      </c>
      <c r="C16" s="191" t="n">
        <v>16.8355322300181</v>
      </c>
      <c r="D16" s="191" t="n">
        <v>362.326885723254</v>
      </c>
      <c r="E16" s="191" t="n">
        <v>22.9898661713767</v>
      </c>
      <c r="F16" s="191" t="n">
        <v>0.039585626571444</v>
      </c>
      <c r="G16" s="191" t="n">
        <v>0.12863516615511</v>
      </c>
      <c r="H16" s="191" t="n">
        <v>0</v>
      </c>
      <c r="I16" s="191" t="n">
        <v>0.208358398896317</v>
      </c>
      <c r="J16" s="191" t="n">
        <v>0</v>
      </c>
      <c r="K16" s="191" t="n">
        <v>63.3723316268793</v>
      </c>
      <c r="L16" s="191" t="n">
        <v>316.552460025669</v>
      </c>
      <c r="M16" s="191" t="n">
        <v>0</v>
      </c>
      <c r="N16" s="191" t="n">
        <v>0</v>
      </c>
      <c r="O16" s="191" t="n">
        <v>0</v>
      </c>
      <c r="P16" s="191" t="n">
        <v>11.4154398540841</v>
      </c>
      <c r="Q16" s="191" t="n">
        <v>3.88647880267305</v>
      </c>
      <c r="R16" s="191" t="n">
        <v>20.7493877694115</v>
      </c>
      <c r="S16" s="191" t="n">
        <v>26.8711068487667</v>
      </c>
      <c r="T16" s="191" t="n">
        <v>175.546445312686</v>
      </c>
      <c r="U16" s="191" t="n">
        <v>83.44930139059009</v>
      </c>
      <c r="V16" s="191" t="n">
        <v>10.0748777642523</v>
      </c>
      <c r="W16" s="191" t="n">
        <v>7.20420219312107</v>
      </c>
      <c r="X16" s="191" t="n">
        <v>0.157770794141499</v>
      </c>
      <c r="Y16" s="191" t="n">
        <v>0</v>
      </c>
      <c r="Z16" s="191" t="n">
        <v>0</v>
      </c>
      <c r="AA16" s="191" t="n">
        <v>1.55920799750059</v>
      </c>
      <c r="AB16" s="191" t="n">
        <v>0.0217477050648804</v>
      </c>
      <c r="AC16" s="191" t="n">
        <v>0.0435719915301162</v>
      </c>
      <c r="AD16" s="191" t="n">
        <v>0.235962884832009</v>
      </c>
      <c r="AE16" s="191" t="n">
        <v>0</v>
      </c>
      <c r="AF16" s="191" t="n">
        <v>0.6810849585791</v>
      </c>
      <c r="AG16" s="191" t="n">
        <v>30.1263503933455</v>
      </c>
      <c r="AH16" s="191" t="n">
        <v>7.03292215370131</v>
      </c>
      <c r="AI16" s="191" t="n">
        <v>14.7931854955246</v>
      </c>
      <c r="AJ16" s="191" t="n">
        <v>0.268739234912749</v>
      </c>
      <c r="AK16" s="191" t="n">
        <v>6.86049390746074</v>
      </c>
      <c r="AL16" s="191" t="n">
        <v>3.75608007796103</v>
      </c>
      <c r="AM16" s="191" t="n">
        <v>0</v>
      </c>
      <c r="AN16" s="191" t="n">
        <v>0</v>
      </c>
      <c r="AO16" s="192" t="n">
        <v>1187.18801249896</v>
      </c>
      <c r="AP16" s="191" t="n">
        <v>233.031574541186</v>
      </c>
      <c r="AQ16" s="191" t="n">
        <v>0</v>
      </c>
      <c r="AR16" s="192" t="n">
        <v>233.031574541186</v>
      </c>
      <c r="AS16" s="192" t="n">
        <v>438.919652693557</v>
      </c>
      <c r="AT16" s="191" t="n">
        <v>1902.49437440522</v>
      </c>
      <c r="AU16" s="191" t="n">
        <v>-8.727911290886979</v>
      </c>
      <c r="AV16" s="192" t="n">
        <v>1893.76646311433</v>
      </c>
      <c r="AW16" s="192" t="n">
        <v>2565.71769034908</v>
      </c>
      <c r="AX16" s="193" t="n">
        <v>3752.90570284803</v>
      </c>
    </row>
    <row r="17" ht="15" customHeight="1" s="104">
      <c r="A17" s="180" t="inlineStr">
        <is>
          <t>29-30</t>
        </is>
      </c>
      <c r="B17" s="182" t="inlineStr">
        <is>
          <t xml:space="preserve">Transport equipment </t>
        </is>
      </c>
      <c r="C17" s="191" t="n">
        <v>0.903157057668775</v>
      </c>
      <c r="D17" s="191" t="n">
        <v>0.105368224096946</v>
      </c>
      <c r="E17" s="191" t="n">
        <v>2.02323936896979</v>
      </c>
      <c r="F17" s="191" t="n">
        <v>0</v>
      </c>
      <c r="G17" s="191" t="n">
        <v>0</v>
      </c>
      <c r="H17" s="191" t="n">
        <v>0</v>
      </c>
      <c r="I17" s="191" t="n">
        <v>0.727837791541016</v>
      </c>
      <c r="J17" s="191" t="n">
        <v>0.0325930624316415</v>
      </c>
      <c r="K17" s="191" t="n">
        <v>19.0608735514824</v>
      </c>
      <c r="L17" s="191" t="n">
        <v>6.02827949077754</v>
      </c>
      <c r="M17" s="191" t="n">
        <v>0</v>
      </c>
      <c r="N17" s="191" t="n">
        <v>0</v>
      </c>
      <c r="O17" s="191" t="n">
        <v>0</v>
      </c>
      <c r="P17" s="191" t="n">
        <v>0</v>
      </c>
      <c r="Q17" s="191" t="n">
        <v>23.6674683026983</v>
      </c>
      <c r="R17" s="191" t="n">
        <v>0.045263933611337</v>
      </c>
      <c r="S17" s="191" t="n">
        <v>16.0101199289748</v>
      </c>
      <c r="T17" s="191" t="n">
        <v>20.465947872318</v>
      </c>
      <c r="U17" s="191" t="n">
        <v>167.234925757023</v>
      </c>
      <c r="V17" s="191" t="n">
        <v>57.3165450364966</v>
      </c>
      <c r="W17" s="191" t="n">
        <v>0.556490920954955</v>
      </c>
      <c r="X17" s="191" t="n">
        <v>0.202574585385205</v>
      </c>
      <c r="Y17" s="191" t="n">
        <v>0</v>
      </c>
      <c r="Z17" s="191" t="n">
        <v>0</v>
      </c>
      <c r="AA17" s="191" t="n">
        <v>0.214149760817093</v>
      </c>
      <c r="AB17" s="191" t="n">
        <v>0.00209952496086666</v>
      </c>
      <c r="AC17" s="191" t="n">
        <v>0.00667725736562754</v>
      </c>
      <c r="AD17" s="191" t="n">
        <v>0.489882957833077</v>
      </c>
      <c r="AE17" s="191" t="n">
        <v>0</v>
      </c>
      <c r="AF17" s="191" t="n">
        <v>29.2742762518992</v>
      </c>
      <c r="AG17" s="191" t="n">
        <v>40.0357916028247</v>
      </c>
      <c r="AH17" s="191" t="n">
        <v>0.664984988226052</v>
      </c>
      <c r="AI17" s="191" t="n">
        <v>2.00298673297186</v>
      </c>
      <c r="AJ17" s="191" t="n">
        <v>0.386251813299765</v>
      </c>
      <c r="AK17" s="191" t="n">
        <v>4.74649695030287</v>
      </c>
      <c r="AL17" s="191" t="n">
        <v>0.0482924422965731</v>
      </c>
      <c r="AM17" s="191" t="n">
        <v>0</v>
      </c>
      <c r="AN17" s="191" t="n">
        <v>0</v>
      </c>
      <c r="AO17" s="192" t="n">
        <v>392.252575167228</v>
      </c>
      <c r="AP17" s="191" t="n">
        <v>1259.75734159504</v>
      </c>
      <c r="AQ17" s="191" t="n">
        <v>0</v>
      </c>
      <c r="AR17" s="192" t="n">
        <v>1259.75734159504</v>
      </c>
      <c r="AS17" s="192" t="n">
        <v>10409.5729392655</v>
      </c>
      <c r="AT17" s="191" t="n">
        <v>2186.33697390337</v>
      </c>
      <c r="AU17" s="191" t="n">
        <v>326.547245020709</v>
      </c>
      <c r="AV17" s="192" t="n">
        <v>2512.88421892408</v>
      </c>
      <c r="AW17" s="192" t="n">
        <v>14182.2144997846</v>
      </c>
      <c r="AX17" s="193" t="n">
        <v>14574.4670749519</v>
      </c>
    </row>
    <row r="18" ht="26.25" customHeight="1" s="104">
      <c r="A18" s="180" t="inlineStr">
        <is>
          <t>31-33</t>
        </is>
      </c>
      <c r="B18" s="175" t="inlineStr">
        <is>
          <t xml:space="preserve">Furniture; other manufactured goods; repair and installation services of machinery and equipment </t>
        </is>
      </c>
      <c r="C18" s="191" t="n">
        <v>8.111702758459</v>
      </c>
      <c r="D18" s="191" t="n">
        <v>1.47969754168485</v>
      </c>
      <c r="E18" s="191" t="n">
        <v>32.3576676066952</v>
      </c>
      <c r="F18" s="191" t="n">
        <v>0</v>
      </c>
      <c r="G18" s="191" t="n">
        <v>35.179374520383</v>
      </c>
      <c r="H18" s="191" t="n">
        <v>0</v>
      </c>
      <c r="I18" s="191" t="n">
        <v>2.00609693152352</v>
      </c>
      <c r="J18" s="191" t="n">
        <v>0</v>
      </c>
      <c r="K18" s="191" t="n">
        <v>61.9373357369825</v>
      </c>
      <c r="L18" s="191" t="n">
        <v>0.721431803372199</v>
      </c>
      <c r="M18" s="191" t="n">
        <v>0</v>
      </c>
      <c r="N18" s="191" t="n">
        <v>0.000594305923467384</v>
      </c>
      <c r="O18" s="191" t="n">
        <v>3.09384494881597</v>
      </c>
      <c r="P18" s="191" t="n">
        <v>1.17508247610035</v>
      </c>
      <c r="Q18" s="191" t="n">
        <v>78.5210413858274</v>
      </c>
      <c r="R18" s="191" t="n">
        <v>6.66090162915194</v>
      </c>
      <c r="S18" s="191" t="n">
        <v>57.8123679534693</v>
      </c>
      <c r="T18" s="191" t="n">
        <v>130.621676469325</v>
      </c>
      <c r="U18" s="191" t="n">
        <v>174.483149290647</v>
      </c>
      <c r="V18" s="191" t="n">
        <v>57.0115668106619</v>
      </c>
      <c r="W18" s="191" t="n">
        <v>114.342299939098</v>
      </c>
      <c r="X18" s="191" t="n">
        <v>38.3770061179101</v>
      </c>
      <c r="Y18" s="191" t="n">
        <v>17.0085678149937</v>
      </c>
      <c r="Z18" s="191" t="n">
        <v>7.33523575027441</v>
      </c>
      <c r="AA18" s="191" t="n">
        <v>5.21356315722867</v>
      </c>
      <c r="AB18" s="191" t="n">
        <v>0.60068742387326</v>
      </c>
      <c r="AC18" s="191" t="n">
        <v>0.357147234018372</v>
      </c>
      <c r="AD18" s="191" t="n">
        <v>3.64861545472335</v>
      </c>
      <c r="AE18" s="191" t="n">
        <v>20.029526050705</v>
      </c>
      <c r="AF18" s="191" t="n">
        <v>1.22650648384683</v>
      </c>
      <c r="AG18" s="191" t="n">
        <v>220.340672032178</v>
      </c>
      <c r="AH18" s="191" t="n">
        <v>105.081614262088</v>
      </c>
      <c r="AI18" s="191" t="n">
        <v>78.5927414077193</v>
      </c>
      <c r="AJ18" s="191" t="n">
        <v>2.82160440458169</v>
      </c>
      <c r="AK18" s="191" t="n">
        <v>71.24160852747021</v>
      </c>
      <c r="AL18" s="191" t="n">
        <v>12.593011126704</v>
      </c>
      <c r="AM18" s="191" t="n">
        <v>0</v>
      </c>
      <c r="AN18" s="191" t="n">
        <v>0</v>
      </c>
      <c r="AO18" s="192" t="n">
        <v>1349.98393935644</v>
      </c>
      <c r="AP18" s="191" t="n">
        <v>1389.73695956696</v>
      </c>
      <c r="AQ18" s="191" t="n">
        <v>0</v>
      </c>
      <c r="AR18" s="192" t="n">
        <v>1389.73695956696</v>
      </c>
      <c r="AS18" s="192" t="n">
        <v>297.079245728857</v>
      </c>
      <c r="AT18" s="191" t="n">
        <v>51.7607942038081</v>
      </c>
      <c r="AU18" s="191" t="n">
        <v>40.3099936460952</v>
      </c>
      <c r="AV18" s="192" t="n">
        <v>92.0707878499033</v>
      </c>
      <c r="AW18" s="192" t="n">
        <v>1778.88699314572</v>
      </c>
      <c r="AX18" s="193" t="n">
        <v>3128.87093250216</v>
      </c>
    </row>
    <row r="19" ht="15" customHeight="1" s="104">
      <c r="A19" s="180" t="inlineStr">
        <is>
          <t>35</t>
        </is>
      </c>
      <c r="B19" s="182" t="inlineStr">
        <is>
          <t xml:space="preserve">Electricity, gas, steam and air conditioning </t>
        </is>
      </c>
      <c r="C19" s="191" t="n">
        <v>11.6548548159514</v>
      </c>
      <c r="D19" s="191" t="n">
        <v>31.8507602629797</v>
      </c>
      <c r="E19" s="191" t="n">
        <v>140.399075199921</v>
      </c>
      <c r="F19" s="191" t="n">
        <v>8.393137424857271</v>
      </c>
      <c r="G19" s="191" t="n">
        <v>21.9631784254502</v>
      </c>
      <c r="H19" s="191" t="n">
        <v>0.905658958606088</v>
      </c>
      <c r="I19" s="191" t="n">
        <v>103.149683524845</v>
      </c>
      <c r="J19" s="191" t="n">
        <v>2.74242718227763</v>
      </c>
      <c r="K19" s="191" t="n">
        <v>156.636590387216</v>
      </c>
      <c r="L19" s="191" t="n">
        <v>177.645506998263</v>
      </c>
      <c r="M19" s="191" t="n">
        <v>1.20158806732839</v>
      </c>
      <c r="N19" s="191" t="n">
        <v>4.799599953883</v>
      </c>
      <c r="O19" s="191" t="n">
        <v>0.299540460545469</v>
      </c>
      <c r="P19" s="191" t="n">
        <v>0.101973917023589</v>
      </c>
      <c r="Q19" s="191" t="n">
        <v>3.30201316859589</v>
      </c>
      <c r="R19" s="191" t="n">
        <v>557.661811579458</v>
      </c>
      <c r="S19" s="191" t="n">
        <v>27.8015650456938</v>
      </c>
      <c r="T19" s="191" t="n">
        <v>37.2620507801058</v>
      </c>
      <c r="U19" s="191" t="n">
        <v>539.581549793073</v>
      </c>
      <c r="V19" s="191" t="n">
        <v>262.10808239966</v>
      </c>
      <c r="W19" s="191" t="n">
        <v>237.24346502266</v>
      </c>
      <c r="X19" s="191" t="n">
        <v>9.443814833016811</v>
      </c>
      <c r="Y19" s="191" t="n">
        <v>25.997031751286</v>
      </c>
      <c r="Z19" s="191" t="n">
        <v>66.2842013626757</v>
      </c>
      <c r="AA19" s="191" t="n">
        <v>48.6727102298236</v>
      </c>
      <c r="AB19" s="191" t="n">
        <v>113.841734023683</v>
      </c>
      <c r="AC19" s="191" t="n">
        <v>9.96974644733247</v>
      </c>
      <c r="AD19" s="191" t="n">
        <v>1.9447819801147</v>
      </c>
      <c r="AE19" s="191" t="n">
        <v>9.866655867285379</v>
      </c>
      <c r="AF19" s="191" t="n">
        <v>7.69443003661095</v>
      </c>
      <c r="AG19" s="191" t="n">
        <v>355.151582994334</v>
      </c>
      <c r="AH19" s="191" t="n">
        <v>107.901043563877</v>
      </c>
      <c r="AI19" s="191" t="n">
        <v>69.08193033960841</v>
      </c>
      <c r="AJ19" s="191" t="n">
        <v>28.4002970449918</v>
      </c>
      <c r="AK19" s="191" t="n">
        <v>83.8884584955901</v>
      </c>
      <c r="AL19" s="191" t="n">
        <v>24.3470964134352</v>
      </c>
      <c r="AM19" s="191" t="n">
        <v>0</v>
      </c>
      <c r="AN19" s="191" t="n">
        <v>0</v>
      </c>
      <c r="AO19" s="192" t="n">
        <v>3289.18962875206</v>
      </c>
      <c r="AP19" s="191" t="n">
        <v>1515.76262904293</v>
      </c>
      <c r="AQ19" s="191" t="n">
        <v>0</v>
      </c>
      <c r="AR19" s="192" t="n">
        <v>1515.76262904293</v>
      </c>
      <c r="AS19" s="192" t="n">
        <v>136.598962506664</v>
      </c>
      <c r="AT19" s="191" t="n">
        <v>0</v>
      </c>
      <c r="AU19" s="191" t="n">
        <v>18.5299057223307</v>
      </c>
      <c r="AV19" s="192" t="n">
        <v>18.5299057223307</v>
      </c>
      <c r="AW19" s="192" t="n">
        <v>1670.89149727193</v>
      </c>
      <c r="AX19" s="193" t="n">
        <v>4960.08112602399</v>
      </c>
    </row>
    <row r="20" ht="26.25" customHeight="1" s="104">
      <c r="A20" s="180" t="inlineStr">
        <is>
          <t>36-39</t>
        </is>
      </c>
      <c r="B20" s="182" t="inlineStr">
        <is>
          <t xml:space="preserve">Water supply; sewerage, waste management and remediation services </t>
        </is>
      </c>
      <c r="C20" s="191" t="n">
        <v>14.7912106541351</v>
      </c>
      <c r="D20" s="191" t="n">
        <v>23.4800872044589</v>
      </c>
      <c r="E20" s="191" t="n">
        <v>25.9199119975602</v>
      </c>
      <c r="F20" s="191" t="n">
        <v>0.546971155618395</v>
      </c>
      <c r="G20" s="191" t="n">
        <v>1.39848175905854</v>
      </c>
      <c r="H20" s="191" t="n">
        <v>0</v>
      </c>
      <c r="I20" s="191" t="n">
        <v>0.178293049344796</v>
      </c>
      <c r="J20" s="191" t="n">
        <v>0.188392687034352</v>
      </c>
      <c r="K20" s="191" t="n">
        <v>8.308961544692661</v>
      </c>
      <c r="L20" s="191" t="n">
        <v>1.21947128237865</v>
      </c>
      <c r="M20" s="191" t="n">
        <v>0</v>
      </c>
      <c r="N20" s="191" t="n">
        <v>8.4550139491417</v>
      </c>
      <c r="O20" s="191" t="n">
        <v>0.158181647394668</v>
      </c>
      <c r="P20" s="191" t="n">
        <v>3.95048431111512</v>
      </c>
      <c r="Q20" s="191" t="n">
        <v>0.293126272254918</v>
      </c>
      <c r="R20" s="191" t="n">
        <v>0.1672884685832</v>
      </c>
      <c r="S20" s="191" t="n">
        <v>29.4192920488826</v>
      </c>
      <c r="T20" s="191" t="n">
        <v>2.04177561598731</v>
      </c>
      <c r="U20" s="191" t="n">
        <v>23.7241901873871</v>
      </c>
      <c r="V20" s="191" t="n">
        <v>14.2854602375617</v>
      </c>
      <c r="W20" s="191" t="n">
        <v>47.311695783684</v>
      </c>
      <c r="X20" s="191" t="n">
        <v>1.35124338208665</v>
      </c>
      <c r="Y20" s="191" t="n">
        <v>0.942228515905332</v>
      </c>
      <c r="Z20" s="191" t="n">
        <v>2.1362429767126</v>
      </c>
      <c r="AA20" s="191" t="n">
        <v>2.27536512614769</v>
      </c>
      <c r="AB20" s="191" t="n">
        <v>7.11548168512005</v>
      </c>
      <c r="AC20" s="191" t="n">
        <v>1.70052867853042</v>
      </c>
      <c r="AD20" s="191" t="n">
        <v>0.206429920789692</v>
      </c>
      <c r="AE20" s="191" t="n">
        <v>0.0578357109089676</v>
      </c>
      <c r="AF20" s="191" t="n">
        <v>34.7684974841734</v>
      </c>
      <c r="AG20" s="191" t="n">
        <v>49.7306381</v>
      </c>
      <c r="AH20" s="191" t="n">
        <v>16.2151780335174</v>
      </c>
      <c r="AI20" s="191" t="n">
        <v>27.8357584601223</v>
      </c>
      <c r="AJ20" s="191" t="n">
        <v>2.47584136858727</v>
      </c>
      <c r="AK20" s="191" t="n">
        <v>6.39965470155068</v>
      </c>
      <c r="AL20" s="191" t="n">
        <v>5.12628185014509</v>
      </c>
      <c r="AM20" s="191" t="n">
        <v>0</v>
      </c>
      <c r="AN20" s="191" t="n">
        <v>0</v>
      </c>
      <c r="AO20" s="192" t="n">
        <v>364.175495850572</v>
      </c>
      <c r="AP20" s="191" t="n">
        <v>309.862661904791</v>
      </c>
      <c r="AQ20" s="191" t="n">
        <v>129.834905760455</v>
      </c>
      <c r="AR20" s="192" t="n">
        <v>439.697567665246</v>
      </c>
      <c r="AS20" s="192" t="n">
        <v>195.051667594996</v>
      </c>
      <c r="AT20" s="191" t="n">
        <v>0</v>
      </c>
      <c r="AU20" s="191" t="n">
        <v>3.77676947965203</v>
      </c>
      <c r="AV20" s="192" t="n">
        <v>3.77676947965203</v>
      </c>
      <c r="AW20" s="192" t="n">
        <v>638.526004739894</v>
      </c>
      <c r="AX20" s="193" t="n">
        <v>1002.70150059047</v>
      </c>
    </row>
    <row r="21" ht="15" customHeight="1" s="104">
      <c r="A21" s="180" t="inlineStr">
        <is>
          <t>41-43</t>
        </is>
      </c>
      <c r="B21" s="175" t="inlineStr">
        <is>
          <t xml:space="preserve">Constructions and construction works </t>
        </is>
      </c>
      <c r="C21" s="191" t="n">
        <v>44.2231281632431</v>
      </c>
      <c r="D21" s="191" t="n">
        <v>115.522847619767</v>
      </c>
      <c r="E21" s="191" t="n">
        <v>0.744504622254728</v>
      </c>
      <c r="F21" s="191" t="n">
        <v>1.07311341433506</v>
      </c>
      <c r="G21" s="191" t="n">
        <v>0.161308303994836</v>
      </c>
      <c r="H21" s="191" t="n">
        <v>0</v>
      </c>
      <c r="I21" s="191" t="n">
        <v>0</v>
      </c>
      <c r="J21" s="191" t="n">
        <v>0</v>
      </c>
      <c r="K21" s="191" t="n">
        <v>50.8988442538929</v>
      </c>
      <c r="L21" s="191" t="n">
        <v>0</v>
      </c>
      <c r="M21" s="191" t="n">
        <v>0</v>
      </c>
      <c r="N21" s="191" t="n">
        <v>0</v>
      </c>
      <c r="O21" s="191" t="n">
        <v>2.86086626383059</v>
      </c>
      <c r="P21" s="191" t="n">
        <v>18.7138324567233</v>
      </c>
      <c r="Q21" s="191" t="n">
        <v>0.233546130943111</v>
      </c>
      <c r="R21" s="191" t="n">
        <v>0.0300338931960518</v>
      </c>
      <c r="S21" s="191" t="n">
        <v>0.110531699898047</v>
      </c>
      <c r="T21" s="191" t="n">
        <v>4664.7268240066</v>
      </c>
      <c r="U21" s="191" t="n">
        <v>65.59197716368421</v>
      </c>
      <c r="V21" s="191" t="n">
        <v>13.9590320792085</v>
      </c>
      <c r="W21" s="191" t="n">
        <v>27.4014757265357</v>
      </c>
      <c r="X21" s="191" t="n">
        <v>4.06759920367033</v>
      </c>
      <c r="Y21" s="191" t="n">
        <v>4.46175981550465</v>
      </c>
      <c r="Z21" s="191" t="n">
        <v>8.270348590065099</v>
      </c>
      <c r="AA21" s="191" t="n">
        <v>76.7679100035871</v>
      </c>
      <c r="AB21" s="191" t="n">
        <v>454.996930721866</v>
      </c>
      <c r="AC21" s="191" t="n">
        <v>1.12248224145242</v>
      </c>
      <c r="AD21" s="191" t="n">
        <v>37.6509037566545</v>
      </c>
      <c r="AE21" s="191" t="n">
        <v>0.008728683296072249</v>
      </c>
      <c r="AF21" s="191" t="n">
        <v>38.4930732453638</v>
      </c>
      <c r="AG21" s="191" t="n">
        <v>39.5306281499393</v>
      </c>
      <c r="AH21" s="191" t="n">
        <v>59.0029764891666</v>
      </c>
      <c r="AI21" s="191" t="n">
        <v>39.6056272571635</v>
      </c>
      <c r="AJ21" s="191" t="n">
        <v>3.62788592200299</v>
      </c>
      <c r="AK21" s="191" t="n">
        <v>10.9189501215997</v>
      </c>
      <c r="AL21" s="191" t="n">
        <v>57.3426558164147</v>
      </c>
      <c r="AM21" s="191" t="n">
        <v>0</v>
      </c>
      <c r="AN21" s="191" t="n">
        <v>0</v>
      </c>
      <c r="AO21" s="192" t="n">
        <v>5842.12032581586</v>
      </c>
      <c r="AP21" s="191" t="n">
        <v>1181.2071941032</v>
      </c>
      <c r="AQ21" s="191" t="n">
        <v>15.9508610247008</v>
      </c>
      <c r="AR21" s="192" t="n">
        <v>1197.1580551279</v>
      </c>
      <c r="AS21" s="192" t="n">
        <v>23.1790073607532</v>
      </c>
      <c r="AT21" s="191" t="n">
        <v>12593.0124872787</v>
      </c>
      <c r="AU21" s="191" t="n">
        <v>1624.13606987673</v>
      </c>
      <c r="AV21" s="192" t="n">
        <v>14217.1485571554</v>
      </c>
      <c r="AW21" s="192" t="n">
        <v>15437.4856196441</v>
      </c>
      <c r="AX21" s="193" t="n">
        <v>21279.6059454599</v>
      </c>
    </row>
    <row r="22" ht="26.25" customHeight="1" s="104">
      <c r="A22" s="180" t="inlineStr">
        <is>
          <t>45-47</t>
        </is>
      </c>
      <c r="B22" s="175" t="inlineStr">
        <is>
          <t xml:space="preserve">Wholesale and retail trade services; repair services of motor vehicles and motorcycles </t>
        </is>
      </c>
      <c r="C22" s="191" t="n">
        <v>3.16689757435503</v>
      </c>
      <c r="D22" s="191" t="n">
        <v>36.9839573556188</v>
      </c>
      <c r="E22" s="191" t="n">
        <v>16.9867016636984</v>
      </c>
      <c r="F22" s="191" t="n">
        <v>0.275912437247443</v>
      </c>
      <c r="G22" s="191" t="n">
        <v>2.94435842704593</v>
      </c>
      <c r="H22" s="191" t="n">
        <v>0</v>
      </c>
      <c r="I22" s="191" t="n">
        <v>3.15032729438216</v>
      </c>
      <c r="J22" s="191" t="n">
        <v>0.0161727375497809</v>
      </c>
      <c r="K22" s="191" t="n">
        <v>3.52075217142254</v>
      </c>
      <c r="L22" s="191" t="n">
        <v>4.25886398229224</v>
      </c>
      <c r="M22" s="191" t="n">
        <v>0</v>
      </c>
      <c r="N22" s="191" t="n">
        <v>0</v>
      </c>
      <c r="O22" s="191" t="n">
        <v>0</v>
      </c>
      <c r="P22" s="191" t="n">
        <v>0.068899552220755</v>
      </c>
      <c r="Q22" s="191" t="n">
        <v>59.3628834409005</v>
      </c>
      <c r="R22" s="191" t="n">
        <v>12.5957760681155</v>
      </c>
      <c r="S22" s="191" t="n">
        <v>18.7149322427365</v>
      </c>
      <c r="T22" s="191" t="n">
        <v>9.233443435232241</v>
      </c>
      <c r="U22" s="191" t="n">
        <v>126.316919547731</v>
      </c>
      <c r="V22" s="191" t="n">
        <v>109.712844066882</v>
      </c>
      <c r="W22" s="191" t="n">
        <v>6.83884361827979</v>
      </c>
      <c r="X22" s="191" t="n">
        <v>1.08521491803826</v>
      </c>
      <c r="Y22" s="191" t="n">
        <v>0.259941639548089</v>
      </c>
      <c r="Z22" s="191" t="n">
        <v>1.22472553726885</v>
      </c>
      <c r="AA22" s="191" t="n">
        <v>0.778277090304804</v>
      </c>
      <c r="AB22" s="191" t="n">
        <v>1.85652105624713</v>
      </c>
      <c r="AC22" s="191" t="n">
        <v>2.91407065325761</v>
      </c>
      <c r="AD22" s="191" t="n">
        <v>0.369944938869328</v>
      </c>
      <c r="AE22" s="191" t="n">
        <v>1.02598785530003</v>
      </c>
      <c r="AF22" s="191" t="n">
        <v>24.1279452032132</v>
      </c>
      <c r="AG22" s="191" t="n">
        <v>7.51260624719839</v>
      </c>
      <c r="AH22" s="191" t="n">
        <v>4.8025048571239</v>
      </c>
      <c r="AI22" s="191" t="n">
        <v>9.96212887614441</v>
      </c>
      <c r="AJ22" s="191" t="n">
        <v>0.00181038373412327</v>
      </c>
      <c r="AK22" s="191" t="n">
        <v>3.61836725958418</v>
      </c>
      <c r="AL22" s="191" t="n">
        <v>0.204188034282087</v>
      </c>
      <c r="AM22" s="191" t="n">
        <v>0</v>
      </c>
      <c r="AN22" s="191" t="n">
        <v>0</v>
      </c>
      <c r="AO22" s="192" t="n">
        <v>473.892720165824</v>
      </c>
      <c r="AP22" s="191" t="n">
        <v>50.12372144447</v>
      </c>
      <c r="AQ22" s="191" t="n">
        <v>0</v>
      </c>
      <c r="AR22" s="192" t="n">
        <v>50.12372144447</v>
      </c>
      <c r="AS22" s="192" t="n">
        <v>0</v>
      </c>
      <c r="AT22" s="191" t="n">
        <v>0</v>
      </c>
      <c r="AU22" s="191" t="n">
        <v>0</v>
      </c>
      <c r="AV22" s="192" t="n">
        <v>0</v>
      </c>
      <c r="AW22" s="192" t="n">
        <v>50.12372144447</v>
      </c>
      <c r="AX22" s="193" t="n">
        <v>524.016441610294</v>
      </c>
    </row>
    <row r="23" ht="15" customHeight="1" s="104">
      <c r="A23" s="180" t="inlineStr">
        <is>
          <t>49-53</t>
        </is>
      </c>
      <c r="B23" s="182" t="inlineStr">
        <is>
          <t>Transportation and storage services</t>
        </is>
      </c>
      <c r="C23" s="191" t="n">
        <v>184.474599314774</v>
      </c>
      <c r="D23" s="191" t="n">
        <v>182.559809848753</v>
      </c>
      <c r="E23" s="191" t="n">
        <v>432.765331339532</v>
      </c>
      <c r="F23" s="191" t="n">
        <v>13.7609561683418</v>
      </c>
      <c r="G23" s="191" t="n">
        <v>21.9190166058063</v>
      </c>
      <c r="H23" s="191" t="n">
        <v>15.7902257308166</v>
      </c>
      <c r="I23" s="191" t="n">
        <v>14.2109183056633</v>
      </c>
      <c r="J23" s="191" t="n">
        <v>5.86160717729612</v>
      </c>
      <c r="K23" s="191" t="n">
        <v>122.345273039587</v>
      </c>
      <c r="L23" s="191" t="n">
        <v>6.37103000257361</v>
      </c>
      <c r="M23" s="191" t="n">
        <v>0</v>
      </c>
      <c r="N23" s="191" t="n">
        <v>18.498809470631</v>
      </c>
      <c r="O23" s="191" t="n">
        <v>0.760542426655314</v>
      </c>
      <c r="P23" s="191" t="n">
        <v>0.463696551135853</v>
      </c>
      <c r="Q23" s="191" t="n">
        <v>1.36659809585153</v>
      </c>
      <c r="R23" s="191" t="n">
        <v>1.42396064052234</v>
      </c>
      <c r="S23" s="191" t="n">
        <v>52.495864635473</v>
      </c>
      <c r="T23" s="191" t="n">
        <v>370.253639138497</v>
      </c>
      <c r="U23" s="191" t="n">
        <v>1322.03012137211</v>
      </c>
      <c r="V23" s="191" t="n">
        <v>2108.44880357849</v>
      </c>
      <c r="W23" s="191" t="n">
        <v>136.602256955326</v>
      </c>
      <c r="X23" s="191" t="n">
        <v>0.843224196732153</v>
      </c>
      <c r="Y23" s="191" t="n">
        <v>20.3395189130755</v>
      </c>
      <c r="Z23" s="191" t="n">
        <v>23.5454286935087</v>
      </c>
      <c r="AA23" s="191" t="n">
        <v>103.971135947298</v>
      </c>
      <c r="AB23" s="191" t="n">
        <v>13.5045028675761</v>
      </c>
      <c r="AC23" s="191" t="n">
        <v>17.2297711198937</v>
      </c>
      <c r="AD23" s="191" t="n">
        <v>0.645300928457047</v>
      </c>
      <c r="AE23" s="191" t="n">
        <v>17.7190407595008</v>
      </c>
      <c r="AF23" s="191" t="n">
        <v>28.8628115071725</v>
      </c>
      <c r="AG23" s="191" t="n">
        <v>33.8490638534269</v>
      </c>
      <c r="AH23" s="191" t="n">
        <v>64.4789820976832</v>
      </c>
      <c r="AI23" s="191" t="n">
        <v>9.37015468461964</v>
      </c>
      <c r="AJ23" s="191" t="n">
        <v>8.46409808644003</v>
      </c>
      <c r="AK23" s="191" t="n">
        <v>105.308065857416</v>
      </c>
      <c r="AL23" s="191" t="n">
        <v>41.1365606189798</v>
      </c>
      <c r="AM23" s="191" t="n">
        <v>0</v>
      </c>
      <c r="AN23" s="191" t="n">
        <v>0</v>
      </c>
      <c r="AO23" s="192" t="n">
        <v>5501.67072052962</v>
      </c>
      <c r="AP23" s="191" t="n">
        <v>1424.62787363326</v>
      </c>
      <c r="AQ23" s="191" t="n">
        <v>0</v>
      </c>
      <c r="AR23" s="192" t="n">
        <v>1424.62787363326</v>
      </c>
      <c r="AS23" s="192" t="n">
        <v>6046.28016641846</v>
      </c>
      <c r="AT23" s="191" t="n">
        <v>0</v>
      </c>
      <c r="AU23" s="191" t="n">
        <v>0</v>
      </c>
      <c r="AV23" s="192" t="n">
        <v>0</v>
      </c>
      <c r="AW23" s="192" t="n">
        <v>7470.90804005172</v>
      </c>
      <c r="AX23" s="193" t="n">
        <v>12972.5787605813</v>
      </c>
    </row>
    <row r="24" ht="15" customHeight="1" s="104">
      <c r="A24" s="180" t="inlineStr">
        <is>
          <t>55-56</t>
        </is>
      </c>
      <c r="B24" s="175" t="inlineStr">
        <is>
          <t xml:space="preserve">Accommodation and food services </t>
        </is>
      </c>
      <c r="C24" s="191" t="n">
        <v>0.347489036536576</v>
      </c>
      <c r="D24" s="191" t="n">
        <v>0.00708486323692098</v>
      </c>
      <c r="E24" s="191" t="n">
        <v>4.81685041814374</v>
      </c>
      <c r="F24" s="191" t="n">
        <v>0.098932285117311</v>
      </c>
      <c r="G24" s="191" t="n">
        <v>0.373208430003497</v>
      </c>
      <c r="H24" s="191" t="n">
        <v>0.07619224184179429</v>
      </c>
      <c r="I24" s="191" t="n">
        <v>0.311314197548923</v>
      </c>
      <c r="J24" s="191" t="n">
        <v>0.142317489846242</v>
      </c>
      <c r="K24" s="191" t="n">
        <v>9.790117165054999</v>
      </c>
      <c r="L24" s="191" t="n">
        <v>0.977944580257486</v>
      </c>
      <c r="M24" s="191" t="n">
        <v>0</v>
      </c>
      <c r="N24" s="191" t="n">
        <v>0</v>
      </c>
      <c r="O24" s="191" t="n">
        <v>0.06517749771579059</v>
      </c>
      <c r="P24" s="191" t="n">
        <v>0.00980976120515191</v>
      </c>
      <c r="Q24" s="191" t="n">
        <v>2.47498656711004</v>
      </c>
      <c r="R24" s="191" t="n">
        <v>1.58054401984583</v>
      </c>
      <c r="S24" s="191" t="n">
        <v>1.71095060398255</v>
      </c>
      <c r="T24" s="191" t="n">
        <v>62.4190213915945</v>
      </c>
      <c r="U24" s="191" t="n">
        <v>69.4542530161616</v>
      </c>
      <c r="V24" s="191" t="n">
        <v>100.089867254881</v>
      </c>
      <c r="W24" s="191" t="n">
        <v>75.8284628926933</v>
      </c>
      <c r="X24" s="191" t="n">
        <v>1.62258671982903</v>
      </c>
      <c r="Y24" s="191" t="n">
        <v>2.54977992365243</v>
      </c>
      <c r="Z24" s="191" t="n">
        <v>28.5492844764366</v>
      </c>
      <c r="AA24" s="191" t="n">
        <v>24.0914623099967</v>
      </c>
      <c r="AB24" s="191" t="n">
        <v>3.96580294561688</v>
      </c>
      <c r="AC24" s="191" t="n">
        <v>25.1783952465625</v>
      </c>
      <c r="AD24" s="191" t="n">
        <v>0.512040933468527</v>
      </c>
      <c r="AE24" s="191" t="n">
        <v>4.31843107281567</v>
      </c>
      <c r="AF24" s="191" t="n">
        <v>42.4046188382892</v>
      </c>
      <c r="AG24" s="191" t="n">
        <v>201.987657758632</v>
      </c>
      <c r="AH24" s="191" t="n">
        <v>79.1971368843642</v>
      </c>
      <c r="AI24" s="191" t="n">
        <v>10.8633980793672</v>
      </c>
      <c r="AJ24" s="191" t="n">
        <v>4.63812157315608</v>
      </c>
      <c r="AK24" s="191" t="n">
        <v>227.245121519375</v>
      </c>
      <c r="AL24" s="191" t="n">
        <v>51.9307163965748</v>
      </c>
      <c r="AM24" s="191" t="n">
        <v>0</v>
      </c>
      <c r="AN24" s="191" t="n">
        <v>0</v>
      </c>
      <c r="AO24" s="192" t="n">
        <v>1039.62907839091</v>
      </c>
      <c r="AP24" s="191" t="n">
        <v>1854.30554454046</v>
      </c>
      <c r="AQ24" s="191" t="n">
        <v>0</v>
      </c>
      <c r="AR24" s="192" t="n">
        <v>1854.30554454046</v>
      </c>
      <c r="AS24" s="192" t="n">
        <v>4545.40426489911</v>
      </c>
      <c r="AT24" s="191" t="n">
        <v>0</v>
      </c>
      <c r="AU24" s="191" t="n">
        <v>0</v>
      </c>
      <c r="AV24" s="192" t="n">
        <v>0</v>
      </c>
      <c r="AW24" s="192" t="n">
        <v>6399.70980943958</v>
      </c>
      <c r="AX24" s="193" t="n">
        <v>7439.33888783049</v>
      </c>
    </row>
    <row r="25" ht="15" customHeight="1" s="104">
      <c r="A25" s="180" t="inlineStr">
        <is>
          <t>58-60</t>
        </is>
      </c>
      <c r="B25" s="175" t="inlineStr">
        <is>
          <t xml:space="preserve">Publishing, audiovisual and broadcasting services </t>
        </is>
      </c>
      <c r="C25" s="191" t="n">
        <v>0.238596871711459</v>
      </c>
      <c r="D25" s="191" t="n">
        <v>0</v>
      </c>
      <c r="E25" s="191" t="n">
        <v>0.156271134903329</v>
      </c>
      <c r="F25" s="191" t="n">
        <v>0.0262512394335387</v>
      </c>
      <c r="G25" s="191" t="n">
        <v>0.0663243877687229</v>
      </c>
      <c r="H25" s="191" t="n">
        <v>0</v>
      </c>
      <c r="I25" s="191" t="n">
        <v>0.0705741198726802</v>
      </c>
      <c r="J25" s="191" t="n">
        <v>0.00143518377282172</v>
      </c>
      <c r="K25" s="191" t="n">
        <v>2.7951887543638</v>
      </c>
      <c r="L25" s="191" t="n">
        <v>0</v>
      </c>
      <c r="M25" s="191" t="n">
        <v>0</v>
      </c>
      <c r="N25" s="191" t="n">
        <v>0</v>
      </c>
      <c r="O25" s="191" t="n">
        <v>0</v>
      </c>
      <c r="P25" s="191" t="n">
        <v>0.08686782828554911</v>
      </c>
      <c r="Q25" s="191" t="n">
        <v>0.140256093824949</v>
      </c>
      <c r="R25" s="191" t="n">
        <v>1.73483194226072</v>
      </c>
      <c r="S25" s="191" t="n">
        <v>0.230946951768601</v>
      </c>
      <c r="T25" s="191" t="n">
        <v>1.6077143971381</v>
      </c>
      <c r="U25" s="191" t="n">
        <v>71.4780928528734</v>
      </c>
      <c r="V25" s="191" t="n">
        <v>4.57384157921414</v>
      </c>
      <c r="W25" s="191" t="n">
        <v>5.89312963344895</v>
      </c>
      <c r="X25" s="191" t="n">
        <v>257.317111597391</v>
      </c>
      <c r="Y25" s="191" t="n">
        <v>20.4562426407237</v>
      </c>
      <c r="Z25" s="191" t="n">
        <v>44.7054397709016</v>
      </c>
      <c r="AA25" s="191" t="n">
        <v>74.83604484880721</v>
      </c>
      <c r="AB25" s="191" t="n">
        <v>1.20374754164589</v>
      </c>
      <c r="AC25" s="191" t="n">
        <v>3.13904236629281</v>
      </c>
      <c r="AD25" s="191" t="n">
        <v>0.253991378946032</v>
      </c>
      <c r="AE25" s="191" t="n">
        <v>46.9715977591295</v>
      </c>
      <c r="AF25" s="191" t="n">
        <v>2.02451927741318</v>
      </c>
      <c r="AG25" s="191" t="n">
        <v>34.8492821149034</v>
      </c>
      <c r="AH25" s="191" t="n">
        <v>5.17025777888584</v>
      </c>
      <c r="AI25" s="191" t="n">
        <v>3.27565677539239</v>
      </c>
      <c r="AJ25" s="191" t="n">
        <v>1.1396573986854</v>
      </c>
      <c r="AK25" s="191" t="n">
        <v>7.10730796313102</v>
      </c>
      <c r="AL25" s="191" t="n">
        <v>2.81897522435628</v>
      </c>
      <c r="AM25" s="191" t="n">
        <v>0</v>
      </c>
      <c r="AN25" s="191" t="n">
        <v>0</v>
      </c>
      <c r="AO25" s="192" t="n">
        <v>594.369197407246</v>
      </c>
      <c r="AP25" s="191" t="n">
        <v>173.535816658226</v>
      </c>
      <c r="AQ25" s="191" t="n">
        <v>70.8072005585985</v>
      </c>
      <c r="AR25" s="192" t="n">
        <v>244.343017216824</v>
      </c>
      <c r="AS25" s="192" t="n">
        <v>138.943747566884</v>
      </c>
      <c r="AT25" s="191" t="n">
        <v>0</v>
      </c>
      <c r="AU25" s="191" t="n">
        <v>451.590537810124</v>
      </c>
      <c r="AV25" s="192" t="n">
        <v>451.590537810124</v>
      </c>
      <c r="AW25" s="192" t="n">
        <v>834.877302593832</v>
      </c>
      <c r="AX25" s="193" t="n">
        <v>1429.24650000108</v>
      </c>
    </row>
    <row r="26" ht="15" customHeight="1" s="104">
      <c r="A26" s="180" t="inlineStr">
        <is>
          <t>61</t>
        </is>
      </c>
      <c r="B26" s="182" t="inlineStr">
        <is>
          <t xml:space="preserve">Telecommunications services </t>
        </is>
      </c>
      <c r="C26" s="191" t="n">
        <v>0.201750226825347</v>
      </c>
      <c r="D26" s="191" t="n">
        <v>0.0328370736054086</v>
      </c>
      <c r="E26" s="191" t="n">
        <v>6.68082996345656</v>
      </c>
      <c r="F26" s="191" t="n">
        <v>0.243536755919141</v>
      </c>
      <c r="G26" s="191" t="n">
        <v>1.35173512077122</v>
      </c>
      <c r="H26" s="191" t="n">
        <v>0</v>
      </c>
      <c r="I26" s="191" t="n">
        <v>0.0217369591823592</v>
      </c>
      <c r="J26" s="191" t="n">
        <v>0</v>
      </c>
      <c r="K26" s="191" t="n">
        <v>0.389753684675742</v>
      </c>
      <c r="L26" s="191" t="n">
        <v>0.0551989144296914</v>
      </c>
      <c r="M26" s="191" t="n">
        <v>0</v>
      </c>
      <c r="N26" s="191" t="n">
        <v>0.0134566016682206</v>
      </c>
      <c r="O26" s="191" t="n">
        <v>0.0159433324431233</v>
      </c>
      <c r="P26" s="191" t="n">
        <v>0.00239960553201016</v>
      </c>
      <c r="Q26" s="191" t="n">
        <v>1.00739425269828</v>
      </c>
      <c r="R26" s="191" t="n">
        <v>0.334508751059731</v>
      </c>
      <c r="S26" s="191" t="n">
        <v>0.117671407640889</v>
      </c>
      <c r="T26" s="191" t="n">
        <v>2.72711806372857</v>
      </c>
      <c r="U26" s="191" t="n">
        <v>27.9603083210341</v>
      </c>
      <c r="V26" s="191" t="n">
        <v>3.50514118225846</v>
      </c>
      <c r="W26" s="191" t="n">
        <v>4.90215556302211</v>
      </c>
      <c r="X26" s="191" t="n">
        <v>7.72787619844135</v>
      </c>
      <c r="Y26" s="191" t="n">
        <v>173.823414937255</v>
      </c>
      <c r="Z26" s="191" t="n">
        <v>9.43797163343471</v>
      </c>
      <c r="AA26" s="191" t="n">
        <v>16.8062237599049</v>
      </c>
      <c r="AB26" s="191" t="n">
        <v>1.73037348998857</v>
      </c>
      <c r="AC26" s="191" t="n">
        <v>4.46804938285357</v>
      </c>
      <c r="AD26" s="191" t="n">
        <v>0.339912269915752</v>
      </c>
      <c r="AE26" s="191" t="n">
        <v>5.78608887013179</v>
      </c>
      <c r="AF26" s="191" t="n">
        <v>1.79845520765674</v>
      </c>
      <c r="AG26" s="191" t="n">
        <v>35.7752728251799</v>
      </c>
      <c r="AH26" s="191" t="n">
        <v>9.168623664341361</v>
      </c>
      <c r="AI26" s="191" t="n">
        <v>5.15976854324571</v>
      </c>
      <c r="AJ26" s="191" t="n">
        <v>0.0303080167224639</v>
      </c>
      <c r="AK26" s="191" t="n">
        <v>101.417777407737</v>
      </c>
      <c r="AL26" s="191" t="n">
        <v>5.84948308954658</v>
      </c>
      <c r="AM26" s="191" t="n">
        <v>0</v>
      </c>
      <c r="AN26" s="191" t="n">
        <v>0</v>
      </c>
      <c r="AO26" s="192" t="n">
        <v>428.883075076306</v>
      </c>
      <c r="AP26" s="191" t="n">
        <v>1523.27768783592</v>
      </c>
      <c r="AQ26" s="191" t="n">
        <v>0</v>
      </c>
      <c r="AR26" s="192" t="n">
        <v>1523.27768783592</v>
      </c>
      <c r="AS26" s="192" t="n">
        <v>565.2368656929521</v>
      </c>
      <c r="AT26" s="191" t="n">
        <v>0</v>
      </c>
      <c r="AU26" s="191" t="n">
        <v>0</v>
      </c>
      <c r="AV26" s="192" t="n">
        <v>0</v>
      </c>
      <c r="AW26" s="192" t="n">
        <v>2088.51455352887</v>
      </c>
      <c r="AX26" s="193" t="n">
        <v>2517.39762860518</v>
      </c>
    </row>
    <row r="27" ht="26.25" customHeight="1" s="104">
      <c r="A27" s="180" t="inlineStr">
        <is>
          <t>62-63</t>
        </is>
      </c>
      <c r="B27" s="175" t="inlineStr">
        <is>
          <t xml:space="preserve">Computer programming, consultancy and related services; information services </t>
        </is>
      </c>
      <c r="C27" s="191" t="n">
        <v>0.436758773431379</v>
      </c>
      <c r="D27" s="191" t="n">
        <v>0.0432366434536164</v>
      </c>
      <c r="E27" s="191" t="n">
        <v>1.61401991807225</v>
      </c>
      <c r="F27" s="191" t="n">
        <v>0.0329775548636367</v>
      </c>
      <c r="G27" s="191" t="n">
        <v>1.86047319926766</v>
      </c>
      <c r="H27" s="191" t="n">
        <v>0</v>
      </c>
      <c r="I27" s="191" t="n">
        <v>0.08461004099891251</v>
      </c>
      <c r="J27" s="191" t="n">
        <v>0.0936972188673928</v>
      </c>
      <c r="K27" s="191" t="n">
        <v>3.1447606348057</v>
      </c>
      <c r="L27" s="191" t="n">
        <v>0</v>
      </c>
      <c r="M27" s="191" t="n">
        <v>0</v>
      </c>
      <c r="N27" s="191" t="n">
        <v>0</v>
      </c>
      <c r="O27" s="191" t="n">
        <v>0.00673000064021283</v>
      </c>
      <c r="P27" s="191" t="n">
        <v>0.024926284483664</v>
      </c>
      <c r="Q27" s="191" t="n">
        <v>0.367529531855704</v>
      </c>
      <c r="R27" s="191" t="n">
        <v>12.3250825070968</v>
      </c>
      <c r="S27" s="191" t="n">
        <v>0.589560979537922</v>
      </c>
      <c r="T27" s="191" t="n">
        <v>29.5566461653712</v>
      </c>
      <c r="U27" s="191" t="n">
        <v>41.9829905415554</v>
      </c>
      <c r="V27" s="191" t="n">
        <v>8.9055785858177</v>
      </c>
      <c r="W27" s="191" t="n">
        <v>9.241487920951849</v>
      </c>
      <c r="X27" s="191" t="n">
        <v>2.97064887727314</v>
      </c>
      <c r="Y27" s="191" t="n">
        <v>34.1659253224315</v>
      </c>
      <c r="Z27" s="191" t="n">
        <v>445.410094656504</v>
      </c>
      <c r="AA27" s="191" t="n">
        <v>192.164784273007</v>
      </c>
      <c r="AB27" s="191" t="n">
        <v>0.370211484348312</v>
      </c>
      <c r="AC27" s="191" t="n">
        <v>9.4061137264557</v>
      </c>
      <c r="AD27" s="191" t="n">
        <v>0.000511316395443756</v>
      </c>
      <c r="AE27" s="191" t="n">
        <v>0.327208460331923</v>
      </c>
      <c r="AF27" s="191" t="n">
        <v>33.9158833629476</v>
      </c>
      <c r="AG27" s="191" t="n">
        <v>0</v>
      </c>
      <c r="AH27" s="191" t="n">
        <v>2.07735949671337</v>
      </c>
      <c r="AI27" s="191" t="n">
        <v>6.58621362262293</v>
      </c>
      <c r="AJ27" s="191" t="n">
        <v>1.44710604597816</v>
      </c>
      <c r="AK27" s="191" t="n">
        <v>251.327060233456</v>
      </c>
      <c r="AL27" s="191" t="n">
        <v>1.50002331677646</v>
      </c>
      <c r="AM27" s="191" t="n">
        <v>0</v>
      </c>
      <c r="AN27" s="191" t="n">
        <v>0</v>
      </c>
      <c r="AO27" s="192" t="n">
        <v>1091.98021069631</v>
      </c>
      <c r="AP27" s="191" t="n">
        <v>298.988434953566</v>
      </c>
      <c r="AQ27" s="191" t="n">
        <v>0</v>
      </c>
      <c r="AR27" s="192" t="n">
        <v>298.988434953566</v>
      </c>
      <c r="AS27" s="192" t="n">
        <v>2922.38375816222</v>
      </c>
      <c r="AT27" s="191" t="n">
        <v>140.706987458464</v>
      </c>
      <c r="AU27" s="191" t="n">
        <v>-5.24006219908607</v>
      </c>
      <c r="AV27" s="192" t="n">
        <v>135.466925259378</v>
      </c>
      <c r="AW27" s="192" t="n">
        <v>3356.83911837516</v>
      </c>
      <c r="AX27" s="193" t="n">
        <v>4448.81932907147</v>
      </c>
    </row>
    <row r="28" ht="15" customHeight="1" s="104">
      <c r="A28" s="180" t="inlineStr">
        <is>
          <t>64-66</t>
        </is>
      </c>
      <c r="B28" s="175" t="inlineStr">
        <is>
          <t xml:space="preserve">Financial and insurance services </t>
        </is>
      </c>
      <c r="C28" s="191" t="n">
        <v>152.207961886208</v>
      </c>
      <c r="D28" s="191" t="n">
        <v>46.0521886323644</v>
      </c>
      <c r="E28" s="191" t="n">
        <v>196.738715330064</v>
      </c>
      <c r="F28" s="191" t="n">
        <v>14.229549605467</v>
      </c>
      <c r="G28" s="191" t="n">
        <v>15.614173291578</v>
      </c>
      <c r="H28" s="191" t="n">
        <v>5.10133676316056</v>
      </c>
      <c r="I28" s="191" t="n">
        <v>17.7790878036891</v>
      </c>
      <c r="J28" s="191" t="n">
        <v>8.71119881315736</v>
      </c>
      <c r="K28" s="191" t="n">
        <v>81.8076338142253</v>
      </c>
      <c r="L28" s="191" t="n">
        <v>80.0693305716166</v>
      </c>
      <c r="M28" s="191" t="n">
        <v>0.468395813238263</v>
      </c>
      <c r="N28" s="191" t="n">
        <v>5.44986807626712</v>
      </c>
      <c r="O28" s="191" t="n">
        <v>1.42841995494742</v>
      </c>
      <c r="P28" s="191" t="n">
        <v>1.67521627119661</v>
      </c>
      <c r="Q28" s="191" t="n">
        <v>17.120578570267</v>
      </c>
      <c r="R28" s="191" t="n">
        <v>105.071143531342</v>
      </c>
      <c r="S28" s="191" t="n">
        <v>24.8787230483754</v>
      </c>
      <c r="T28" s="191" t="n">
        <v>403.642583096312</v>
      </c>
      <c r="U28" s="191" t="n">
        <v>477.146369608013</v>
      </c>
      <c r="V28" s="191" t="n">
        <v>227.629438868465</v>
      </c>
      <c r="W28" s="191" t="n">
        <v>106.039852005155</v>
      </c>
      <c r="X28" s="191" t="n">
        <v>27.0926509837054</v>
      </c>
      <c r="Y28" s="191" t="n">
        <v>49.2599655296538</v>
      </c>
      <c r="Z28" s="191" t="n">
        <v>94.84448322241531</v>
      </c>
      <c r="AA28" s="191" t="n">
        <v>508.557311811815</v>
      </c>
      <c r="AB28" s="191" t="n">
        <v>446.548470017594</v>
      </c>
      <c r="AC28" s="191" t="n">
        <v>45.4020055853284</v>
      </c>
      <c r="AD28" s="191" t="n">
        <v>1.79192522356103</v>
      </c>
      <c r="AE28" s="191" t="n">
        <v>23.7790348175098</v>
      </c>
      <c r="AF28" s="191" t="n">
        <v>41.5668359284955</v>
      </c>
      <c r="AG28" s="191" t="n">
        <v>205.451551205203</v>
      </c>
      <c r="AH28" s="191" t="n">
        <v>31.1926950106585</v>
      </c>
      <c r="AI28" s="191" t="n">
        <v>78.37494015983469</v>
      </c>
      <c r="AJ28" s="191" t="n">
        <v>3.68753281062684</v>
      </c>
      <c r="AK28" s="191" t="n">
        <v>102.785211758615</v>
      </c>
      <c r="AL28" s="191" t="n">
        <v>7.9761032432044</v>
      </c>
      <c r="AM28" s="191" t="n">
        <v>0</v>
      </c>
      <c r="AN28" s="191" t="n">
        <v>0</v>
      </c>
      <c r="AO28" s="192" t="n">
        <v>3657.17248266333</v>
      </c>
      <c r="AP28" s="191" t="n">
        <v>2030.92563502397</v>
      </c>
      <c r="AQ28" s="191" t="n">
        <v>0</v>
      </c>
      <c r="AR28" s="192" t="n">
        <v>2030.92563502397</v>
      </c>
      <c r="AS28" s="192" t="n">
        <v>744.4688149049611</v>
      </c>
      <c r="AT28" s="191" t="n">
        <v>0</v>
      </c>
      <c r="AU28" s="191" t="n">
        <v>0</v>
      </c>
      <c r="AV28" s="192" t="n">
        <v>0</v>
      </c>
      <c r="AW28" s="192" t="n">
        <v>2775.39444992893</v>
      </c>
      <c r="AX28" s="193" t="n">
        <v>6432.56693259226</v>
      </c>
    </row>
    <row r="29" ht="15" customHeight="1" s="104">
      <c r="A29" s="180" t="inlineStr">
        <is>
          <t>68</t>
        </is>
      </c>
      <c r="B29" s="182" t="inlineStr">
        <is>
          <t xml:space="preserve">Real estate services </t>
        </is>
      </c>
      <c r="C29" s="191" t="n">
        <v>23.6705091716874</v>
      </c>
      <c r="D29" s="191" t="n">
        <v>53.9545616672102</v>
      </c>
      <c r="E29" s="191" t="n">
        <v>86.8009757517011</v>
      </c>
      <c r="F29" s="191" t="n">
        <v>18.6519785253303</v>
      </c>
      <c r="G29" s="191" t="n">
        <v>11.7393266564604</v>
      </c>
      <c r="H29" s="191" t="n">
        <v>1.56301561239412</v>
      </c>
      <c r="I29" s="191" t="n">
        <v>0.982085116486681</v>
      </c>
      <c r="J29" s="191" t="n">
        <v>0</v>
      </c>
      <c r="K29" s="191" t="n">
        <v>15.9492559937596</v>
      </c>
      <c r="L29" s="191" t="n">
        <v>7.42321726556241</v>
      </c>
      <c r="M29" s="191" t="n">
        <v>0</v>
      </c>
      <c r="N29" s="191" t="n">
        <v>0.1861324823073</v>
      </c>
      <c r="O29" s="191" t="n">
        <v>0.08943660420340151</v>
      </c>
      <c r="P29" s="191" t="n">
        <v>3.11854750252218</v>
      </c>
      <c r="Q29" s="191" t="n">
        <v>16.7055737826366</v>
      </c>
      <c r="R29" s="191" t="n">
        <v>34.43466966111</v>
      </c>
      <c r="S29" s="191" t="n">
        <v>2.31869871581049</v>
      </c>
      <c r="T29" s="191" t="n">
        <v>71.1496686682225</v>
      </c>
      <c r="U29" s="191" t="n">
        <v>934.2985625955459</v>
      </c>
      <c r="V29" s="191" t="n">
        <v>256.275171639944</v>
      </c>
      <c r="W29" s="191" t="n">
        <v>382.667562131598</v>
      </c>
      <c r="X29" s="191" t="n">
        <v>31.5870174097146</v>
      </c>
      <c r="Y29" s="191" t="n">
        <v>63.2347370514995</v>
      </c>
      <c r="Z29" s="191" t="n">
        <v>95.30409586584901</v>
      </c>
      <c r="AA29" s="191" t="n">
        <v>106.57002269356</v>
      </c>
      <c r="AB29" s="191" t="n">
        <v>90.3897664911978</v>
      </c>
      <c r="AC29" s="191" t="n">
        <v>95.51302335405509</v>
      </c>
      <c r="AD29" s="191" t="n">
        <v>1.32124865467739</v>
      </c>
      <c r="AE29" s="191" t="n">
        <v>38.0743863960598</v>
      </c>
      <c r="AF29" s="191" t="n">
        <v>71.9365552829651</v>
      </c>
      <c r="AG29" s="191" t="n">
        <v>37.8908557972596</v>
      </c>
      <c r="AH29" s="191" t="n">
        <v>38.7676526628784</v>
      </c>
      <c r="AI29" s="191" t="n">
        <v>47.3266101851131</v>
      </c>
      <c r="AJ29" s="191" t="n">
        <v>36.3254700785958</v>
      </c>
      <c r="AK29" s="191" t="n">
        <v>152.046045805785</v>
      </c>
      <c r="AL29" s="191" t="n">
        <v>61.4108363537896</v>
      </c>
      <c r="AM29" s="191" t="n">
        <v>0</v>
      </c>
      <c r="AN29" s="191" t="n">
        <v>0</v>
      </c>
      <c r="AO29" s="192" t="n">
        <v>2889.67727362749</v>
      </c>
      <c r="AP29" s="191" t="n">
        <v>7315.51111222041</v>
      </c>
      <c r="AQ29" s="191" t="n">
        <v>3.98978499567597</v>
      </c>
      <c r="AR29" s="192" t="n">
        <v>7319.50089721609</v>
      </c>
      <c r="AS29" s="192" t="n">
        <v>4.805842</v>
      </c>
      <c r="AT29" s="191" t="n">
        <v>0</v>
      </c>
      <c r="AU29" s="191" t="n">
        <v>0</v>
      </c>
      <c r="AV29" s="192" t="n">
        <v>0</v>
      </c>
      <c r="AW29" s="192" t="n">
        <v>7324.30673921609</v>
      </c>
      <c r="AX29" s="193" t="n">
        <v>10213.9840128436</v>
      </c>
    </row>
    <row r="30" ht="51.75" customHeight="1" s="104">
      <c r="A30" s="180" t="inlineStr">
        <is>
          <t>69-71</t>
        </is>
      </c>
      <c r="B30" s="182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91" t="n">
        <v>1.04349592425877</v>
      </c>
      <c r="D30" s="191" t="n">
        <v>4.67165936398629</v>
      </c>
      <c r="E30" s="191" t="n">
        <v>12.8649683206017</v>
      </c>
      <c r="F30" s="191" t="n">
        <v>0.450483996145785</v>
      </c>
      <c r="G30" s="191" t="n">
        <v>0.502132182247406</v>
      </c>
      <c r="H30" s="191" t="n">
        <v>0</v>
      </c>
      <c r="I30" s="191" t="n">
        <v>0.0822609665510641</v>
      </c>
      <c r="J30" s="191" t="n">
        <v>0.108936150971336</v>
      </c>
      <c r="K30" s="191" t="n">
        <v>42.9018739618372</v>
      </c>
      <c r="L30" s="191" t="n">
        <v>0.171569972843637</v>
      </c>
      <c r="M30" s="191" t="n">
        <v>0</v>
      </c>
      <c r="N30" s="191" t="n">
        <v>2.07354171583795</v>
      </c>
      <c r="O30" s="191" t="n">
        <v>0.0117205945275643</v>
      </c>
      <c r="P30" s="191" t="n">
        <v>0.0247042289764816</v>
      </c>
      <c r="Q30" s="191" t="n">
        <v>6.65084565771547</v>
      </c>
      <c r="R30" s="191" t="n">
        <v>160.735078597964</v>
      </c>
      <c r="S30" s="191" t="n">
        <v>3.39245223413739</v>
      </c>
      <c r="T30" s="191" t="n">
        <v>129.846020283651</v>
      </c>
      <c r="U30" s="191" t="n">
        <v>54.2120971951292</v>
      </c>
      <c r="V30" s="191" t="n">
        <v>59.6057236373826</v>
      </c>
      <c r="W30" s="191" t="n">
        <v>11.9678346293035</v>
      </c>
      <c r="X30" s="191" t="n">
        <v>4.32602139874175</v>
      </c>
      <c r="Y30" s="191" t="n">
        <v>4.05488968571334</v>
      </c>
      <c r="Z30" s="191" t="n">
        <v>77.0755250132745</v>
      </c>
      <c r="AA30" s="191" t="n">
        <v>121.416611647609</v>
      </c>
      <c r="AB30" s="191" t="n">
        <v>37.3982023875134</v>
      </c>
      <c r="AC30" s="191" t="n">
        <v>117.709950993073</v>
      </c>
      <c r="AD30" s="191" t="n">
        <v>0.06368993583016409</v>
      </c>
      <c r="AE30" s="191" t="n">
        <v>2.33760090771276</v>
      </c>
      <c r="AF30" s="191" t="n">
        <v>2.33851520066078</v>
      </c>
      <c r="AG30" s="191" t="n">
        <v>1.87308439815491</v>
      </c>
      <c r="AH30" s="191" t="n">
        <v>25.5217036982863</v>
      </c>
      <c r="AI30" s="191" t="n">
        <v>24.875780148439</v>
      </c>
      <c r="AJ30" s="191" t="n">
        <v>1.0554431299603</v>
      </c>
      <c r="AK30" s="191" t="n">
        <v>53.8856802137431</v>
      </c>
      <c r="AL30" s="191" t="n">
        <v>3.14386990850431</v>
      </c>
      <c r="AM30" s="191" t="n">
        <v>0</v>
      </c>
      <c r="AN30" s="191" t="n">
        <v>0</v>
      </c>
      <c r="AO30" s="192" t="n">
        <v>968.3939682812839</v>
      </c>
      <c r="AP30" s="191" t="n">
        <v>459.189035498081</v>
      </c>
      <c r="AQ30" s="191" t="n">
        <v>0</v>
      </c>
      <c r="AR30" s="192" t="n">
        <v>459.189035498081</v>
      </c>
      <c r="AS30" s="192" t="n">
        <v>317.601478175126</v>
      </c>
      <c r="AT30" s="191" t="n">
        <v>0.157052142376722</v>
      </c>
      <c r="AU30" s="191" t="n">
        <v>68.1235270141603</v>
      </c>
      <c r="AV30" s="192" t="n">
        <v>68.280579156537</v>
      </c>
      <c r="AW30" s="192" t="n">
        <v>845.071092829744</v>
      </c>
      <c r="AX30" s="193" t="n">
        <v>1813.46506111103</v>
      </c>
    </row>
    <row r="31" ht="15" customHeight="1" s="104">
      <c r="A31" s="180" t="inlineStr">
        <is>
          <t>72</t>
        </is>
      </c>
      <c r="B31" s="182" t="inlineStr">
        <is>
          <t xml:space="preserve">Scientific research and development services </t>
        </is>
      </c>
      <c r="C31" s="191" t="n">
        <v>0</v>
      </c>
      <c r="D31" s="191" t="n">
        <v>0</v>
      </c>
      <c r="E31" s="191" t="n">
        <v>0</v>
      </c>
      <c r="F31" s="191" t="n">
        <v>0</v>
      </c>
      <c r="G31" s="191" t="n">
        <v>0</v>
      </c>
      <c r="H31" s="191" t="n">
        <v>0</v>
      </c>
      <c r="I31" s="191" t="n">
        <v>0.0539560003869818</v>
      </c>
      <c r="J31" s="191" t="n">
        <v>0</v>
      </c>
      <c r="K31" s="191" t="n">
        <v>0</v>
      </c>
      <c r="L31" s="191" t="n">
        <v>0</v>
      </c>
      <c r="M31" s="191" t="n">
        <v>0</v>
      </c>
      <c r="N31" s="191" t="n">
        <v>0</v>
      </c>
      <c r="O31" s="191" t="n">
        <v>0</v>
      </c>
      <c r="P31" s="191" t="n">
        <v>0</v>
      </c>
      <c r="Q31" s="191" t="n">
        <v>0</v>
      </c>
      <c r="R31" s="191" t="n">
        <v>3.81147141533591</v>
      </c>
      <c r="S31" s="191" t="n">
        <v>0</v>
      </c>
      <c r="T31" s="191" t="n">
        <v>0.106198646554918</v>
      </c>
      <c r="U31" s="191" t="n">
        <v>0.178304720780043</v>
      </c>
      <c r="V31" s="191" t="n">
        <v>0.0764628833434679</v>
      </c>
      <c r="W31" s="191" t="n">
        <v>0</v>
      </c>
      <c r="X31" s="191" t="n">
        <v>0</v>
      </c>
      <c r="Y31" s="191" t="n">
        <v>0</v>
      </c>
      <c r="Z31" s="191" t="n">
        <v>0</v>
      </c>
      <c r="AA31" s="191" t="n">
        <v>0.08134646344720151</v>
      </c>
      <c r="AB31" s="191" t="n">
        <v>0</v>
      </c>
      <c r="AC31" s="191" t="n">
        <v>0</v>
      </c>
      <c r="AD31" s="191" t="n">
        <v>14.5093982532755</v>
      </c>
      <c r="AE31" s="191" t="n">
        <v>0.805260244323641</v>
      </c>
      <c r="AF31" s="191" t="n">
        <v>0</v>
      </c>
      <c r="AG31" s="191" t="n">
        <v>0</v>
      </c>
      <c r="AH31" s="191" t="n">
        <v>0.02395476051547</v>
      </c>
      <c r="AI31" s="191" t="n">
        <v>0.26558273181874</v>
      </c>
      <c r="AJ31" s="191" t="n">
        <v>0</v>
      </c>
      <c r="AK31" s="191" t="n">
        <v>0</v>
      </c>
      <c r="AL31" s="191" t="n">
        <v>0.117515782696617</v>
      </c>
      <c r="AM31" s="191" t="n">
        <v>0</v>
      </c>
      <c r="AN31" s="191" t="n">
        <v>0</v>
      </c>
      <c r="AO31" s="192" t="n">
        <v>20.0294519024785</v>
      </c>
      <c r="AP31" s="191" t="n">
        <v>44.6622965130742</v>
      </c>
      <c r="AQ31" s="191" t="n">
        <v>18.7203427136781</v>
      </c>
      <c r="AR31" s="192" t="n">
        <v>63.3826392267523</v>
      </c>
      <c r="AS31" s="192" t="n">
        <v>4.40269570614687</v>
      </c>
      <c r="AT31" s="191" t="n">
        <v>214.777441856253</v>
      </c>
      <c r="AU31" s="191" t="n">
        <v>0.346869773169656</v>
      </c>
      <c r="AV31" s="192" t="n">
        <v>215.124311629423</v>
      </c>
      <c r="AW31" s="192" t="n">
        <v>282.909646562322</v>
      </c>
      <c r="AX31" s="193" t="n">
        <v>302.939098464801</v>
      </c>
    </row>
    <row r="32" ht="39" customHeight="1" s="104">
      <c r="A32" s="180" t="inlineStr">
        <is>
          <t>73-75</t>
        </is>
      </c>
      <c r="B32" s="175" t="inlineStr">
        <is>
          <t xml:space="preserve">Advertising and market research services; other professional, scientific and technical services; veterinary services </t>
        </is>
      </c>
      <c r="C32" s="191" t="n">
        <v>14.4887824064768</v>
      </c>
      <c r="D32" s="191" t="n">
        <v>0</v>
      </c>
      <c r="E32" s="191" t="n">
        <v>69.3741639920236</v>
      </c>
      <c r="F32" s="191" t="n">
        <v>0.516282799190225</v>
      </c>
      <c r="G32" s="191" t="n">
        <v>0.738930907540768</v>
      </c>
      <c r="H32" s="191" t="n">
        <v>0</v>
      </c>
      <c r="I32" s="191" t="n">
        <v>2.08431572905707</v>
      </c>
      <c r="J32" s="191" t="n">
        <v>6.93528393445372</v>
      </c>
      <c r="K32" s="191" t="n">
        <v>3.0784557604479</v>
      </c>
      <c r="L32" s="191" t="n">
        <v>0.00981326185472153</v>
      </c>
      <c r="M32" s="191" t="n">
        <v>0</v>
      </c>
      <c r="N32" s="191" t="n">
        <v>0</v>
      </c>
      <c r="O32" s="191" t="n">
        <v>0</v>
      </c>
      <c r="P32" s="191" t="n">
        <v>0.0344602563265005</v>
      </c>
      <c r="Q32" s="191" t="n">
        <v>0.477822248112542</v>
      </c>
      <c r="R32" s="191" t="n">
        <v>0.831760556655691</v>
      </c>
      <c r="S32" s="191" t="n">
        <v>1.31285212395336</v>
      </c>
      <c r="T32" s="191" t="n">
        <v>13.1091566007702</v>
      </c>
      <c r="U32" s="191" t="n">
        <v>345.781430888252</v>
      </c>
      <c r="V32" s="191" t="n">
        <v>6.26627776008598</v>
      </c>
      <c r="W32" s="191" t="n">
        <v>23.5311697354121</v>
      </c>
      <c r="X32" s="191" t="n">
        <v>16.8877275529042</v>
      </c>
      <c r="Y32" s="191" t="n">
        <v>3.38990024326578</v>
      </c>
      <c r="Z32" s="191" t="n">
        <v>15.5267065170312</v>
      </c>
      <c r="AA32" s="191" t="n">
        <v>105.560380010639</v>
      </c>
      <c r="AB32" s="191" t="n">
        <v>0.796043453425647</v>
      </c>
      <c r="AC32" s="191" t="n">
        <v>13.835768459997</v>
      </c>
      <c r="AD32" s="191" t="n">
        <v>0.09928539360403719</v>
      </c>
      <c r="AE32" s="191" t="n">
        <v>62.0958880430897</v>
      </c>
      <c r="AF32" s="191" t="n">
        <v>0.689355301048769</v>
      </c>
      <c r="AG32" s="191" t="n">
        <v>76.11227365584151</v>
      </c>
      <c r="AH32" s="191" t="n">
        <v>21.0072732544521</v>
      </c>
      <c r="AI32" s="191" t="n">
        <v>8.032186065777699</v>
      </c>
      <c r="AJ32" s="191" t="n">
        <v>2.02659364656555</v>
      </c>
      <c r="AK32" s="191" t="n">
        <v>9.154494643554919</v>
      </c>
      <c r="AL32" s="191" t="n">
        <v>2.30420417486857</v>
      </c>
      <c r="AM32" s="191" t="n">
        <v>0</v>
      </c>
      <c r="AN32" s="191" t="n">
        <v>0</v>
      </c>
      <c r="AO32" s="192" t="n">
        <v>826.089039376679</v>
      </c>
      <c r="AP32" s="191" t="n">
        <v>67.7491495320388</v>
      </c>
      <c r="AQ32" s="191" t="n">
        <v>0</v>
      </c>
      <c r="AR32" s="192" t="n">
        <v>67.7491495320388</v>
      </c>
      <c r="AS32" s="192" t="n">
        <v>0.007956570536673899</v>
      </c>
      <c r="AT32" s="191" t="n">
        <v>0</v>
      </c>
      <c r="AU32" s="191" t="n">
        <v>0</v>
      </c>
      <c r="AV32" s="192" t="n">
        <v>0</v>
      </c>
      <c r="AW32" s="192" t="n">
        <v>67.75710610257551</v>
      </c>
      <c r="AX32" s="193" t="n">
        <v>893.846145479255</v>
      </c>
    </row>
    <row r="33" ht="15" customHeight="1" s="104">
      <c r="A33" s="180" t="inlineStr">
        <is>
          <t>77-82</t>
        </is>
      </c>
      <c r="B33" s="175" t="inlineStr">
        <is>
          <t>Administrative and support services</t>
        </is>
      </c>
      <c r="C33" s="191" t="n">
        <v>42.7672462588898</v>
      </c>
      <c r="D33" s="191" t="n">
        <v>27.9068804492469</v>
      </c>
      <c r="E33" s="191" t="n">
        <v>43.7883686556838</v>
      </c>
      <c r="F33" s="191" t="n">
        <v>0.535390456551174</v>
      </c>
      <c r="G33" s="191" t="n">
        <v>17.9357713886688</v>
      </c>
      <c r="H33" s="191" t="n">
        <v>0</v>
      </c>
      <c r="I33" s="191" t="n">
        <v>1.18253591712281</v>
      </c>
      <c r="J33" s="191" t="n">
        <v>0.601118627254433</v>
      </c>
      <c r="K33" s="191" t="n">
        <v>31.9427160798497</v>
      </c>
      <c r="L33" s="191" t="n">
        <v>0.514428744081976</v>
      </c>
      <c r="M33" s="191" t="n">
        <v>0</v>
      </c>
      <c r="N33" s="191" t="n">
        <v>0.00400118452696815</v>
      </c>
      <c r="O33" s="191" t="n">
        <v>0.149682557233315</v>
      </c>
      <c r="P33" s="191" t="n">
        <v>1.0802845632491</v>
      </c>
      <c r="Q33" s="191" t="n">
        <v>0.42989664420062</v>
      </c>
      <c r="R33" s="191" t="n">
        <v>7.7275628576951</v>
      </c>
      <c r="S33" s="191" t="n">
        <v>2.65766233199596</v>
      </c>
      <c r="T33" s="191" t="n">
        <v>193.572009248754</v>
      </c>
      <c r="U33" s="191" t="n">
        <v>203.402203942362</v>
      </c>
      <c r="V33" s="191" t="n">
        <v>126.5052991047</v>
      </c>
      <c r="W33" s="191" t="n">
        <v>97.6214130353414</v>
      </c>
      <c r="X33" s="191" t="n">
        <v>85.8959074562639</v>
      </c>
      <c r="Y33" s="191" t="n">
        <v>2.6016195419192</v>
      </c>
      <c r="Z33" s="191" t="n">
        <v>82.1883225180504</v>
      </c>
      <c r="AA33" s="191" t="n">
        <v>184.637474056732</v>
      </c>
      <c r="AB33" s="191" t="n">
        <v>19.9698511458444</v>
      </c>
      <c r="AC33" s="191" t="n">
        <v>24.9555223399956</v>
      </c>
      <c r="AD33" s="191" t="n">
        <v>0.385875941704254</v>
      </c>
      <c r="AE33" s="191" t="n">
        <v>3.93956923594705</v>
      </c>
      <c r="AF33" s="191" t="n">
        <v>208.65113321955</v>
      </c>
      <c r="AG33" s="191" t="n">
        <v>90.83383915789091</v>
      </c>
      <c r="AH33" s="191" t="n">
        <v>11.2748956015717</v>
      </c>
      <c r="AI33" s="191" t="n">
        <v>24.8123855394945</v>
      </c>
      <c r="AJ33" s="191" t="n">
        <v>11.5074128823616</v>
      </c>
      <c r="AK33" s="191" t="n">
        <v>22.8946152875113</v>
      </c>
      <c r="AL33" s="191" t="n">
        <v>1.88424661420623</v>
      </c>
      <c r="AM33" s="191" t="n">
        <v>0</v>
      </c>
      <c r="AN33" s="191" t="n">
        <v>0</v>
      </c>
      <c r="AO33" s="192" t="n">
        <v>1576.75714258645</v>
      </c>
      <c r="AP33" s="191" t="n">
        <v>506.339042115707</v>
      </c>
      <c r="AQ33" s="191" t="n">
        <v>0</v>
      </c>
      <c r="AR33" s="192" t="n">
        <v>506.339042115707</v>
      </c>
      <c r="AS33" s="192" t="n">
        <v>295.869153315312</v>
      </c>
      <c r="AT33" s="191" t="n">
        <v>0</v>
      </c>
      <c r="AU33" s="191" t="n">
        <v>0</v>
      </c>
      <c r="AV33" s="192" t="n">
        <v>0</v>
      </c>
      <c r="AW33" s="192" t="n">
        <v>802.208195431019</v>
      </c>
      <c r="AX33" s="193" t="n">
        <v>2378.96533801747</v>
      </c>
    </row>
    <row r="34" ht="26.25" customHeight="1" s="104">
      <c r="A34" s="180" t="n">
        <v>84</v>
      </c>
      <c r="B34" s="182" t="inlineStr">
        <is>
          <t xml:space="preserve">Public administration and defence services; compulsory social security services </t>
        </is>
      </c>
      <c r="C34" s="191" t="n">
        <v>0.00550377015870532</v>
      </c>
      <c r="D34" s="191" t="n">
        <v>0</v>
      </c>
      <c r="E34" s="191" t="n">
        <v>0</v>
      </c>
      <c r="F34" s="191" t="n">
        <v>0</v>
      </c>
      <c r="G34" s="191" t="n">
        <v>0</v>
      </c>
      <c r="H34" s="191" t="n">
        <v>0</v>
      </c>
      <c r="I34" s="191" t="n">
        <v>0</v>
      </c>
      <c r="J34" s="191" t="n">
        <v>0</v>
      </c>
      <c r="K34" s="191" t="n">
        <v>0</v>
      </c>
      <c r="L34" s="191" t="n">
        <v>0</v>
      </c>
      <c r="M34" s="191" t="n">
        <v>0</v>
      </c>
      <c r="N34" s="191" t="n">
        <v>0</v>
      </c>
      <c r="O34" s="191" t="n">
        <v>0</v>
      </c>
      <c r="P34" s="191" t="n">
        <v>0</v>
      </c>
      <c r="Q34" s="191" t="n">
        <v>0</v>
      </c>
      <c r="R34" s="191" t="n">
        <v>0.540677261998979</v>
      </c>
      <c r="S34" s="191" t="n">
        <v>0.0317744019815593</v>
      </c>
      <c r="T34" s="191" t="n">
        <v>0.0424274256905461</v>
      </c>
      <c r="U34" s="191" t="n">
        <v>0.0128058283236372</v>
      </c>
      <c r="V34" s="191" t="n">
        <v>0.0154559779862551</v>
      </c>
      <c r="W34" s="191" t="n">
        <v>0</v>
      </c>
      <c r="X34" s="191" t="n">
        <v>0</v>
      </c>
      <c r="Y34" s="191" t="n">
        <v>0</v>
      </c>
      <c r="Z34" s="191" t="n">
        <v>0.383190455535935</v>
      </c>
      <c r="AA34" s="191" t="n">
        <v>0.0414389951069035</v>
      </c>
      <c r="AB34" s="191" t="n">
        <v>0</v>
      </c>
      <c r="AC34" s="191" t="n">
        <v>0</v>
      </c>
      <c r="AD34" s="191" t="n">
        <v>0.000294000020506128</v>
      </c>
      <c r="AE34" s="191" t="n">
        <v>0.140200910591122</v>
      </c>
      <c r="AF34" s="191" t="n">
        <v>0.0157811671951614</v>
      </c>
      <c r="AG34" s="191" t="n">
        <v>5.25302584</v>
      </c>
      <c r="AH34" s="191" t="n">
        <v>0.0482479841669511</v>
      </c>
      <c r="AI34" s="191" t="n">
        <v>6.15386684687075</v>
      </c>
      <c r="AJ34" s="191" t="n">
        <v>0</v>
      </c>
      <c r="AK34" s="191" t="n">
        <v>0.0015000001046231</v>
      </c>
      <c r="AL34" s="191" t="n">
        <v>0.0282789746829092</v>
      </c>
      <c r="AM34" s="191" t="n">
        <v>0</v>
      </c>
      <c r="AN34" s="191" t="n">
        <v>0</v>
      </c>
      <c r="AO34" s="192" t="n">
        <v>12.7144698404145</v>
      </c>
      <c r="AP34" s="191" t="n">
        <v>1426.25643015959</v>
      </c>
      <c r="AQ34" s="191" t="n">
        <v>6453.67141035817</v>
      </c>
      <c r="AR34" s="192" t="n">
        <v>7879.92784051776</v>
      </c>
      <c r="AS34" s="192" t="n">
        <v>0</v>
      </c>
      <c r="AT34" s="191" t="n">
        <v>0</v>
      </c>
      <c r="AU34" s="191" t="n">
        <v>0</v>
      </c>
      <c r="AV34" s="192" t="n">
        <v>0</v>
      </c>
      <c r="AW34" s="192" t="n">
        <v>7879.92784051776</v>
      </c>
      <c r="AX34" s="193" t="n">
        <v>7892.64231035817</v>
      </c>
    </row>
    <row r="35" ht="15" customHeight="1" s="104">
      <c r="A35" s="180" t="n">
        <v>85</v>
      </c>
      <c r="B35" s="182" t="inlineStr">
        <is>
          <t xml:space="preserve">Education services </t>
        </is>
      </c>
      <c r="C35" s="191" t="n">
        <v>0.0170378567345983</v>
      </c>
      <c r="D35" s="191" t="n">
        <v>0</v>
      </c>
      <c r="E35" s="191" t="n">
        <v>0.0103239242564474</v>
      </c>
      <c r="F35" s="191" t="n">
        <v>0</v>
      </c>
      <c r="G35" s="191" t="n">
        <v>0</v>
      </c>
      <c r="H35" s="191" t="n">
        <v>0</v>
      </c>
      <c r="I35" s="191" t="n">
        <v>0</v>
      </c>
      <c r="J35" s="191" t="n">
        <v>0</v>
      </c>
      <c r="K35" s="191" t="n">
        <v>2.23256285668732</v>
      </c>
      <c r="L35" s="191" t="n">
        <v>0</v>
      </c>
      <c r="M35" s="191" t="n">
        <v>0</v>
      </c>
      <c r="N35" s="191" t="n">
        <v>0</v>
      </c>
      <c r="O35" s="191" t="n">
        <v>0</v>
      </c>
      <c r="P35" s="191" t="n">
        <v>0.0344547810394945</v>
      </c>
      <c r="Q35" s="191" t="n">
        <v>0.146343452950125</v>
      </c>
      <c r="R35" s="191" t="n">
        <v>0.0142682513690404</v>
      </c>
      <c r="S35" s="191" t="n">
        <v>0.00382381386118816</v>
      </c>
      <c r="T35" s="191" t="n">
        <v>0.103222177797781</v>
      </c>
      <c r="U35" s="191" t="n">
        <v>2.23591907241013</v>
      </c>
      <c r="V35" s="191" t="n">
        <v>1.36875368625681</v>
      </c>
      <c r="W35" s="191" t="n">
        <v>0.45049733924944</v>
      </c>
      <c r="X35" s="191" t="n">
        <v>0.380802624386043</v>
      </c>
      <c r="Y35" s="191" t="n">
        <v>0.799990686661055</v>
      </c>
      <c r="Z35" s="191" t="n">
        <v>6.73771643512008</v>
      </c>
      <c r="AA35" s="191" t="n">
        <v>12.6870969014317</v>
      </c>
      <c r="AB35" s="191" t="n">
        <v>0.0275120245306611</v>
      </c>
      <c r="AC35" s="191" t="n">
        <v>0.00588191721899515</v>
      </c>
      <c r="AD35" s="191" t="n">
        <v>0.02822286</v>
      </c>
      <c r="AE35" s="191" t="n">
        <v>0.516687444075366</v>
      </c>
      <c r="AF35" s="191" t="n">
        <v>0.0399780961879167</v>
      </c>
      <c r="AG35" s="191" t="n">
        <v>9.862053550000001</v>
      </c>
      <c r="AH35" s="191" t="n">
        <v>7.73445562021843</v>
      </c>
      <c r="AI35" s="191" t="n">
        <v>0.246364734807007</v>
      </c>
      <c r="AJ35" s="191" t="n">
        <v>6.62308619785876</v>
      </c>
      <c r="AK35" s="191" t="n">
        <v>94.1974583733474</v>
      </c>
      <c r="AL35" s="191" t="n">
        <v>4.04035843223399</v>
      </c>
      <c r="AM35" s="191" t="n">
        <v>0</v>
      </c>
      <c r="AN35" s="191" t="n">
        <v>0</v>
      </c>
      <c r="AO35" s="192" t="n">
        <v>150.54487311069</v>
      </c>
      <c r="AP35" s="191" t="n">
        <v>2635.07342507423</v>
      </c>
      <c r="AQ35" s="191" t="n">
        <v>2875.08475926896</v>
      </c>
      <c r="AR35" s="192" t="n">
        <v>5510.15818434319</v>
      </c>
      <c r="AS35" s="192" t="n">
        <v>52.8436248020355</v>
      </c>
      <c r="AT35" s="191" t="n">
        <v>0</v>
      </c>
      <c r="AU35" s="191" t="n">
        <v>0</v>
      </c>
      <c r="AV35" s="192" t="n">
        <v>0</v>
      </c>
      <c r="AW35" s="192" t="n">
        <v>5563.00180914522</v>
      </c>
      <c r="AX35" s="193" t="n">
        <v>5713.54668225591</v>
      </c>
    </row>
    <row r="36" ht="15" customHeight="1" s="104">
      <c r="A36" s="180" t="n">
        <v>86</v>
      </c>
      <c r="B36" s="182" t="inlineStr">
        <is>
          <t xml:space="preserve">Human health services </t>
        </is>
      </c>
      <c r="C36" s="191" t="n">
        <v>0</v>
      </c>
      <c r="D36" s="191" t="n">
        <v>0</v>
      </c>
      <c r="E36" s="191" t="n">
        <v>0.00611585258829524</v>
      </c>
      <c r="F36" s="191" t="n">
        <v>0</v>
      </c>
      <c r="G36" s="191" t="n">
        <v>0</v>
      </c>
      <c r="H36" s="191" t="n">
        <v>0</v>
      </c>
      <c r="I36" s="191" t="n">
        <v>0</v>
      </c>
      <c r="J36" s="191" t="n">
        <v>0</v>
      </c>
      <c r="K36" s="191" t="n">
        <v>8.117117292765739</v>
      </c>
      <c r="L36" s="191" t="n">
        <v>0</v>
      </c>
      <c r="M36" s="191" t="n">
        <v>0</v>
      </c>
      <c r="N36" s="191" t="n">
        <v>0</v>
      </c>
      <c r="O36" s="191" t="n">
        <v>0</v>
      </c>
      <c r="P36" s="191" t="n">
        <v>0.220431854678094</v>
      </c>
      <c r="Q36" s="191" t="n">
        <v>0.0126303451872941</v>
      </c>
      <c r="R36" s="191" t="n">
        <v>0.0251399539950583</v>
      </c>
      <c r="S36" s="191" t="n">
        <v>0.06953808247245009</v>
      </c>
      <c r="T36" s="191" t="n">
        <v>0</v>
      </c>
      <c r="U36" s="191" t="n">
        <v>0</v>
      </c>
      <c r="V36" s="191" t="n">
        <v>0</v>
      </c>
      <c r="W36" s="191" t="n">
        <v>0</v>
      </c>
      <c r="X36" s="191" t="n">
        <v>0.0214602299779939</v>
      </c>
      <c r="Y36" s="191" t="n">
        <v>0.123939672123363</v>
      </c>
      <c r="Z36" s="191" t="n">
        <v>0.307505440987691</v>
      </c>
      <c r="AA36" s="191" t="n">
        <v>0.000250551718955031</v>
      </c>
      <c r="AB36" s="191" t="n">
        <v>0.21524870077154</v>
      </c>
      <c r="AC36" s="191" t="n">
        <v>3.83122880793065</v>
      </c>
      <c r="AD36" s="191" t="n">
        <v>0.0819823575624687</v>
      </c>
      <c r="AE36" s="191" t="n">
        <v>0</v>
      </c>
      <c r="AF36" s="191" t="n">
        <v>0.00239782920450328</v>
      </c>
      <c r="AG36" s="191" t="n">
        <v>30.81050803</v>
      </c>
      <c r="AH36" s="191" t="n">
        <v>20.6952490582679</v>
      </c>
      <c r="AI36" s="191" t="n">
        <v>230.704767314897</v>
      </c>
      <c r="AJ36" s="191" t="n">
        <v>4.02550921456724</v>
      </c>
      <c r="AK36" s="191" t="n">
        <v>0.334260968164891</v>
      </c>
      <c r="AL36" s="191" t="n">
        <v>0.237585873945641</v>
      </c>
      <c r="AM36" s="191" t="n">
        <v>0</v>
      </c>
      <c r="AN36" s="191" t="n">
        <v>0</v>
      </c>
      <c r="AO36" s="192" t="n">
        <v>299.842867431806</v>
      </c>
      <c r="AP36" s="191" t="n">
        <v>1929.04488649117</v>
      </c>
      <c r="AQ36" s="191" t="n">
        <v>2034.51212805541</v>
      </c>
      <c r="AR36" s="192" t="n">
        <v>3963.55701454658</v>
      </c>
      <c r="AS36" s="192" t="n">
        <v>5.22542883541597</v>
      </c>
      <c r="AT36" s="191" t="n">
        <v>0</v>
      </c>
      <c r="AU36" s="191" t="n">
        <v>0</v>
      </c>
      <c r="AV36" s="192" t="n">
        <v>0</v>
      </c>
      <c r="AW36" s="192" t="n">
        <v>3968.782443382</v>
      </c>
      <c r="AX36" s="193" t="n">
        <v>4268.62531081381</v>
      </c>
    </row>
    <row r="37" ht="15" customHeight="1" s="104">
      <c r="A37" s="180" t="inlineStr">
        <is>
          <t>87-88</t>
        </is>
      </c>
      <c r="B37" s="175" t="inlineStr">
        <is>
          <t xml:space="preserve">Social work services </t>
        </is>
      </c>
      <c r="C37" s="191" t="n">
        <v>0</v>
      </c>
      <c r="D37" s="191" t="n">
        <v>0</v>
      </c>
      <c r="E37" s="191" t="n">
        <v>0</v>
      </c>
      <c r="F37" s="191" t="n">
        <v>0</v>
      </c>
      <c r="G37" s="191" t="n">
        <v>0</v>
      </c>
      <c r="H37" s="191" t="n">
        <v>0</v>
      </c>
      <c r="I37" s="191" t="n">
        <v>0</v>
      </c>
      <c r="J37" s="191" t="n">
        <v>0</v>
      </c>
      <c r="K37" s="191" t="n">
        <v>0</v>
      </c>
      <c r="L37" s="191" t="n">
        <v>0</v>
      </c>
      <c r="M37" s="191" t="n">
        <v>0</v>
      </c>
      <c r="N37" s="191" t="n">
        <v>0</v>
      </c>
      <c r="O37" s="191" t="n">
        <v>0</v>
      </c>
      <c r="P37" s="191" t="n">
        <v>0</v>
      </c>
      <c r="Q37" s="191" t="n">
        <v>0</v>
      </c>
      <c r="R37" s="191" t="n">
        <v>0</v>
      </c>
      <c r="S37" s="191" t="n">
        <v>0</v>
      </c>
      <c r="T37" s="191" t="n">
        <v>0</v>
      </c>
      <c r="U37" s="191" t="n">
        <v>0</v>
      </c>
      <c r="V37" s="191" t="n">
        <v>0</v>
      </c>
      <c r="W37" s="191" t="n">
        <v>0</v>
      </c>
      <c r="X37" s="191" t="n">
        <v>0</v>
      </c>
      <c r="Y37" s="191" t="n">
        <v>0</v>
      </c>
      <c r="Z37" s="191" t="n">
        <v>0</v>
      </c>
      <c r="AA37" s="191" t="n">
        <v>0</v>
      </c>
      <c r="AB37" s="191" t="n">
        <v>0</v>
      </c>
      <c r="AC37" s="191" t="n">
        <v>0</v>
      </c>
      <c r="AD37" s="191" t="n">
        <v>0</v>
      </c>
      <c r="AE37" s="191" t="n">
        <v>0</v>
      </c>
      <c r="AF37" s="191" t="n">
        <v>0</v>
      </c>
      <c r="AG37" s="191" t="n">
        <v>0</v>
      </c>
      <c r="AH37" s="191" t="n">
        <v>0</v>
      </c>
      <c r="AI37" s="191" t="n">
        <v>0</v>
      </c>
      <c r="AJ37" s="191" t="n">
        <v>0</v>
      </c>
      <c r="AK37" s="191" t="n">
        <v>0</v>
      </c>
      <c r="AL37" s="191" t="n">
        <v>0</v>
      </c>
      <c r="AM37" s="191" t="n">
        <v>0</v>
      </c>
      <c r="AN37" s="191" t="n">
        <v>0</v>
      </c>
      <c r="AO37" s="192" t="n">
        <v>0</v>
      </c>
      <c r="AP37" s="191" t="n">
        <v>373.448625713791</v>
      </c>
      <c r="AQ37" s="191" t="n">
        <v>5.67325036449014</v>
      </c>
      <c r="AR37" s="192" t="n">
        <v>379.121876078281</v>
      </c>
      <c r="AS37" s="192" t="n">
        <v>0</v>
      </c>
      <c r="AT37" s="191" t="n">
        <v>0</v>
      </c>
      <c r="AU37" s="191" t="n">
        <v>0</v>
      </c>
      <c r="AV37" s="192" t="n">
        <v>0</v>
      </c>
      <c r="AW37" s="192" t="n">
        <v>379.121876078281</v>
      </c>
      <c r="AX37" s="193" t="n">
        <v>379.121876078281</v>
      </c>
    </row>
    <row r="38" ht="15" customHeight="1" s="104">
      <c r="A38" s="180" t="inlineStr">
        <is>
          <t>90-93</t>
        </is>
      </c>
      <c r="B38" s="175" t="inlineStr">
        <is>
          <t xml:space="preserve">Arts, entertainment and recreation services </t>
        </is>
      </c>
      <c r="C38" s="191" t="n">
        <v>0</v>
      </c>
      <c r="D38" s="191" t="n">
        <v>0</v>
      </c>
      <c r="E38" s="191" t="n">
        <v>0</v>
      </c>
      <c r="F38" s="191" t="n">
        <v>0</v>
      </c>
      <c r="G38" s="191" t="n">
        <v>0</v>
      </c>
      <c r="H38" s="191" t="n">
        <v>0</v>
      </c>
      <c r="I38" s="191" t="n">
        <v>0</v>
      </c>
      <c r="J38" s="191" t="n">
        <v>0</v>
      </c>
      <c r="K38" s="191" t="n">
        <v>1.91533517300628</v>
      </c>
      <c r="L38" s="191" t="n">
        <v>0</v>
      </c>
      <c r="M38" s="191" t="n">
        <v>0</v>
      </c>
      <c r="N38" s="191" t="n">
        <v>0</v>
      </c>
      <c r="O38" s="191" t="n">
        <v>0</v>
      </c>
      <c r="P38" s="191" t="n">
        <v>0</v>
      </c>
      <c r="Q38" s="191" t="n">
        <v>0</v>
      </c>
      <c r="R38" s="191" t="n">
        <v>0</v>
      </c>
      <c r="S38" s="191" t="n">
        <v>0.00262271105881564</v>
      </c>
      <c r="T38" s="191" t="n">
        <v>0</v>
      </c>
      <c r="U38" s="191" t="n">
        <v>0</v>
      </c>
      <c r="V38" s="191" t="n">
        <v>0.42327126816845</v>
      </c>
      <c r="W38" s="191" t="n">
        <v>1.63205861074491</v>
      </c>
      <c r="X38" s="191" t="n">
        <v>0.543679606996833</v>
      </c>
      <c r="Y38" s="191" t="n">
        <v>0</v>
      </c>
      <c r="Z38" s="191" t="n">
        <v>1.39266012122897</v>
      </c>
      <c r="AA38" s="191" t="n">
        <v>8.99776675461896</v>
      </c>
      <c r="AB38" s="191" t="n">
        <v>0</v>
      </c>
      <c r="AC38" s="191" t="n">
        <v>0.00536162446281651</v>
      </c>
      <c r="AD38" s="191" t="n">
        <v>0.0176662738247321</v>
      </c>
      <c r="AE38" s="191" t="n">
        <v>0</v>
      </c>
      <c r="AF38" s="191" t="n">
        <v>0.131469775354822</v>
      </c>
      <c r="AG38" s="191" t="n">
        <v>117.791835373809</v>
      </c>
      <c r="AH38" s="191" t="n">
        <v>9.21573124572701</v>
      </c>
      <c r="AI38" s="191" t="n">
        <v>0</v>
      </c>
      <c r="AJ38" s="191" t="n">
        <v>0</v>
      </c>
      <c r="AK38" s="191" t="n">
        <v>923.162443403469</v>
      </c>
      <c r="AL38" s="191" t="n">
        <v>14.2706849237191</v>
      </c>
      <c r="AM38" s="191" t="n">
        <v>0</v>
      </c>
      <c r="AN38" s="191" t="n">
        <v>0</v>
      </c>
      <c r="AO38" s="192" t="n">
        <v>1079.50258686619</v>
      </c>
      <c r="AP38" s="191" t="n">
        <v>2707.25701813271</v>
      </c>
      <c r="AQ38" s="191" t="n">
        <v>386.960757421335</v>
      </c>
      <c r="AR38" s="192" t="n">
        <v>3094.21777555404</v>
      </c>
      <c r="AS38" s="192" t="n">
        <v>1809.10159210071</v>
      </c>
      <c r="AT38" s="191" t="n">
        <v>0</v>
      </c>
      <c r="AU38" s="191" t="n">
        <v>0</v>
      </c>
      <c r="AV38" s="192" t="n">
        <v>0</v>
      </c>
      <c r="AW38" s="192" t="n">
        <v>4903.31936765475</v>
      </c>
      <c r="AX38" s="193" t="n">
        <v>5982.82195452094</v>
      </c>
    </row>
    <row r="39" ht="15" customHeight="1" s="104">
      <c r="A39" s="180" t="inlineStr">
        <is>
          <t>94-96</t>
        </is>
      </c>
      <c r="B39" s="175" t="inlineStr">
        <is>
          <t>Other services</t>
        </is>
      </c>
      <c r="C39" s="191" t="n">
        <v>0</v>
      </c>
      <c r="D39" s="191" t="n">
        <v>0</v>
      </c>
      <c r="E39" s="191" t="n">
        <v>1.24550833297281</v>
      </c>
      <c r="F39" s="191" t="n">
        <v>1.20622881485117</v>
      </c>
      <c r="G39" s="191" t="n">
        <v>1.02436214806457</v>
      </c>
      <c r="H39" s="191" t="n">
        <v>0</v>
      </c>
      <c r="I39" s="191" t="n">
        <v>0</v>
      </c>
      <c r="J39" s="191" t="n">
        <v>0.0868150358040399</v>
      </c>
      <c r="K39" s="191" t="n">
        <v>0.233754448241748</v>
      </c>
      <c r="L39" s="191" t="n">
        <v>0</v>
      </c>
      <c r="M39" s="191" t="n">
        <v>0</v>
      </c>
      <c r="N39" s="191" t="n">
        <v>0</v>
      </c>
      <c r="O39" s="191" t="n">
        <v>0</v>
      </c>
      <c r="P39" s="191" t="n">
        <v>0</v>
      </c>
      <c r="Q39" s="191" t="n">
        <v>0.0759757614856711</v>
      </c>
      <c r="R39" s="191" t="n">
        <v>21.9726659299588</v>
      </c>
      <c r="S39" s="191" t="n">
        <v>1.64312375113493</v>
      </c>
      <c r="T39" s="191" t="n">
        <v>5.15326148068194</v>
      </c>
      <c r="U39" s="191" t="n">
        <v>26.9218944387133</v>
      </c>
      <c r="V39" s="191" t="n">
        <v>3.6541213055151</v>
      </c>
      <c r="W39" s="191" t="n">
        <v>9.0121748701636</v>
      </c>
      <c r="X39" s="191" t="n">
        <v>6.01277827593897</v>
      </c>
      <c r="Y39" s="191" t="n">
        <v>0</v>
      </c>
      <c r="Z39" s="191" t="n">
        <v>64.7793823729391</v>
      </c>
      <c r="AA39" s="191" t="n">
        <v>46.587595764124</v>
      </c>
      <c r="AB39" s="191" t="n">
        <v>0.00211172061425417</v>
      </c>
      <c r="AC39" s="191" t="n">
        <v>1.24140296448818</v>
      </c>
      <c r="AD39" s="191" t="n">
        <v>0</v>
      </c>
      <c r="AE39" s="191" t="n">
        <v>0.237049062707527</v>
      </c>
      <c r="AF39" s="191" t="n">
        <v>0.0326133491362333</v>
      </c>
      <c r="AG39" s="191" t="n">
        <v>10.4462944387307</v>
      </c>
      <c r="AH39" s="191" t="n">
        <v>0.76744281353399</v>
      </c>
      <c r="AI39" s="191" t="n">
        <v>3.47673511088227</v>
      </c>
      <c r="AJ39" s="191" t="n">
        <v>0.00552502125456921</v>
      </c>
      <c r="AK39" s="191" t="n">
        <v>0.394958262008785</v>
      </c>
      <c r="AL39" s="191" t="n">
        <v>3.14361231972339</v>
      </c>
      <c r="AM39" s="191" t="n">
        <v>0</v>
      </c>
      <c r="AN39" s="191" t="n">
        <v>0</v>
      </c>
      <c r="AO39" s="192" t="n">
        <v>209.35738779367</v>
      </c>
      <c r="AP39" s="191" t="n">
        <v>1234.94764995731</v>
      </c>
      <c r="AQ39" s="191" t="n">
        <v>1.75199584671731</v>
      </c>
      <c r="AR39" s="192" t="n">
        <v>1236.69964580403</v>
      </c>
      <c r="AS39" s="192" t="n">
        <v>5.75523922566445</v>
      </c>
      <c r="AT39" s="191" t="n">
        <v>0</v>
      </c>
      <c r="AU39" s="191" t="n">
        <v>0</v>
      </c>
      <c r="AV39" s="192" t="n">
        <v>0</v>
      </c>
      <c r="AW39" s="192" t="n">
        <v>1242.45488502969</v>
      </c>
      <c r="AX39" s="193" t="n">
        <v>1451.81227282336</v>
      </c>
    </row>
    <row r="40" ht="51.75" customHeight="1" s="104">
      <c r="A40" s="180" t="inlineStr">
        <is>
          <t>97-98</t>
        </is>
      </c>
      <c r="B40" s="175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91" t="n">
        <v>0</v>
      </c>
      <c r="D40" s="191" t="n">
        <v>0</v>
      </c>
      <c r="E40" s="191" t="n">
        <v>0</v>
      </c>
      <c r="F40" s="191" t="n">
        <v>0</v>
      </c>
      <c r="G40" s="191" t="n">
        <v>0</v>
      </c>
      <c r="H40" s="191" t="n">
        <v>0</v>
      </c>
      <c r="I40" s="191" t="n">
        <v>0</v>
      </c>
      <c r="J40" s="191" t="n">
        <v>0</v>
      </c>
      <c r="K40" s="191" t="n">
        <v>0</v>
      </c>
      <c r="L40" s="191" t="n">
        <v>0</v>
      </c>
      <c r="M40" s="191" t="n">
        <v>0</v>
      </c>
      <c r="N40" s="191" t="n">
        <v>0</v>
      </c>
      <c r="O40" s="191" t="n">
        <v>0</v>
      </c>
      <c r="P40" s="191" t="n">
        <v>0</v>
      </c>
      <c r="Q40" s="191" t="n">
        <v>0</v>
      </c>
      <c r="R40" s="191" t="n">
        <v>0</v>
      </c>
      <c r="S40" s="191" t="n">
        <v>0</v>
      </c>
      <c r="T40" s="191" t="n">
        <v>0</v>
      </c>
      <c r="U40" s="191" t="n">
        <v>0</v>
      </c>
      <c r="V40" s="191" t="n">
        <v>0</v>
      </c>
      <c r="W40" s="191" t="n">
        <v>0</v>
      </c>
      <c r="X40" s="191" t="n">
        <v>0</v>
      </c>
      <c r="Y40" s="191" t="n">
        <v>0</v>
      </c>
      <c r="Z40" s="191" t="n">
        <v>0</v>
      </c>
      <c r="AA40" s="191" t="n">
        <v>0</v>
      </c>
      <c r="AB40" s="191" t="n">
        <v>0</v>
      </c>
      <c r="AC40" s="191" t="n">
        <v>0</v>
      </c>
      <c r="AD40" s="191" t="n">
        <v>0</v>
      </c>
      <c r="AE40" s="191" t="n">
        <v>0</v>
      </c>
      <c r="AF40" s="191" t="n">
        <v>0</v>
      </c>
      <c r="AG40" s="191" t="n">
        <v>0</v>
      </c>
      <c r="AH40" s="191" t="n">
        <v>0</v>
      </c>
      <c r="AI40" s="191" t="n">
        <v>0</v>
      </c>
      <c r="AJ40" s="191" t="n">
        <v>0</v>
      </c>
      <c r="AK40" s="191" t="n">
        <v>0</v>
      </c>
      <c r="AL40" s="191" t="n">
        <v>0</v>
      </c>
      <c r="AM40" s="191" t="n">
        <v>0</v>
      </c>
      <c r="AN40" s="191" t="n">
        <v>0</v>
      </c>
      <c r="AO40" s="192" t="n">
        <v>0</v>
      </c>
      <c r="AP40" s="191" t="n">
        <v>95.1807998819878</v>
      </c>
      <c r="AQ40" s="191" t="n">
        <v>0</v>
      </c>
      <c r="AR40" s="192" t="n">
        <v>95.1807998819878</v>
      </c>
      <c r="AS40" s="192" t="n">
        <v>0</v>
      </c>
      <c r="AT40" s="191" t="n">
        <v>0</v>
      </c>
      <c r="AU40" s="191" t="n">
        <v>0</v>
      </c>
      <c r="AV40" s="192" t="n">
        <v>0</v>
      </c>
      <c r="AW40" s="192" t="n">
        <v>95.1807998819878</v>
      </c>
      <c r="AX40" s="193" t="n">
        <v>95.1807998819878</v>
      </c>
    </row>
    <row r="41" ht="26.25" customHeight="1" s="104">
      <c r="A41" s="180" t="inlineStr">
        <is>
          <t>99</t>
        </is>
      </c>
      <c r="B41" s="182" t="inlineStr">
        <is>
          <t>Services provided by extraterritorial organisations and bodies</t>
        </is>
      </c>
      <c r="C41" s="191" t="n">
        <v>0</v>
      </c>
      <c r="D41" s="191" t="n">
        <v>0</v>
      </c>
      <c r="E41" s="191" t="n">
        <v>0</v>
      </c>
      <c r="F41" s="191" t="n">
        <v>0</v>
      </c>
      <c r="G41" s="191" t="n">
        <v>0</v>
      </c>
      <c r="H41" s="191" t="n">
        <v>0</v>
      </c>
      <c r="I41" s="191" t="n">
        <v>0</v>
      </c>
      <c r="J41" s="191" t="n">
        <v>0</v>
      </c>
      <c r="K41" s="191" t="n">
        <v>0</v>
      </c>
      <c r="L41" s="191" t="n">
        <v>0</v>
      </c>
      <c r="M41" s="191" t="n">
        <v>0</v>
      </c>
      <c r="N41" s="191" t="n">
        <v>0</v>
      </c>
      <c r="O41" s="191" t="n">
        <v>0</v>
      </c>
      <c r="P41" s="191" t="n">
        <v>0</v>
      </c>
      <c r="Q41" s="191" t="n">
        <v>0</v>
      </c>
      <c r="R41" s="191" t="n">
        <v>0</v>
      </c>
      <c r="S41" s="191" t="n">
        <v>0</v>
      </c>
      <c r="T41" s="191" t="n">
        <v>0</v>
      </c>
      <c r="U41" s="191" t="n">
        <v>0</v>
      </c>
      <c r="V41" s="191" t="n">
        <v>0</v>
      </c>
      <c r="W41" s="191" t="n">
        <v>0</v>
      </c>
      <c r="X41" s="191" t="n">
        <v>0</v>
      </c>
      <c r="Y41" s="191" t="n">
        <v>0</v>
      </c>
      <c r="Z41" s="191" t="n">
        <v>0</v>
      </c>
      <c r="AA41" s="191" t="n">
        <v>0</v>
      </c>
      <c r="AB41" s="191" t="n">
        <v>0</v>
      </c>
      <c r="AC41" s="191" t="n">
        <v>0</v>
      </c>
      <c r="AD41" s="191" t="n">
        <v>0</v>
      </c>
      <c r="AE41" s="191" t="n">
        <v>0</v>
      </c>
      <c r="AF41" s="191" t="n">
        <v>0</v>
      </c>
      <c r="AG41" s="191" t="n">
        <v>0</v>
      </c>
      <c r="AH41" s="191" t="n">
        <v>0</v>
      </c>
      <c r="AI41" s="191" t="n">
        <v>0</v>
      </c>
      <c r="AJ41" s="191" t="n">
        <v>0</v>
      </c>
      <c r="AK41" s="191" t="n">
        <v>0</v>
      </c>
      <c r="AL41" s="191" t="n">
        <v>0</v>
      </c>
      <c r="AM41" s="191" t="n">
        <v>0</v>
      </c>
      <c r="AN41" s="191" t="n">
        <v>0</v>
      </c>
      <c r="AO41" s="192" t="n">
        <v>0</v>
      </c>
      <c r="AP41" s="191" t="n">
        <v>0</v>
      </c>
      <c r="AQ41" s="191" t="n">
        <v>0</v>
      </c>
      <c r="AR41" s="192" t="n">
        <v>0</v>
      </c>
      <c r="AS41" s="192" t="n">
        <v>0</v>
      </c>
      <c r="AT41" s="191" t="n">
        <v>0</v>
      </c>
      <c r="AU41" s="191" t="n">
        <v>0</v>
      </c>
      <c r="AV41" s="192" t="n">
        <v>0</v>
      </c>
      <c r="AW41" s="192" t="n">
        <v>0</v>
      </c>
      <c r="AX41" s="193" t="n">
        <v>0</v>
      </c>
    </row>
    <row r="42" ht="15" customHeight="1" s="104">
      <c r="A42" s="183" t="n"/>
      <c r="B42" s="194" t="inlineStr">
        <is>
          <t>Total</t>
        </is>
      </c>
      <c r="C42" s="195" t="n">
        <v>2979.54456774441</v>
      </c>
      <c r="D42" s="195" t="n">
        <v>1519.07519654903</v>
      </c>
      <c r="E42" s="195" t="n">
        <v>10051.5863519312</v>
      </c>
      <c r="F42" s="195" t="n">
        <v>424.597609326047</v>
      </c>
      <c r="G42" s="195" t="n">
        <v>487.423406911133</v>
      </c>
      <c r="H42" s="195" t="n">
        <v>248.683940513161</v>
      </c>
      <c r="I42" s="195" t="n">
        <v>452.691613326202</v>
      </c>
      <c r="J42" s="195" t="n">
        <v>219.348557827117</v>
      </c>
      <c r="K42" s="195" t="n">
        <v>2613.49672662599</v>
      </c>
      <c r="L42" s="195" t="n">
        <v>2253.05328969242</v>
      </c>
      <c r="M42" s="195" t="n">
        <v>1.66998388056665</v>
      </c>
      <c r="N42" s="195" t="n">
        <v>199.022371142168</v>
      </c>
      <c r="O42" s="195" t="n">
        <v>44.2201654298531</v>
      </c>
      <c r="P42" s="195" t="n">
        <v>53.3275831365171</v>
      </c>
      <c r="Q42" s="195" t="n">
        <v>412.779116059451</v>
      </c>
      <c r="R42" s="195" t="n">
        <v>999.973285363773</v>
      </c>
      <c r="S42" s="195" t="n">
        <v>389.432746864023</v>
      </c>
      <c r="T42" s="195" t="n">
        <v>12129.2530168518</v>
      </c>
      <c r="U42" s="195" t="n">
        <v>6916.07216213189</v>
      </c>
      <c r="V42" s="195" t="n">
        <v>4768.14853048013</v>
      </c>
      <c r="W42" s="195" t="n">
        <v>3464.58597641733</v>
      </c>
      <c r="X42" s="195" t="n">
        <v>593.482851545467</v>
      </c>
      <c r="Y42" s="195" t="n">
        <v>500.386904615254</v>
      </c>
      <c r="Z42" s="195" t="n">
        <v>1158.39150292348</v>
      </c>
      <c r="AA42" s="195" t="n">
        <v>1707.34917675115</v>
      </c>
      <c r="AB42" s="195" t="n">
        <v>1917.14809204189</v>
      </c>
      <c r="AC42" s="195" t="n">
        <v>448.103816421751</v>
      </c>
      <c r="AD42" s="195" t="n">
        <v>66.94172469064659</v>
      </c>
      <c r="AE42" s="195" t="n">
        <v>348.509851539237</v>
      </c>
      <c r="AF42" s="195" t="n">
        <v>690.762299802383</v>
      </c>
      <c r="AG42" s="195" t="n">
        <v>2345.9738249452</v>
      </c>
      <c r="AH42" s="195" t="n">
        <v>875.504217157805</v>
      </c>
      <c r="AI42" s="195" t="n">
        <v>1353.49729340143</v>
      </c>
      <c r="AJ42" s="195" t="n">
        <v>260.506893988707</v>
      </c>
      <c r="AK42" s="195" t="n">
        <v>2496.92493422782</v>
      </c>
      <c r="AL42" s="195" t="n">
        <v>511.181638887607</v>
      </c>
      <c r="AM42" s="195" t="n">
        <v>0</v>
      </c>
      <c r="AN42" s="195" t="n">
        <v>0</v>
      </c>
      <c r="AO42" s="195" t="n">
        <v>65902.651221144</v>
      </c>
      <c r="AP42" s="195" t="n">
        <v>65515.1963678712</v>
      </c>
      <c r="AQ42" s="195" t="n">
        <v>11996.9573963682</v>
      </c>
      <c r="AR42" s="195" t="n">
        <v>77512.1537642394</v>
      </c>
      <c r="AS42" s="195" t="n">
        <v>44478.6624414516</v>
      </c>
      <c r="AT42" s="195" t="n">
        <v>19830.3426978341</v>
      </c>
      <c r="AU42" s="195" t="n">
        <v>2960.01767398341</v>
      </c>
      <c r="AV42" s="195" t="n">
        <v>22790.3603718175</v>
      </c>
      <c r="AW42" s="195" t="n">
        <v>144781.176577509</v>
      </c>
      <c r="AX42" s="196" t="n">
        <v>210683.827798653</v>
      </c>
    </row>
    <row r="43" ht="15" customHeight="1" s="104">
      <c r="A43" s="197" t="inlineStr">
        <is>
          <t>D.1</t>
        </is>
      </c>
      <c r="B43" s="198" t="inlineStr">
        <is>
          <t>Compensation of employees</t>
        </is>
      </c>
      <c r="C43" s="199" t="n">
        <v>406.27614871069</v>
      </c>
      <c r="D43" s="199" t="n">
        <v>359.814903967798</v>
      </c>
      <c r="E43" s="199" t="n">
        <v>1083.26008577583</v>
      </c>
      <c r="F43" s="199" t="n">
        <v>140.891471074077</v>
      </c>
      <c r="G43" s="199" t="n">
        <v>112.035865241322</v>
      </c>
      <c r="H43" s="199" t="n">
        <v>8.292097676641241</v>
      </c>
      <c r="I43" s="199" t="n">
        <v>109.574490032872</v>
      </c>
      <c r="J43" s="199" t="n">
        <v>82.8301843308346</v>
      </c>
      <c r="K43" s="199" t="n">
        <v>316.138724132742</v>
      </c>
      <c r="L43" s="199" t="n">
        <v>306.109085329834</v>
      </c>
      <c r="M43" s="199" t="n">
        <v>0.75369857150603</v>
      </c>
      <c r="N43" s="199" t="n">
        <v>35.3477301193087</v>
      </c>
      <c r="O43" s="199" t="n">
        <v>10.2142123938197</v>
      </c>
      <c r="P43" s="199" t="n">
        <v>10.9118082776106</v>
      </c>
      <c r="Q43" s="199" t="n">
        <v>139.263758432145</v>
      </c>
      <c r="R43" s="199" t="n">
        <v>487.67485820709</v>
      </c>
      <c r="S43" s="199" t="n">
        <v>383.464440439817</v>
      </c>
      <c r="T43" s="199" t="n">
        <v>2139.92826824141</v>
      </c>
      <c r="U43" s="199" t="n">
        <v>4752.33367267842</v>
      </c>
      <c r="V43" s="199" t="n">
        <v>1657.24044037596</v>
      </c>
      <c r="W43" s="199" t="n">
        <v>842.554182998079</v>
      </c>
      <c r="X43" s="199" t="n">
        <v>485.637563148564</v>
      </c>
      <c r="Y43" s="199" t="n">
        <v>451.367941651177</v>
      </c>
      <c r="Z43" s="199" t="n">
        <v>1513.13176893166</v>
      </c>
      <c r="AA43" s="199" t="n">
        <v>2045.07931219972</v>
      </c>
      <c r="AB43" s="199" t="n">
        <v>453.740792694924</v>
      </c>
      <c r="AC43" s="199" t="n">
        <v>727.971556381866</v>
      </c>
      <c r="AD43" s="199" t="n">
        <v>95.2313872272601</v>
      </c>
      <c r="AE43" s="199" t="n">
        <v>343.827319347543</v>
      </c>
      <c r="AF43" s="199" t="n">
        <v>497.930992059079</v>
      </c>
      <c r="AG43" s="199" t="n">
        <v>4033.8104879494</v>
      </c>
      <c r="AH43" s="199" t="n">
        <v>4088.68325367195</v>
      </c>
      <c r="AI43" s="199" t="n">
        <v>1926.6990924517</v>
      </c>
      <c r="AJ43" s="199" t="n">
        <v>113.143713335667</v>
      </c>
      <c r="AK43" s="199" t="n">
        <v>1093.23546848944</v>
      </c>
      <c r="AL43" s="199" t="n">
        <v>224.1544986573</v>
      </c>
      <c r="AM43" s="199" t="n">
        <v>95.1807998819878</v>
      </c>
      <c r="AN43" s="199" t="n">
        <v>0</v>
      </c>
      <c r="AO43" s="200" t="n">
        <v>31573.7360750871</v>
      </c>
      <c r="AP43" s="201" t="n"/>
      <c r="AQ43" s="201" t="n"/>
      <c r="AR43" s="201" t="n"/>
      <c r="AS43" s="201" t="n"/>
      <c r="AT43" s="201" t="n"/>
      <c r="AU43" s="201" t="n"/>
      <c r="AV43" s="201" t="n"/>
      <c r="AW43" s="201" t="n"/>
      <c r="AX43" s="201" t="n"/>
    </row>
    <row r="44" ht="15" customHeight="1" s="104">
      <c r="A44" s="197" t="inlineStr">
        <is>
          <t>D29-D.39</t>
        </is>
      </c>
      <c r="B44" s="198" t="inlineStr">
        <is>
          <t>Other taxes on production less other subsidies on production</t>
        </is>
      </c>
      <c r="C44" s="127" t="n">
        <v>-4.96269808799175</v>
      </c>
      <c r="D44" s="127" t="n">
        <v>10.5432297529148</v>
      </c>
      <c r="E44" s="127" t="n">
        <v>38.4622286387035</v>
      </c>
      <c r="F44" s="127" t="n">
        <v>2.06042931612468</v>
      </c>
      <c r="G44" s="127" t="n">
        <v>2.68790101374559</v>
      </c>
      <c r="H44" s="127" t="n">
        <v>0.249011416370307</v>
      </c>
      <c r="I44" s="127" t="n">
        <v>4.32161280597359</v>
      </c>
      <c r="J44" s="127" t="n">
        <v>1.14115189686071</v>
      </c>
      <c r="K44" s="127" t="n">
        <v>15.9146473433125</v>
      </c>
      <c r="L44" s="127" t="n">
        <v>13.2922548957677</v>
      </c>
      <c r="M44" s="127" t="n">
        <v>0.08142444653066221</v>
      </c>
      <c r="N44" s="127" t="n">
        <v>0.696817969233998</v>
      </c>
      <c r="O44" s="127" t="n">
        <v>0.221310656583603</v>
      </c>
      <c r="P44" s="127" t="n">
        <v>1.9371991750325</v>
      </c>
      <c r="Q44" s="127" t="n">
        <v>2.08140260731358</v>
      </c>
      <c r="R44" s="127" t="n">
        <v>117.731903478282</v>
      </c>
      <c r="S44" s="127" t="n">
        <v>28.4352801067349</v>
      </c>
      <c r="T44" s="127" t="n">
        <v>103.447302840782</v>
      </c>
      <c r="U44" s="127" t="n">
        <v>68.6885627000771</v>
      </c>
      <c r="V44" s="127" t="n">
        <v>63.330373283409</v>
      </c>
      <c r="W44" s="127" t="n">
        <v>52.689047688631</v>
      </c>
      <c r="X44" s="127" t="n">
        <v>2.97016458410764</v>
      </c>
      <c r="Y44" s="127" t="n">
        <v>22.6920181866699</v>
      </c>
      <c r="Z44" s="127" t="n">
        <v>1.21000976584007</v>
      </c>
      <c r="AA44" s="127" t="n">
        <v>38.981840333539</v>
      </c>
      <c r="AB44" s="127" t="n">
        <v>91.9396457488736</v>
      </c>
      <c r="AC44" s="127" t="n">
        <v>4.72132610713401</v>
      </c>
      <c r="AD44" s="127" t="n">
        <v>0.48742964</v>
      </c>
      <c r="AE44" s="127" t="n">
        <v>2.11667841578527</v>
      </c>
      <c r="AF44" s="127" t="n">
        <v>10.6161433947982</v>
      </c>
      <c r="AG44" s="127" t="n">
        <v>42.79882321</v>
      </c>
      <c r="AH44" s="127" t="n">
        <v>7.86105688647175</v>
      </c>
      <c r="AI44" s="127" t="n">
        <v>3.4162439925115</v>
      </c>
      <c r="AJ44" s="127" t="n">
        <v>0.0433537309795424</v>
      </c>
      <c r="AK44" s="127" t="n">
        <v>136.575276037738</v>
      </c>
      <c r="AL44" s="127" t="n">
        <v>1.45257133195175</v>
      </c>
      <c r="AM44" s="127" t="n">
        <v>0</v>
      </c>
      <c r="AN44" s="127" t="n">
        <v>0</v>
      </c>
      <c r="AO44" s="202" t="n">
        <v>890.932975310792</v>
      </c>
      <c r="AP44" s="203" t="n"/>
      <c r="AQ44" s="203" t="n"/>
      <c r="AR44" s="203" t="n"/>
      <c r="AS44" s="201" t="n"/>
      <c r="AT44" s="201" t="n"/>
      <c r="AU44" s="201" t="n"/>
      <c r="AV44" s="201" t="n"/>
      <c r="AW44" s="201" t="n"/>
      <c r="AX44" s="201" t="n"/>
    </row>
    <row r="45" ht="15" customHeight="1" s="104">
      <c r="A45" s="197" t="inlineStr">
        <is>
          <t>K.1</t>
        </is>
      </c>
      <c r="B45" s="198" t="inlineStr">
        <is>
          <t>Consumption of fixed capital</t>
        </is>
      </c>
      <c r="C45" s="127" t="n">
        <v>154.85564606134</v>
      </c>
      <c r="D45" s="127" t="n">
        <v>76.9994277660244</v>
      </c>
      <c r="E45" s="127" t="n">
        <v>342.916269541356</v>
      </c>
      <c r="F45" s="127" t="n">
        <v>17.3051795914272</v>
      </c>
      <c r="G45" s="127" t="n">
        <v>38.1137346823162</v>
      </c>
      <c r="H45" s="127" t="n">
        <v>1.84171026663197</v>
      </c>
      <c r="I45" s="127" t="n">
        <v>18.5320567216835</v>
      </c>
      <c r="J45" s="127" t="n">
        <v>14.7083186488099</v>
      </c>
      <c r="K45" s="127" t="n">
        <v>154.999090227008</v>
      </c>
      <c r="L45" s="127" t="n">
        <v>91.8210323494265</v>
      </c>
      <c r="M45" s="127" t="n">
        <v>0.0877525616508006</v>
      </c>
      <c r="N45" s="127" t="n">
        <v>7.25483734091043</v>
      </c>
      <c r="O45" s="127" t="n">
        <v>0.797227172242571</v>
      </c>
      <c r="P45" s="127" t="n">
        <v>4.08137853300662</v>
      </c>
      <c r="Q45" s="127" t="n">
        <v>16.4531602377559</v>
      </c>
      <c r="R45" s="127" t="n">
        <v>590.312801912798</v>
      </c>
      <c r="S45" s="127" t="n">
        <v>196.846923458156</v>
      </c>
      <c r="T45" s="127" t="n">
        <v>1450.35497268585</v>
      </c>
      <c r="U45" s="127" t="n">
        <v>658.484767214982</v>
      </c>
      <c r="V45" s="127" t="n">
        <v>974.593574930195</v>
      </c>
      <c r="W45" s="127" t="n">
        <v>120.960163375836</v>
      </c>
      <c r="X45" s="127" t="n">
        <v>38.4767580868226</v>
      </c>
      <c r="Y45" s="127" t="n">
        <v>247.49069814712</v>
      </c>
      <c r="Z45" s="127" t="n">
        <v>29.1457147325105</v>
      </c>
      <c r="AA45" s="127" t="n">
        <v>114.864650732456</v>
      </c>
      <c r="AB45" s="127" t="n">
        <v>157.250689888396</v>
      </c>
      <c r="AC45" s="127" t="n">
        <v>81.88280041454119</v>
      </c>
      <c r="AD45" s="127" t="n">
        <v>115.047860205415</v>
      </c>
      <c r="AE45" s="127" t="n">
        <v>29.8471739297631</v>
      </c>
      <c r="AF45" s="127" t="n">
        <v>72.3790421552584</v>
      </c>
      <c r="AG45" s="127" t="n">
        <v>1470.26885420356</v>
      </c>
      <c r="AH45" s="127" t="n">
        <v>278.12644475566</v>
      </c>
      <c r="AI45" s="127" t="n">
        <v>287.235939463529</v>
      </c>
      <c r="AJ45" s="127" t="n">
        <v>2.35991461000627</v>
      </c>
      <c r="AK45" s="127" t="n">
        <v>184.736913722368</v>
      </c>
      <c r="AL45" s="127" t="n">
        <v>7.17731043298976</v>
      </c>
      <c r="AM45" s="127" t="n">
        <v>0</v>
      </c>
      <c r="AN45" s="127" t="n">
        <v>0</v>
      </c>
      <c r="AO45" s="202" t="n">
        <v>8048.6107907598</v>
      </c>
      <c r="AP45" s="201" t="n"/>
      <c r="AQ45" s="201" t="n"/>
      <c r="AR45" s="201" t="n"/>
      <c r="AS45" s="201" t="n"/>
      <c r="AT45" s="201" t="n"/>
      <c r="AU45" s="201" t="n"/>
      <c r="AV45" s="201" t="n"/>
      <c r="AW45" s="201" t="n"/>
      <c r="AX45" s="201" t="n"/>
    </row>
    <row r="46" ht="15" customHeight="1" s="104">
      <c r="A46" s="197" t="inlineStr">
        <is>
          <t>B.2n/B.3n</t>
        </is>
      </c>
      <c r="B46" s="198" t="inlineStr">
        <is>
          <t>Net operating surplus/Net mixed income</t>
        </is>
      </c>
      <c r="C46" s="204" t="n">
        <v>4546.51453372908</v>
      </c>
      <c r="D46" s="204" t="n">
        <v>348.021291178074</v>
      </c>
      <c r="E46" s="204" t="n">
        <v>2879.59207691402</v>
      </c>
      <c r="F46" s="204" t="n">
        <v>100.893158197409</v>
      </c>
      <c r="G46" s="204" t="n">
        <v>116.584288003474</v>
      </c>
      <c r="H46" s="204" t="n">
        <v>6.87547222297656</v>
      </c>
      <c r="I46" s="204" t="n">
        <v>211.865891220039</v>
      </c>
      <c r="J46" s="204" t="n">
        <v>122.950118781067</v>
      </c>
      <c r="K46" s="204" t="n">
        <v>765.292379686211</v>
      </c>
      <c r="L46" s="204" t="n">
        <v>314.17764818135</v>
      </c>
      <c r="M46" s="204" t="n">
        <v>0.645336373687507</v>
      </c>
      <c r="N46" s="204" t="n">
        <v>9.559797225397061</v>
      </c>
      <c r="O46" s="204" t="n">
        <v>12.1646462149154</v>
      </c>
      <c r="P46" s="204" t="n">
        <v>9.789557985559171</v>
      </c>
      <c r="Q46" s="204" t="n">
        <v>149.945531451085</v>
      </c>
      <c r="R46" s="204" t="n">
        <v>731.791777609321</v>
      </c>
      <c r="S46" s="204" t="n">
        <v>143.368253429425</v>
      </c>
      <c r="T46" s="204" t="n">
        <v>3200.5127356568</v>
      </c>
      <c r="U46" s="204" t="n">
        <v>6954.26346081767</v>
      </c>
      <c r="V46" s="204" t="n">
        <v>2376.54743344619</v>
      </c>
      <c r="W46" s="204" t="n">
        <v>2211.87228698589</v>
      </c>
      <c r="X46" s="204" t="n">
        <v>234.92559238315</v>
      </c>
      <c r="Y46" s="204" t="n">
        <v>894.821626212649</v>
      </c>
      <c r="Z46" s="204" t="n">
        <v>1238.57381747826</v>
      </c>
      <c r="AA46" s="204" t="n">
        <v>1760.09472544798</v>
      </c>
      <c r="AB46" s="204" t="n">
        <v>7208.43716475468</v>
      </c>
      <c r="AC46" s="204" t="n">
        <v>207.621436777263</v>
      </c>
      <c r="AD46" s="204" t="n">
        <v>21.8201881747104</v>
      </c>
      <c r="AE46" s="204" t="n">
        <v>337.477507938553</v>
      </c>
      <c r="AF46" s="204" t="n">
        <v>343.936107359915</v>
      </c>
      <c r="AG46" s="204" t="n">
        <v>0</v>
      </c>
      <c r="AH46" s="204" t="n">
        <v>176.477506512987</v>
      </c>
      <c r="AI46" s="204" t="n">
        <v>611.989919144838</v>
      </c>
      <c r="AJ46" s="204" t="n">
        <v>3.32163452143717</v>
      </c>
      <c r="AK46" s="204" t="n">
        <v>1644.90182574608</v>
      </c>
      <c r="AL46" s="204" t="n">
        <v>568.518658181618</v>
      </c>
      <c r="AM46" s="204" t="n">
        <v>0</v>
      </c>
      <c r="AN46" s="204" t="n">
        <v>0</v>
      </c>
      <c r="AO46" s="205" t="n">
        <v>40466.1453859438</v>
      </c>
      <c r="AP46" s="201" t="n"/>
      <c r="AQ46" s="201" t="n"/>
      <c r="AR46" s="201" t="n"/>
      <c r="AS46" s="201" t="n"/>
      <c r="AT46" s="201" t="n"/>
      <c r="AU46" s="201" t="n"/>
      <c r="AV46" s="201" t="n"/>
      <c r="AW46" s="201" t="n"/>
      <c r="AX46" s="201" t="n"/>
    </row>
    <row r="47" ht="15" customHeight="1" s="104">
      <c r="A47" s="206" t="inlineStr">
        <is>
          <t>P.1</t>
        </is>
      </c>
      <c r="B47" s="207" t="inlineStr">
        <is>
          <t>Output at basic prices</t>
        </is>
      </c>
      <c r="C47" s="208" t="n">
        <v>8082.22819815753</v>
      </c>
      <c r="D47" s="208" t="n">
        <v>2314.45404921384</v>
      </c>
      <c r="E47" s="208" t="n">
        <v>14395.8170128011</v>
      </c>
      <c r="F47" s="208" t="n">
        <v>685.747847505085</v>
      </c>
      <c r="G47" s="208" t="n">
        <v>756.845195851991</v>
      </c>
      <c r="H47" s="208" t="n">
        <v>265.942232095781</v>
      </c>
      <c r="I47" s="208" t="n">
        <v>796.9856641067699</v>
      </c>
      <c r="J47" s="208" t="n">
        <v>440.97833148469</v>
      </c>
      <c r="K47" s="208" t="n">
        <v>3865.84156801526</v>
      </c>
      <c r="L47" s="208" t="n">
        <v>2978.4533104488</v>
      </c>
      <c r="M47" s="208" t="n">
        <v>3.23819583394165</v>
      </c>
      <c r="N47" s="208" t="n">
        <v>251.881553797018</v>
      </c>
      <c r="O47" s="208" t="n">
        <v>67.6175618674143</v>
      </c>
      <c r="P47" s="208" t="n">
        <v>80.0475271077259</v>
      </c>
      <c r="Q47" s="208" t="n">
        <v>720.52296878775</v>
      </c>
      <c r="R47" s="208" t="n">
        <v>2927.48462657126</v>
      </c>
      <c r="S47" s="208" t="n">
        <v>1141.54764429816</v>
      </c>
      <c r="T47" s="208" t="n">
        <v>19023.4962962767</v>
      </c>
      <c r="U47" s="208" t="n">
        <v>19349.842625543</v>
      </c>
      <c r="V47" s="208" t="n">
        <v>9839.860352515891</v>
      </c>
      <c r="W47" s="208" t="n">
        <v>6692.66165746577</v>
      </c>
      <c r="X47" s="208" t="n">
        <v>1355.49292974811</v>
      </c>
      <c r="Y47" s="208" t="n">
        <v>2116.75918881287</v>
      </c>
      <c r="Z47" s="208" t="n">
        <v>3940.45281383176</v>
      </c>
      <c r="AA47" s="208" t="n">
        <v>5666.36970546485</v>
      </c>
      <c r="AB47" s="208" t="n">
        <v>9828.51638512876</v>
      </c>
      <c r="AC47" s="208" t="n">
        <v>1470.30093610256</v>
      </c>
      <c r="AD47" s="208" t="n">
        <v>299.528589938032</v>
      </c>
      <c r="AE47" s="208" t="n">
        <v>1061.77853117088</v>
      </c>
      <c r="AF47" s="208" t="n">
        <v>1615.62458477143</v>
      </c>
      <c r="AG47" s="208" t="n">
        <v>7892.85199030817</v>
      </c>
      <c r="AH47" s="208" t="n">
        <v>5426.65247898487</v>
      </c>
      <c r="AI47" s="208" t="n">
        <v>4182.83848845401</v>
      </c>
      <c r="AJ47" s="208" t="n">
        <v>379.375510186797</v>
      </c>
      <c r="AK47" s="208" t="n">
        <v>5556.37441822345</v>
      </c>
      <c r="AL47" s="208" t="n">
        <v>1312.48467749147</v>
      </c>
      <c r="AM47" s="208" t="n">
        <v>95.1807998819878</v>
      </c>
      <c r="AN47" s="208" t="n">
        <v>0</v>
      </c>
      <c r="AO47" s="205" t="n">
        <v>146882.076448245</v>
      </c>
      <c r="AP47" s="201" t="n"/>
      <c r="AQ47" s="201" t="n"/>
      <c r="AR47" s="201" t="n"/>
      <c r="AS47" s="201" t="n"/>
      <c r="AT47" s="201" t="n"/>
      <c r="AU47" s="201" t="n"/>
      <c r="AV47" s="201" t="n"/>
      <c r="AW47" s="201" t="n"/>
      <c r="AX47" s="20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3" min="1" max="1"/>
    <col width="8" customWidth="1" style="103" min="2" max="2"/>
    <col width="20" customWidth="1" style="103" min="3" max="3"/>
    <col width="40" customWidth="1" style="103" min="4" max="4"/>
    <col width="25" customWidth="1" style="103" min="5" max="5"/>
  </cols>
  <sheetData>
    <row r="1" ht="17.25" customHeight="1" s="104">
      <c r="A1" s="109" t="inlineStr">
        <is>
          <t>SUT Calculation for Import Content</t>
        </is>
      </c>
    </row>
    <row r="3" ht="15" customHeight="1" s="104">
      <c r="A3" s="209" t="inlineStr">
        <is>
          <t>Category</t>
        </is>
      </c>
      <c r="B3" s="209" t="inlineStr">
        <is>
          <t>Code</t>
        </is>
      </c>
      <c r="C3" s="209" t="inlineStr">
        <is>
          <t>Value (Million GEL)</t>
        </is>
      </c>
      <c r="D3" s="209" t="inlineStr">
        <is>
          <t>Description</t>
        </is>
      </c>
      <c r="E3" s="209" t="inlineStr">
        <is>
          <t>Calculation</t>
        </is>
      </c>
    </row>
    <row r="4" ht="15" customHeight="1" s="104">
      <c r="A4" s="103" t="inlineStr">
        <is>
          <t>Total Output</t>
        </is>
      </c>
      <c r="B4" s="103" t="inlineStr">
        <is>
          <t>P1</t>
        </is>
      </c>
      <c r="C4" s="210">
        <f>SUPPLY!AO42</f>
        <v/>
      </c>
      <c r="D4" s="103" t="inlineStr">
        <is>
          <t>From SUPPLY sheet, Output total</t>
        </is>
      </c>
    </row>
    <row r="5" ht="15" customHeight="1" s="104">
      <c r="A5" s="103" t="inlineStr">
        <is>
          <t>Imports</t>
        </is>
      </c>
      <c r="B5" s="103" t="inlineStr">
        <is>
          <t>P7</t>
        </is>
      </c>
      <c r="C5" s="210">
        <f>SUPPLY!AR42</f>
        <v/>
      </c>
      <c r="D5" s="103" t="inlineStr">
        <is>
          <t>From SUPPLY sheet, Import total</t>
        </is>
      </c>
    </row>
    <row r="6" ht="15" customHeight="1" s="104">
      <c r="A6" s="103" t="inlineStr">
        <is>
          <t>Total Resources</t>
        </is>
      </c>
      <c r="C6" s="210">
        <f>C4+C5</f>
        <v/>
      </c>
      <c r="D6" s="103" t="inlineStr">
        <is>
          <t>Output + Imports</t>
        </is>
      </c>
    </row>
    <row r="8" ht="15" customHeight="1" s="104">
      <c r="A8" s="103" t="inlineStr">
        <is>
          <t>Intermediate Consumption</t>
        </is>
      </c>
      <c r="B8" s="103" t="inlineStr">
        <is>
          <t>P2</t>
        </is>
      </c>
      <c r="C8" s="210">
        <f>USE!AO42</f>
        <v/>
      </c>
      <c r="D8" s="103" t="inlineStr">
        <is>
          <t>From USE sheet, Intermediate consumption total</t>
        </is>
      </c>
    </row>
    <row r="9" ht="15" customHeight="1" s="104">
      <c r="A9" s="103" t="inlineStr">
        <is>
          <t>Final Consumption</t>
        </is>
      </c>
      <c r="B9" s="103" t="inlineStr">
        <is>
          <t>P3</t>
        </is>
      </c>
      <c r="C9" s="210">
        <f>USE!AR42</f>
        <v/>
      </c>
      <c r="D9" s="103" t="inlineStr">
        <is>
          <t>From USE sheet, Final consumption total</t>
        </is>
      </c>
    </row>
    <row r="10" ht="15" customHeight="1" s="104">
      <c r="A10" s="103" t="inlineStr">
        <is>
          <t>Exports</t>
        </is>
      </c>
      <c r="B10" s="103" t="inlineStr">
        <is>
          <t>P6</t>
        </is>
      </c>
      <c r="C10" s="210">
        <f>USE!AS42</f>
        <v/>
      </c>
      <c r="D10" s="103" t="inlineStr">
        <is>
          <t>From USE sheet, Export total</t>
        </is>
      </c>
    </row>
    <row r="11" ht="15" customHeight="1" s="104">
      <c r="A11" s="103" t="inlineStr">
        <is>
          <t>Gross Capital Formation</t>
        </is>
      </c>
      <c r="B11" s="103" t="inlineStr">
        <is>
          <t>P5</t>
        </is>
      </c>
      <c r="C11" s="210">
        <f>USE!AV42</f>
        <v/>
      </c>
      <c r="D11" s="103" t="inlineStr">
        <is>
          <t>From USE sheet, Gross capital formation</t>
        </is>
      </c>
    </row>
    <row r="12" ht="15" customHeight="1" s="104">
      <c r="A12" s="103" t="inlineStr">
        <is>
          <t>Total Uses</t>
        </is>
      </c>
      <c r="C12" s="210">
        <f>C8+C9+C10+C11</f>
        <v/>
      </c>
      <c r="D12" s="103" t="inlineStr">
        <is>
          <t>Sum of all uses</t>
        </is>
      </c>
    </row>
    <row r="14" ht="15" customHeight="1" s="104">
      <c r="A14" s="103" t="inlineStr">
        <is>
          <t>Domestic Production</t>
        </is>
      </c>
      <c r="C14" s="210">
        <f>C4</f>
        <v/>
      </c>
      <c r="D14" s="103" t="inlineStr">
        <is>
          <t>Total Output</t>
        </is>
      </c>
    </row>
    <row r="15" ht="15" customHeight="1" s="104">
      <c r="A15" s="103" t="inlineStr">
        <is>
          <t>Total Demand</t>
        </is>
      </c>
      <c r="C15" s="210">
        <f>C6</f>
        <v/>
      </c>
      <c r="D15" s="103" t="inlineStr">
        <is>
          <t>Total Resources (Output + Imports)</t>
        </is>
      </c>
    </row>
    <row r="17" ht="15" customHeight="1" s="104">
      <c r="A17" s="209" t="inlineStr">
        <is>
          <t>Components:</t>
        </is>
      </c>
    </row>
    <row r="18" ht="15" customHeight="1" s="104">
      <c r="A18" s="103" t="inlineStr">
        <is>
          <t xml:space="preserve">  Intermediate Consumption Share</t>
        </is>
      </c>
      <c r="C18" s="211">
        <f>C8/C12</f>
        <v/>
      </c>
      <c r="E18" s="103" t="inlineStr">
        <is>
          <t>IC / Total Uses</t>
        </is>
      </c>
    </row>
    <row r="19" ht="15" customHeight="1" s="104">
      <c r="A19" s="103" t="inlineStr">
        <is>
          <t xml:space="preserve">  Final Consumption Share</t>
        </is>
      </c>
      <c r="C19" s="211">
        <f>C9/C12</f>
        <v/>
      </c>
      <c r="E19" s="103" t="inlineStr">
        <is>
          <t>FC / Total Uses</t>
        </is>
      </c>
    </row>
    <row r="20" ht="15" customHeight="1" s="104">
      <c r="A20" s="103" t="inlineStr">
        <is>
          <t xml:space="preserve">  Exports Share</t>
        </is>
      </c>
      <c r="C20" s="211">
        <f>C10/C12</f>
        <v/>
      </c>
      <c r="E20" s="103" t="inlineStr">
        <is>
          <t>Exports / Total Uses</t>
        </is>
      </c>
    </row>
    <row r="21" ht="15" customHeight="1" s="104">
      <c r="A21" s="103" t="inlineStr">
        <is>
          <t xml:space="preserve">  GFCF Share</t>
        </is>
      </c>
      <c r="C21" s="211">
        <f>C11/C12</f>
        <v/>
      </c>
      <c r="E21" s="103" t="inlineStr">
        <is>
          <t>GFCF / Total Uses</t>
        </is>
      </c>
    </row>
    <row r="23" ht="15" customHeight="1" s="104">
      <c r="A23" s="142" t="inlineStr">
        <is>
          <t>IMPORT CONTENT CALCULATIONS:</t>
        </is>
      </c>
    </row>
    <row r="25" ht="15" customHeight="1" s="104">
      <c r="A25" s="103" t="inlineStr">
        <is>
          <t>Method 1: Simple Import Share</t>
        </is>
      </c>
      <c r="C25" s="211">
        <f>C5/C6</f>
        <v/>
      </c>
      <c r="D25" s="103" t="inlineStr">
        <is>
          <t>Imports / Total Resources</t>
        </is>
      </c>
    </row>
    <row r="26" ht="15" customHeight="1" s="104">
      <c r="A26" s="103" t="inlineStr">
        <is>
          <t>Method 2: Import to Domestic Demand</t>
        </is>
      </c>
      <c r="C26" s="211">
        <f>C5/(C6-C10)</f>
        <v/>
      </c>
      <c r="D26" s="103" t="inlineStr">
        <is>
          <t>Imports / (Total Resources - Exports)</t>
        </is>
      </c>
    </row>
    <row r="27" ht="15" customHeight="1" s="104">
      <c r="A27" s="103" t="inlineStr">
        <is>
          <t>Method 3: Investment Import Content</t>
        </is>
      </c>
      <c r="C27" s="211">
        <f>C5/C11</f>
        <v/>
      </c>
      <c r="D27" s="103" t="inlineStr">
        <is>
          <t>Imports / GFCF</t>
        </is>
      </c>
    </row>
    <row r="29" ht="15" customHeight="1" s="104">
      <c r="A29" s="209" t="inlineStr">
        <is>
          <t>Selected Import Content Share for Investment:</t>
        </is>
      </c>
      <c r="C29" s="211">
        <f>C5/(C6-C10)</f>
        <v/>
      </c>
      <c r="D29" s="103" t="inlineStr">
        <is>
          <t>Using Method 2 (conservative approach)</t>
        </is>
      </c>
    </row>
    <row r="31" ht="15" customHeight="1" s="104">
      <c r="A31" s="212" t="inlineStr">
        <is>
          <t>Import Content Share (for NA sheet):</t>
        </is>
      </c>
      <c r="C31" s="213">
        <f>C29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:language>en-US</dc:language>
  <dcterms:created xsi:type="dcterms:W3CDTF">2026-01-15T21:01:40Z</dcterms:created>
  <dcterms:modified xsi:type="dcterms:W3CDTF">2026-01-26T12:44:07Z</dcterms:modified>
  <cp:lastModifiedBy>Wang, Shuyi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ActionId" fmtid="{D5CDD505-2E9C-101B-9397-08002B2CF9AE}" pid="2">
    <vt:lpwstr>a7f43044-04cc-4a22-bdae-ed404f682e4f</vt:lpwstr>
  </property>
  <property name="MSIP_Label_0c07ed86-5dc5-4593-ad03-a8684b843815_ContentBits" fmtid="{D5CDD505-2E9C-101B-9397-08002B2CF9AE}" pid="3">
    <vt:lpwstr>0</vt:lpwstr>
  </property>
  <property name="MSIP_Label_0c07ed86-5dc5-4593-ad03-a8684b843815_Enabled" fmtid="{D5CDD505-2E9C-101B-9397-08002B2CF9AE}" pid="4">
    <vt:lpwstr>true</vt:lpwstr>
  </property>
  <property name="MSIP_Label_0c07ed86-5dc5-4593-ad03-a8684b843815_Method" fmtid="{D5CDD505-2E9C-101B-9397-08002B2CF9AE}" pid="5">
    <vt:lpwstr>Standard</vt:lpwstr>
  </property>
  <property name="MSIP_Label_0c07ed86-5dc5-4593-ad03-a8684b843815_Name" fmtid="{D5CDD505-2E9C-101B-9397-08002B2CF9AE}" pid="6">
    <vt:lpwstr>0c07ed86-5dc5-4593-ad03-a8684b843815</vt:lpwstr>
  </property>
  <property name="MSIP_Label_0c07ed86-5dc5-4593-ad03-a8684b843815_SetDate" fmtid="{D5CDD505-2E9C-101B-9397-08002B2CF9AE}" pid="7">
    <vt:lpwstr>2026-01-15T21:08:21Z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Tag" fmtid="{D5CDD505-2E9C-101B-9397-08002B2CF9AE}" pid="9">
    <vt:lpwstr>10, 3, 0, 1</vt:lpwstr>
  </property>
</Properties>
</file>