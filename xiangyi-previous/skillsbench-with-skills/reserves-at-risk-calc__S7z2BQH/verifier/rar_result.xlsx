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BoxPlot" hidden="0" function="0" vbProcedure="0">"BoxPlot"</definedName>
    <definedName name="Bubble" hidden="0" function="0" vbProcedure="0">"Bubble"</definedName>
    <definedName name="Candlestick" hidden="0" function="0" vbProcedure="0">"Candlestick"</definedName>
    <definedName name="Chart" hidden="0" function="0" vbProcedure="0">"Chart"</definedName>
    <definedName name="ChartImage" hidden="0" function="0" vbProcedure="0">"ChartImage"</definedName>
    <definedName name="ColumnRange" hidden="0" function="0" vbProcedure="0">"ColumnRange"</definedName>
    <definedName name="Dumbbell" hidden="0" function="0" vbProcedure="0">"Dumbbell"</definedName>
    <definedName name="Heatmap" hidden="0" function="0" vbProcedure="0">"Heatmap"</definedName>
    <definedName name="Histogram" hidden="0" function="0" vbProcedure="0">"Histogram"</definedName>
    <definedName name="IQ_CH" hidden="0" function="0" vbProcedure="0">110000</definedName>
    <definedName name="IQ_CQ" hidden="0" function="0" vbProcedure="0">5000</definedName>
    <definedName name="IQ_CY" hidden="0" function="0" vbProcedure="0">10000</definedName>
    <definedName name="IQ_DAILY" hidden="0" function="0" vbProcedure="0">500000</definedName>
    <definedName name="IQ_DNTM" hidden="1" function="0" vbProcedure="0">700000</definedName>
    <definedName name="IQ_FH" hidden="0" function="0" vbProcedure="0">100000</definedName>
    <definedName name="IQ_FQ" hidden="0" function="0" vbProcedure="0">500</definedName>
    <definedName name="IQ_FWD_CY" hidden="1" function="0" vbProcedure="0">10001</definedName>
    <definedName name="IQ_FWD_CY1" hidden="1" function="0" vbProcedure="0">10002</definedName>
    <definedName name="IQ_FWD_CY2" hidden="1" function="0" vbProcedure="0">10003</definedName>
    <definedName name="IQ_FWD_FY" hidden="1" function="0" vbProcedure="0">1001</definedName>
    <definedName name="IQ_FWD_FY1" hidden="1" function="0" vbProcedure="0">1002</definedName>
    <definedName name="IQ_FWD_FY2" hidden="1" function="0" vbProcedure="0">1003</definedName>
    <definedName name="IQ_FWD_Q" hidden="1" function="0" vbProcedure="0">501</definedName>
    <definedName name="IQ_FWD_Q1" hidden="1" function="0" vbProcedure="0">502</definedName>
    <definedName name="IQ_FWD_Q2" hidden="1" function="0" vbProcedure="0">503</definedName>
    <definedName name="IQ_FY" hidden="0" function="0" vbProcedure="0">1000</definedName>
    <definedName name="IQ_LATESTK" hidden="1" function="0" vbProcedure="0">1000</definedName>
    <definedName name="IQ_LATESTQ" hidden="1" function="0" vbProcedure="0">500</definedName>
    <definedName name="IQ_LTM" hidden="0" function="0" vbProcedure="0">2000</definedName>
    <definedName name="IQ_LTMMONTH" hidden="1" function="0" vbProcedure="0">120000</definedName>
    <definedName name="IQ_MONTH" hidden="0" function="0" vbProcedure="0">15000</definedName>
    <definedName name="IQ_MTD" hidden="1" function="0" vbProcedure="0">800000</definedName>
    <definedName name="IQ_NAMES_REVISION_DATE_" hidden="1" function="0" vbProcedure="0">45929.7054166667</definedName>
    <definedName name="IQ_NTM" hidden="0" function="0" vbProcedure="0">6000</definedName>
    <definedName name="IQ_QTD" hidden="1" function="0" vbProcedure="0">750000</definedName>
    <definedName name="IQ_TODAY" hidden="1" function="0" vbProcedure="0">0</definedName>
    <definedName name="IQ_WEEK" hidden="0" function="0" vbProcedure="0">50000</definedName>
    <definedName name="IQ_YTD" hidden="0" function="0" vbProcedure="0">3000</definedName>
    <definedName name="IQ_YTDMONTH" hidden="1" function="0" vbProcedure="0">130000</definedName>
    <definedName name="Map" hidden="0" function="0" vbProcedure="0">"Map"</definedName>
    <definedName name="OHLC" hidden="0" function="0" vbProcedure="0">"OHLC"</definedName>
    <definedName name="PieChart" hidden="0" function="0" vbProcedure="0">"PieChart"</definedName>
    <definedName name="Scatter" hidden="0" function="0" vbProcedure="0">"Scatter"</definedName>
    <definedName name="Series" hidden="0" function="0" vbProcedure="0">"Series"</definedName>
    <definedName name="Stripe" hidden="0" function="0" vbProcedure="0">"Stripe"</definedName>
    <definedName name="Table" hidden="0" function="0" vbProcedure="0">"Table"</definedName>
    <definedName name="TreeMap" hidden="0" function="0" vbProcedure="0">"TreeMap"</definedName>
    <definedName name="Waterfall" hidden="0" function="0" vbProcedure="0">"Waterfall"</definedName>
    <definedName name="_DLX1.USE" hidden="0" function="0" vbProcedure="0">#REF!</definedName>
    <definedName name="_DLX2.USE" hidden="0" function="0" vbProcedure="0">Value!$A$1:$R$9</definedName>
    <definedName name="_DLX3.USE" hidden="0" function="0" vbProcedure="0">Volume!$A$1:$L$9</definedName>
    <definedName name="_DLX4.USE" hidden="0" function="0" vbProcedure="0">'Total Reserves'!$A$1:$P$9</definedName>
    <definedName name="_DLX5.USE" hidden="0" function="0" vbProcedure="0">#REF!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9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#"/>
    <numFmt numFmtId="173" formatCode="_-* #,##0.00&quot; ?.&quot;_-;\-* #,##0.00&quot; ?.&quot;_-;_-* \-??&quot; ?.&quot;_-;_-@_-"/>
    <numFmt numFmtId="174" formatCode="_-* #,##0.00\ _?_._-;\-* #,##0.00\ _?_._-;_-* \-??\ _?_._-;_-@_-"/>
    <numFmt numFmtId="175" formatCode="#\,##0.00"/>
    <numFmt numFmtId="176" formatCode="#.00"/>
    <numFmt numFmtId="177" formatCode="_-* #,##0&quot; d.&quot;_-;\-* #,##0&quot; d.&quot;_-;_-* &quot;- d.&quot;_-;_-@_-"/>
    <numFmt numFmtId="178" formatCode="_-* #,##0.00&quot; d.&quot;_-;\-* #,##0.00&quot; d.&quot;_-;_-* \-??&quot; d.&quot;_-;_-@_-"/>
    <numFmt numFmtId="179" formatCode="_-* #,##0.00_-;\-* #,##0.00_-;_-* \-??_-;_-@_-"/>
    <numFmt numFmtId="180" formatCode="_-* #,##0.00\ _₽_-;\-* #,##0.00\ _₽_-;_-* \-??\ _₽_-;_-@_-"/>
    <numFmt numFmtId="181" formatCode="_(* #,##0.00_);_(* \(#,##0.00\);_(* \-??_);_(@_)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.00&quot;р.&quot;;\-#,##0.00&quot;р.&quot;"/>
    <numFmt numFmtId="186" formatCode="\$#,##0\ ;&quot;($&quot;#,##0\)"/>
    <numFmt numFmtId="187" formatCode="_-[$€-2]* #,##0.00_-;\-[$€-2]* #,##0.00_-;_-[$€-2]* \-??_-"/>
    <numFmt numFmtId="188" formatCode="_([$€-2]* #,##0.00_);_([$€-2]* \(#,##0.00\);_([$€-2]* \-??_)"/>
    <numFmt numFmtId="189" formatCode="General_)"/>
    <numFmt numFmtId="190" formatCode="_-* #,##0&quot;р.&quot;_-;\-* #,##0&quot;р.&quot;_-;_-* &quot;-р.&quot;_-;_-@_-"/>
    <numFmt numFmtId="191" formatCode="#,##0_);[RED]\(#,##0\)"/>
    <numFmt numFmtId="192" formatCode="#,##0.0"/>
    <numFmt numFmtId="193" formatCode="_(\$* #,##0_);_(\$* \(#,##0\);_(\$* \-_);_(@_)"/>
    <numFmt numFmtId="194" formatCode="_(\$* #,##0.00_);_(\$* \(#,##0.00\);_(\$* \-??_);_(@_)"/>
    <numFmt numFmtId="195" formatCode="_-* #,##0\ _d_._-;\-* #,##0\ _d_._-;_-* &quot;- &quot;_d_._-;_-@_-"/>
    <numFmt numFmtId="196" formatCode="_-* #,##0.00\ _d_._-;\-* #,##0.00\ _d_._-;_-* \-??\ _d_._-;_-@_-"/>
    <numFmt numFmtId="197" formatCode="[BLACK]#,##0.0;[BLACK]\-#,##0.0;;"/>
    <numFmt numFmtId="198" formatCode="[&gt;0.05][BLACK]#,##0.0;[&lt;-0.05][BLACK]\-#,##0.0;;"/>
    <numFmt numFmtId="199" formatCode="[&gt;0.5][BLACK]#,##0;[&lt;-0.5][BLACK]\-#,##0;;"/>
    <numFmt numFmtId="200" formatCode="\$#.00"/>
    <numFmt numFmtId="201" formatCode="#."/>
    <numFmt numFmtId="202" formatCode="%#.00"/>
  </numFmts>
  <fonts count="105">
    <font>
      <name val="Arial"/>
      <charset val="1"/>
      <family val="2"/>
      <color theme="1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9"/>
    </font>
    <font>
      <name val="Times New Roman"/>
      <charset val="1"/>
      <family val="1"/>
      <sz val="8"/>
    </font>
    <font>
      <name val="Calibri"/>
      <charset val="1"/>
      <family val="2"/>
      <color rgb="FF000000"/>
      <sz val="11"/>
    </font>
    <font>
      <name val="Calibri"/>
      <charset val="204"/>
      <family val="2"/>
      <color rgb="FF000000"/>
      <sz val="11"/>
    </font>
    <font>
      <name val="Arial Cyr"/>
      <charset val="204"/>
      <family val="2"/>
      <color rgb="FF000000"/>
      <sz val="10"/>
    </font>
    <font>
      <name val="Calibri"/>
      <charset val="204"/>
      <family val="2"/>
      <color rgb="FFFFFFFF"/>
      <sz val="11"/>
    </font>
    <font>
      <name val="Arial Cyr"/>
      <charset val="204"/>
      <family val="2"/>
      <color rgb="FFFFFFFF"/>
      <sz val="10"/>
    </font>
    <font>
      <name val="Courier New"/>
      <charset val="204"/>
      <family val="1"/>
      <color rgb="FF00FFFF"/>
      <sz val="12"/>
    </font>
    <font>
      <name val="Courier New"/>
      <charset val="1"/>
      <family val="3"/>
      <color rgb="FF00FFFF"/>
      <sz val="12"/>
    </font>
    <font>
      <name val="Courier New"/>
      <charset val="204"/>
      <family val="1"/>
      <color rgb="FF00FFFF"/>
      <sz val="10"/>
    </font>
    <font>
      <name val="Courier New"/>
      <charset val="1"/>
      <family val="3"/>
      <color rgb="FF00FFFF"/>
      <sz val="10"/>
    </font>
    <font>
      <name val="Arial Cyr"/>
      <charset val="204"/>
      <family val="0"/>
      <color rgb="FF0000FF"/>
      <sz val="7.5"/>
      <u val="single"/>
    </font>
    <font>
      <name val="Arial Cyr"/>
      <charset val="204"/>
      <family val="0"/>
      <color rgb="FF800080"/>
      <sz val="7.5"/>
      <u val="single"/>
    </font>
    <font>
      <name val="Arial Cyr"/>
      <charset val="204"/>
      <family val="0"/>
      <sz val="10"/>
    </font>
    <font>
      <name val="Courier New"/>
      <charset val="204"/>
      <family val="1"/>
      <color rgb="FF000000"/>
      <sz val="1"/>
    </font>
    <font>
      <name val="Courier New"/>
      <charset val="1"/>
      <family val="3"/>
      <color rgb="FF000000"/>
      <sz val="1"/>
    </font>
    <font>
      <name val="Arial"/>
      <charset val="204"/>
      <family val="2"/>
      <sz val="10"/>
    </font>
    <font>
      <name val="Arial"/>
      <charset val="1"/>
      <family val="2"/>
      <sz val="10"/>
    </font>
    <font>
      <name val="Courier New"/>
      <charset val="1"/>
      <family val="3"/>
      <color rgb="FF800000"/>
      <sz val="1"/>
    </font>
    <font>
      <name val="Courier New"/>
      <charset val="204"/>
      <family val="1"/>
      <color rgb="FF800000"/>
      <sz val="1"/>
    </font>
    <font>
      <name val="Courier New"/>
      <charset val="204"/>
      <family val="1"/>
      <color rgb="FF000000"/>
      <sz val="12"/>
    </font>
    <font>
      <name val="Courier New"/>
      <charset val="204"/>
      <family val="1"/>
      <sz val="10"/>
    </font>
    <font>
      <name val="Courier New"/>
      <charset val="1"/>
      <family val="3"/>
      <sz val="10"/>
    </font>
    <font>
      <name val="Calibri"/>
      <charset val="204"/>
      <family val="2"/>
      <color rgb="FF800080"/>
      <sz val="11"/>
    </font>
    <font>
      <name val="Calibri"/>
      <charset val="204"/>
      <family val="2"/>
      <b val="1"/>
      <color rgb="FFFF9900"/>
      <sz val="11"/>
    </font>
    <font>
      <name val="Calibri"/>
      <charset val="204"/>
      <family val="2"/>
      <b val="1"/>
      <color rgb="FFFFFFFF"/>
      <sz val="11"/>
    </font>
    <font>
      <name val="Verdana"/>
      <charset val="1"/>
      <family val="2"/>
      <b val="1"/>
      <color rgb="FF000000"/>
      <sz val="10"/>
    </font>
    <font>
      <name val="Verdana"/>
      <charset val="1"/>
      <family val="2"/>
      <b val="1"/>
      <i val="1"/>
      <color rgb="FF000000"/>
      <sz val="10"/>
    </font>
    <font>
      <name val="Verdana"/>
      <charset val="1"/>
      <family val="2"/>
      <color rgb="FF000000"/>
      <sz val="11"/>
    </font>
    <font>
      <name val="Verdana"/>
      <charset val="1"/>
      <family val="2"/>
      <b val="1"/>
      <color rgb="FFFFFFFF"/>
      <sz val="13"/>
    </font>
    <font>
      <name val="Verdana"/>
      <charset val="1"/>
      <family val="2"/>
      <b val="1"/>
      <color rgb="FF666699"/>
      <sz val="10"/>
    </font>
    <font>
      <name val="Arial"/>
      <charset val="1"/>
      <family val="2"/>
      <color rgb="FF000000"/>
      <sz val="11"/>
    </font>
    <font>
      <name val="Times New Roman"/>
      <charset val="1"/>
      <family val="1"/>
      <sz val="10"/>
    </font>
    <font>
      <name val="Times New Roman"/>
      <charset val="204"/>
      <family val="1"/>
      <sz val="10"/>
    </font>
    <font>
      <name val="Aptos Narrow"/>
      <charset val="204"/>
      <family val="2"/>
      <color theme="1"/>
      <sz val="11"/>
    </font>
    <font>
      <name val="Aptos Narrow"/>
      <charset val="1"/>
      <family val="2"/>
      <color theme="1"/>
      <sz val="11"/>
    </font>
    <font>
      <name val="Arial"/>
      <charset val="204"/>
      <family val="2"/>
      <sz val="11"/>
    </font>
    <font>
      <name val="Times New Roman"/>
      <charset val="1"/>
      <family val="1"/>
      <sz val="12"/>
    </font>
    <font>
      <name val="Times New Roman"/>
      <charset val="1"/>
      <family val="1"/>
      <b val="1"/>
      <sz val="12"/>
    </font>
    <font>
      <name val="Times New Roman"/>
      <charset val="204"/>
      <family val="1"/>
      <b val="1"/>
      <sz val="12"/>
    </font>
    <font>
      <name val="Arial"/>
      <charset val="1"/>
      <family val="2"/>
      <color rgb="FF9999FF"/>
      <sz val="12"/>
    </font>
    <font>
      <name val="Arial"/>
      <charset val="1"/>
      <family val="2"/>
      <sz val="12"/>
    </font>
    <font>
      <name val="Calibri"/>
      <charset val="204"/>
      <family val="2"/>
      <i val="1"/>
      <color rgb="FF808080"/>
      <sz val="11"/>
    </font>
    <font>
      <name val="Courier New"/>
      <charset val="204"/>
      <family val="1"/>
      <i val="1"/>
      <color rgb="FF000080"/>
      <sz val="1"/>
    </font>
    <font>
      <name val="Courier New"/>
      <charset val="1"/>
      <family val="3"/>
      <i val="1"/>
      <color rgb="FF000080"/>
      <sz val="1"/>
    </font>
    <font>
      <name val="Courier New"/>
      <charset val="204"/>
      <family val="1"/>
      <i val="1"/>
      <color rgb="FF800000"/>
      <sz val="1"/>
    </font>
    <font>
      <name val="Courier New"/>
      <charset val="1"/>
      <family val="3"/>
      <i val="1"/>
      <color rgb="FF800000"/>
      <sz val="1"/>
    </font>
    <font>
      <name val="Calibri"/>
      <charset val="204"/>
      <family val="2"/>
      <color rgb="FF008000"/>
      <sz val="11"/>
    </font>
    <font>
      <name val="Arial"/>
      <charset val="1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Calibri"/>
      <charset val="204"/>
      <family val="2"/>
      <b val="1"/>
      <color rgb="FF003366"/>
      <sz val="11"/>
    </font>
    <font>
      <name val="Arial"/>
      <charset val="1"/>
      <family val="2"/>
      <b val="1"/>
      <color rgb="FF9999FF"/>
      <sz val="12"/>
    </font>
    <font>
      <name val="Arial"/>
      <charset val="1"/>
      <family val="0"/>
      <color rgb="FF0000FF"/>
      <sz val="7.2"/>
      <u val="single"/>
    </font>
    <font>
      <name val="Arial"/>
      <charset val="1"/>
      <family val="0"/>
      <color rgb="FF800080"/>
      <sz val="7.2"/>
      <u val="single"/>
    </font>
    <font>
      <name val="Arial Cyr"/>
      <charset val="204"/>
      <family val="0"/>
      <sz val="12"/>
    </font>
    <font>
      <name val="Courier New"/>
      <charset val="204"/>
      <family val="1"/>
      <sz val="12"/>
    </font>
    <font>
      <name val="Courier New"/>
      <charset val="1"/>
      <family val="3"/>
      <sz val="12"/>
    </font>
    <font>
      <name val="Calibri"/>
      <charset val="204"/>
      <family val="2"/>
      <color rgb="FF333399"/>
      <sz val="11"/>
    </font>
    <font>
      <name val="Calibri"/>
      <charset val="204"/>
      <family val="2"/>
      <color rgb="FFFF9900"/>
      <sz val="11"/>
    </font>
    <font>
      <name val="Times New Roman"/>
      <charset val="1"/>
      <family val="0"/>
      <sz val="12"/>
    </font>
    <font>
      <name val="Calibri"/>
      <charset val="204"/>
      <family val="2"/>
      <color rgb="FF993300"/>
      <sz val="11"/>
    </font>
    <font>
      <name val="Times New Roman"/>
      <charset val="1"/>
      <family val="0"/>
      <sz val="11"/>
    </font>
    <font>
      <name val="Frutiger LT Std 47 Light Cn"/>
      <charset val="1"/>
      <family val="2"/>
      <sz val="10"/>
    </font>
    <font>
      <name val="Aptos Narrow"/>
      <charset val="1"/>
      <family val="2"/>
      <color rgb="FF000000"/>
      <sz val="11"/>
    </font>
    <font>
      <name val="Arial Cyr"/>
      <charset val="204"/>
      <family val="2"/>
      <sz val="10"/>
    </font>
    <font>
      <name val="Calibri"/>
      <charset val="204"/>
      <family val="2"/>
      <b val="1"/>
      <color rgb="FF333333"/>
      <sz val="11"/>
    </font>
    <font>
      <name val="Arial"/>
      <charset val="204"/>
      <family val="2"/>
      <color rgb="FF000000"/>
      <sz val="10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color rgb="FF000000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rgb="FF003366"/>
      <sz val="18"/>
    </font>
    <font>
      <name val="Calibri"/>
      <charset val="204"/>
      <family val="2"/>
      <color rgb="FFFF0000"/>
      <sz val="11"/>
    </font>
    <font>
      <name val="Courier New"/>
      <charset val="1"/>
      <family val="3"/>
      <color rgb="FF000000"/>
      <sz val="12"/>
    </font>
    <font>
      <name val="Courier New"/>
      <charset val="1"/>
      <family val="3"/>
      <b val="1"/>
      <color rgb="FF800000"/>
      <sz val="1"/>
    </font>
    <font>
      <name val="Courier New"/>
      <charset val="1"/>
      <family val="3"/>
      <b val="1"/>
      <color rgb="FF000000"/>
      <sz val="18"/>
    </font>
    <font>
      <name val="Courier New"/>
      <charset val="1"/>
      <family val="3"/>
      <b val="1"/>
      <color rgb="FF000000"/>
      <sz val="12"/>
    </font>
    <font>
      <name val="Courier New"/>
      <charset val="1"/>
      <family val="3"/>
      <color rgb="FF000000"/>
      <sz val="10"/>
    </font>
    <font>
      <name val="Courier New"/>
      <charset val="204"/>
      <family val="1"/>
      <color rgb="FF000000"/>
      <sz val="10"/>
    </font>
    <font>
      <name val="Arial Cyr"/>
      <charset val="204"/>
      <family val="2"/>
      <color rgb="FF333399"/>
      <sz val="10"/>
    </font>
    <font>
      <name val="Arial Cyr"/>
      <charset val="204"/>
      <family val="2"/>
      <b val="1"/>
      <color rgb="FF333333"/>
      <sz val="10"/>
    </font>
    <font>
      <name val="Arial Cyr"/>
      <charset val="204"/>
      <family val="2"/>
      <b val="1"/>
      <color rgb="FFFF9900"/>
      <sz val="10"/>
    </font>
    <font>
      <name val="Times New Roman"/>
      <charset val="204"/>
      <family val="2"/>
      <color rgb="FF000000"/>
      <sz val="11"/>
    </font>
    <font>
      <name val="Arial Cyr"/>
      <charset val="204"/>
      <family val="2"/>
      <b val="1"/>
      <color rgb="FF003366"/>
      <sz val="15"/>
    </font>
    <font>
      <name val="Arial Cyr"/>
      <charset val="204"/>
      <family val="2"/>
      <b val="1"/>
      <color rgb="FF003366"/>
      <sz val="13"/>
    </font>
    <font>
      <name val="Arial Cyr"/>
      <charset val="204"/>
      <family val="2"/>
      <b val="1"/>
      <color rgb="FF003366"/>
      <sz val="11"/>
    </font>
    <font>
      <name val="Arial Cyr"/>
      <charset val="204"/>
      <family val="2"/>
      <b val="1"/>
      <color rgb="FF000000"/>
      <sz val="10"/>
    </font>
    <font>
      <name val="Arial Cyr"/>
      <charset val="204"/>
      <family val="2"/>
      <b val="1"/>
      <color rgb="FFFFFFFF"/>
      <sz val="10"/>
    </font>
    <font>
      <name val="Arial Cyr"/>
      <charset val="204"/>
      <family val="2"/>
      <color rgb="FF993300"/>
      <sz val="10"/>
    </font>
    <font>
      <name val="Aptos Narrow"/>
      <charset val="204"/>
      <family val="2"/>
      <color rgb="FF000000"/>
      <sz val="11"/>
    </font>
    <font>
      <name val="Arial Cyr"/>
      <charset val="1"/>
      <family val="0"/>
      <sz val="10"/>
    </font>
    <font>
      <name val="Times New Roman"/>
      <charset val="204"/>
      <family val="1"/>
      <sz val="11"/>
    </font>
    <font>
      <name val="Aptos Narrow"/>
      <charset val="204"/>
      <family val="2"/>
      <color theme="1"/>
      <sz val="10"/>
    </font>
    <font>
      <name val="Arial Cyr"/>
      <charset val="204"/>
      <family val="2"/>
      <color rgb="FF800080"/>
      <sz val="10"/>
    </font>
    <font>
      <name val="Arial Cyr"/>
      <charset val="204"/>
      <family val="2"/>
      <i val="1"/>
      <color rgb="FF808080"/>
      <sz val="10"/>
    </font>
    <font>
      <name val="PANDA Times UZ"/>
      <charset val="1"/>
      <family val="2"/>
      <sz val="12"/>
    </font>
    <font>
      <name val="Arial Cyr"/>
      <charset val="204"/>
      <family val="2"/>
      <color rgb="FFFF9900"/>
      <sz val="10"/>
    </font>
    <font>
      <name val="Arial Cyr"/>
      <charset val="204"/>
      <family val="2"/>
      <color rgb="FFFF0000"/>
      <sz val="10"/>
    </font>
    <font>
      <name val="Tahoma"/>
      <charset val="204"/>
      <family val="2"/>
      <sz val="10"/>
    </font>
    <font>
      <name val="Arial Cyr"/>
      <charset val="204"/>
      <family val="2"/>
      <color rgb="FF008000"/>
      <sz val="10"/>
    </font>
    <font>
      <name val="Courier New"/>
      <charset val="204"/>
      <family val="1"/>
      <b val="1"/>
      <color rgb="FF000000"/>
      <sz val="1"/>
    </font>
  </fonts>
  <fills count="32">
    <fill>
      <patternFill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>
      <left/>
      <right/>
      <top/>
      <bottom/>
      <diagonal/>
    </border>
    <border>
      <left/>
      <right/>
      <top style="thin"/>
      <bottom style="double"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  <border>
      <left/>
      <right/>
      <top/>
      <bottom style="medium">
        <color rgb="FF0066CC"/>
      </bottom>
      <diagonal/>
    </border>
    <border>
      <left/>
      <right/>
      <top/>
      <bottom style="medium">
        <color rgb="FF99CCFF"/>
      </bottom>
      <diagonal/>
    </border>
    <border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>
      <left/>
      <right/>
      <top/>
      <bottom style="double">
        <color rgb="FFFF9900"/>
      </bottom>
      <diagonal/>
    </border>
    <border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>
      <left/>
      <right/>
      <top style="double"/>
      <bottom/>
      <diagonal/>
    </border>
  </borders>
  <cellStyleXfs count="154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7" fontId="4" fillId="0" borderId="0" applyAlignment="1">
      <alignment horizontal="general" vertical="bottom"/>
    </xf>
    <xf numFmtId="167" fontId="5" fillId="0" borderId="0" applyAlignment="1">
      <alignment horizontal="general" vertical="bottom"/>
    </xf>
    <xf numFmtId="168" fontId="4" fillId="0" borderId="0" applyAlignment="1">
      <alignment horizontal="general" vertical="bottom"/>
    </xf>
    <xf numFmtId="168" fontId="5" fillId="0" borderId="0" applyAlignment="1">
      <alignment horizontal="general" vertical="bottom"/>
    </xf>
    <xf numFmtId="0" fontId="6" fillId="2" borderId="0" applyAlignment="1">
      <alignment horizontal="general" vertical="bottom"/>
    </xf>
    <xf numFmtId="0" fontId="6" fillId="2" borderId="0" applyAlignment="1">
      <alignment horizontal="general" vertical="bottom"/>
    </xf>
    <xf numFmtId="0" fontId="7" fillId="2" borderId="0" applyAlignment="1">
      <alignment horizontal="general" vertical="bottom"/>
    </xf>
    <xf numFmtId="0" fontId="6" fillId="3" borderId="0" applyAlignment="1">
      <alignment horizontal="general" vertical="bottom"/>
    </xf>
    <xf numFmtId="0" fontId="6" fillId="3" borderId="0" applyAlignment="1">
      <alignment horizontal="general" vertical="bottom"/>
    </xf>
    <xf numFmtId="0" fontId="7" fillId="3" borderId="0" applyAlignment="1">
      <alignment horizontal="general" vertical="bottom"/>
    </xf>
    <xf numFmtId="0" fontId="6" fillId="4" borderId="0" applyAlignment="1">
      <alignment horizontal="general" vertical="bottom"/>
    </xf>
    <xf numFmtId="0" fontId="6" fillId="4" borderId="0" applyAlignment="1">
      <alignment horizontal="general" vertical="bottom"/>
    </xf>
    <xf numFmtId="0" fontId="7" fillId="4" borderId="0" applyAlignment="1">
      <alignment horizontal="general" vertical="bottom"/>
    </xf>
    <xf numFmtId="0" fontId="6" fillId="5" borderId="0" applyAlignment="1">
      <alignment horizontal="general" vertical="bottom"/>
    </xf>
    <xf numFmtId="0" fontId="6" fillId="5" borderId="0" applyAlignment="1">
      <alignment horizontal="general" vertical="bottom"/>
    </xf>
    <xf numFmtId="0" fontId="7" fillId="5" borderId="0" applyAlignment="1">
      <alignment horizontal="general" vertical="bottom"/>
    </xf>
    <xf numFmtId="0" fontId="6" fillId="6" borderId="0" applyAlignment="1">
      <alignment horizontal="general" vertical="bottom"/>
    </xf>
    <xf numFmtId="0" fontId="6" fillId="6" borderId="0" applyAlignment="1">
      <alignment horizontal="general" vertical="bottom"/>
    </xf>
    <xf numFmtId="0" fontId="7" fillId="6" borderId="0" applyAlignment="1">
      <alignment horizontal="general" vertical="bottom"/>
    </xf>
    <xf numFmtId="0" fontId="6" fillId="7" borderId="0" applyAlignment="1">
      <alignment horizontal="general" vertical="bottom"/>
    </xf>
    <xf numFmtId="0" fontId="6" fillId="7" borderId="0" applyAlignment="1">
      <alignment horizontal="general" vertical="bottom"/>
    </xf>
    <xf numFmtId="0" fontId="7" fillId="7" borderId="0" applyAlignment="1">
      <alignment horizontal="general" vertical="bottom"/>
    </xf>
    <xf numFmtId="0" fontId="8" fillId="2" borderId="0" applyAlignment="1">
      <alignment horizontal="general" vertical="bottom"/>
    </xf>
    <xf numFmtId="0" fontId="8" fillId="2" borderId="0" applyAlignment="1">
      <alignment horizontal="general" vertical="bottom"/>
    </xf>
    <xf numFmtId="0" fontId="8" fillId="3" borderId="0" applyAlignment="1">
      <alignment horizontal="general" vertical="bottom"/>
    </xf>
    <xf numFmtId="0" fontId="8" fillId="3" borderId="0" applyAlignment="1">
      <alignment horizontal="general" vertical="bottom"/>
    </xf>
    <xf numFmtId="0" fontId="8" fillId="4" borderId="0" applyAlignment="1">
      <alignment horizontal="general" vertical="bottom"/>
    </xf>
    <xf numFmtId="0" fontId="8" fillId="4" borderId="0" applyAlignment="1">
      <alignment horizontal="general" vertical="bottom"/>
    </xf>
    <xf numFmtId="0" fontId="8" fillId="5" borderId="0" applyAlignment="1">
      <alignment horizontal="general" vertical="bottom"/>
    </xf>
    <xf numFmtId="0" fontId="8" fillId="5" borderId="0" applyAlignment="1">
      <alignment horizontal="general" vertical="bottom"/>
    </xf>
    <xf numFmtId="0" fontId="8" fillId="6" borderId="0" applyAlignment="1">
      <alignment horizontal="general" vertical="bottom"/>
    </xf>
    <xf numFmtId="0" fontId="8" fillId="6" borderId="0" applyAlignment="1">
      <alignment horizontal="general" vertical="bottom"/>
    </xf>
    <xf numFmtId="0" fontId="8" fillId="7" borderId="0" applyAlignment="1">
      <alignment horizontal="general" vertical="bottom"/>
    </xf>
    <xf numFmtId="0" fontId="8" fillId="7" borderId="0" applyAlignment="1">
      <alignment horizontal="general" vertical="bottom"/>
    </xf>
    <xf numFmtId="169" fontId="4" fillId="0" borderId="0" applyAlignment="1">
      <alignment horizontal="general" vertical="bottom"/>
    </xf>
    <xf numFmtId="170" fontId="4" fillId="0" borderId="0" applyAlignment="1">
      <alignment horizontal="general" vertical="bottom"/>
    </xf>
    <xf numFmtId="170" fontId="5" fillId="0" borderId="0" applyAlignment="1">
      <alignment horizontal="general" vertical="bottom"/>
    </xf>
    <xf numFmtId="0" fontId="6" fillId="8" borderId="0" applyAlignment="1">
      <alignment horizontal="general" vertical="bottom"/>
    </xf>
    <xf numFmtId="0" fontId="6" fillId="8" borderId="0" applyAlignment="1">
      <alignment horizontal="general" vertical="bottom"/>
    </xf>
    <xf numFmtId="0" fontId="7" fillId="8" borderId="0" applyAlignment="1">
      <alignment horizontal="general" vertical="bottom"/>
    </xf>
    <xf numFmtId="0" fontId="6" fillId="9" borderId="0" applyAlignment="1">
      <alignment horizontal="general" vertical="bottom"/>
    </xf>
    <xf numFmtId="0" fontId="6" fillId="9" borderId="0" applyAlignment="1">
      <alignment horizontal="general" vertical="bottom"/>
    </xf>
    <xf numFmtId="0" fontId="7" fillId="9" borderId="0" applyAlignment="1">
      <alignment horizontal="general" vertical="bottom"/>
    </xf>
    <xf numFmtId="0" fontId="6" fillId="10" borderId="0" applyAlignment="1">
      <alignment horizontal="general" vertical="bottom"/>
    </xf>
    <xf numFmtId="0" fontId="6" fillId="10" borderId="0" applyAlignment="1">
      <alignment horizontal="general" vertical="bottom"/>
    </xf>
    <xf numFmtId="0" fontId="7" fillId="10" borderId="0" applyAlignment="1">
      <alignment horizontal="general" vertical="bottom"/>
    </xf>
    <xf numFmtId="0" fontId="6" fillId="5" borderId="0" applyAlignment="1">
      <alignment horizontal="general" vertical="bottom"/>
    </xf>
    <xf numFmtId="0" fontId="6" fillId="5" borderId="0" applyAlignment="1">
      <alignment horizontal="general" vertical="bottom"/>
    </xf>
    <xf numFmtId="0" fontId="7" fillId="5" borderId="0" applyAlignment="1">
      <alignment horizontal="general" vertical="bottom"/>
    </xf>
    <xf numFmtId="0" fontId="6" fillId="8" borderId="0" applyAlignment="1">
      <alignment horizontal="general" vertical="bottom"/>
    </xf>
    <xf numFmtId="0" fontId="6" fillId="8" borderId="0" applyAlignment="1">
      <alignment horizontal="general" vertical="bottom"/>
    </xf>
    <xf numFmtId="0" fontId="7" fillId="8" borderId="0" applyAlignment="1">
      <alignment horizontal="general" vertical="bottom"/>
    </xf>
    <xf numFmtId="0" fontId="6" fillId="11" borderId="0" applyAlignment="1">
      <alignment horizontal="general" vertical="bottom"/>
    </xf>
    <xf numFmtId="0" fontId="6" fillId="11" borderId="0" applyAlignment="1">
      <alignment horizontal="general" vertical="bottom"/>
    </xf>
    <xf numFmtId="0" fontId="7" fillId="11" borderId="0" applyAlignment="1">
      <alignment horizontal="general" vertical="bottom"/>
    </xf>
    <xf numFmtId="0" fontId="8" fillId="8" borderId="0" applyAlignment="1">
      <alignment horizontal="general" vertical="bottom"/>
    </xf>
    <xf numFmtId="0" fontId="8" fillId="8" borderId="0" applyAlignment="1">
      <alignment horizontal="general" vertical="bottom"/>
    </xf>
    <xf numFmtId="0" fontId="8" fillId="9" borderId="0" applyAlignment="1">
      <alignment horizontal="general" vertical="bottom"/>
    </xf>
    <xf numFmtId="0" fontId="8" fillId="9" borderId="0" applyAlignment="1">
      <alignment horizontal="general" vertical="bottom"/>
    </xf>
    <xf numFmtId="0" fontId="8" fillId="10" borderId="0" applyAlignment="1">
      <alignment horizontal="general" vertical="bottom"/>
    </xf>
    <xf numFmtId="0" fontId="8" fillId="10" borderId="0" applyAlignment="1">
      <alignment horizontal="general" vertical="bottom"/>
    </xf>
    <xf numFmtId="0" fontId="8" fillId="5" borderId="0" applyAlignment="1">
      <alignment horizontal="general" vertical="bottom"/>
    </xf>
    <xf numFmtId="0" fontId="8" fillId="5" borderId="0" applyAlignment="1">
      <alignment horizontal="general" vertical="bottom"/>
    </xf>
    <xf numFmtId="0" fontId="8" fillId="8" borderId="0" applyAlignment="1">
      <alignment horizontal="general" vertical="bottom"/>
    </xf>
    <xf numFmtId="0" fontId="8" fillId="8" borderId="0" applyAlignment="1">
      <alignment horizontal="general" vertical="bottom"/>
    </xf>
    <xf numFmtId="0" fontId="8" fillId="11" borderId="0" applyAlignment="1">
      <alignment horizontal="general" vertical="bottom"/>
    </xf>
    <xf numFmtId="0" fontId="8" fillId="11" borderId="0" applyAlignment="1">
      <alignment horizontal="general" vertical="bottom"/>
    </xf>
    <xf numFmtId="171" fontId="4" fillId="0" borderId="0" applyAlignment="1">
      <alignment horizontal="general" vertical="bottom"/>
    </xf>
    <xf numFmtId="0" fontId="9" fillId="12" borderId="0" applyAlignment="1">
      <alignment horizontal="general" vertical="bottom"/>
    </xf>
    <xf numFmtId="0" fontId="9" fillId="9" borderId="0" applyAlignment="1">
      <alignment horizontal="general" vertical="bottom"/>
    </xf>
    <xf numFmtId="0" fontId="9" fillId="10" borderId="0" applyAlignment="1">
      <alignment horizontal="general" vertical="bottom"/>
    </xf>
    <xf numFmtId="0" fontId="9" fillId="13" borderId="0" applyAlignment="1">
      <alignment horizontal="general" vertical="bottom"/>
    </xf>
    <xf numFmtId="0" fontId="9" fillId="14" borderId="0" applyAlignment="1">
      <alignment horizontal="general" vertical="bottom"/>
    </xf>
    <xf numFmtId="0" fontId="9" fillId="15" borderId="0" applyAlignment="1">
      <alignment horizontal="general" vertical="bottom"/>
    </xf>
    <xf numFmtId="0" fontId="10" fillId="12" borderId="0" applyAlignment="1">
      <alignment horizontal="general" vertical="bottom"/>
    </xf>
    <xf numFmtId="0" fontId="10" fillId="12" borderId="0" applyAlignment="1">
      <alignment horizontal="general" vertical="bottom"/>
    </xf>
    <xf numFmtId="0" fontId="10" fillId="9" borderId="0" applyAlignment="1">
      <alignment horizontal="general" vertical="bottom"/>
    </xf>
    <xf numFmtId="0" fontId="10" fillId="9" borderId="0" applyAlignment="1">
      <alignment horizontal="general" vertical="bottom"/>
    </xf>
    <xf numFmtId="0" fontId="10" fillId="10" borderId="0" applyAlignment="1">
      <alignment horizontal="general" vertical="bottom"/>
    </xf>
    <xf numFmtId="0" fontId="10" fillId="10" borderId="0" applyAlignment="1">
      <alignment horizontal="general" vertical="bottom"/>
    </xf>
    <xf numFmtId="0" fontId="10" fillId="13" borderId="0" applyAlignment="1">
      <alignment horizontal="general" vertical="bottom"/>
    </xf>
    <xf numFmtId="0" fontId="10" fillId="13" borderId="0" applyAlignment="1">
      <alignment horizontal="general" vertical="bottom"/>
    </xf>
    <xf numFmtId="0" fontId="10" fillId="14" borderId="0" applyAlignment="1">
      <alignment horizontal="general" vertical="bottom"/>
    </xf>
    <xf numFmtId="0" fontId="10" fillId="14" borderId="0" applyAlignment="1">
      <alignment horizontal="general" vertical="bottom"/>
    </xf>
    <xf numFmtId="0" fontId="10" fillId="15" borderId="0" applyAlignment="1">
      <alignment horizontal="general" vertical="bottom"/>
    </xf>
    <xf numFmtId="0" fontId="10" fillId="15" borderId="0" applyAlignment="1">
      <alignment horizontal="general" vertical="bottom"/>
    </xf>
    <xf numFmtId="172" fontId="11" fillId="0" borderId="0" applyAlignment="1" applyProtection="1">
      <alignment horizontal="general" vertical="bottom"/>
      <protection locked="0" hidden="0"/>
    </xf>
    <xf numFmtId="172" fontId="12" fillId="0" borderId="0" applyAlignment="1" applyProtection="1">
      <alignment horizontal="general" vertical="bottom"/>
      <protection locked="0" hidden="0"/>
    </xf>
    <xf numFmtId="172" fontId="13" fillId="0" borderId="0" applyAlignment="1" applyProtection="1">
      <alignment horizontal="general" vertical="bottom"/>
      <protection locked="0" hidden="0"/>
    </xf>
    <xf numFmtId="172" fontId="14" fillId="0" borderId="0" applyAlignment="1" applyProtection="1">
      <alignment horizontal="general" vertical="bottom"/>
      <protection locked="0" hidden="0"/>
    </xf>
    <xf numFmtId="172" fontId="13" fillId="0" borderId="0" applyAlignment="1" applyProtection="1">
      <alignment horizontal="general" vertical="bottom"/>
      <protection locked="0" hidden="0"/>
    </xf>
    <xf numFmtId="172" fontId="14" fillId="0" borderId="0" applyAlignment="1" applyProtection="1">
      <alignment horizontal="general" vertical="bottom"/>
      <protection locked="0" hidden="0"/>
    </xf>
    <xf numFmtId="172" fontId="13" fillId="0" borderId="0" applyAlignment="1" applyProtection="1">
      <alignment horizontal="general" vertical="bottom"/>
      <protection locked="0" hidden="0"/>
    </xf>
    <xf numFmtId="172" fontId="14" fillId="0" borderId="0" applyAlignment="1" applyProtection="1">
      <alignment horizontal="general" vertical="bottom"/>
      <protection locked="0" hidden="0"/>
    </xf>
    <xf numFmtId="172" fontId="13" fillId="0" borderId="0" applyAlignment="1" applyProtection="1">
      <alignment horizontal="general" vertical="bottom"/>
      <protection locked="0" hidden="0"/>
    </xf>
    <xf numFmtId="172" fontId="14" fillId="0" borderId="0" applyAlignment="1" applyProtection="1">
      <alignment horizontal="general" vertical="bottom"/>
      <protection locked="0" hidden="0"/>
    </xf>
    <xf numFmtId="0" fontId="15" fillId="0" borderId="0" applyAlignment="1" applyProtection="1">
      <alignment horizontal="general" vertical="top"/>
      <protection locked="0" hidden="0"/>
    </xf>
    <xf numFmtId="0" fontId="16" fillId="0" borderId="0" applyAlignment="1" applyProtection="1">
      <alignment horizontal="general" vertical="top"/>
      <protection locked="0" hidden="0"/>
    </xf>
    <xf numFmtId="172" fontId="14" fillId="0" borderId="0" applyAlignment="1" applyProtection="1">
      <alignment horizontal="general" vertical="bottom"/>
      <protection locked="0" hidden="0"/>
    </xf>
    <xf numFmtId="173" fontId="17" fillId="0" borderId="0" applyAlignment="1">
      <alignment horizontal="general" vertical="bottom"/>
    </xf>
    <xf numFmtId="0" fontId="17" fillId="0" borderId="0" applyAlignment="1">
      <alignment horizontal="general" vertical="bottom"/>
    </xf>
    <xf numFmtId="174" fontId="17" fillId="0" borderId="0" applyAlignment="1">
      <alignment horizontal="general" vertical="bottom"/>
    </xf>
    <xf numFmtId="0" fontId="18" fillId="0" borderId="1" applyAlignment="1" applyProtection="1">
      <alignment horizontal="general" vertical="bottom"/>
      <protection locked="0" hidden="0"/>
    </xf>
    <xf numFmtId="0" fontId="19" fillId="0" borderId="1" applyAlignment="1" applyProtection="1">
      <alignment horizontal="general" vertical="bottom"/>
      <protection locked="0" hidden="0"/>
    </xf>
    <xf numFmtId="0" fontId="17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17" fillId="0" borderId="0" applyAlignment="1">
      <alignment horizontal="general" vertical="bottom"/>
    </xf>
    <xf numFmtId="172" fontId="22" fillId="0" borderId="0" applyAlignment="1" applyProtection="1">
      <alignment horizontal="general" vertical="bottom"/>
      <protection locked="0" hidden="0"/>
    </xf>
    <xf numFmtId="172" fontId="23" fillId="0" borderId="0" applyAlignment="1" applyProtection="1">
      <alignment horizontal="general" vertical="bottom"/>
      <protection locked="0" hidden="0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172" fontId="22" fillId="0" borderId="0" applyAlignment="1" applyProtection="1">
      <alignment horizontal="general" vertical="bottom"/>
      <protection locked="0" hidden="0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175" fontId="24" fillId="0" borderId="0" applyAlignment="1" applyProtection="1">
      <alignment horizontal="general" vertical="bottom"/>
      <protection locked="0" hidden="0"/>
    </xf>
    <xf numFmtId="0" fontId="21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19" fillId="0" borderId="0" applyAlignment="1" applyProtection="1">
      <alignment horizontal="general" vertical="bottom"/>
      <protection locked="0" hidden="0"/>
    </xf>
    <xf numFmtId="0" fontId="19" fillId="0" borderId="0" applyAlignment="1" applyProtection="1">
      <alignment horizontal="general" vertical="bottom"/>
      <protection locked="0" hidden="0"/>
    </xf>
    <xf numFmtId="0" fontId="19" fillId="0" borderId="0" applyAlignment="1" applyProtection="1">
      <alignment horizontal="general" vertical="bottom"/>
      <protection locked="0" hidden="0"/>
    </xf>
    <xf numFmtId="0" fontId="17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176" fontId="24" fillId="0" borderId="0" applyAlignment="1" applyProtection="1">
      <alignment horizontal="general" vertical="bottom"/>
      <protection locked="0" hidden="0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20" fillId="0" borderId="0" applyAlignment="1">
      <alignment horizontal="general" vertical="bottom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0" fontId="7" fillId="2" borderId="0" applyAlignment="1">
      <alignment horizontal="general" vertical="bottom"/>
    </xf>
    <xf numFmtId="0" fontId="7" fillId="2" borderId="0" applyAlignment="1">
      <alignment horizontal="general" vertical="bottom"/>
    </xf>
    <xf numFmtId="0" fontId="7" fillId="8" borderId="0" applyAlignment="1">
      <alignment horizontal="general" vertical="bottom"/>
    </xf>
    <xf numFmtId="0" fontId="7" fillId="16" borderId="0" applyAlignment="1">
      <alignment horizontal="general" vertical="bottom"/>
    </xf>
    <xf numFmtId="0" fontId="9" fillId="17" borderId="0" applyAlignment="1">
      <alignment horizontal="general" vertical="bottom"/>
    </xf>
    <xf numFmtId="0" fontId="9" fillId="17" borderId="0" applyAlignment="1">
      <alignment horizontal="general" vertical="bottom"/>
    </xf>
    <xf numFmtId="0" fontId="9" fillId="17" borderId="0" applyAlignment="1">
      <alignment horizontal="general" vertical="bottom"/>
    </xf>
    <xf numFmtId="0" fontId="9" fillId="17" borderId="0" applyAlignment="1">
      <alignment horizontal="general" vertical="bottom"/>
    </xf>
    <xf numFmtId="0" fontId="9" fillId="17" borderId="0" applyAlignment="1">
      <alignment horizontal="general" vertical="bottom"/>
    </xf>
    <xf numFmtId="0" fontId="7" fillId="16" borderId="0" applyAlignment="1">
      <alignment horizontal="general" vertical="bottom"/>
    </xf>
    <xf numFmtId="0" fontId="7" fillId="16" borderId="0" applyAlignment="1">
      <alignment horizontal="general" vertical="bottom"/>
    </xf>
    <xf numFmtId="0" fontId="7" fillId="16" borderId="0" applyAlignment="1">
      <alignment horizontal="general" vertical="bottom"/>
    </xf>
    <xf numFmtId="0" fontId="7" fillId="18" borderId="0" applyAlignment="1">
      <alignment horizontal="general" vertical="bottom"/>
    </xf>
    <xf numFmtId="0" fontId="7" fillId="19" borderId="0" applyAlignment="1">
      <alignment horizontal="general" vertical="bottom"/>
    </xf>
    <xf numFmtId="0" fontId="7" fillId="20" borderId="0" applyAlignment="1">
      <alignment horizontal="general" vertical="bottom"/>
    </xf>
    <xf numFmtId="0" fontId="7" fillId="21" borderId="0" applyAlignment="1">
      <alignment horizontal="general" vertical="bottom"/>
    </xf>
    <xf numFmtId="0" fontId="9" fillId="22" borderId="0" applyAlignment="1">
      <alignment horizontal="general" vertical="bottom"/>
    </xf>
    <xf numFmtId="0" fontId="9" fillId="22" borderId="0" applyAlignment="1">
      <alignment horizontal="general" vertical="bottom"/>
    </xf>
    <xf numFmtId="0" fontId="9" fillId="22" borderId="0" applyAlignment="1">
      <alignment horizontal="general" vertical="bottom"/>
    </xf>
    <xf numFmtId="0" fontId="9" fillId="22" borderId="0" applyAlignment="1">
      <alignment horizontal="general" vertical="bottom"/>
    </xf>
    <xf numFmtId="0" fontId="9" fillId="22" borderId="0" applyAlignment="1">
      <alignment horizontal="general" vertical="bottom"/>
    </xf>
    <xf numFmtId="0" fontId="7" fillId="21" borderId="0" applyAlignment="1">
      <alignment horizontal="general" vertical="bottom"/>
    </xf>
    <xf numFmtId="0" fontId="7" fillId="21" borderId="0" applyAlignment="1">
      <alignment horizontal="general" vertical="bottom"/>
    </xf>
    <xf numFmtId="0" fontId="7" fillId="21" borderId="0" applyAlignment="1">
      <alignment horizontal="general" vertical="bottom"/>
    </xf>
    <xf numFmtId="0" fontId="7" fillId="18" borderId="0" applyAlignment="1">
      <alignment horizontal="general" vertical="bottom"/>
    </xf>
    <xf numFmtId="0" fontId="7" fillId="4" borderId="0" applyAlignment="1">
      <alignment horizontal="general" vertical="bottom"/>
    </xf>
    <xf numFmtId="0" fontId="7" fillId="19" borderId="0" applyAlignment="1">
      <alignment horizontal="general" vertical="bottom"/>
    </xf>
    <xf numFmtId="0" fontId="7" fillId="20" borderId="0" applyAlignment="1">
      <alignment horizontal="general" vertical="bottom"/>
    </xf>
    <xf numFmtId="0" fontId="9" fillId="23" borderId="0" applyAlignment="1">
      <alignment horizontal="general" vertical="bottom"/>
    </xf>
    <xf numFmtId="0" fontId="9" fillId="23" borderId="0" applyAlignment="1">
      <alignment horizontal="general" vertical="bottom"/>
    </xf>
    <xf numFmtId="0" fontId="9" fillId="23" borderId="0" applyAlignment="1">
      <alignment horizontal="general" vertical="bottom"/>
    </xf>
    <xf numFmtId="0" fontId="9" fillId="23" borderId="0" applyAlignment="1">
      <alignment horizontal="general" vertical="bottom"/>
    </xf>
    <xf numFmtId="0" fontId="9" fillId="23" borderId="0" applyAlignment="1">
      <alignment horizontal="general" vertical="bottom"/>
    </xf>
    <xf numFmtId="0" fontId="7" fillId="20" borderId="0" applyAlignment="1">
      <alignment horizontal="general" vertical="bottom"/>
    </xf>
    <xf numFmtId="0" fontId="7" fillId="20" borderId="0" applyAlignment="1">
      <alignment horizontal="general" vertical="bottom"/>
    </xf>
    <xf numFmtId="0" fontId="7" fillId="20" borderId="0" applyAlignment="1">
      <alignment horizontal="general" vertical="bottom"/>
    </xf>
    <xf numFmtId="0" fontId="7" fillId="2" borderId="0" applyAlignment="1">
      <alignment horizontal="general" vertical="bottom"/>
    </xf>
    <xf numFmtId="0" fontId="7" fillId="19" borderId="0" applyAlignment="1">
      <alignment horizontal="general" vertical="bottom"/>
    </xf>
    <xf numFmtId="0" fontId="7" fillId="19" borderId="0" applyAlignment="1">
      <alignment horizontal="general" vertical="bottom"/>
    </xf>
    <xf numFmtId="0" fontId="7" fillId="16" borderId="0" applyAlignment="1">
      <alignment horizontal="general" vertical="bottom"/>
    </xf>
    <xf numFmtId="0" fontId="9" fillId="13" borderId="0" applyAlignment="1">
      <alignment horizontal="general" vertical="bottom"/>
    </xf>
    <xf numFmtId="0" fontId="9" fillId="13" borderId="0" applyAlignment="1">
      <alignment horizontal="general" vertical="bottom"/>
    </xf>
    <xf numFmtId="0" fontId="9" fillId="13" borderId="0" applyAlignment="1">
      <alignment horizontal="general" vertical="bottom"/>
    </xf>
    <xf numFmtId="0" fontId="9" fillId="13" borderId="0" applyAlignment="1">
      <alignment horizontal="general" vertical="bottom"/>
    </xf>
    <xf numFmtId="0" fontId="9" fillId="13" borderId="0" applyAlignment="1">
      <alignment horizontal="general" vertical="bottom"/>
    </xf>
    <xf numFmtId="0" fontId="7" fillId="16" borderId="0" applyAlignment="1">
      <alignment horizontal="general" vertical="bottom"/>
    </xf>
    <xf numFmtId="0" fontId="7" fillId="16" borderId="0" applyAlignment="1">
      <alignment horizontal="general" vertical="bottom"/>
    </xf>
    <xf numFmtId="0" fontId="7" fillId="16" borderId="0" applyAlignment="1">
      <alignment horizontal="general" vertical="bottom"/>
    </xf>
    <xf numFmtId="0" fontId="7" fillId="6" borderId="0" applyAlignment="1">
      <alignment horizontal="general" vertical="bottom"/>
    </xf>
    <xf numFmtId="0" fontId="7" fillId="2" borderId="0" applyAlignment="1">
      <alignment horizontal="general" vertical="bottom"/>
    </xf>
    <xf numFmtId="0" fontId="7" fillId="8" borderId="0" applyAlignment="1">
      <alignment horizontal="general" vertical="bottom"/>
    </xf>
    <xf numFmtId="0" fontId="7" fillId="14" borderId="0" applyAlignment="1">
      <alignment horizontal="general" vertical="bottom"/>
    </xf>
    <xf numFmtId="0" fontId="9" fillId="14" borderId="0" applyAlignment="1">
      <alignment horizontal="general" vertical="bottom"/>
    </xf>
    <xf numFmtId="0" fontId="9" fillId="14" borderId="0" applyAlignment="1">
      <alignment horizontal="general" vertical="bottom"/>
    </xf>
    <xf numFmtId="0" fontId="9" fillId="14" borderId="0" applyAlignment="1">
      <alignment horizontal="general" vertical="bottom"/>
    </xf>
    <xf numFmtId="0" fontId="9" fillId="14" borderId="0" applyAlignment="1">
      <alignment horizontal="general" vertical="bottom"/>
    </xf>
    <xf numFmtId="0" fontId="9" fillId="14" borderId="0" applyAlignment="1">
      <alignment horizontal="general" vertical="bottom"/>
    </xf>
    <xf numFmtId="0" fontId="7" fillId="14" borderId="0" applyAlignment="1">
      <alignment horizontal="general" vertical="bottom"/>
    </xf>
    <xf numFmtId="0" fontId="7" fillId="14" borderId="0" applyAlignment="1">
      <alignment horizontal="general" vertical="bottom"/>
    </xf>
    <xf numFmtId="0" fontId="7" fillId="14" borderId="0" applyAlignment="1">
      <alignment horizontal="general" vertical="bottom"/>
    </xf>
    <xf numFmtId="0" fontId="7" fillId="18" borderId="0" applyAlignment="1">
      <alignment horizontal="general" vertical="bottom"/>
    </xf>
    <xf numFmtId="0" fontId="7" fillId="7" borderId="0" applyAlignment="1">
      <alignment horizontal="general" vertical="bottom"/>
    </xf>
    <xf numFmtId="0" fontId="7" fillId="7" borderId="0" applyAlignment="1">
      <alignment horizontal="general" vertical="bottom"/>
    </xf>
    <xf numFmtId="0" fontId="7" fillId="15" borderId="0" applyAlignment="1">
      <alignment horizontal="general" vertical="bottom"/>
    </xf>
    <xf numFmtId="0" fontId="9" fillId="24" borderId="0" applyAlignment="1">
      <alignment horizontal="general" vertical="bottom"/>
    </xf>
    <xf numFmtId="0" fontId="9" fillId="24" borderId="0" applyAlignment="1">
      <alignment horizontal="general" vertical="bottom"/>
    </xf>
    <xf numFmtId="0" fontId="9" fillId="24" borderId="0" applyAlignment="1">
      <alignment horizontal="general" vertical="bottom"/>
    </xf>
    <xf numFmtId="0" fontId="9" fillId="24" borderId="0" applyAlignment="1">
      <alignment horizontal="general" vertical="bottom"/>
    </xf>
    <xf numFmtId="0" fontId="9" fillId="24" borderId="0" applyAlignment="1">
      <alignment horizontal="general" vertical="bottom"/>
    </xf>
    <xf numFmtId="0" fontId="7" fillId="15" borderId="0" applyAlignment="1">
      <alignment horizontal="general" vertical="bottom"/>
    </xf>
    <xf numFmtId="0" fontId="7" fillId="15" borderId="0" applyAlignment="1">
      <alignment horizontal="general" vertical="bottom"/>
    </xf>
    <xf numFmtId="0" fontId="7" fillId="15" borderId="0" applyAlignment="1">
      <alignment horizontal="general" vertical="bottom"/>
    </xf>
    <xf numFmtId="0" fontId="15" fillId="0" borderId="0" applyAlignment="1" applyProtection="1">
      <alignment horizontal="general" vertical="top"/>
      <protection locked="0" hidden="0"/>
    </xf>
    <xf numFmtId="177" fontId="17" fillId="0" borderId="0" applyAlignment="1">
      <alignment horizontal="general" vertical="bottom"/>
    </xf>
    <xf numFmtId="178" fontId="17" fillId="0" borderId="0" applyAlignment="1">
      <alignment horizontal="general" vertical="bottom"/>
    </xf>
    <xf numFmtId="0" fontId="27" fillId="3" borderId="0" applyAlignment="1">
      <alignment horizontal="general" vertical="bottom"/>
    </xf>
    <xf numFmtId="0" fontId="7" fillId="3" borderId="0" applyAlignment="1">
      <alignment horizontal="general" vertical="bottom"/>
    </xf>
    <xf numFmtId="0" fontId="28" fillId="19" borderId="2" applyAlignment="1">
      <alignment horizontal="general" vertical="bottom"/>
    </xf>
    <xf numFmtId="0" fontId="7" fillId="14" borderId="3" applyAlignment="1">
      <alignment horizontal="general" vertical="bottom"/>
    </xf>
    <xf numFmtId="0" fontId="29" fillId="20" borderId="4" applyAlignment="1">
      <alignment horizontal="general" vertical="bottom"/>
    </xf>
    <xf numFmtId="0" fontId="7" fillId="0" borderId="0" applyAlignment="1">
      <alignment horizontal="general" vertical="bottom"/>
    </xf>
    <xf numFmtId="1" fontId="30" fillId="25" borderId="5" applyAlignment="1">
      <alignment horizontal="right" vertical="center"/>
    </xf>
    <xf numFmtId="0" fontId="31" fillId="25" borderId="5" applyAlignment="1">
      <alignment horizontal="right" vertical="center"/>
    </xf>
    <xf numFmtId="0" fontId="21" fillId="25" borderId="6" applyAlignment="1">
      <alignment horizontal="general" vertical="bottom"/>
    </xf>
    <xf numFmtId="0" fontId="21" fillId="25" borderId="6" applyAlignment="1">
      <alignment horizontal="general" vertical="bottom"/>
    </xf>
    <xf numFmtId="0" fontId="30" fillId="19" borderId="5" applyAlignment="1">
      <alignment horizontal="center" vertical="center"/>
    </xf>
    <xf numFmtId="1" fontId="30" fillId="25" borderId="5" applyAlignment="1">
      <alignment horizontal="right" vertical="center"/>
    </xf>
    <xf numFmtId="0" fontId="21" fillId="25" borderId="0" applyAlignment="1">
      <alignment horizontal="general" vertical="bottom"/>
    </xf>
    <xf numFmtId="0" fontId="21" fillId="25" borderId="0" applyAlignment="1">
      <alignment horizontal="general" vertical="bottom"/>
    </xf>
    <xf numFmtId="0" fontId="32" fillId="25" borderId="5" applyAlignment="1">
      <alignment horizontal="left" vertical="center"/>
    </xf>
    <xf numFmtId="0" fontId="32" fillId="25" borderId="5" applyAlignment="1">
      <alignment horizontal="general" vertical="bottom"/>
    </xf>
    <xf numFmtId="0" fontId="31" fillId="25" borderId="5" applyAlignment="1">
      <alignment horizontal="right" vertical="center"/>
    </xf>
    <xf numFmtId="0" fontId="33" fillId="26" borderId="5" applyAlignment="1">
      <alignment horizontal="left" vertical="center"/>
    </xf>
    <xf numFmtId="0" fontId="33" fillId="26" borderId="5" applyAlignment="1">
      <alignment horizontal="left" vertical="center"/>
    </xf>
    <xf numFmtId="0" fontId="34" fillId="25" borderId="5" applyAlignment="1">
      <alignment horizontal="left" vertical="center"/>
    </xf>
    <xf numFmtId="0" fontId="35" fillId="25" borderId="6" applyAlignment="1">
      <alignment horizontal="general" vertical="bottom"/>
    </xf>
    <xf numFmtId="0" fontId="30" fillId="18" borderId="5" applyAlignment="1">
      <alignment horizontal="left" vertical="center"/>
    </xf>
    <xf numFmtId="179" fontId="36" fillId="0" borderId="0" applyAlignment="1">
      <alignment horizontal="general" vertical="bottom"/>
    </xf>
    <xf numFmtId="180" fontId="37" fillId="0" borderId="0" applyAlignment="1">
      <alignment horizontal="general" vertical="bottom"/>
    </xf>
    <xf numFmtId="180" fontId="37" fillId="0" borderId="0" applyAlignment="1">
      <alignment horizontal="general" vertical="bottom"/>
    </xf>
    <xf numFmtId="180" fontId="37" fillId="0" borderId="0" applyAlignment="1">
      <alignment horizontal="general" vertical="bottom"/>
    </xf>
    <xf numFmtId="180" fontId="37" fillId="0" borderId="0" applyAlignment="1">
      <alignment horizontal="general" vertical="bottom"/>
    </xf>
    <xf numFmtId="179" fontId="38" fillId="0" borderId="0" applyAlignment="1">
      <alignment horizontal="general" vertical="bottom"/>
    </xf>
    <xf numFmtId="181" fontId="39" fillId="0" borderId="0" applyAlignment="1">
      <alignment horizontal="general" vertical="bottom"/>
    </xf>
    <xf numFmtId="181" fontId="39" fillId="0" borderId="0" applyAlignment="1">
      <alignment horizontal="general" vertical="bottom"/>
    </xf>
    <xf numFmtId="181" fontId="36" fillId="0" borderId="0" applyAlignment="1">
      <alignment horizontal="general" vertical="bottom"/>
    </xf>
    <xf numFmtId="180" fontId="36" fillId="0" borderId="0" applyAlignment="1">
      <alignment horizontal="general" vertical="bottom"/>
    </xf>
    <xf numFmtId="180" fontId="36" fillId="0" borderId="0" applyAlignment="1">
      <alignment horizontal="general" vertical="bottom"/>
    </xf>
    <xf numFmtId="180" fontId="40" fillId="0" borderId="0" applyAlignment="1">
      <alignment horizontal="general" vertical="bottom"/>
    </xf>
    <xf numFmtId="180" fontId="40" fillId="0" borderId="0" applyAlignment="1">
      <alignment horizontal="general" vertical="bottom"/>
    </xf>
    <xf numFmtId="179" fontId="36" fillId="0" borderId="0" applyAlignment="1">
      <alignment horizontal="general" vertical="bottom"/>
    </xf>
    <xf numFmtId="4" fontId="21" fillId="0" borderId="0" applyAlignment="1">
      <alignment horizontal="general" vertical="bottom"/>
    </xf>
    <xf numFmtId="4" fontId="21" fillId="0" borderId="0" applyAlignment="1">
      <alignment horizontal="general" vertical="bottom"/>
    </xf>
    <xf numFmtId="180" fontId="36" fillId="0" borderId="0" applyAlignment="1">
      <alignment horizontal="general" vertical="bottom"/>
    </xf>
    <xf numFmtId="180" fontId="36" fillId="0" borderId="0" applyAlignment="1">
      <alignment horizontal="general" vertical="bottom"/>
    </xf>
    <xf numFmtId="180" fontId="36" fillId="0" borderId="0" applyAlignment="1">
      <alignment horizontal="general" vertical="bottom"/>
    </xf>
    <xf numFmtId="180" fontId="36" fillId="0" borderId="0" applyAlignment="1">
      <alignment horizontal="general" vertical="bottom"/>
    </xf>
    <xf numFmtId="180" fontId="36" fillId="0" borderId="0" applyAlignment="1">
      <alignment horizontal="general" vertical="bottom"/>
    </xf>
    <xf numFmtId="180" fontId="36" fillId="0" borderId="0" applyAlignment="1">
      <alignment horizontal="general" vertical="bottom"/>
    </xf>
    <xf numFmtId="179" fontId="36" fillId="0" borderId="0" applyAlignment="1">
      <alignment horizontal="general" vertical="bottom"/>
    </xf>
    <xf numFmtId="179" fontId="36" fillId="0" borderId="0" applyAlignment="1">
      <alignment horizontal="general" vertical="bottom"/>
    </xf>
    <xf numFmtId="182" fontId="41" fillId="0" borderId="0" applyAlignment="1">
      <alignment horizontal="general" vertical="bottom"/>
    </xf>
    <xf numFmtId="183" fontId="41" fillId="0" borderId="0" applyAlignment="1">
      <alignment horizontal="general" vertical="bottom"/>
    </xf>
    <xf numFmtId="183" fontId="41" fillId="0" borderId="0" applyAlignment="1">
      <alignment horizontal="general" vertical="bottom"/>
    </xf>
    <xf numFmtId="184" fontId="41" fillId="0" borderId="0" applyAlignment="1">
      <alignment horizontal="general" vertical="bottom"/>
    </xf>
    <xf numFmtId="3" fontId="21" fillId="0" borderId="0" applyAlignment="1">
      <alignment horizontal="general" vertical="bottom"/>
    </xf>
    <xf numFmtId="3" fontId="20" fillId="0" borderId="0" applyAlignment="1">
      <alignment horizontal="general" vertical="bottom"/>
    </xf>
    <xf numFmtId="3" fontId="21" fillId="0" borderId="0" applyAlignment="1">
      <alignment horizontal="general" vertical="bottom"/>
    </xf>
    <xf numFmtId="0" fontId="42" fillId="0" borderId="0" applyAlignment="1">
      <alignment horizontal="general" vertical="bottom"/>
    </xf>
    <xf numFmtId="0" fontId="43" fillId="0" borderId="0" applyAlignment="1">
      <alignment horizontal="general" vertical="bottom"/>
    </xf>
    <xf numFmtId="185" fontId="20" fillId="0" borderId="0" applyAlignment="1">
      <alignment horizontal="general" vertical="bottom"/>
    </xf>
    <xf numFmtId="186" fontId="21" fillId="0" borderId="0" applyAlignment="1">
      <alignment horizontal="general" vertical="bottom"/>
    </xf>
    <xf numFmtId="186" fontId="20" fillId="0" borderId="0" applyAlignment="1">
      <alignment horizontal="general" vertical="bottom"/>
    </xf>
    <xf numFmtId="186" fontId="21" fillId="0" borderId="0" applyAlignment="1">
      <alignment horizontal="general" vertical="bottom"/>
    </xf>
    <xf numFmtId="0" fontId="44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7" fillId="27" borderId="0" applyAlignment="1">
      <alignment horizontal="general" vertical="bottom"/>
    </xf>
    <xf numFmtId="0" fontId="7" fillId="28" borderId="0" applyAlignment="1">
      <alignment horizontal="general" vertical="bottom"/>
    </xf>
    <xf numFmtId="0" fontId="7" fillId="29" borderId="0" applyAlignment="1">
      <alignment horizontal="general" vertical="bottom"/>
    </xf>
    <xf numFmtId="187" fontId="21" fillId="0" borderId="0" applyAlignment="1">
      <alignment horizontal="general" vertical="bottom"/>
    </xf>
    <xf numFmtId="188" fontId="37" fillId="0" borderId="0" applyAlignment="1">
      <alignment horizontal="general" vertical="bottom"/>
    </xf>
    <xf numFmtId="187" fontId="21" fillId="0" borderId="0" applyAlignment="1">
      <alignment horizontal="general" vertical="bottom"/>
    </xf>
    <xf numFmtId="189" fontId="45" fillId="0" borderId="0" applyAlignment="1">
      <alignment horizontal="general" vertical="bottom"/>
    </xf>
    <xf numFmtId="0" fontId="46" fillId="0" borderId="0" applyAlignment="1">
      <alignment horizontal="general" vertical="bottom"/>
    </xf>
    <xf numFmtId="190" fontId="23" fillId="0" borderId="0" applyAlignment="1" applyProtection="1">
      <alignment horizontal="general" vertical="bottom"/>
      <protection locked="0" hidden="0"/>
    </xf>
    <xf numFmtId="190" fontId="22" fillId="0" borderId="0" applyAlignment="1" applyProtection="1">
      <alignment horizontal="general" vertical="bottom"/>
      <protection locked="0" hidden="0"/>
    </xf>
    <xf numFmtId="190" fontId="23" fillId="0" borderId="0" applyAlignment="1" applyProtection="1">
      <alignment horizontal="general" vertical="bottom"/>
      <protection locked="0" hidden="0"/>
    </xf>
    <xf numFmtId="190" fontId="22" fillId="0" borderId="0" applyAlignment="1" applyProtection="1">
      <alignment horizontal="general" vertical="bottom"/>
      <protection locked="0" hidden="0"/>
    </xf>
    <xf numFmtId="190" fontId="47" fillId="0" borderId="0" applyAlignment="1" applyProtection="1">
      <alignment horizontal="general" vertical="bottom"/>
      <protection locked="0" hidden="0"/>
    </xf>
    <xf numFmtId="190" fontId="48" fillId="0" borderId="0" applyAlignment="1" applyProtection="1">
      <alignment horizontal="general" vertical="bottom"/>
      <protection locked="0" hidden="0"/>
    </xf>
    <xf numFmtId="190" fontId="23" fillId="0" borderId="0" applyAlignment="1" applyProtection="1">
      <alignment horizontal="general" vertical="bottom"/>
      <protection locked="0" hidden="0"/>
    </xf>
    <xf numFmtId="190" fontId="22" fillId="0" borderId="0" applyAlignment="1" applyProtection="1">
      <alignment horizontal="general" vertical="bottom"/>
      <protection locked="0" hidden="0"/>
    </xf>
    <xf numFmtId="190" fontId="23" fillId="0" borderId="0" applyAlignment="1" applyProtection="1">
      <alignment horizontal="general" vertical="bottom"/>
      <protection locked="0" hidden="0"/>
    </xf>
    <xf numFmtId="190" fontId="22" fillId="0" borderId="0" applyAlignment="1" applyProtection="1">
      <alignment horizontal="general" vertical="bottom"/>
      <protection locked="0" hidden="0"/>
    </xf>
    <xf numFmtId="190" fontId="23" fillId="0" borderId="0" applyAlignment="1" applyProtection="1">
      <alignment horizontal="general" vertical="bottom"/>
      <protection locked="0" hidden="0"/>
    </xf>
    <xf numFmtId="190" fontId="22" fillId="0" borderId="0" applyAlignment="1" applyProtection="1">
      <alignment horizontal="general" vertical="bottom"/>
      <protection locked="0" hidden="0"/>
    </xf>
    <xf numFmtId="190" fontId="49" fillId="0" borderId="0" applyAlignment="1" applyProtection="1">
      <alignment horizontal="general" vertical="bottom"/>
      <protection locked="0" hidden="0"/>
    </xf>
    <xf numFmtId="190" fontId="50" fillId="0" borderId="0" applyAlignment="1" applyProtection="1">
      <alignment horizontal="general" vertical="bottom"/>
      <protection locked="0" hidden="0"/>
    </xf>
    <xf numFmtId="2" fontId="44" fillId="0" borderId="0" applyAlignment="1">
      <alignment horizontal="general" vertical="bottom"/>
    </xf>
    <xf numFmtId="2" fontId="20" fillId="0" borderId="0" applyAlignment="1">
      <alignment horizontal="general" vertical="bottom"/>
    </xf>
    <xf numFmtId="0" fontId="51" fillId="4" borderId="0" applyAlignment="1">
      <alignment horizontal="general" vertical="bottom"/>
    </xf>
    <xf numFmtId="0" fontId="7" fillId="4" borderId="0" applyAlignment="1">
      <alignment horizontal="general" vertical="bottom"/>
    </xf>
    <xf numFmtId="191" fontId="52" fillId="19" borderId="0" applyAlignment="1">
      <alignment horizontal="general" vertical="bottom"/>
    </xf>
    <xf numFmtId="0" fontId="53" fillId="0" borderId="0" applyAlignment="1">
      <alignment horizontal="general" vertical="bottom"/>
    </xf>
    <xf numFmtId="0" fontId="54" fillId="0" borderId="0" applyAlignment="1">
      <alignment horizontal="general" vertical="bottom"/>
    </xf>
    <xf numFmtId="0" fontId="55" fillId="0" borderId="7" applyAlignment="1">
      <alignment horizontal="general" vertical="bottom"/>
    </xf>
    <xf numFmtId="0" fontId="7" fillId="0" borderId="8" applyAlignment="1">
      <alignment horizontal="general" vertical="bottom"/>
    </xf>
    <xf numFmtId="0" fontId="55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44" fillId="0" borderId="0" applyAlignment="1">
      <alignment horizontal="general" vertical="bottom"/>
    </xf>
    <xf numFmtId="0" fontId="56" fillId="0" borderId="0" applyAlignment="1">
      <alignment horizontal="general" vertical="bottom"/>
    </xf>
    <xf numFmtId="0" fontId="57" fillId="0" borderId="0" applyAlignment="1" applyProtection="1">
      <alignment horizontal="general" vertical="top"/>
      <protection locked="0" hidden="0"/>
    </xf>
    <xf numFmtId="0" fontId="58" fillId="0" borderId="0" applyAlignment="1" applyProtection="1">
      <alignment horizontal="general" vertical="top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0" fontId="59" fillId="0" borderId="0" applyAlignment="1">
      <alignment horizontal="general" vertical="bottom"/>
    </xf>
    <xf numFmtId="172" fontId="60" fillId="0" borderId="0" applyAlignment="1" applyProtection="1">
      <alignment horizontal="general" vertical="bottom"/>
      <protection locked="0" hidden="0"/>
    </xf>
    <xf numFmtId="172" fontId="61" fillId="0" borderId="0" applyAlignment="1" applyProtection="1">
      <alignment horizontal="general" vertical="bottom"/>
      <protection locked="0" hidden="0"/>
    </xf>
    <xf numFmtId="192" fontId="4" fillId="0" borderId="0" applyAlignment="1">
      <alignment horizontal="general" vertical="bottom"/>
    </xf>
    <xf numFmtId="192" fontId="5" fillId="0" borderId="0" applyAlignment="1">
      <alignment horizontal="general" vertical="bottom"/>
    </xf>
    <xf numFmtId="3" fontId="4" fillId="0" borderId="0" applyAlignment="1">
      <alignment horizontal="general" vertical="bottom"/>
    </xf>
    <xf numFmtId="0" fontId="16" fillId="0" borderId="0" applyAlignment="1" applyProtection="1">
      <alignment horizontal="general" vertical="top"/>
      <protection locked="0" hidden="0"/>
    </xf>
    <xf numFmtId="0" fontId="7" fillId="8" borderId="9" applyAlignment="1">
      <alignment horizontal="general" vertical="bottom"/>
    </xf>
    <xf numFmtId="0" fontId="62" fillId="7" borderId="2" applyAlignment="1">
      <alignment horizontal="general" vertical="bottom"/>
    </xf>
    <xf numFmtId="0" fontId="62" fillId="7" borderId="2" applyAlignment="1">
      <alignment horizontal="general" vertical="bottom"/>
    </xf>
    <xf numFmtId="0" fontId="62" fillId="7" borderId="2" applyAlignment="1">
      <alignment horizontal="general" vertical="bottom"/>
    </xf>
    <xf numFmtId="0" fontId="62" fillId="7" borderId="2" applyAlignment="1">
      <alignment horizontal="general" vertical="bottom"/>
    </xf>
    <xf numFmtId="0" fontId="62" fillId="7" borderId="2" applyAlignment="1">
      <alignment horizontal="general" vertical="bottom"/>
    </xf>
    <xf numFmtId="0" fontId="7" fillId="8" borderId="9" applyAlignment="1">
      <alignment horizontal="general" vertical="bottom"/>
    </xf>
    <xf numFmtId="0" fontId="7" fillId="8" borderId="9" applyAlignment="1">
      <alignment horizontal="general" vertical="bottom"/>
    </xf>
    <xf numFmtId="0" fontId="7" fillId="8" borderId="9" applyAlignment="1">
      <alignment horizontal="general" vertical="bottom"/>
    </xf>
    <xf numFmtId="10" fontId="52" fillId="18" borderId="5" applyAlignment="1">
      <alignment horizontal="general" vertical="bottom"/>
    </xf>
    <xf numFmtId="0" fontId="63" fillId="0" borderId="10" applyAlignment="1">
      <alignment horizontal="general" vertical="bottom"/>
    </xf>
    <xf numFmtId="0" fontId="20" fillId="30" borderId="11" applyAlignment="1">
      <alignment horizontal="general" vertical="bottom"/>
    </xf>
    <xf numFmtId="183" fontId="36" fillId="0" borderId="0" applyAlignment="1">
      <alignment horizontal="general" vertical="bottom"/>
    </xf>
    <xf numFmtId="180" fontId="36" fillId="0" borderId="0" applyAlignment="1">
      <alignment horizontal="general" vertical="bottom"/>
    </xf>
    <xf numFmtId="183" fontId="20" fillId="0" borderId="0" applyAlignment="1">
      <alignment horizontal="general" vertical="bottom"/>
    </xf>
    <xf numFmtId="180" fontId="20" fillId="0" borderId="0" applyAlignment="1">
      <alignment horizontal="general" vertical="bottom"/>
    </xf>
    <xf numFmtId="193" fontId="36" fillId="0" borderId="0" applyAlignment="1">
      <alignment horizontal="general" vertical="bottom"/>
    </xf>
    <xf numFmtId="194" fontId="36" fillId="0" borderId="0" applyAlignment="1">
      <alignment horizontal="general" vertical="bottom"/>
    </xf>
    <xf numFmtId="193" fontId="20" fillId="0" borderId="0" applyAlignment="1">
      <alignment horizontal="general" vertical="bottom"/>
    </xf>
    <xf numFmtId="194" fontId="20" fillId="0" borderId="0" applyAlignment="1">
      <alignment horizontal="general" vertical="bottom"/>
    </xf>
    <xf numFmtId="192" fontId="64" fillId="0" borderId="0" applyAlignment="1">
      <alignment horizontal="general" vertical="bottom"/>
    </xf>
    <xf numFmtId="0" fontId="65" fillId="30" borderId="0" applyAlignment="1">
      <alignment horizontal="general" vertical="bottom"/>
    </xf>
    <xf numFmtId="0" fontId="7" fillId="30" borderId="0" applyAlignment="1">
      <alignment horizontal="general" vertical="bottom"/>
    </xf>
    <xf numFmtId="0" fontId="66" fillId="0" borderId="0" applyAlignment="1">
      <alignment horizontal="general" vertical="bottom"/>
    </xf>
    <xf numFmtId="0" fontId="64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67" fillId="0" borderId="0" applyAlignment="1">
      <alignment horizontal="general" vertical="bottom"/>
    </xf>
    <xf numFmtId="0" fontId="38" fillId="0" borderId="0" applyAlignment="1">
      <alignment horizontal="general" vertical="bottom"/>
    </xf>
    <xf numFmtId="0" fontId="36" fillId="0" borderId="0" applyAlignment="1">
      <alignment horizontal="general" vertical="bottom"/>
    </xf>
    <xf numFmtId="0" fontId="36" fillId="0" borderId="0" applyAlignment="1">
      <alignment horizontal="general" vertical="bottom"/>
    </xf>
    <xf numFmtId="0" fontId="39" fillId="0" borderId="0" applyAlignment="1">
      <alignment horizontal="general" vertical="bottom"/>
    </xf>
    <xf numFmtId="0" fontId="39" fillId="0" borderId="0" applyAlignment="1">
      <alignment horizontal="general" vertical="bottom"/>
    </xf>
    <xf numFmtId="0" fontId="36" fillId="0" borderId="0" applyAlignment="1">
      <alignment horizontal="general" vertical="bottom"/>
    </xf>
    <xf numFmtId="0" fontId="36" fillId="0" borderId="0" applyAlignment="1">
      <alignment horizontal="general" vertical="top"/>
    </xf>
    <xf numFmtId="0" fontId="21" fillId="0" borderId="0" applyAlignment="1">
      <alignment horizontal="general" vertical="bottom"/>
    </xf>
    <xf numFmtId="0" fontId="68" fillId="0" borderId="0" applyAlignment="1">
      <alignment horizontal="general" vertical="bottom"/>
    </xf>
    <xf numFmtId="0" fontId="36" fillId="0" borderId="0" applyAlignment="1">
      <alignment horizontal="general" vertical="bottom"/>
    </xf>
    <xf numFmtId="0" fontId="36" fillId="0" borderId="0" applyAlignment="1">
      <alignment horizontal="general" vertical="bottom"/>
    </xf>
    <xf numFmtId="0" fontId="36" fillId="0" borderId="0" applyAlignment="1">
      <alignment horizontal="general" vertical="bottom"/>
    </xf>
    <xf numFmtId="0" fontId="36" fillId="0" borderId="0" applyAlignment="1">
      <alignment horizontal="general" vertical="bottom"/>
    </xf>
    <xf numFmtId="0" fontId="36" fillId="0" borderId="0" applyAlignment="1">
      <alignment horizontal="general" vertical="bottom"/>
    </xf>
    <xf numFmtId="0" fontId="36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17" fillId="18" borderId="12" applyAlignment="1">
      <alignment horizontal="general" vertical="bottom"/>
    </xf>
    <xf numFmtId="0" fontId="69" fillId="18" borderId="12" applyAlignment="1">
      <alignment horizontal="general" vertical="bottom"/>
    </xf>
    <xf numFmtId="0" fontId="20" fillId="18" borderId="12" applyAlignment="1">
      <alignment horizontal="general" vertical="bottom"/>
    </xf>
    <xf numFmtId="195" fontId="17" fillId="0" borderId="0" applyAlignment="1">
      <alignment horizontal="general" vertical="bottom"/>
    </xf>
    <xf numFmtId="196" fontId="17" fillId="0" borderId="0" applyAlignment="1">
      <alignment horizontal="general" vertical="bottom"/>
    </xf>
    <xf numFmtId="195" fontId="17" fillId="0" borderId="0" applyAlignment="1">
      <alignment horizontal="general" vertical="bottom"/>
    </xf>
    <xf numFmtId="196" fontId="17" fillId="0" borderId="0" applyAlignment="1">
      <alignment horizontal="general" vertical="bottom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6" fillId="0" borderId="0" applyAlignment="1" applyProtection="1">
      <alignment horizontal="general" vertical="bottom"/>
      <protection locked="0" hidden="0"/>
    </xf>
    <xf numFmtId="172" fontId="25" fillId="0" borderId="0" applyAlignment="1" applyProtection="1">
      <alignment horizontal="general" vertical="bottom"/>
      <protection locked="0" hidden="0"/>
    </xf>
    <xf numFmtId="0" fontId="70" fillId="19" borderId="13" applyAlignment="1">
      <alignment horizontal="general" vertical="bottom"/>
    </xf>
    <xf numFmtId="0" fontId="7" fillId="31" borderId="14" applyAlignment="1">
      <alignment horizontal="general" vertical="bottom"/>
    </xf>
    <xf numFmtId="9" fontId="37" fillId="0" borderId="0" applyAlignment="1">
      <alignment horizontal="general" vertical="bottom"/>
    </xf>
    <xf numFmtId="10" fontId="20" fillId="0" borderId="0" applyAlignment="1">
      <alignment horizontal="general" vertical="bottom"/>
    </xf>
    <xf numFmtId="10" fontId="20" fillId="0" borderId="0" applyAlignment="1">
      <alignment horizontal="general" vertical="bottom"/>
    </xf>
    <xf numFmtId="10" fontId="20" fillId="0" borderId="0" applyAlignment="1">
      <alignment horizontal="general" vertical="bottom"/>
    </xf>
    <xf numFmtId="9" fontId="36" fillId="0" borderId="0" applyAlignment="1">
      <alignment horizontal="general" vertical="bottom"/>
    </xf>
    <xf numFmtId="9" fontId="36" fillId="0" borderId="0" applyAlignment="1">
      <alignment horizontal="general" vertical="bottom"/>
    </xf>
    <xf numFmtId="10" fontId="20" fillId="0" borderId="0" applyAlignment="1">
      <alignment horizontal="general" vertical="bottom"/>
    </xf>
    <xf numFmtId="197" fontId="5" fillId="0" borderId="0" applyAlignment="1">
      <alignment horizontal="general" vertical="bottom"/>
    </xf>
    <xf numFmtId="198" fontId="4" fillId="0" borderId="0" applyAlignment="1">
      <alignment horizontal="general" vertical="bottom"/>
    </xf>
    <xf numFmtId="199" fontId="4" fillId="0" borderId="0" applyAlignment="1">
      <alignment horizontal="general" vertical="bottom"/>
    </xf>
    <xf numFmtId="0" fontId="71" fillId="25" borderId="0" applyAlignment="1">
      <alignment horizontal="left" vertical="top"/>
    </xf>
    <xf numFmtId="0" fontId="72" fillId="25" borderId="0" applyAlignment="1">
      <alignment horizontal="center" vertical="center"/>
    </xf>
    <xf numFmtId="0" fontId="73" fillId="25" borderId="0" applyAlignment="1">
      <alignment horizontal="center" vertical="top"/>
    </xf>
    <xf numFmtId="0" fontId="73" fillId="25" borderId="0" applyAlignment="1">
      <alignment horizontal="center" vertical="top"/>
    </xf>
    <xf numFmtId="0" fontId="73" fillId="25" borderId="0" applyAlignment="1">
      <alignment horizontal="center" vertical="top"/>
    </xf>
    <xf numFmtId="0" fontId="73" fillId="25" borderId="0" applyAlignment="1">
      <alignment horizontal="left" vertical="top"/>
    </xf>
    <xf numFmtId="0" fontId="73" fillId="25" borderId="0" applyAlignment="1">
      <alignment horizontal="right" vertical="center"/>
    </xf>
    <xf numFmtId="0" fontId="73" fillId="25" borderId="0" applyAlignment="1">
      <alignment horizontal="right" vertical="center"/>
    </xf>
    <xf numFmtId="0" fontId="17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74" fillId="0" borderId="0" applyAlignment="1">
      <alignment horizontal="general" vertical="bottom"/>
    </xf>
    <xf numFmtId="0" fontId="75" fillId="0" borderId="0" applyAlignment="1">
      <alignment horizontal="general" vertical="bottom"/>
    </xf>
    <xf numFmtId="0" fontId="20" fillId="0" borderId="15" applyAlignment="1">
      <alignment horizontal="general" vertical="bottom"/>
    </xf>
    <xf numFmtId="0" fontId="76" fillId="0" borderId="0" applyAlignment="1">
      <alignment horizontal="general" vertical="bottom"/>
    </xf>
    <xf numFmtId="0" fontId="7" fillId="0" borderId="0" applyAlignment="1">
      <alignment horizontal="general" vertical="bottom"/>
    </xf>
    <xf numFmtId="193" fontId="20" fillId="0" borderId="0" applyAlignment="1">
      <alignment horizontal="general" vertical="bottom"/>
    </xf>
    <xf numFmtId="194" fontId="20" fillId="0" borderId="0" applyAlignment="1">
      <alignment horizontal="general" vertical="bottom"/>
    </xf>
    <xf numFmtId="172" fontId="22" fillId="0" borderId="0" applyAlignment="1" applyProtection="1">
      <alignment horizontal="general" vertical="bottom"/>
      <protection locked="0" hidden="0"/>
    </xf>
    <xf numFmtId="200" fontId="77" fillId="0" borderId="0" applyAlignment="1" applyProtection="1">
      <alignment horizontal="general" vertical="bottom"/>
      <protection locked="0" hidden="0"/>
    </xf>
    <xf numFmtId="0" fontId="18" fillId="0" borderId="0" applyAlignment="1" applyProtection="1">
      <alignment horizontal="general" vertical="bottom"/>
      <protection locked="0" hidden="0"/>
    </xf>
    <xf numFmtId="172" fontId="78" fillId="0" borderId="0" applyAlignment="1" applyProtection="1">
      <alignment horizontal="general" vertical="bottom"/>
      <protection locked="0" hidden="0"/>
    </xf>
    <xf numFmtId="172" fontId="79" fillId="0" borderId="0" applyAlignment="1" applyProtection="1">
      <alignment horizontal="general" vertical="bottom"/>
      <protection locked="0" hidden="0"/>
    </xf>
    <xf numFmtId="172" fontId="78" fillId="0" borderId="0" applyAlignment="1" applyProtection="1">
      <alignment horizontal="general" vertical="bottom"/>
      <protection locked="0" hidden="0"/>
    </xf>
    <xf numFmtId="172" fontId="80" fillId="0" borderId="0" applyAlignment="1" applyProtection="1">
      <alignment horizontal="general" vertical="bottom"/>
      <protection locked="0" hidden="0"/>
    </xf>
    <xf numFmtId="172" fontId="22" fillId="0" borderId="0" applyAlignment="1" applyProtection="1">
      <alignment horizontal="general" vertical="bottom"/>
      <protection locked="0" hidden="0"/>
    </xf>
    <xf numFmtId="176" fontId="77" fillId="0" borderId="0" applyAlignment="1" applyProtection="1">
      <alignment horizontal="general" vertical="bottom"/>
      <protection locked="0" hidden="0"/>
    </xf>
    <xf numFmtId="0" fontId="18" fillId="0" borderId="0" applyAlignment="1" applyProtection="1">
      <alignment horizontal="general" vertical="bottom"/>
      <protection locked="0" hidden="0"/>
    </xf>
    <xf numFmtId="176" fontId="24" fillId="0" borderId="0" applyAlignment="1" applyProtection="1">
      <alignment horizontal="general" vertical="bottom"/>
      <protection locked="0" hidden="0"/>
    </xf>
    <xf numFmtId="0" fontId="18" fillId="0" borderId="0" applyAlignment="1" applyProtection="1">
      <alignment horizontal="general" vertical="bottom"/>
      <protection locked="0" hidden="0"/>
    </xf>
    <xf numFmtId="176" fontId="24" fillId="0" borderId="0" applyAlignment="1" applyProtection="1">
      <alignment horizontal="general" vertical="bottom"/>
      <protection locked="0" hidden="0"/>
    </xf>
    <xf numFmtId="175" fontId="24" fillId="0" borderId="0" applyAlignment="1" applyProtection="1">
      <alignment horizontal="general" vertical="bottom"/>
      <protection locked="0" hidden="0"/>
    </xf>
    <xf numFmtId="0" fontId="18" fillId="0" borderId="0" applyAlignment="1" applyProtection="1">
      <alignment horizontal="general" vertical="bottom"/>
      <protection locked="0" hidden="0"/>
    </xf>
    <xf numFmtId="175" fontId="24" fillId="0" borderId="0" applyAlignment="1" applyProtection="1">
      <alignment horizontal="general" vertical="bottom"/>
      <protection locked="0" hidden="0"/>
    </xf>
    <xf numFmtId="172" fontId="22" fillId="0" borderId="0" applyAlignment="1" applyProtection="1">
      <alignment horizontal="general" vertical="bottom"/>
      <protection locked="0" hidden="0"/>
    </xf>
    <xf numFmtId="172" fontId="23" fillId="0" borderId="0" applyAlignment="1" applyProtection="1">
      <alignment horizontal="general" vertical="bottom"/>
      <protection locked="0" hidden="0"/>
    </xf>
    <xf numFmtId="172" fontId="22" fillId="0" borderId="0" applyAlignment="1" applyProtection="1">
      <alignment horizontal="general" vertical="bottom"/>
      <protection locked="0" hidden="0"/>
    </xf>
    <xf numFmtId="172" fontId="22" fillId="0" borderId="0" applyAlignment="1" applyProtection="1">
      <alignment horizontal="general" vertical="bottom"/>
      <protection locked="0" hidden="0"/>
    </xf>
    <xf numFmtId="172" fontId="23" fillId="0" borderId="0" applyAlignment="1" applyProtection="1">
      <alignment horizontal="general" vertical="bottom"/>
      <protection locked="0" hidden="0"/>
    </xf>
    <xf numFmtId="172" fontId="22" fillId="0" borderId="0" applyAlignment="1" applyProtection="1">
      <alignment horizontal="general" vertical="bottom"/>
      <protection locked="0" hidden="0"/>
    </xf>
    <xf numFmtId="172" fontId="23" fillId="0" borderId="0" applyAlignment="1" applyProtection="1">
      <alignment horizontal="general" vertical="bottom"/>
      <protection locked="0" hidden="0"/>
    </xf>
    <xf numFmtId="172" fontId="23" fillId="0" borderId="0" applyAlignment="1" applyProtection="1">
      <alignment horizontal="general" vertical="bottom"/>
      <protection locked="0" hidden="0"/>
    </xf>
    <xf numFmtId="172" fontId="23" fillId="0" borderId="0" applyAlignment="1" applyProtection="1">
      <alignment horizontal="general" vertical="bottom"/>
      <protection locked="0" hidden="0"/>
    </xf>
    <xf numFmtId="172" fontId="22" fillId="0" borderId="0" applyAlignment="1" applyProtection="1">
      <alignment horizontal="general" vertical="bottom"/>
      <protection locked="0" hidden="0"/>
    </xf>
    <xf numFmtId="172" fontId="22" fillId="0" borderId="0" applyAlignment="1" applyProtection="1">
      <alignment horizontal="general" vertical="bottom"/>
      <protection locked="0" hidden="0"/>
    </xf>
    <xf numFmtId="172" fontId="23" fillId="0" borderId="0" applyAlignment="1" applyProtection="1">
      <alignment horizontal="general" vertical="bottom"/>
      <protection locked="0" hidden="0"/>
    </xf>
    <xf numFmtId="172" fontId="23" fillId="0" borderId="1" applyAlignment="1" applyProtection="1">
      <alignment horizontal="general" vertical="bottom"/>
      <protection locked="0" hidden="0"/>
    </xf>
    <xf numFmtId="201" fontId="19" fillId="0" borderId="1" applyAlignment="1" applyProtection="1">
      <alignment horizontal="general" vertical="bottom"/>
      <protection locked="0" hidden="0"/>
    </xf>
    <xf numFmtId="172" fontId="22" fillId="0" borderId="0" applyAlignment="1" applyProtection="1">
      <alignment horizontal="general" vertical="bottom"/>
      <protection locked="0" hidden="0"/>
    </xf>
    <xf numFmtId="202" fontId="77" fillId="0" borderId="0" applyAlignment="1" applyProtection="1">
      <alignment horizontal="general" vertical="bottom"/>
      <protection locked="0" hidden="0"/>
    </xf>
    <xf numFmtId="0" fontId="18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77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2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2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2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2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2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2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2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2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2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2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2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2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2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2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2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  <xf numFmtId="172" fontId="82" fillId="0" borderId="0" applyAlignment="1" applyProtection="1">
      <alignment horizontal="general" vertical="bottom"/>
      <protection locked="0" hidden="0"/>
    </xf>
    <xf numFmtId="172" fontId="81" fillId="0" borderId="0" applyAlignment="1" applyProtection="1">
      <alignment horizontal="general" vertical="bottom"/>
      <protection locked="0" hidden="0"/>
    </xf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39" fillId="0" borderId="0" applyAlignment="1" pivotButton="0" quotePrefix="0" xfId="129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39" fillId="0" borderId="0" applyAlignment="1" pivotButton="0" quotePrefix="0" xfId="129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</cellXfs>
  <cellStyles count="154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1 indent" xfId="6"/>
    <cellStyle name="1 indent 2" xfId="7"/>
    <cellStyle name="2 indents" xfId="8"/>
    <cellStyle name="2 indents 2" xfId="9"/>
    <cellStyle name="20% - Accent1 2" xfId="10"/>
    <cellStyle name="20% - Accent1 3" xfId="11"/>
    <cellStyle name="20% - Accent1 4" xfId="12"/>
    <cellStyle name="20% - Accent2 2" xfId="13"/>
    <cellStyle name="20% - Accent2 3" xfId="14"/>
    <cellStyle name="20% - Accent2 4" xfId="15"/>
    <cellStyle name="20% - Accent3 2" xfId="16"/>
    <cellStyle name="20% - Accent3 3" xfId="17"/>
    <cellStyle name="20% - Accent3 4" xfId="18"/>
    <cellStyle name="20% - Accent4 2" xfId="19"/>
    <cellStyle name="20% - Accent4 3" xfId="20"/>
    <cellStyle name="20% - Accent4 4" xfId="21"/>
    <cellStyle name="20% - Accent5 2" xfId="22"/>
    <cellStyle name="20% - Accent5 3" xfId="23"/>
    <cellStyle name="20% - Accent5 4" xfId="24"/>
    <cellStyle name="20% - Accent6 2" xfId="25"/>
    <cellStyle name="20% - Accent6 3" xfId="26"/>
    <cellStyle name="20% - Accent6 4" xfId="27"/>
    <cellStyle name="20% - Акцент1 2" xfId="28"/>
    <cellStyle name="20% - Акцент1 3" xfId="29"/>
    <cellStyle name="20% - Акцент2 2" xfId="30"/>
    <cellStyle name="20% - Акцент2 3" xfId="31"/>
    <cellStyle name="20% - Акцент3 2" xfId="32"/>
    <cellStyle name="20% - Акцент3 3" xfId="33"/>
    <cellStyle name="20% - Акцент4 2" xfId="34"/>
    <cellStyle name="20% - Акцент4 3" xfId="35"/>
    <cellStyle name="20% - Акцент5 2" xfId="36"/>
    <cellStyle name="20% - Акцент5 3" xfId="37"/>
    <cellStyle name="20% - Акцент6 2" xfId="38"/>
    <cellStyle name="20% - Акцент6 3" xfId="39"/>
    <cellStyle name="3 indents" xfId="40"/>
    <cellStyle name="4 indents" xfId="41"/>
    <cellStyle name="4 indents 2" xfId="42"/>
    <cellStyle name="40% - Accent1 2" xfId="43"/>
    <cellStyle name="40% - Accent1 3" xfId="44"/>
    <cellStyle name="40% - Accent1 4" xfId="45"/>
    <cellStyle name="40% - Accent2 2" xfId="46"/>
    <cellStyle name="40% - Accent2 3" xfId="47"/>
    <cellStyle name="40% - Accent2 4" xfId="48"/>
    <cellStyle name="40% - Accent3 2" xfId="49"/>
    <cellStyle name="40% - Accent3 3" xfId="50"/>
    <cellStyle name="40% - Accent3 4" xfId="51"/>
    <cellStyle name="40% - Accent4 2" xfId="52"/>
    <cellStyle name="40% - Accent4 3" xfId="53"/>
    <cellStyle name="40% - Accent4 4" xfId="54"/>
    <cellStyle name="40% - Accent5 2" xfId="55"/>
    <cellStyle name="40% - Accent5 3" xfId="56"/>
    <cellStyle name="40% - Accent5 4" xfId="57"/>
    <cellStyle name="40% - Accent6 2" xfId="58"/>
    <cellStyle name="40% - Accent6 3" xfId="59"/>
    <cellStyle name="40% - Accent6 4" xfId="60"/>
    <cellStyle name="40% - Акцент1 2" xfId="61"/>
    <cellStyle name="40% - Акцент1 3" xfId="62"/>
    <cellStyle name="40% - Акцент2 2" xfId="63"/>
    <cellStyle name="40% - Акцент2 3" xfId="64"/>
    <cellStyle name="40% - Акцент3 2" xfId="65"/>
    <cellStyle name="40% - Акцент3 3" xfId="66"/>
    <cellStyle name="40% - Акцент4 2" xfId="67"/>
    <cellStyle name="40% - Акцент4 3" xfId="68"/>
    <cellStyle name="40% - Акцент5 2" xfId="69"/>
    <cellStyle name="40% - Акцент5 3" xfId="70"/>
    <cellStyle name="40% - Акцент6 2" xfId="71"/>
    <cellStyle name="40% - Акцент6 3" xfId="72"/>
    <cellStyle name="5 indents" xfId="73"/>
    <cellStyle name="60% - Accent1 2" xfId="74"/>
    <cellStyle name="60% - Accent2 2" xfId="75"/>
    <cellStyle name="60% - Accent3 2" xfId="76"/>
    <cellStyle name="60% - Accent4 2" xfId="77"/>
    <cellStyle name="60% - Accent5 2" xfId="78"/>
    <cellStyle name="60% - Accent6 2" xfId="79"/>
    <cellStyle name="60% - Акцент1 2" xfId="80"/>
    <cellStyle name="60% - Акцент1 3" xfId="81"/>
    <cellStyle name="60% - Акцент2 2" xfId="82"/>
    <cellStyle name="60% - Акцент2 3" xfId="83"/>
    <cellStyle name="60% - Акцент3 2" xfId="84"/>
    <cellStyle name="60% - Акцент3 3" xfId="85"/>
    <cellStyle name="60% - Акцент4 2" xfId="86"/>
    <cellStyle name="60% - Акцент4 3" xfId="87"/>
    <cellStyle name="60% - Акцент5 2" xfId="88"/>
    <cellStyle name="60% - Акцент5 3" xfId="89"/>
    <cellStyle name="60% - Акцент6 2" xfId="90"/>
    <cellStyle name="60% - Акцент6 3" xfId="91"/>
    <cellStyle name="???????" xfId="92"/>
    <cellStyle name="??????? 2" xfId="93"/>
    <cellStyle name="????????" xfId="94"/>
    <cellStyle name="???????? 2" xfId="95"/>
    <cellStyle name="???????? [0]" xfId="96"/>
    <cellStyle name="???????? [0] 2" xfId="97"/>
    <cellStyle name="??????????" xfId="98"/>
    <cellStyle name="?????????? 2" xfId="99"/>
    <cellStyle name="?????????? [0]" xfId="100"/>
    <cellStyle name="?????????? [0] 2" xfId="101"/>
    <cellStyle name="???????????" xfId="102"/>
    <cellStyle name="????????????? ???????????" xfId="103"/>
    <cellStyle name="??????????_01kich10_1047-1050" xfId="104"/>
    <cellStyle name="????????_ ?? 25 ???" xfId="105"/>
    <cellStyle name="???????_ ????.???" xfId="106"/>
    <cellStyle name="??????_ ?? 25 ???" xfId="107"/>
    <cellStyle name="?’ћѓћ‚›‰" xfId="108"/>
    <cellStyle name="?’ћѓћ‚›‰ 2" xfId="109"/>
    <cellStyle name="_01kich10_1047-1050" xfId="110"/>
    <cellStyle name="_01kich10_1047-1050_Кичик бизнес" xfId="111"/>
    <cellStyle name="_01kich10_1047-1050_Кредит линия-русча" xfId="112"/>
    <cellStyle name="_01kich10_1047-1050_кичбиз" xfId="113"/>
    <cellStyle name="_1-16 KUNLIK" xfId="114"/>
    <cellStyle name="_1-16 KUNLIK_Ўтган йилга нисбатан" xfId="115"/>
    <cellStyle name="_1-16 KUNLIK_Ўтган йилга нисбатан_01.11.12 утган йилга нисбатан 2" xfId="116"/>
    <cellStyle name="_1-16 KUNLIK_Ўтган йилга нисбатан_Копия 1474 илова  01.01.2012 ўтган йилга нисбати" xfId="117"/>
    <cellStyle name="_1-16 KUNLIK_Копия 1474 илова  01.01.2012 ўтган йилга нисбати" xfId="118"/>
    <cellStyle name="_1. АСАЛ-СВОД22_04" xfId="119"/>
    <cellStyle name="_1. АСАЛ-СВОД22_04_Ўтган йилга нисбатан" xfId="120"/>
    <cellStyle name="_1. АСАЛ-СВОД22_04_Ўтган йилга нисбатан_01.11.12 утган йилга нисбатан 2" xfId="121"/>
    <cellStyle name="_1. АСАЛ-СВОД22_04_Ўтган йилга нисбатан_Копия 1474 илова  01.01.2012 ўтган йилга нисбати" xfId="122"/>
    <cellStyle name="_1. АСАЛ-СВОД22_04_Копия 1474 илова  01.01.2012 ўтган йилга нисбати" xfId="123"/>
    <cellStyle name="_1. АСАЛ-СВОД22_04_Хоразм туман" xfId="124"/>
    <cellStyle name="_1. АСАЛ-СВОД22_04_Хоразм туман_01.11.12 утган йилга нисбатан 2" xfId="125"/>
    <cellStyle name="_1. АСАЛ-СВОД22_04_Хоразм туман_Копия 1474 илова  01.01.2012 ўтган йилга нисбати" xfId="126"/>
    <cellStyle name="_1. БАЛИҚ-СВОД 22 04" xfId="127"/>
    <cellStyle name="_1. БАЛИҚ-СВОД 22 04_Ўтган йилга нисбатан" xfId="128"/>
    <cellStyle name="_1. БАЛИҚ-СВОД 22 04_Ўтган йилга нисбатан_01.11.12 утган йилга нисбатан 2" xfId="129"/>
    <cellStyle name="_1. БАЛИҚ-СВОД 22 04_Ўтган йилга нисбатан_Копия 1474 илова  01.01.2012 ўтган йилга нисбати" xfId="130"/>
    <cellStyle name="_1. БАЛИҚ-СВОД 22 04_Копия 1474 илова  01.01.2012 ўтган йилга нисбати" xfId="131"/>
    <cellStyle name="_1. БАЛИҚ-СВОД 22 04_Хоразм туман" xfId="132"/>
    <cellStyle name="_1. БАЛИҚ-СВОД 22 04_Хоразм туман_01.11.12 утган йилга нисбатан 2" xfId="133"/>
    <cellStyle name="_1. БАЛИҚ-СВОД 22 04_Хоразм туман_Копия 1474 илова  01.01.2012 ўтган йилга нисбати" xfId="134"/>
    <cellStyle name="_1.СВОД АГРОМИНИТЕХ 01.01" xfId="135"/>
    <cellStyle name="_1.СВОД АГРОМИНИТЕХ 01.01_Ўтган йилга нисбатан" xfId="136"/>
    <cellStyle name="_1.СВОД АГРОМИНИТЕХ 01.01_Ўтган йилга нисбатан_01.11.12 утган йилга нисбатан 2" xfId="137"/>
    <cellStyle name="_1.СВОД АГРОМИНИТЕХ 01.01_Ўтган йилга нисбатан_Копия 1474 илова  01.01.2012 ўтган йилга нисбати" xfId="138"/>
    <cellStyle name="_1.СВОД АГРОМИНИТЕХ 01.01_Копия 1474 илова  01.01.2012 ўтган йилга нисбати" xfId="139"/>
    <cellStyle name="_1.СВОД АГРОМИНИТЕХ 01.01_Хоразм туман" xfId="140"/>
    <cellStyle name="_1.СВОД АГРОМИНИТЕХ 01.01_Хоразм туман_01.11.12 утган йилга нисбатан 2" xfId="141"/>
    <cellStyle name="_1.СВОД АГРОМИНИТЕХ 01.01_Хоразм туман_Копия 1474 илова  01.01.2012 ўтган йилга нисбати" xfId="142"/>
    <cellStyle name="_1046-04_ЯНВАРЬ" xfId="143"/>
    <cellStyle name="_1046-04_ЯНВАРЬ_Ўтган йилга нисбатан" xfId="144"/>
    <cellStyle name="_1046-04_ЯНВАРЬ_Ўтган йилга нисбатан_01.11.12 утган йилга нисбатан 2" xfId="145"/>
    <cellStyle name="_1046-04_ЯНВАРЬ_Ўтган йилга нисбатан_Копия 1474 илова  01.01.2012 ўтган йилга нисбати" xfId="146"/>
    <cellStyle name="_1046-04_ЯНВАРЬ_КР Нукус   (2 жадвал)" xfId="147"/>
    <cellStyle name="_1046-04_ЯНВАРЬ_КР Нукус   (2 жадвал)_01.11.12 утган йилга нисбатан 2" xfId="148"/>
    <cellStyle name="_1046-04_ЯНВАРЬ_КР Нукус   (2 жадвал)_Копия 1474 илова  01.01.2012 ўтган йилга нисбати" xfId="149"/>
    <cellStyle name="_1046-04_ЯНВАРЬ_Копия 1474 илова  01.01.2012 ўтган йилга нисбати" xfId="150"/>
    <cellStyle name="_1046-04_ЯНВАРЬ_Хоразм туман" xfId="151"/>
    <cellStyle name="_1046-04_ЯНВАРЬ_Хоразм туман_01.11.12 утган йилга нисбатан 2" xfId="152"/>
    <cellStyle name="_1046-04_ЯНВАРЬ_Хоразм туман_Копия 1474 илова  01.01.2012 ўтган йилга нисбати" xfId="153"/>
    <cellStyle name="_1046-СВОД-охирги" xfId="154"/>
    <cellStyle name="_1046-СВОД-охирги_Ўтган йилга нисбатан" xfId="155"/>
    <cellStyle name="_1046-СВОД-охирги_Ўтган йилга нисбатан_01.11.12 утган йилга нисбатан 2" xfId="156"/>
    <cellStyle name="_1046-СВОД-охирги_Ўтган йилга нисбатан_Копия 1474 илова  01.01.2012 ўтган йилга нисбати" xfId="157"/>
    <cellStyle name="_1046-СВОД-охирги_Копия 1474 илова  01.01.2012 ўтган йилга нисбати" xfId="158"/>
    <cellStyle name="_1046-СВОД-охирги_Кредит линия-русча" xfId="159"/>
    <cellStyle name="_1046-СВОД-охирги_Кредит линия-русча_01.11.12 утган йилга нисбатан 2" xfId="160"/>
    <cellStyle name="_1046-СВОД-охирги_Кредит линия-русча_Книга1" xfId="161"/>
    <cellStyle name="_1046-СВОД-охирги_Кредит линия-русча_Книга1_01.11.12 утган йилга нисбатан 2" xfId="162"/>
    <cellStyle name="_1046-СВОД-охирги_Кредит линия-русча_Книга1_Копия 1474 илова  01.01.2012 ўтган йилга нисбати" xfId="163"/>
    <cellStyle name="_1046-СВОД-охирги_Кредит линия-русча_Копия 1474 илова  01.01.2012 ўтган йилга нисбати" xfId="164"/>
    <cellStyle name="_1046-СВОД-охирги_Кредит линия-русча_ПРОГНОЗ И 2008-2015 125 фоизлик ОКОНЧАТЕЛЬНЫЙ" xfId="165"/>
    <cellStyle name="_1046-СВОД-охирги_Кредит линия-русча_ПРОГНОЗ И 2008-2015 125 фоизлик ОКОНЧАТЕЛЬНЫЙ_01.11.12 утган йилга нисбатан 2" xfId="166"/>
    <cellStyle name="_1046-СВОД-охирги_Кредит линия-русча_ПРОГНОЗ И 2008-2015 125 фоизлик ОКОНЧАТЕЛЬНЫЙ_Копия 1474 илова  01.01.2012 ўтган йилга нисбати" xfId="167"/>
    <cellStyle name="_1046-СВОД-охирги_Кредит линия-русча_СВОД БАРЧА олдинги" xfId="168"/>
    <cellStyle name="_1046-СВОД-охирги_Кредит линия-русча_СВОД БАРЧА олдинги_Ўтган йилга нисбатан" xfId="169"/>
    <cellStyle name="_1046-СВОД-охирги_Кредит линия-русча_СВОД БАРЧА олдинги_Ўтган йилга нисбатан_01.11.12 утган йилга нисбатан 2" xfId="170"/>
    <cellStyle name="_1046-СВОД-охирги_Кредит линия-русча_СВОД БАРЧА олдинги_Ўтган йилга нисбатан_Копия 1474 илова  01.01.2012 ўтган йилга нисбати" xfId="171"/>
    <cellStyle name="_1046-СВОД-охирги_Кредит линия-русча_СВОД БАРЧА олдинги_Копия 1474 илова  01.01.2012 ўтган йилга нисбати" xfId="172"/>
    <cellStyle name="_1046-СВОД-охирги_Кредит линия-русча_Хоразм туман" xfId="173"/>
    <cellStyle name="_1046-СВОД-охирги_Кредит линия-русча_Хоразм туман_01.11.12 утган йилга нисбатан 2" xfId="174"/>
    <cellStyle name="_1046-СВОД-охирги_Кредит линия-русча_Хоразм туман_Копия 1474 илова  01.01.2012 ўтган йилга нисбати" xfId="175"/>
    <cellStyle name="_1046-СВОД-охирги_Кредит линия-русча_банк вилоят ув капитал" xfId="176"/>
    <cellStyle name="_1046-СВОД-охирги_Кредит линия-русча_банк вилоят ув капитал_01.11.12 утган йилга нисбатан 2" xfId="177"/>
    <cellStyle name="_1046-СВОД-охирги_Кредит линия-русча_банк вилоят ув капитал_Копия 1474 илова  01.01.2012 ўтган йилга нисбати" xfId="178"/>
    <cellStyle name="_1046-СВОД-охирги_Кредит линия-русча_кредиты" xfId="179"/>
    <cellStyle name="_1046-СВОД-охирги_Кредит линия-русча_кредиты_01.11.12 утган йилга нисбатан 2" xfId="180"/>
    <cellStyle name="_1046-СВОД-охирги_Кредит линия-русча_кредиты_Копия 1474 илова  01.01.2012 ўтган йилга нисбати" xfId="181"/>
    <cellStyle name="_1046-СВОД-охирги_ПРОГНОЗ И 2008-2015 125 фоизлик ОКОНЧАТЕЛЬНЫЙ" xfId="182"/>
    <cellStyle name="_1046-СВОД-охирги_ПРОГНОЗ И 2008-2015 125 фоизлик ОКОНЧАТЕЛЬНЫЙ_Ўтган йилга нисбатан" xfId="183"/>
    <cellStyle name="_1046-СВОД-охирги_ПРОГНОЗ И 2008-2015 125 фоизлик ОКОНЧАТЕЛЬНЫЙ_Ўтган йилга нисбатан_01.11.12 утган йилга нисбатан 2" xfId="184"/>
    <cellStyle name="_1046-СВОД-охирги_ПРОГНОЗ И 2008-2015 125 фоизлик ОКОНЧАТЕЛЬНЫЙ_Ўтган йилга нисбатан_Копия 1474 илова  01.01.2012 ўтган йилга нисбати" xfId="185"/>
    <cellStyle name="_1046-СВОД-охирги_ПРОГНОЗ И 2008-2015 125 фоизлик ОКОНЧАТЕЛЬНЫЙ_Копия 1474 илова  01.01.2012 ўтган йилга нисбати" xfId="186"/>
    <cellStyle name="_1046-СВОД-охирги_ПРОГНОЗ И 2008-2015 125 фоизлик ОКОНЧАТЕЛЬНЫЙ_Хоразм туман" xfId="187"/>
    <cellStyle name="_1046-СВОД-охирги_ПРОГНОЗ И 2008-2015 125 фоизлик ОКОНЧАТЕЛЬНЫЙ_Хоразм туман_01.11.12 утган йилга нисбатан 2" xfId="188"/>
    <cellStyle name="_1046-СВОД-охирги_ПРОГНОЗ И 2008-2015 125 фоизлик ОКОНЧАТЕЛЬНЫЙ_Хоразм туман_Копия 1474 илова  01.01.2012 ўтган йилга нисбати" xfId="189"/>
    <cellStyle name="_1046-СВОД-охирги_Прог" xfId="190"/>
    <cellStyle name="_1046-СВОД-охирги_Прог_01.11.12 утган йилга нисбатан 2" xfId="191"/>
    <cellStyle name="_1046-СВОД-охирги_Прог_Копия 1474 илова  01.01.2012 ўтган йилга нисбати" xfId="192"/>
    <cellStyle name="_1046-СВОД-охирги_Рес-га" xfId="193"/>
    <cellStyle name="_1046-СВОД-охирги_Рес-га_Ўтган йилга нисбатан" xfId="194"/>
    <cellStyle name="_1046-СВОД-охирги_Рес-га_Ўтган йилга нисбатан_01.11.12 утган йилга нисбатан 2" xfId="195"/>
    <cellStyle name="_1046-СВОД-охирги_Рес-га_Ўтган йилга нисбатан_Копия 1474 илова  01.01.2012 ўтган йилга нисбати" xfId="196"/>
    <cellStyle name="_1046-СВОД-охирги_Рес-га_Копия 1474 илова  01.01.2012 ўтган йилга нисбати" xfId="197"/>
    <cellStyle name="_1046-СВОД-охирги_СВОД БАРЧА олдинги" xfId="198"/>
    <cellStyle name="_1046-СВОД-охирги_СВОД БАРЧА олдинги_01.11.12 утган йилга нисбатан 2" xfId="199"/>
    <cellStyle name="_1046-СВОД-охирги_СВОД БАРЧА олдинги_Копия 1474 илова  01.01.2012 ўтган йилга нисбати" xfId="200"/>
    <cellStyle name="_1046-СВОД-охирги_выдача_2011-2015_1" xfId="201"/>
    <cellStyle name="_1046-СВОД-охирги_выдача_2011-2015_1_Ўтган йилга нисбатан" xfId="202"/>
    <cellStyle name="_1046-СВОД-охирги_выдача_2011-2015_1_Ўтган йилга нисбатан_01.11.12 утган йилга нисбатан 2" xfId="203"/>
    <cellStyle name="_1046-СВОД-охирги_выдача_2011-2015_1_Ўтган йилга нисбатан_Копия 1474 илова  01.01.2012 ўтган йилга нисбати" xfId="204"/>
    <cellStyle name="_1046-СВОД-охирги_выдача_2011-2015_1_Копия 1474 илова  01.01.2012 ўтган йилга нисбати" xfId="205"/>
    <cellStyle name="_1046-СВОД-охирги_выдача_2011-2015_1_Хоразм туман" xfId="206"/>
    <cellStyle name="_1046-СВОД-охирги_выдача_2011-2015_1_Хоразм туман_01.11.12 утган йилга нисбатан 2" xfId="207"/>
    <cellStyle name="_1046-СВОД-охирги_выдача_2011-2015_1_Хоразм туман_Копия 1474 илова  01.01.2012 ўтган йилга нисбати" xfId="208"/>
    <cellStyle name="_1046-СВОД-охирги_форма 01.01.2016" xfId="209"/>
    <cellStyle name="_1046-СВОД-охирги_форма 01.01.2016_01.11.12 утган йилга нисбатан 2" xfId="210"/>
    <cellStyle name="_1046-СВОД-охирги_форма 01.01.2016_Копия 1474 илова  01.01.2012 ўтган йилга нисбати" xfId="211"/>
    <cellStyle name="_2.45 таблица ижтимоий" xfId="212"/>
    <cellStyle name="_2.45 таблица ижтимоий_01.11.12 утган йилга нисбатан 2" xfId="213"/>
    <cellStyle name="_2.45 таблица ижтимоий_КР_ Прогноз (4 жадвал)" xfId="214"/>
    <cellStyle name="_2.45 таблица ижтимоий_КР_ Прогноз (4 жадвал)_01.11.12 утган йилга нисбатан 2" xfId="215"/>
    <cellStyle name="_2.45 таблица ижтимоий_КР_ Прогноз (4 жадвал)_Копия 1474 илова  01.01.2012 ўтган йилга нисбати" xfId="216"/>
    <cellStyle name="_2.45 таблица ижтимоий_Копия 1474 илова  01.01.2012 ўтган йилга нисбати" xfId="217"/>
    <cellStyle name="_2.46 таблица ижтимоий" xfId="218"/>
    <cellStyle name="_2.46 таблица ижтимоий_01.11.12 утган йилга нисбатан 2" xfId="219"/>
    <cellStyle name="_2.46 таблица ижтимоий_КР_ Прогноз (4 жадвал)" xfId="220"/>
    <cellStyle name="_2.46 таблица ижтимоий_КР_ Прогноз (4 жадвал)_01.11.12 утган йилга нисбатан 2" xfId="221"/>
    <cellStyle name="_2.46 таблица ижтимоий_КР_ Прогноз (4 жадвал)_Копия 1474 илова  01.01.2012 ўтган йилга нисбати" xfId="222"/>
    <cellStyle name="_2.46 таблица ижтимоий_Копия 1474 илова  01.01.2012 ўтган йилга нисбати" xfId="223"/>
    <cellStyle name="_2.58 таблица ВЭС" xfId="224"/>
    <cellStyle name="_2.58 таблица ВЭС_01.11.12 утган йилга нисбатан 2" xfId="225"/>
    <cellStyle name="_2.58 таблица ВЭС_КР_ Прогноз (4 жадвал)" xfId="226"/>
    <cellStyle name="_2.58 таблица ВЭС_КР_ Прогноз (4 жадвал)_01.11.12 утган йилга нисбатан 2" xfId="227"/>
    <cellStyle name="_2.58 таблица ВЭС_КР_ Прогноз (4 жадвал)_Копия 1474 илова  01.01.2012 ўтган йилга нисбати" xfId="228"/>
    <cellStyle name="_2.58 таблица ВЭС_Копия 1474 илова  01.01.2012 ўтган йилга нисбати" xfId="229"/>
    <cellStyle name="_2.58 узгаргани" xfId="230"/>
    <cellStyle name="_2008 КХ ЯНГИ ДАСТУР" xfId="231"/>
    <cellStyle name="_2008й прогноз ДАСТУР" xfId="232"/>
    <cellStyle name="_2008й прогноз ДАСТУР_01.11.12 утган йилга нисбатан 2" xfId="233"/>
    <cellStyle name="_2008й прогноз ДАСТУР_КР_ Прогноз (4 жадвал)" xfId="234"/>
    <cellStyle name="_2008й прогноз ДАСТУР_КР_ Прогноз (4 жадвал)_01.11.12 утган йилга нисбатан 2" xfId="235"/>
    <cellStyle name="_2008й прогноз ДАСТУР_КР_ Прогноз (4 жадвал)_Копия 1474 илова  01.01.2012 ўтган йилга нисбати" xfId="236"/>
    <cellStyle name="_2008й прогноз ДАСТУР_Копия 1474 илова  01.01.2012 ўтган йилга нисбати" xfId="237"/>
    <cellStyle name="_21а жадваллар" xfId="238"/>
    <cellStyle name="_21а жадваллар_01.11.12 утган йилга нисбатан 2" xfId="239"/>
    <cellStyle name="_21а жадваллар_Копия 1474 илова  01.01.2012 ўтган йилга нисбати" xfId="240"/>
    <cellStyle name="_21а жадваллар_Прогноз_2012_24.09.11" xfId="241"/>
    <cellStyle name="_21а жадваллар_Сухроб Вилоят свод" xfId="242"/>
    <cellStyle name="_21а жадваллар_Сухроб Вилоят свод_01.11.12 утган йилга нисбатан 2" xfId="243"/>
    <cellStyle name="_21а жадваллар_Сухроб Вилоят свод_КР_ Прогноз (4 жадвал)" xfId="244"/>
    <cellStyle name="_21а жадваллар_Сухроб Вилоят свод_КР_ Прогноз (4 жадвал)_01.11.12 утган йилга нисбатан 2" xfId="245"/>
    <cellStyle name="_21а жадваллар_Сухроб Вилоят свод_КР_ Прогноз (4 жадвал)_Копия 1474 илова  01.01.2012 ўтган йилга нисбати" xfId="246"/>
    <cellStyle name="_21а жадваллар_Сухроб Вилоят свод_Копия 1474 илова  01.01.2012 ўтган йилга нисбати" xfId="247"/>
    <cellStyle name="_21а жадваллар_иктисодга" xfId="248"/>
    <cellStyle name="_21а жадваллар_иктисодга_01.11.12 утган йилга нисбатан 2" xfId="249"/>
    <cellStyle name="_21а жадваллар_иктисодга_КР_ Прогноз (4 жадвал)" xfId="250"/>
    <cellStyle name="_21а жадваллар_иктисодга_КР_ Прогноз (4 жадвал)_01.11.12 утган йилга нисбатан 2" xfId="251"/>
    <cellStyle name="_21а жадваллар_иктисодга_КР_ Прогноз (4 жадвал)_Копия 1474 илова  01.01.2012 ўтган йилга нисбати" xfId="252"/>
    <cellStyle name="_21а жадваллар_иктисодга_Копия 1474 илова  01.01.2012 ўтган йилга нисбати" xfId="253"/>
    <cellStyle name="_308 форма" xfId="254"/>
    <cellStyle name="_308 форма_01.11.12 утган йилга нисбатан 2" xfId="255"/>
    <cellStyle name="_308 форма_Копия 1474 илова  01.01.2012 ўтган йилга нисбати" xfId="256"/>
    <cellStyle name="_308 форма_Прогноз_2012_24.09.11" xfId="257"/>
    <cellStyle name="_308 форма_Сухроб Вилоят свод" xfId="258"/>
    <cellStyle name="_308 форма_Сухроб Вилоят свод_01.11.12 утган йилга нисбатан 2" xfId="259"/>
    <cellStyle name="_308 форма_Сухроб Вилоят свод_КР_ Прогноз (4 жадвал)" xfId="260"/>
    <cellStyle name="_308 форма_Сухроб Вилоят свод_КР_ Прогноз (4 жадвал)_01.11.12 утган йилга нисбатан 2" xfId="261"/>
    <cellStyle name="_308 форма_Сухроб Вилоят свод_КР_ Прогноз (4 жадвал)_Копия 1474 илова  01.01.2012 ўтган йилга нисбати" xfId="262"/>
    <cellStyle name="_308 форма_Сухроб Вилоят свод_Копия 1474 илова  01.01.2012 ўтган йилга нисбати" xfId="263"/>
    <cellStyle name="_308 форма_иктисодга" xfId="264"/>
    <cellStyle name="_308 форма_иктисодга_01.11.12 утган йилга нисбатан 2" xfId="265"/>
    <cellStyle name="_308 форма_иктисодга_КР_ Прогноз (4 жадвал)" xfId="266"/>
    <cellStyle name="_308 форма_иктисодга_КР_ Прогноз (4 жадвал)_01.11.12 утган йилга нисбатан 2" xfId="267"/>
    <cellStyle name="_308 форма_иктисодга_КР_ Прогноз (4 жадвал)_Копия 1474 илова  01.01.2012 ўтган йилга нисбати" xfId="268"/>
    <cellStyle name="_308 форма_иктисодга_Копия 1474 илова  01.01.2012 ўтган йилга нисбати" xfId="269"/>
    <cellStyle name="_4058-288-290" xfId="270"/>
    <cellStyle name="_5-илова кабмин" xfId="271"/>
    <cellStyle name="_Tosh_SH_2009" xfId="272"/>
    <cellStyle name="_Tosh_SH_2009_Ўтган йилга нисбатан" xfId="273"/>
    <cellStyle name="_Tosh_SH_2009_Ўтган йилга нисбатан_01.11.12 утган йилга нисбатан 2" xfId="274"/>
    <cellStyle name="_Tosh_SH_2009_Ўтган йилга нисбатан_Копия 1474 илова  01.01.2012 ўтган йилга нисбати" xfId="275"/>
    <cellStyle name="_Tosh_SH_2009_Копия 1474 илова  01.01.2012 ўтган йилга нисбати" xfId="276"/>
    <cellStyle name="_~4174642" xfId="277"/>
    <cellStyle name="_~7514068" xfId="278"/>
    <cellStyle name="_~7514068_Ўтган йилга нисбатан" xfId="279"/>
    <cellStyle name="_~7514068_Ўтган йилга нисбатан_01.11.12 утган йилга нисбатан 2" xfId="280"/>
    <cellStyle name="_~7514068_Ўтган йилга нисбатан_Копия 1474 илова  01.01.2012 ўтган йилга нисбати" xfId="281"/>
    <cellStyle name="_~7514068_Копия 1474 илова  01.01.2012 ўтган йилга нисбати" xfId="282"/>
    <cellStyle name="_~7514068_Хоразм туман" xfId="283"/>
    <cellStyle name="_~7514068_Хоразм туман_01.11.12 утган йилга нисбатан 2" xfId="284"/>
    <cellStyle name="_~7514068_Хоразм туман_Копия 1474 илова  01.01.2012 ўтган йилга нисбати" xfId="285"/>
    <cellStyle name="_~8658882" xfId="286"/>
    <cellStyle name="_Акмал акага" xfId="287"/>
    <cellStyle name="_Андижон" xfId="288"/>
    <cellStyle name="_Андижон вилояти" xfId="289"/>
    <cellStyle name="_Андижон вилояти_Ўтган йилга нисбатан" xfId="290"/>
    <cellStyle name="_Андижон вилояти_Ўтган йилга нисбатан_01.11.12 утган йилга нисбатан 2" xfId="291"/>
    <cellStyle name="_Андижон вилояти_Ўтган йилга нисбатан_Копия 1474 илова  01.01.2012 ўтган йилга нисбати" xfId="292"/>
    <cellStyle name="_Андижон вилояти_Копия 1474 илова  01.01.2012 ўтган йилга нисбати" xfId="293"/>
    <cellStyle name="_Андижон вилояти_Кредит линия-русча" xfId="294"/>
    <cellStyle name="_Андижон вилояти_Кредит линия-русча_01.11.12 утган йилга нисбатан 2" xfId="295"/>
    <cellStyle name="_Андижон вилояти_Кредит линия-русча_Книга1" xfId="296"/>
    <cellStyle name="_Андижон вилояти_Кредит линия-русча_Книга1_01.11.12 утган йилга нисбатан 2" xfId="297"/>
    <cellStyle name="_Андижон вилояти_Кредит линия-русча_Книга1_Копия 1474 илова  01.01.2012 ўтган йилга нисбати" xfId="298"/>
    <cellStyle name="_Андижон вилояти_Кредит линия-русча_Копия 1474 илова  01.01.2012 ўтган йилга нисбати" xfId="299"/>
    <cellStyle name="_Андижон вилояти_Кредит линия-русча_ПРОГНОЗ И 2008-2015 125 фоизлик ОКОНЧАТЕЛЬНЫЙ" xfId="300"/>
    <cellStyle name="_Андижон вилояти_Кредит линия-русча_ПРОГНОЗ И 2008-2015 125 фоизлик ОКОНЧАТЕЛЬНЫЙ_01.11.12 утган йилга нисбатан 2" xfId="301"/>
    <cellStyle name="_Андижон вилояти_Кредит линия-русча_ПРОГНОЗ И 2008-2015 125 фоизлик ОКОНЧАТЕЛЬНЫЙ_Копия 1474 илова  01.01.2012 ўтган йилга нисбати" xfId="302"/>
    <cellStyle name="_Андижон вилояти_Кредит линия-русча_СВОД БАРЧА олдинги" xfId="303"/>
    <cellStyle name="_Андижон вилояти_Кредит линия-русча_СВОД БАРЧА олдинги_Ўтган йилга нисбатан" xfId="304"/>
    <cellStyle name="_Андижон вилояти_Кредит линия-русча_СВОД БАРЧА олдинги_Ўтган йилга нисбатан_01.11.12 утган йилга нисбатан 2" xfId="305"/>
    <cellStyle name="_Андижон вилояти_Кредит линия-русча_СВОД БАРЧА олдинги_Ўтган йилга нисбатан_Копия 1474 илова  01.01.2012 ўтган йилга нисбати" xfId="306"/>
    <cellStyle name="_Андижон вилояти_Кредит линия-русча_СВОД БАРЧА олдинги_Копия 1474 илова  01.01.2012 ўтган йилга нисбати" xfId="307"/>
    <cellStyle name="_Андижон вилояти_Кредит линия-русча_Хоразм туман" xfId="308"/>
    <cellStyle name="_Андижон вилояти_Кредит линия-русча_Хоразм туман_01.11.12 утган йилга нисбатан 2" xfId="309"/>
    <cellStyle name="_Андижон вилояти_Кредит линия-русча_Хоразм туман_Копия 1474 илова  01.01.2012 ўтган йилга нисбати" xfId="310"/>
    <cellStyle name="_Андижон вилояти_Кредит линия-русча_банк вилоят ув капитал" xfId="311"/>
    <cellStyle name="_Андижон вилояти_Кредит линия-русча_банк вилоят ув капитал_01.11.12 утган йилга нисбатан 2" xfId="312"/>
    <cellStyle name="_Андижон вилояти_Кредит линия-русча_банк вилоят ув капитал_Копия 1474 илова  01.01.2012 ўтган йилга нисбати" xfId="313"/>
    <cellStyle name="_Андижон вилояти_Кредит линия-русча_кредиты" xfId="314"/>
    <cellStyle name="_Андижон вилояти_Кредит линия-русча_кредиты_01.11.12 утган йилга нисбатан 2" xfId="315"/>
    <cellStyle name="_Андижон вилояти_Кредит линия-русча_кредиты_Копия 1474 илова  01.01.2012 ўтган йилга нисбати" xfId="316"/>
    <cellStyle name="_Андижон вилояти_ПРОГНОЗ И 2008-2015 125 фоизлик ОКОНЧАТЕЛЬНЫЙ" xfId="317"/>
    <cellStyle name="_Андижон вилояти_ПРОГНОЗ И 2008-2015 125 фоизлик ОКОНЧАТЕЛЬНЫЙ_Ўтган йилга нисбатан" xfId="318"/>
    <cellStyle name="_Андижон вилояти_ПРОГНОЗ И 2008-2015 125 фоизлик ОКОНЧАТЕЛЬНЫЙ_Ўтган йилга нисбатан_01.11.12 утган йилга нисбатан 2" xfId="319"/>
    <cellStyle name="_Андижон вилояти_ПРОГНОЗ И 2008-2015 125 фоизлик ОКОНЧАТЕЛЬНЫЙ_Ўтган йилга нисбатан_Копия 1474 илова  01.01.2012 ўтган йилга нисбати" xfId="320"/>
    <cellStyle name="_Андижон вилояти_ПРОГНОЗ И 2008-2015 125 фоизлик ОКОНЧАТЕЛЬНЫЙ_Копия 1474 илова  01.01.2012 ўтган йилга нисбати" xfId="321"/>
    <cellStyle name="_Андижон вилояти_ПРОГНОЗ И 2008-2015 125 фоизлик ОКОНЧАТЕЛЬНЫЙ_Хоразм туман" xfId="322"/>
    <cellStyle name="_Андижон вилояти_ПРОГНОЗ И 2008-2015 125 фоизлик ОКОНЧАТЕЛЬНЫЙ_Хоразм туман_01.11.12 утган йилга нисбатан 2" xfId="323"/>
    <cellStyle name="_Андижон вилояти_ПРОГНОЗ И 2008-2015 125 фоизлик ОКОНЧАТЕЛЬНЫЙ_Хоразм туман_Копия 1474 илова  01.01.2012 ўтган йилга нисбати" xfId="324"/>
    <cellStyle name="_Андижон вилояти_Прог" xfId="325"/>
    <cellStyle name="_Андижон вилояти_Прог_01.11.12 утган йилга нисбатан 2" xfId="326"/>
    <cellStyle name="_Андижон вилояти_Прог_Копия 1474 илова  01.01.2012 ўтган йилга нисбати" xfId="327"/>
    <cellStyle name="_Андижон вилояти_Рес-га" xfId="328"/>
    <cellStyle name="_Андижон вилояти_Рес-га_Ўтган йилга нисбатан" xfId="329"/>
    <cellStyle name="_Андижон вилояти_Рес-га_Ўтган йилга нисбатан_01.11.12 утган йилга нисбатан 2" xfId="330"/>
    <cellStyle name="_Андижон вилояти_Рес-га_Ўтган йилга нисбатан_Копия 1474 илова  01.01.2012 ўтган йилга нисбати" xfId="331"/>
    <cellStyle name="_Андижон вилояти_Рес-га_Копия 1474 илова  01.01.2012 ўтган йилга нисбати" xfId="332"/>
    <cellStyle name="_Андижон вилояти_СВОД БАРЧА олдинги" xfId="333"/>
    <cellStyle name="_Андижон вилояти_СВОД БАРЧА олдинги_01.11.12 утган йилга нисбатан 2" xfId="334"/>
    <cellStyle name="_Андижон вилояти_СВОД БАРЧА олдинги_Копия 1474 илова  01.01.2012 ўтган йилга нисбати" xfId="335"/>
    <cellStyle name="_Андижон вилояти_выдача_2011-2015_1" xfId="336"/>
    <cellStyle name="_Андижон вилояти_выдача_2011-2015_1_Ўтган йилга нисбатан" xfId="337"/>
    <cellStyle name="_Андижон вилояти_выдача_2011-2015_1_Ўтган йилга нисбатан_01.11.12 утган йилга нисбатан 2" xfId="338"/>
    <cellStyle name="_Андижон вилояти_выдача_2011-2015_1_Ўтган йилга нисбатан_Копия 1474 илова  01.01.2012 ўтган йилга нисбати" xfId="339"/>
    <cellStyle name="_Андижон вилояти_выдача_2011-2015_1_Копия 1474 илова  01.01.2012 ўтган йилга нисбати" xfId="340"/>
    <cellStyle name="_Андижон вилояти_выдача_2011-2015_1_Хоразм туман" xfId="341"/>
    <cellStyle name="_Андижон вилояти_выдача_2011-2015_1_Хоразм туман_01.11.12 утган йилга нисбатан 2" xfId="342"/>
    <cellStyle name="_Андижон вилояти_выдача_2011-2015_1_Хоразм туман_Копия 1474 илова  01.01.2012 ўтган йилга нисбати" xfId="343"/>
    <cellStyle name="_Андижон вилояти_форма 01.01.2016" xfId="344"/>
    <cellStyle name="_Андижон вилояти_форма 01.01.2016_01.11.12 утган йилга нисбатан 2" xfId="345"/>
    <cellStyle name="_Андижон вилояти_форма 01.01.2016_Копия 1474 илова  01.01.2012 ўтган йилга нисбати" xfId="346"/>
    <cellStyle name="_Баркамол авлод-50-банд" xfId="347"/>
    <cellStyle name="_Баркамол авлод-50-банд_Ўтган йилга нисбатан" xfId="348"/>
    <cellStyle name="_Баркамол авлод-50-банд_Ўтган йилга нисбатан_01.11.12 утган йилга нисбатан 2" xfId="349"/>
    <cellStyle name="_Баркамол авлод-50-банд_Ўтган йилга нисбатан_Копия 1474 илова  01.01.2012 ўтган йилга нисбати" xfId="350"/>
    <cellStyle name="_Баркамол авлод-50-банд_Копия 1474 илова  01.01.2012 ўтган йилга нисбати" xfId="351"/>
    <cellStyle name="_Баркамол авлод-50-банд_Хоразм туман" xfId="352"/>
    <cellStyle name="_Баркамол авлод-50-банд_Хоразм туман_01.11.12 утган йилга нисбатан 2" xfId="353"/>
    <cellStyle name="_Баркамол авлод-50-банд_Хоразм туман_Копия 1474 илова  01.01.2012 ўтган йилга нисбати" xfId="354"/>
    <cellStyle name="_Баркамол авлод-57-банд" xfId="355"/>
    <cellStyle name="_Баркамол авлод-57-банд_Ўтган йилга нисбатан" xfId="356"/>
    <cellStyle name="_Баркамол авлод-57-банд_Ўтган йилга нисбатан_01.11.12 утган йилга нисбатан 2" xfId="357"/>
    <cellStyle name="_Баркамол авлод-57-банд_Ўтган йилга нисбатан_Копия 1474 илова  01.01.2012 ўтган йилга нисбати" xfId="358"/>
    <cellStyle name="_Баркамол авлод-57-банд_Копия 1474 илова  01.01.2012 ўтган йилга нисбати" xfId="359"/>
    <cellStyle name="_Баркамол авлод-57-банд_Хоразм туман" xfId="360"/>
    <cellStyle name="_Баркамол авлод-57-банд_Хоразм туман_01.11.12 утган йилга нисбатан 2" xfId="361"/>
    <cellStyle name="_Баркамол авлод-57-банд_Хоразм туман_Копия 1474 илова  01.01.2012 ўтган йилга нисбати" xfId="362"/>
    <cellStyle name="_Баркамол-Кабминга" xfId="363"/>
    <cellStyle name="_Баркамол-Кабминга_Ўтган йилга нисбатан" xfId="364"/>
    <cellStyle name="_Баркамол-Кабминга_Ўтган йилга нисбатан_01.11.12 утган йилга нисбатан 2" xfId="365"/>
    <cellStyle name="_Баркамол-Кабминга_Ўтган йилга нисбатан_Копия 1474 илова  01.01.2012 ўтган йилга нисбати" xfId="366"/>
    <cellStyle name="_Баркамол-Кабминга_Копия 1474 илова  01.01.2012 ўтган йилга нисбати" xfId="367"/>
    <cellStyle name="_Баркамол-Кабминга_Хоразм туман" xfId="368"/>
    <cellStyle name="_Баркамол-Кабминга_Хоразм туман_01.11.12 утган йилга нисбатан 2" xfId="369"/>
    <cellStyle name="_Баркамол-Кабминга_Хоразм туман_Копия 1474 илова  01.01.2012 ўтган йилга нисбати" xfId="370"/>
    <cellStyle name="_Вилоят касана12" xfId="371"/>
    <cellStyle name="_Вилоят касана12_01.11.12 утган йилга нисбатан 2" xfId="372"/>
    <cellStyle name="_Вилоят касана12_Копия 1474 илова  01.01.2012 ўтган йилга нисбати" xfId="373"/>
    <cellStyle name="_ДАСТУР макет" xfId="374"/>
    <cellStyle name="_ДАСТУР макет_01.11.12 утган йилга нисбатан 2" xfId="375"/>
    <cellStyle name="_ДАСТУР макет_Копия 1474 илова  01.01.2012 ўтган йилга нисбати" xfId="376"/>
    <cellStyle name="_ДАСТУР макет_Прогноз_2012_24.09.11" xfId="377"/>
    <cellStyle name="_ДАСТУР макет_Сухроб Вилоят свод" xfId="378"/>
    <cellStyle name="_ДАСТУР макет_Сухроб Вилоят свод_01.11.12 утган йилга нисбатан 2" xfId="379"/>
    <cellStyle name="_ДАСТУР макет_Сухроб Вилоят свод_КР_ Прогноз (4 жадвал)" xfId="380"/>
    <cellStyle name="_ДАСТУР макет_Сухроб Вилоят свод_КР_ Прогноз (4 жадвал)_01.11.12 утган йилга нисбатан 2" xfId="381"/>
    <cellStyle name="_ДАСТУР макет_Сухроб Вилоят свод_КР_ Прогноз (4 жадвал)_Копия 1474 илова  01.01.2012 ўтган йилга нисбати" xfId="382"/>
    <cellStyle name="_ДАСТУР макет_Сухроб Вилоят свод_Копия 1474 илова  01.01.2012 ўтган йилга нисбати" xfId="383"/>
    <cellStyle name="_ДАСТУР макет_иктисодга" xfId="384"/>
    <cellStyle name="_ДАСТУР макет_иктисодга_01.11.12 утган йилга нисбатан 2" xfId="385"/>
    <cellStyle name="_ДАСТУР макет_иктисодга_КР_ Прогноз (4 жадвал)" xfId="386"/>
    <cellStyle name="_ДАСТУР макет_иктисодга_КР_ Прогноз (4 жадвал)_01.11.12 утган йилга нисбатан 2" xfId="387"/>
    <cellStyle name="_ДАСТУР макет_иктисодга_КР_ Прогноз (4 жадвал)_Копия 1474 илова  01.01.2012 ўтган йилга нисбати" xfId="388"/>
    <cellStyle name="_ДАСТУР макет_иктисодга_Копия 1474 илова  01.01.2012 ўтган йилга нисбати" xfId="389"/>
    <cellStyle name="_ДАСТУР обл план 2007-09" xfId="390"/>
    <cellStyle name="_ДАСТУР обл план 2007-09_01.11.12 утган йилга нисбатан 2" xfId="391"/>
    <cellStyle name="_ДАСТУР обл план 2007-09_Копия 1474 илова  01.01.2012 ўтган йилга нисбати" xfId="392"/>
    <cellStyle name="_ДАСТУР обл план 2007-09_Прогноз_2012_24.09.11" xfId="393"/>
    <cellStyle name="_ДАСТУР обл план 2007-09_Сухроб Вилоят свод" xfId="394"/>
    <cellStyle name="_ДАСТУР обл план 2007-09_Сухроб Вилоят свод_01.11.12 утган йилга нисбатан 2" xfId="395"/>
    <cellStyle name="_ДАСТУР обл план 2007-09_Сухроб Вилоят свод_КР_ Прогноз (4 жадвал)" xfId="396"/>
    <cellStyle name="_ДАСТУР обл план 2007-09_Сухроб Вилоят свод_КР_ Прогноз (4 жадвал)_01.11.12 утган йилга нисбатан 2" xfId="397"/>
    <cellStyle name="_ДАСТУР обл план 2007-09_Сухроб Вилоят свод_КР_ Прогноз (4 жадвал)_Копия 1474 илова  01.01.2012 ўтган йилга нисбати" xfId="398"/>
    <cellStyle name="_ДАСТУР обл план 2007-09_Сухроб Вилоят свод_Копия 1474 илова  01.01.2012 ўтган йилга нисбати" xfId="399"/>
    <cellStyle name="_ДАСТУР обл план 2007-09_иктисодга" xfId="400"/>
    <cellStyle name="_ДАСТУР обл план 2007-09_иктисодга_01.11.12 утган йилга нисбатан 2" xfId="401"/>
    <cellStyle name="_ДАСТУР обл план 2007-09_иктисодга_КР_ Прогноз (4 жадвал)" xfId="402"/>
    <cellStyle name="_ДАСТУР обл план 2007-09_иктисодга_КР_ Прогноз (4 жадвал)_01.11.12 утган йилга нисбатан 2" xfId="403"/>
    <cellStyle name="_ДАСТУР обл план 2007-09_иктисодга_КР_ Прогноз (4 жадвал)_Копия 1474 илова  01.01.2012 ўтган йилга нисбати" xfId="404"/>
    <cellStyle name="_ДАСТУР обл план 2007-09_иктисодга_Копия 1474 илова  01.01.2012 ўтган йилга нисбати" xfId="405"/>
    <cellStyle name="_Жиззах" xfId="406"/>
    <cellStyle name="_Жиззах_01.11.12 утган йилга нисбатан 2" xfId="407"/>
    <cellStyle name="_Жиззах_Копия 1474 илова  01.01.2012 ўтган йилга нисбати" xfId="408"/>
    <cellStyle name="_Жиззах_Прогноз_2012_24.09.11" xfId="409"/>
    <cellStyle name="_Жиззах_Сухроб Вилоят свод" xfId="410"/>
    <cellStyle name="_Жиззах_Сухроб Вилоят свод_01.11.12 утган йилга нисбатан 2" xfId="411"/>
    <cellStyle name="_Жиззах_Сухроб Вилоят свод_КР_ Прогноз (4 жадвал)" xfId="412"/>
    <cellStyle name="_Жиззах_Сухроб Вилоят свод_КР_ Прогноз (4 жадвал)_01.11.12 утган йилга нисбатан 2" xfId="413"/>
    <cellStyle name="_Жиззах_Сухроб Вилоят свод_КР_ Прогноз (4 жадвал)_Копия 1474 илова  01.01.2012 ўтган йилга нисбати" xfId="414"/>
    <cellStyle name="_Жиззах_Сухроб Вилоят свод_Копия 1474 илова  01.01.2012 ўтган йилга нисбати" xfId="415"/>
    <cellStyle name="_Жиззах_иктисодга" xfId="416"/>
    <cellStyle name="_Жиззах_иктисодга_01.11.12 утган йилга нисбатан 2" xfId="417"/>
    <cellStyle name="_Жиззах_иктисодга_КР_ Прогноз (4 жадвал)" xfId="418"/>
    <cellStyle name="_Жиззах_иктисодга_КР_ Прогноз (4 жадвал)_01.11.12 утган йилга нисбатан 2" xfId="419"/>
    <cellStyle name="_Жиззах_иктисодга_КР_ Прогноз (4 жадвал)_Копия 1474 илова  01.01.2012 ўтган йилга нисбати" xfId="420"/>
    <cellStyle name="_Жиззах_иктисодга_Копия 1474 илова  01.01.2012 ўтган йилга нисбати" xfId="421"/>
    <cellStyle name="_КР1046-1047-1050 общий 18 графа на 24 марта" xfId="422"/>
    <cellStyle name="_КР1046-1047-1050 общий 18 графа на 24 марта_Ўтган йилга нисбатан" xfId="423"/>
    <cellStyle name="_КР1046-1047-1050 общий 18 графа на 24 марта_Ўтган йилга нисбатан_01.11.12 утган йилга нисбатан 2" xfId="424"/>
    <cellStyle name="_КР1046-1047-1050 общий 18 графа на 24 марта_Ўтган йилга нисбатан_Копия 1474 илова  01.01.2012 ўтган йилга нисбати" xfId="425"/>
    <cellStyle name="_КР1046-1047-1050 общий 18 графа на 24 марта_Копия 1474 илова  01.01.2012 ўтган йилга нисбати" xfId="426"/>
    <cellStyle name="_КР1046-1047-1050 общий 18 графа на 24 марта_Кредит линия-русча" xfId="427"/>
    <cellStyle name="_КР1046-1047-1050 общий 18 графа на 24 марта_Кредит линия-русча_01.11.12 утган йилга нисбатан 2" xfId="428"/>
    <cellStyle name="_КР1046-1047-1050 общий 18 графа на 24 марта_Кредит линия-русча_Книга1" xfId="429"/>
    <cellStyle name="_КР1046-1047-1050 общий 18 графа на 24 марта_Кредит линия-русча_Книга1_01.11.12 утган йилга нисбатан 2" xfId="430"/>
    <cellStyle name="_КР1046-1047-1050 общий 18 графа на 24 марта_Кредит линия-русча_Книга1_Копия 1474 илова  01.01.2012 ўтган йилга нисбати" xfId="431"/>
    <cellStyle name="_КР1046-1047-1050 общий 18 графа на 24 марта_Кредит линия-русча_Копия 1474 илова  01.01.2012 ўтган йилга нисбати" xfId="432"/>
    <cellStyle name="_КР1046-1047-1050 общий 18 графа на 24 марта_Кредит линия-русча_ПРОГНОЗ И 2008-2015 125 фоизлик ОКОНЧАТЕЛЬНЫЙ" xfId="433"/>
    <cellStyle name="_КР1046-1047-1050 общий 18 графа на 24 марта_Кредит линия-русча_ПРОГНОЗ И 2008-2015 125 фоизлик ОКОНЧАТЕЛЬНЫЙ_01.11.12 утган йилга нисбатан 2" xfId="434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35"/>
    <cellStyle name="_КР1046-1047-1050 общий 18 графа на 24 марта_Кредит линия-русча_СВОД БАРЧА олдинги" xfId="436"/>
    <cellStyle name="_КР1046-1047-1050 общий 18 графа на 24 марта_Кредит линия-русча_СВОД БАРЧА олдинги_Ўтган йилга нисбатан" xfId="437"/>
    <cellStyle name="_КР1046-1047-1050 общий 18 графа на 24 марта_Кредит линия-русча_СВОД БАРЧА олдинги_Ўтган йилга нисбатан_01.11.12 утган йилга нисбатан 2" xfId="438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39"/>
    <cellStyle name="_КР1046-1047-1050 общий 18 графа на 24 марта_Кредит линия-русча_СВОД БАРЧА олдинги_Копия 1474 илова  01.01.2012 ўтган йилга нисбати" xfId="440"/>
    <cellStyle name="_КР1046-1047-1050 общий 18 графа на 24 марта_Кредит линия-русча_Хоразм туман" xfId="441"/>
    <cellStyle name="_КР1046-1047-1050 общий 18 графа на 24 марта_Кредит линия-русча_Хоразм туман_01.11.12 утган йилга нисбатан 2" xfId="442"/>
    <cellStyle name="_КР1046-1047-1050 общий 18 графа на 24 марта_Кредит линия-русча_Хоразм туман_Копия 1474 илова  01.01.2012 ўтган йилга нисбати" xfId="443"/>
    <cellStyle name="_КР1046-1047-1050 общий 18 графа на 24 марта_Кредит линия-русча_банк вилоят ув капитал" xfId="444"/>
    <cellStyle name="_КР1046-1047-1050 общий 18 графа на 24 марта_Кредит линия-русча_банк вилоят ув капитал_01.11.12 утган йилга нисбатан 2" xfId="445"/>
    <cellStyle name="_КР1046-1047-1050 общий 18 графа на 24 марта_Кредит линия-русча_банк вилоят ув капитал_Копия 1474 илова  01.01.2012 ўтган йилга нисбати" xfId="446"/>
    <cellStyle name="_КР1046-1047-1050 общий 18 графа на 24 марта_Кредит линия-русча_кредиты" xfId="447"/>
    <cellStyle name="_КР1046-1047-1050 общий 18 графа на 24 марта_Кредит линия-русча_кредиты_01.11.12 утган йилга нисбатан 2" xfId="448"/>
    <cellStyle name="_КР1046-1047-1050 общий 18 графа на 24 марта_Кредит линия-русча_кредиты_Копия 1474 илова  01.01.2012 ўтган йилга нисбати" xfId="449"/>
    <cellStyle name="_КР1046-1047-1050 общий 18 графа на 24 марта_ПРОГНОЗ И 2008-2015 125 фоизлик ОКОНЧАТЕЛЬНЫЙ" xfId="450"/>
    <cellStyle name="_КР1046-1047-1050 общий 18 графа на 24 марта_ПРОГНОЗ И 2008-2015 125 фоизлик ОКОНЧАТЕЛЬНЫЙ_Ўтган йилга нисбатан" xfId="451"/>
    <cellStyle name="_КР1046-1047-1050 общий 18 графа на 24 марта_ПРОГНОЗ И 2008-2015 125 фоизлик ОКОНЧАТЕЛЬНЫЙ_Ўтган йилга нисбатан_01.11.12 утган йилга нисбатан 2" xfId="452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53"/>
    <cellStyle name="_КР1046-1047-1050 общий 18 графа на 24 марта_ПРОГНОЗ И 2008-2015 125 фоизлик ОКОНЧАТЕЛЬНЫЙ_Копия 1474 илова  01.01.2012 ўтган йилга нисбати" xfId="454"/>
    <cellStyle name="_КР1046-1047-1050 общий 18 графа на 24 марта_ПРОГНОЗ И 2008-2015 125 фоизлик ОКОНЧАТЕЛЬНЫЙ_Хоразм туман" xfId="455"/>
    <cellStyle name="_КР1046-1047-1050 общий 18 графа на 24 марта_ПРОГНОЗ И 2008-2015 125 фоизлик ОКОНЧАТЕЛЬНЫЙ_Хоразм туман_01.11.12 утган йилга нисбатан 2" xfId="456"/>
    <cellStyle name="_КР1046-1047-1050 общий 18 графа на 24 марта_ПРОГНОЗ И 2008-2015 125 фоизлик ОКОНЧАТЕЛЬНЫЙ_Хоразм туман_Копия 1474 илова  01.01.2012 ўтган йилга нисбати" xfId="457"/>
    <cellStyle name="_КР1046-1047-1050 общий 18 графа на 24 марта_Прог" xfId="458"/>
    <cellStyle name="_КР1046-1047-1050 общий 18 графа на 24 марта_Прог_01.11.12 утган йилга нисбатан 2" xfId="459"/>
    <cellStyle name="_КР1046-1047-1050 общий 18 графа на 24 марта_Прог_Копия 1474 илова  01.01.2012 ўтган йилга нисбати" xfId="460"/>
    <cellStyle name="_КР1046-1047-1050 общий 18 графа на 24 марта_Рес-га" xfId="461"/>
    <cellStyle name="_КР1046-1047-1050 общий 18 графа на 24 марта_Рес-га_Ўтган йилга нисбатан" xfId="462"/>
    <cellStyle name="_КР1046-1047-1050 общий 18 графа на 24 марта_Рес-га_Ўтган йилга нисбатан_01.11.12 утган йилга нисбатан 2" xfId="463"/>
    <cellStyle name="_КР1046-1047-1050 общий 18 графа на 24 марта_Рес-га_Ўтган йилга нисбатан_Копия 1474 илова  01.01.2012 ўтган йилга нисбати" xfId="464"/>
    <cellStyle name="_КР1046-1047-1050 общий 18 графа на 24 марта_Рес-га_Копия 1474 илова  01.01.2012 ўтган йилга нисбати" xfId="465"/>
    <cellStyle name="_КР1046-1047-1050 общий 18 графа на 24 марта_СВОД БАРЧА олдинги" xfId="466"/>
    <cellStyle name="_КР1046-1047-1050 общий 18 графа на 24 марта_СВОД БАРЧА олдинги_01.11.12 утган йилга нисбатан 2" xfId="467"/>
    <cellStyle name="_КР1046-1047-1050 общий 18 графа на 24 марта_СВОД БАРЧА олдинги_Копия 1474 илова  01.01.2012 ўтган йилга нисбати" xfId="468"/>
    <cellStyle name="_КР1046-1047-1050 общий 18 графа на 24 марта_выдача_2011-2015_1" xfId="469"/>
    <cellStyle name="_КР1046-1047-1050 общий 18 графа на 24 марта_выдача_2011-2015_1_Ўтган йилга нисбатан" xfId="470"/>
    <cellStyle name="_КР1046-1047-1050 общий 18 графа на 24 марта_выдача_2011-2015_1_Ўтган йилга нисбатан_01.11.12 утган йилга нисбатан 2" xfId="471"/>
    <cellStyle name="_КР1046-1047-1050 общий 18 графа на 24 марта_выдача_2011-2015_1_Ўтган йилга нисбатан_Копия 1474 илова  01.01.2012 ўтган йилга нисбати" xfId="472"/>
    <cellStyle name="_КР1046-1047-1050 общий 18 графа на 24 марта_выдача_2011-2015_1_Копия 1474 илова  01.01.2012 ўтган йилга нисбати" xfId="473"/>
    <cellStyle name="_КР1046-1047-1050 общий 18 графа на 24 марта_выдача_2011-2015_1_Хоразм туман" xfId="474"/>
    <cellStyle name="_КР1046-1047-1050 общий 18 графа на 24 марта_выдача_2011-2015_1_Хоразм туман_01.11.12 утган йилга нисбатан 2" xfId="475"/>
    <cellStyle name="_КР1046-1047-1050 общий 18 графа на 24 марта_выдача_2011-2015_1_Хоразм туман_Копия 1474 илова  01.01.2012 ўтган йилга нисбати" xfId="476"/>
    <cellStyle name="_КР1046-1047-1050 общий 18 графа на 24 марта_форма 01.01.2016" xfId="477"/>
    <cellStyle name="_КР1046-1047-1050 общий 18 графа на 24 марта_форма 01.01.2016_01.11.12 утган йилга нисбатан 2" xfId="478"/>
    <cellStyle name="_КР1046-1047-1050 общий 18 графа на 24 марта_форма 01.01.2016_Копия 1474 илова  01.01.2012 ўтган йилга нисбати" xfId="479"/>
    <cellStyle name="_Кабминга" xfId="480"/>
    <cellStyle name="_Кабминга_Ўтган йилга нисбатан" xfId="481"/>
    <cellStyle name="_Кабминга_Ўтган йилга нисбатан_01.11.12 утган йилга нисбатан 2" xfId="482"/>
    <cellStyle name="_Кабминга_Ўтган йилга нисбатан_Копия 1474 илова  01.01.2012 ўтган йилга нисбати" xfId="483"/>
    <cellStyle name="_Кабминга_Копия 1474 илова  01.01.2012 ўтган йилга нисбати" xfId="484"/>
    <cellStyle name="_Кабминга_Хоразм туман" xfId="485"/>
    <cellStyle name="_Кабминга_Хоразм туман_01.11.12 утган йилга нисбатан 2" xfId="486"/>
    <cellStyle name="_Кабминга_Хоразм туман_Копия 1474 илова  01.01.2012 ўтган йилга нисбати" xfId="487"/>
    <cellStyle name="_Касаначи 4 ой" xfId="488"/>
    <cellStyle name="_Кашкадарё" xfId="489"/>
    <cellStyle name="_Кашкадарё_01.11.12 утган йилга нисбатан 2" xfId="490"/>
    <cellStyle name="_Кашкадарё_Копия 1474 илова  01.01.2012 ўтган йилга нисбати" xfId="491"/>
    <cellStyle name="_Кашкадарё_Прогноз_2012_24.09.11" xfId="492"/>
    <cellStyle name="_Кашкадарё_Сухроб Вилоят свод" xfId="493"/>
    <cellStyle name="_Кашкадарё_Сухроб Вилоят свод_01.11.12 утган йилга нисбатан 2" xfId="494"/>
    <cellStyle name="_Кашкадарё_Сухроб Вилоят свод_КР_ Прогноз (4 жадвал)" xfId="495"/>
    <cellStyle name="_Кашкадарё_Сухроб Вилоят свод_КР_ Прогноз (4 жадвал)_01.11.12 утган йилга нисбатан 2" xfId="496"/>
    <cellStyle name="_Кашкадарё_Сухроб Вилоят свод_КР_ Прогноз (4 жадвал)_Копия 1474 илова  01.01.2012 ўтган йилга нисбати" xfId="497"/>
    <cellStyle name="_Кашкадарё_Сухроб Вилоят свод_Копия 1474 илова  01.01.2012 ўтган йилга нисбати" xfId="498"/>
    <cellStyle name="_Кашкадарё_иктисодга" xfId="499"/>
    <cellStyle name="_Кашкадарё_иктисодга_01.11.12 утган йилга нисбатан 2" xfId="500"/>
    <cellStyle name="_Кашкадарё_иктисодга_КР_ Прогноз (4 жадвал)" xfId="501"/>
    <cellStyle name="_Кашкадарё_иктисодга_КР_ Прогноз (4 жадвал)_01.11.12 утган йилга нисбатан 2" xfId="502"/>
    <cellStyle name="_Кашкадарё_иктисодга_КР_ Прогноз (4 жадвал)_Копия 1474 илова  01.01.2012 ўтган йилга нисбати" xfId="503"/>
    <cellStyle name="_Кашкадарё_иктисодга_Копия 1474 илова  01.01.2012 ўтган йилга нисбати" xfId="504"/>
    <cellStyle name="_Книга3" xfId="505"/>
    <cellStyle name="_Книга3_Прогноз_2012_24.09.11" xfId="506"/>
    <cellStyle name="_Копия Иктисод формалари о" xfId="507"/>
    <cellStyle name="_Копия Кабминга" xfId="508"/>
    <cellStyle name="_Копия Кабминга_Ўтган йилга нисбатан" xfId="509"/>
    <cellStyle name="_Копия Кабминга_Ўтган йилга нисбатан_01.11.12 утган йилга нисбатан 2" xfId="510"/>
    <cellStyle name="_Копия Кабминга_Ўтган йилга нисбатан_Копия 1474 илова  01.01.2012 ўтган йилга нисбати" xfId="511"/>
    <cellStyle name="_Копия Кабминга_Копия 1474 илова  01.01.2012 ўтган йилга нисбати" xfId="512"/>
    <cellStyle name="_Копия Кабминга_Хоразм туман" xfId="513"/>
    <cellStyle name="_Копия Кабминга_Хоразм туман_01.11.12 утган йилга нисбатан 2" xfId="514"/>
    <cellStyle name="_Копия Кабминга_Хоразм туман_Копия 1474 илова  01.01.2012 ўтган йилга нисбати" xfId="515"/>
    <cellStyle name="_Коракалпогистон" xfId="516"/>
    <cellStyle name="_МОЛИЯ даромад-харажат" xfId="517"/>
    <cellStyle name="_МОЛИЯ даромад-харажат_01.11.12 утган йилга нисбатан 2" xfId="518"/>
    <cellStyle name="_МОЛИЯ даромад-харажат_КР_ Прогноз (4 жадвал)" xfId="519"/>
    <cellStyle name="_МОЛИЯ даромад-харажат_КР_ Прогноз (4 жадвал)_01.11.12 утган йилга нисбатан 2" xfId="520"/>
    <cellStyle name="_МОЛИЯ даромад-харажат_КР_ Прогноз (4 жадвал)_Копия 1474 илова  01.01.2012 ўтган йилга нисбати" xfId="521"/>
    <cellStyle name="_МОЛИЯ даромад-харажат_Копия 1474 илова  01.01.2012 ўтган йилга нисбати" xfId="522"/>
    <cellStyle name="_Марказий банк" xfId="523"/>
    <cellStyle name="_Марказий банк_Ўтган йилга нисбатан" xfId="524"/>
    <cellStyle name="_Марказий банк_Ўтган йилга нисбатан_01.11.12 утган йилга нисбатан 2" xfId="525"/>
    <cellStyle name="_Марказий банк_Ўтган йилга нисбатан_Копия 1474 илова  01.01.2012 ўтган йилга нисбати" xfId="526"/>
    <cellStyle name="_Марказий банк_Копия 1474 илова  01.01.2012 ўтган йилга нисбати" xfId="527"/>
    <cellStyle name="_Марказий банк_Кредит линия-русча" xfId="528"/>
    <cellStyle name="_Марказий банк_Кредит линия-русча_01.11.12 утган йилга нисбатан 2" xfId="529"/>
    <cellStyle name="_Марказий банк_Кредит линия-русча_Книга1" xfId="530"/>
    <cellStyle name="_Марказий банк_Кредит линия-русча_Книга1_01.11.12 утган йилга нисбатан 2" xfId="531"/>
    <cellStyle name="_Марказий банк_Кредит линия-русча_Книга1_Копия 1474 илова  01.01.2012 ўтган йилга нисбати" xfId="532"/>
    <cellStyle name="_Марказий банк_Кредит линия-русча_Копия 1474 илова  01.01.2012 ўтган йилга нисбати" xfId="533"/>
    <cellStyle name="_Марказий банк_Кредит линия-русча_ПРОГНОЗ И 2008-2015 125 фоизлик ОКОНЧАТЕЛЬНЫЙ" xfId="534"/>
    <cellStyle name="_Марказий банк_Кредит линия-русча_ПРОГНОЗ И 2008-2015 125 фоизлик ОКОНЧАТЕЛЬНЫЙ_01.11.12 утган йилга нисбатан 2" xfId="535"/>
    <cellStyle name="_Марказий банк_Кредит линия-русча_ПРОГНОЗ И 2008-2015 125 фоизлик ОКОНЧАТЕЛЬНЫЙ_Копия 1474 илова  01.01.2012 ўтган йилга нисбати" xfId="536"/>
    <cellStyle name="_Марказий банк_Кредит линия-русча_СВОД БАРЧА олдинги" xfId="537"/>
    <cellStyle name="_Марказий банк_Кредит линия-русча_СВОД БАРЧА олдинги_Ўтган йилга нисбатан" xfId="538"/>
    <cellStyle name="_Марказий банк_Кредит линия-русча_СВОД БАРЧА олдинги_Ўтган йилга нисбатан_01.11.12 утган йилга нисбатан 2" xfId="539"/>
    <cellStyle name="_Марказий банк_Кредит линия-русча_СВОД БАРЧА олдинги_Ўтган йилга нисбатан_Копия 1474 илова  01.01.2012 ўтган йилга нисбати" xfId="540"/>
    <cellStyle name="_Марказий банк_Кредит линия-русча_СВОД БАРЧА олдинги_Копия 1474 илова  01.01.2012 ўтган йилга нисбати" xfId="541"/>
    <cellStyle name="_Марказий банк_Кредит линия-русча_Хоразм туман" xfId="542"/>
    <cellStyle name="_Марказий банк_Кредит линия-русча_Хоразм туман_01.11.12 утган йилга нисбатан 2" xfId="543"/>
    <cellStyle name="_Марказий банк_Кредит линия-русча_Хоразм туман_Копия 1474 илова  01.01.2012 ўтган йилга нисбати" xfId="544"/>
    <cellStyle name="_Марказий банк_Кредит линия-русча_банк вилоят ув капитал" xfId="545"/>
    <cellStyle name="_Марказий банк_Кредит линия-русча_банк вилоят ув капитал_01.11.12 утган йилга нисбатан 2" xfId="546"/>
    <cellStyle name="_Марказий банк_Кредит линия-русча_банк вилоят ув капитал_Копия 1474 илова  01.01.2012 ўтган йилга нисбати" xfId="547"/>
    <cellStyle name="_Марказий банк_Кредит линия-русча_кредиты" xfId="548"/>
    <cellStyle name="_Марказий банк_Кредит линия-русча_кредиты_01.11.12 утган йилга нисбатан 2" xfId="549"/>
    <cellStyle name="_Марказий банк_Кредит линия-русча_кредиты_Копия 1474 илова  01.01.2012 ўтган йилга нисбати" xfId="550"/>
    <cellStyle name="_Марказий банк_ПРОГНОЗ И 2008-2015 125 фоизлик ОКОНЧАТЕЛЬНЫЙ" xfId="551"/>
    <cellStyle name="_Марказий банк_ПРОГНОЗ И 2008-2015 125 фоизлик ОКОНЧАТЕЛЬНЫЙ_Ўтган йилга нисбатан" xfId="552"/>
    <cellStyle name="_Марказий банк_ПРОГНОЗ И 2008-2015 125 фоизлик ОКОНЧАТЕЛЬНЫЙ_Ўтган йилга нисбатан_01.11.12 утган йилга нисбатан 2" xfId="553"/>
    <cellStyle name="_Марказий банк_ПРОГНОЗ И 2008-2015 125 фоизлик ОКОНЧАТЕЛЬНЫЙ_Ўтган йилга нисбатан_Копия 1474 илова  01.01.2012 ўтган йилга нисбати" xfId="554"/>
    <cellStyle name="_Марказий банк_ПРОГНОЗ И 2008-2015 125 фоизлик ОКОНЧАТЕЛЬНЫЙ_Копия 1474 илова  01.01.2012 ўтган йилга нисбати" xfId="555"/>
    <cellStyle name="_Марказий банк_ПРОГНОЗ И 2008-2015 125 фоизлик ОКОНЧАТЕЛЬНЫЙ_Хоразм туман" xfId="556"/>
    <cellStyle name="_Марказий банк_ПРОГНОЗ И 2008-2015 125 фоизлик ОКОНЧАТЕЛЬНЫЙ_Хоразм туман_01.11.12 утган йилга нисбатан 2" xfId="557"/>
    <cellStyle name="_Марказий банк_ПРОГНОЗ И 2008-2015 125 фоизлик ОКОНЧАТЕЛЬНЫЙ_Хоразм туман_Копия 1474 илова  01.01.2012 ўтган йилга нисбати" xfId="558"/>
    <cellStyle name="_Марказий банк_Прог" xfId="559"/>
    <cellStyle name="_Марказий банк_Прог_01.11.12 утган йилга нисбатан 2" xfId="560"/>
    <cellStyle name="_Марказий банк_Прог_Копия 1474 илова  01.01.2012 ўтган йилга нисбати" xfId="561"/>
    <cellStyle name="_Марказий банк_Рес-га" xfId="562"/>
    <cellStyle name="_Марказий банк_Рес-га_Ўтган йилга нисбатан" xfId="563"/>
    <cellStyle name="_Марказий банк_Рес-га_Ўтган йилга нисбатан_01.11.12 утган йилга нисбатан 2" xfId="564"/>
    <cellStyle name="_Марказий банк_Рес-га_Ўтган йилга нисбатан_Копия 1474 илова  01.01.2012 ўтган йилга нисбати" xfId="565"/>
    <cellStyle name="_Марказий банк_Рес-га_Копия 1474 илова  01.01.2012 ўтган йилга нисбати" xfId="566"/>
    <cellStyle name="_Марказий банк_СВОД БАРЧА олдинги" xfId="567"/>
    <cellStyle name="_Марказий банк_СВОД БАРЧА олдинги_01.11.12 утган йилга нисбатан 2" xfId="568"/>
    <cellStyle name="_Марказий банк_СВОД БАРЧА олдинги_Копия 1474 илова  01.01.2012 ўтган йилга нисбати" xfId="569"/>
    <cellStyle name="_Марказий банк_выдача_2011-2015_1" xfId="570"/>
    <cellStyle name="_Марказий банк_выдача_2011-2015_1_Ўтган йилга нисбатан" xfId="571"/>
    <cellStyle name="_Марказий банк_выдача_2011-2015_1_Ўтган йилга нисбатан_01.11.12 утган йилга нисбатан 2" xfId="572"/>
    <cellStyle name="_Марказий банк_выдача_2011-2015_1_Ўтган йилга нисбатан_Копия 1474 илова  01.01.2012 ўтган йилга нисбати" xfId="573"/>
    <cellStyle name="_Марказий банк_выдача_2011-2015_1_Копия 1474 илова  01.01.2012 ўтган йилга нисбати" xfId="574"/>
    <cellStyle name="_Марказий банк_выдача_2011-2015_1_Хоразм туман" xfId="575"/>
    <cellStyle name="_Марказий банк_выдача_2011-2015_1_Хоразм туман_01.11.12 утган йилга нисбатан 2" xfId="576"/>
    <cellStyle name="_Марказий банк_выдача_2011-2015_1_Хоразм туман_Копия 1474 илова  01.01.2012 ўтган йилга нисбати" xfId="577"/>
    <cellStyle name="_Марказий банк_форма 01.01.2016" xfId="578"/>
    <cellStyle name="_Марказий банк_форма 01.01.2016_01.11.12 утган йилга нисбатан 2" xfId="579"/>
    <cellStyle name="_Марказий банк_форма 01.01.2016_Копия 1474 илова  01.01.2012 ўтган йилга нисбати" xfId="580"/>
    <cellStyle name="_Наманган-1" xfId="581"/>
    <cellStyle name="_Наманган-1_01.11.12 утган йилга нисбатан 2" xfId="582"/>
    <cellStyle name="_Наманган-1_Копия 1474 илова  01.01.2012 ўтган йилга нисбати" xfId="583"/>
    <cellStyle name="_Наманган-1_Прогноз_2012_24.09.11" xfId="584"/>
    <cellStyle name="_Наманган-1_Сухроб Вилоят свод" xfId="585"/>
    <cellStyle name="_Наманган-1_Сухроб Вилоят свод_01.11.12 утган йилга нисбатан 2" xfId="586"/>
    <cellStyle name="_Наманган-1_Сухроб Вилоят свод_КР_ Прогноз (4 жадвал)" xfId="587"/>
    <cellStyle name="_Наманган-1_Сухроб Вилоят свод_КР_ Прогноз (4 жадвал)_01.11.12 утган йилга нисбатан 2" xfId="588"/>
    <cellStyle name="_Наманган-1_Сухроб Вилоят свод_КР_ Прогноз (4 жадвал)_Копия 1474 илова  01.01.2012 ўтган йилга нисбати" xfId="589"/>
    <cellStyle name="_Наманган-1_Сухроб Вилоят свод_Копия 1474 илова  01.01.2012 ўтган йилга нисбати" xfId="590"/>
    <cellStyle name="_Наманган-1_иктисодга" xfId="591"/>
    <cellStyle name="_Наманган-1_иктисодга_01.11.12 утган йилга нисбатан 2" xfId="592"/>
    <cellStyle name="_Наманган-1_иктисодга_КР_ Прогноз (4 жадвал)" xfId="593"/>
    <cellStyle name="_Наманган-1_иктисодга_КР_ Прогноз (4 жадвал)_01.11.12 утган йилга нисбатан 2" xfId="594"/>
    <cellStyle name="_Наманган-1_иктисодга_КР_ Прогноз (4 жадвал)_Копия 1474 илова  01.01.2012 ўтган йилга нисбати" xfId="595"/>
    <cellStyle name="_Наманган-1_иктисодга_Копия 1474 илова  01.01.2012 ўтган йилга нисбати" xfId="596"/>
    <cellStyle name="_Пахтабанк" xfId="597"/>
    <cellStyle name="_Прогноз 2009 год 2" xfId="598"/>
    <cellStyle name="_Рес-га" xfId="599"/>
    <cellStyle name="_Рес-га_Ўтган йилга нисбатан" xfId="600"/>
    <cellStyle name="_Рес-га_Ўтган йилга нисбатан_01.11.12 утган йилга нисбатан 2" xfId="601"/>
    <cellStyle name="_Рес-га_Ўтган йилга нисбатан_Копия 1474 илова  01.01.2012 ўтган йилга нисбати" xfId="602"/>
    <cellStyle name="_Рес-га_Копия 1474 илова  01.01.2012 ўтган йилга нисбати" xfId="603"/>
    <cellStyle name="_СВОД 1047_04_охирги" xfId="604"/>
    <cellStyle name="_СВОД 1047_04_охирги_Ўтган йилга нисбатан" xfId="605"/>
    <cellStyle name="_СВОД 1047_04_охирги_Ўтган йилга нисбатан_01.11.12 утган йилга нисбатан 2" xfId="606"/>
    <cellStyle name="_СВОД 1047_04_охирги_Ўтган йилга нисбатан_Копия 1474 илова  01.01.2012 ўтган йилга нисбати" xfId="607"/>
    <cellStyle name="_СВОД 1047_04_охирги_Копия 1474 илова  01.01.2012 ўтган йилга нисбати" xfId="608"/>
    <cellStyle name="_СВОД 1047_04_охирги_Хоразм туман" xfId="609"/>
    <cellStyle name="_СВОД 1047_04_охирги_Хоразм туман_01.11.12 утган йилга нисбатан 2" xfId="610"/>
    <cellStyle name="_СВОД 1047_04_охирги_Хоразм туман_Копия 1474 илова  01.01.2012 ўтган йилга нисбати" xfId="611"/>
    <cellStyle name="_СВОД 1050" xfId="612"/>
    <cellStyle name="_СВОД 1050_Ўтган йилга нисбатан" xfId="613"/>
    <cellStyle name="_СВОД 1050_Ўтган йилга нисбатан_01.11.12 утган йилга нисбатан 2" xfId="614"/>
    <cellStyle name="_СВОД 1050_Ўтган йилга нисбатан_Копия 1474 илова  01.01.2012 ўтган йилга нисбати" xfId="615"/>
    <cellStyle name="_СВОД 1050_Копия 1474 илова  01.01.2012 ўтган йилга нисбати" xfId="616"/>
    <cellStyle name="_СВОД 1050_Хоразм туман" xfId="617"/>
    <cellStyle name="_СВОД 1050_Хоразм туман_01.11.12 утган йилга нисбатан 2" xfId="618"/>
    <cellStyle name="_СВОД 1050_Хоразм туман_Копия 1474 илова  01.01.2012 ўтган йилга нисбати" xfId="619"/>
    <cellStyle name="_СВОД КабМин-Вар-тОхирги" xfId="620"/>
    <cellStyle name="_СВОД КабМин-Вар-тОхирги_Ўтган йилга нисбатан" xfId="621"/>
    <cellStyle name="_СВОД КабМин-Вар-тОхирги_Ўтган йилга нисбатан_01.11.12 утган йилга нисбатан 2" xfId="622"/>
    <cellStyle name="_СВОД КабМин-Вар-тОхирги_Ўтган йилга нисбатан_Копия 1474 илова  01.01.2012 ўтган йилга нисбати" xfId="623"/>
    <cellStyle name="_СВОД КабМин-Вар-тОхирги_Копия 1474 илова  01.01.2012 ўтган йилга нисбати" xfId="624"/>
    <cellStyle name="_СВОД КабМин-Вар-тОхирги_Кредит линия-русча" xfId="625"/>
    <cellStyle name="_СВОД КабМин-Вар-тОхирги_Кредит линия-русча_01.11.12 утган йилга нисбатан 2" xfId="626"/>
    <cellStyle name="_СВОД КабМин-Вар-тОхирги_Кредит линия-русча_Книга1" xfId="627"/>
    <cellStyle name="_СВОД КабМин-Вар-тОхирги_Кредит линия-русча_Книга1_01.11.12 утган йилга нисбатан 2" xfId="628"/>
    <cellStyle name="_СВОД КабМин-Вар-тОхирги_Кредит линия-русча_Книга1_Копия 1474 илова  01.01.2012 ўтган йилга нисбати" xfId="629"/>
    <cellStyle name="_СВОД КабМин-Вар-тОхирги_Кредит линия-русча_Копия 1474 илова  01.01.2012 ўтган йилга нисбати" xfId="630"/>
    <cellStyle name="_СВОД КабМин-Вар-тОхирги_Кредит линия-русча_ПРОГНОЗ И 2008-2015 125 фоизлик ОКОНЧАТЕЛЬНЫЙ" xfId="631"/>
    <cellStyle name="_СВОД КабМин-Вар-тОхирги_Кредит линия-русча_ПРОГНОЗ И 2008-2015 125 фоизлик ОКОНЧАТЕЛЬНЫЙ_01.11.12 утган йилга нисбатан 2" xfId="632"/>
    <cellStyle name="_СВОД КабМин-Вар-тОхирги_Кредит линия-русча_ПРОГНОЗ И 2008-2015 125 фоизлик ОКОНЧАТЕЛЬНЫЙ_Копия 1474 илова  01.01.2012 ўтган йилга нисбати" xfId="633"/>
    <cellStyle name="_СВОД КабМин-Вар-тОхирги_Кредит линия-русча_СВОД БАРЧА олдинги" xfId="634"/>
    <cellStyle name="_СВОД КабМин-Вар-тОхирги_Кредит линия-русча_СВОД БАРЧА олдинги_Ўтган йилга нисбатан" xfId="635"/>
    <cellStyle name="_СВОД КабМин-Вар-тОхирги_Кредит линия-русча_СВОД БАРЧА олдинги_Ўтган йилга нисбатан_01.11.12 утган йилга нисбатан 2" xfId="636"/>
    <cellStyle name="_СВОД КабМин-Вар-тОхирги_Кредит линия-русча_СВОД БАРЧА олдинги_Ўтган йилга нисбатан_Копия 1474 илова  01.01.2012 ўтган йилга нисбати" xfId="637"/>
    <cellStyle name="_СВОД КабМин-Вар-тОхирги_Кредит линия-русча_СВОД БАРЧА олдинги_Копия 1474 илова  01.01.2012 ўтган йилга нисбати" xfId="638"/>
    <cellStyle name="_СВОД КабМин-Вар-тОхирги_Кредит линия-русча_Хоразм туман" xfId="639"/>
    <cellStyle name="_СВОД КабМин-Вар-тОхирги_Кредит линия-русча_Хоразм туман_01.11.12 утган йилга нисбатан 2" xfId="640"/>
    <cellStyle name="_СВОД КабМин-Вар-тОхирги_Кредит линия-русча_Хоразм туман_Копия 1474 илова  01.01.2012 ўтган йилга нисбати" xfId="641"/>
    <cellStyle name="_СВОД КабМин-Вар-тОхирги_Кредит линия-русча_банк вилоят ув капитал" xfId="642"/>
    <cellStyle name="_СВОД КабМин-Вар-тОхирги_Кредит линия-русча_банк вилоят ув капитал_01.11.12 утган йилга нисбатан 2" xfId="643"/>
    <cellStyle name="_СВОД КабМин-Вар-тОхирги_Кредит линия-русча_банк вилоят ув капитал_Копия 1474 илова  01.01.2012 ўтган йилга нисбати" xfId="644"/>
    <cellStyle name="_СВОД КабМин-Вар-тОхирги_Кредит линия-русча_кредиты" xfId="645"/>
    <cellStyle name="_СВОД КабМин-Вар-тОхирги_Кредит линия-русча_кредиты_01.11.12 утган йилга нисбатан 2" xfId="646"/>
    <cellStyle name="_СВОД КабМин-Вар-тОхирги_Кредит линия-русча_кредиты_Копия 1474 илова  01.01.2012 ўтган йилга нисбати" xfId="647"/>
    <cellStyle name="_СВОД КабМин-Вар-тОхирги_ПРОГНОЗ И 2008-2015 125 фоизлик ОКОНЧАТЕЛЬНЫЙ" xfId="648"/>
    <cellStyle name="_СВОД КабМин-Вар-тОхирги_ПРОГНОЗ И 2008-2015 125 фоизлик ОКОНЧАТЕЛЬНЫЙ_Ўтган йилга нисбатан" xfId="649"/>
    <cellStyle name="_СВОД КабМин-Вар-тОхирги_ПРОГНОЗ И 2008-2015 125 фоизлик ОКОНЧАТЕЛЬНЫЙ_Ўтган йилга нисбатан_01.11.12 утган йилга нисбатан 2" xfId="650"/>
    <cellStyle name="_СВОД КабМин-Вар-тОхирги_ПРОГНОЗ И 2008-2015 125 фоизлик ОКОНЧАТЕЛЬНЫЙ_Ўтган йилга нисбатан_Копия 1474 илова  01.01.2012 ўтган йилга нисбати" xfId="651"/>
    <cellStyle name="_СВОД КабМин-Вар-тОхирги_ПРОГНОЗ И 2008-2015 125 фоизлик ОКОНЧАТЕЛЬНЫЙ_Копия 1474 илова  01.01.2012 ўтган йилга нисбати" xfId="652"/>
    <cellStyle name="_СВОД КабМин-Вар-тОхирги_ПРОГНОЗ И 2008-2015 125 фоизлик ОКОНЧАТЕЛЬНЫЙ_Хоразм туман" xfId="653"/>
    <cellStyle name="_СВОД КабМин-Вар-тОхирги_ПРОГНОЗ И 2008-2015 125 фоизлик ОКОНЧАТЕЛЬНЫЙ_Хоразм туман_01.11.12 утган йилга нисбатан 2" xfId="654"/>
    <cellStyle name="_СВОД КабМин-Вар-тОхирги_ПРОГНОЗ И 2008-2015 125 фоизлик ОКОНЧАТЕЛЬНЫЙ_Хоразм туман_Копия 1474 илова  01.01.2012 ўтган йилга нисбати" xfId="655"/>
    <cellStyle name="_СВОД КабМин-Вар-тОхирги_Прог" xfId="656"/>
    <cellStyle name="_СВОД КабМин-Вар-тОхирги_Прог_01.11.12 утган йилга нисбатан 2" xfId="657"/>
    <cellStyle name="_СВОД КабМин-Вар-тОхирги_Прог_Копия 1474 илова  01.01.2012 ўтган йилга нисбати" xfId="658"/>
    <cellStyle name="_СВОД КабМин-Вар-тОхирги_Рес-га" xfId="659"/>
    <cellStyle name="_СВОД КабМин-Вар-тОхирги_Рес-га_Ўтган йилга нисбатан" xfId="660"/>
    <cellStyle name="_СВОД КабМин-Вар-тОхирги_Рес-га_Ўтган йилга нисбатан_01.11.12 утган йилга нисбатан 2" xfId="661"/>
    <cellStyle name="_СВОД КабМин-Вар-тОхирги_Рес-га_Ўтган йилга нисбатан_Копия 1474 илова  01.01.2012 ўтган йилга нисбати" xfId="662"/>
    <cellStyle name="_СВОД КабМин-Вар-тОхирги_Рес-га_Копия 1474 илова  01.01.2012 ўтган йилга нисбати" xfId="663"/>
    <cellStyle name="_СВОД КабМин-Вар-тОхирги_СВОД БАРЧА олдинги" xfId="664"/>
    <cellStyle name="_СВОД КабМин-Вар-тОхирги_СВОД БАРЧА олдинги_01.11.12 утган йилга нисбатан 2" xfId="665"/>
    <cellStyle name="_СВОД КабМин-Вар-тОхирги_СВОД БАРЧА олдинги_Копия 1474 илова  01.01.2012 ўтган йилга нисбати" xfId="666"/>
    <cellStyle name="_СВОД КабМин-Вар-тОхирги_выдача_2011-2015_1" xfId="667"/>
    <cellStyle name="_СВОД КабМин-Вар-тОхирги_выдача_2011-2015_1_Ўтган йилга нисбатан" xfId="668"/>
    <cellStyle name="_СВОД КабМин-Вар-тОхирги_выдача_2011-2015_1_Ўтган йилга нисбатан_01.11.12 утган йилга нисбатан 2" xfId="669"/>
    <cellStyle name="_СВОД КабМин-Вар-тОхирги_выдача_2011-2015_1_Ўтган йилга нисбатан_Копия 1474 илова  01.01.2012 ўтган йилга нисбати" xfId="670"/>
    <cellStyle name="_СВОД КабМин-Вар-тОхирги_выдача_2011-2015_1_Копия 1474 илова  01.01.2012 ўтган йилга нисбати" xfId="671"/>
    <cellStyle name="_СВОД КабМин-Вар-тОхирги_выдача_2011-2015_1_Хоразм туман" xfId="672"/>
    <cellStyle name="_СВОД КабМин-Вар-тОхирги_выдача_2011-2015_1_Хоразм туман_01.11.12 утган йилга нисбатан 2" xfId="673"/>
    <cellStyle name="_СВОД КабМин-Вар-тОхирги_выдача_2011-2015_1_Хоразм туман_Копия 1474 илова  01.01.2012 ўтган йилга нисбати" xfId="674"/>
    <cellStyle name="_СВОД КабМин-Вар-тОхирги_форма 01.01.2016" xfId="675"/>
    <cellStyle name="_СВОД КабМин-Вар-тОхирги_форма 01.01.2016_01.11.12 утган йилга нисбатан 2" xfId="676"/>
    <cellStyle name="_СВОД КабМин-Вар-тОхирги_форма 01.01.2016_Копия 1474 илова  01.01.2012 ўтган йилга нисбати" xfId="677"/>
    <cellStyle name="_СВОД Парранда 1 апрел" xfId="678"/>
    <cellStyle name="_СВОД Парранда 1 апрел_Ўтган йилга нисбатан" xfId="679"/>
    <cellStyle name="_СВОД Парранда 1 апрел_Ўтган йилга нисбатан_01.11.12 утган йилга нисбатан 2" xfId="680"/>
    <cellStyle name="_СВОД Парранда 1 апрел_Ўтган йилга нисбатан_Копия 1474 илова  01.01.2012 ўтган йилга нисбати" xfId="681"/>
    <cellStyle name="_СВОД Парранда 1 апрел_Копия 1474 илова  01.01.2012 ўтган йилга нисбати" xfId="682"/>
    <cellStyle name="_СВОД Парранда 1 апрел_Хоразм туман" xfId="683"/>
    <cellStyle name="_СВОД Парранда 1 апрел_Хоразм туман_01.11.12 утган йилга нисбатан 2" xfId="684"/>
    <cellStyle name="_СВОД Парранда 1 апрел_Хоразм туман_Копия 1474 илова  01.01.2012 ўтган йилга нисбати" xfId="685"/>
    <cellStyle name="_СВОД ТАДБИРКОР АЁЛ 01.06.2010" xfId="686"/>
    <cellStyle name="_СВОД ТАДБИРКОР АЁЛ 01.06.2010_Ўтган йилга нисбатан" xfId="687"/>
    <cellStyle name="_СВОД ТАДБИРКОР АЁЛ 01.06.2010_Ўтган йилга нисбатан_01.11.12 утган йилга нисбатан 2" xfId="688"/>
    <cellStyle name="_СВОД ТАДБИРКОР АЁЛ 01.06.2010_Ўтган йилга нисбатан_Копия 1474 илова  01.01.2012 ўтган йилга нисбати" xfId="689"/>
    <cellStyle name="_СВОД ТАДБИРКОР АЁЛ 01.06.2010_Копия 1474 илова  01.01.2012 ўтган йилга нисбати" xfId="690"/>
    <cellStyle name="_СВОД ТАДБИРКОР АЁЛ 01.06.2010_Хоразм туман" xfId="691"/>
    <cellStyle name="_СВОД ТАДБИРКОР АЁЛ 01.06.2010_Хоразм туман_01.11.12 утган йилга нисбатан 2" xfId="692"/>
    <cellStyle name="_СВОД ТАДБИРКОР АЁЛ 01.06.2010_Хоразм туман_Копия 1474 илова  01.01.2012 ўтган йилга нисбати" xfId="693"/>
    <cellStyle name="_СВОД-Банк-Вилоят" xfId="694"/>
    <cellStyle name="_СВОД-Банк-Вилоят_Ўтган йилга нисбатан" xfId="695"/>
    <cellStyle name="_СВОД-Банк-Вилоят_Ўтган йилга нисбатан_01.11.12 утган йилга нисбатан 2" xfId="696"/>
    <cellStyle name="_СВОД-Банк-Вилоят_Ўтган йилга нисбатан_Копия 1474 илова  01.01.2012 ўтган йилга нисбати" xfId="697"/>
    <cellStyle name="_СВОД-Банк-Вилоят_Копия 1474 илова  01.01.2012 ўтган йилга нисбати" xfId="698"/>
    <cellStyle name="_СВОД-Банк-Вилоят_Кредит линия-русча" xfId="699"/>
    <cellStyle name="_СВОД-Банк-Вилоят_Кредит линия-русча_01.11.12 утган йилга нисбатан 2" xfId="700"/>
    <cellStyle name="_СВОД-Банк-Вилоят_Кредит линия-русча_Книга1" xfId="701"/>
    <cellStyle name="_СВОД-Банк-Вилоят_Кредит линия-русча_Книга1_01.11.12 утган йилга нисбатан 2" xfId="702"/>
    <cellStyle name="_СВОД-Банк-Вилоят_Кредит линия-русча_Книга1_Копия 1474 илова  01.01.2012 ўтган йилга нисбати" xfId="703"/>
    <cellStyle name="_СВОД-Банк-Вилоят_Кредит линия-русча_Копия 1474 илова  01.01.2012 ўтган йилга нисбати" xfId="704"/>
    <cellStyle name="_СВОД-Банк-Вилоят_Кредит линия-русча_ПРОГНОЗ И 2008-2015 125 фоизлик ОКОНЧАТЕЛЬНЫЙ" xfId="705"/>
    <cellStyle name="_СВОД-Банк-Вилоят_Кредит линия-русча_ПРОГНОЗ И 2008-2015 125 фоизлик ОКОНЧАТЕЛЬНЫЙ_01.11.12 утган йилга нисбатан 2" xfId="706"/>
    <cellStyle name="_СВОД-Банк-Вилоят_Кредит линия-русча_ПРОГНОЗ И 2008-2015 125 фоизлик ОКОНЧАТЕЛЬНЫЙ_Копия 1474 илова  01.01.2012 ўтган йилга нисбати" xfId="707"/>
    <cellStyle name="_СВОД-Банк-Вилоят_Кредит линия-русча_СВОД БАРЧА олдинги" xfId="708"/>
    <cellStyle name="_СВОД-Банк-Вилоят_Кредит линия-русча_СВОД БАРЧА олдинги_Ўтган йилга нисбатан" xfId="709"/>
    <cellStyle name="_СВОД-Банк-Вилоят_Кредит линия-русча_СВОД БАРЧА олдинги_Ўтган йилга нисбатан_01.11.12 утган йилга нисбатан 2" xfId="710"/>
    <cellStyle name="_СВОД-Банк-Вилоят_Кредит линия-русча_СВОД БАРЧА олдинги_Ўтган йилга нисбатан_Копия 1474 илова  01.01.2012 ўтган йилга нисбати" xfId="711"/>
    <cellStyle name="_СВОД-Банк-Вилоят_Кредит линия-русча_СВОД БАРЧА олдинги_Копия 1474 илова  01.01.2012 ўтган йилга нисбати" xfId="712"/>
    <cellStyle name="_СВОД-Банк-Вилоят_Кредит линия-русча_Хоразм туман" xfId="713"/>
    <cellStyle name="_СВОД-Банк-Вилоят_Кредит линия-русча_Хоразм туман_01.11.12 утган йилга нисбатан 2" xfId="714"/>
    <cellStyle name="_СВОД-Банк-Вилоят_Кредит линия-русча_Хоразм туман_Копия 1474 илова  01.01.2012 ўтган йилга нисбати" xfId="715"/>
    <cellStyle name="_СВОД-Банк-Вилоят_Кредит линия-русча_банк вилоят ув капитал" xfId="716"/>
    <cellStyle name="_СВОД-Банк-Вилоят_Кредит линия-русча_банк вилоят ув капитал_01.11.12 утган йилга нисбатан 2" xfId="717"/>
    <cellStyle name="_СВОД-Банк-Вилоят_Кредит линия-русча_банк вилоят ув капитал_Копия 1474 илова  01.01.2012 ўтган йилга нисбати" xfId="718"/>
    <cellStyle name="_СВОД-Банк-Вилоят_Кредит линия-русча_кредиты" xfId="719"/>
    <cellStyle name="_СВОД-Банк-Вилоят_Кредит линия-русча_кредиты_01.11.12 утган йилга нисбатан 2" xfId="720"/>
    <cellStyle name="_СВОД-Банк-Вилоят_Кредит линия-русча_кредиты_Копия 1474 илова  01.01.2012 ўтган йилга нисбати" xfId="721"/>
    <cellStyle name="_СВОД-Банк-Вилоят_ПРОГНОЗ И 2008-2015 125 фоизлик ОКОНЧАТЕЛЬНЫЙ" xfId="722"/>
    <cellStyle name="_СВОД-Банк-Вилоят_ПРОГНОЗ И 2008-2015 125 фоизлик ОКОНЧАТЕЛЬНЫЙ_Ўтган йилга нисбатан" xfId="723"/>
    <cellStyle name="_СВОД-Банк-Вилоят_ПРОГНОЗ И 2008-2015 125 фоизлик ОКОНЧАТЕЛЬНЫЙ_Ўтган йилга нисбатан_01.11.12 утган йилга нисбатан 2" xfId="724"/>
    <cellStyle name="_СВОД-Банк-Вилоят_ПРОГНОЗ И 2008-2015 125 фоизлик ОКОНЧАТЕЛЬНЫЙ_Ўтган йилга нисбатан_Копия 1474 илова  01.01.2012 ўтган йилга нисбати" xfId="725"/>
    <cellStyle name="_СВОД-Банк-Вилоят_ПРОГНОЗ И 2008-2015 125 фоизлик ОКОНЧАТЕЛЬНЫЙ_Копия 1474 илова  01.01.2012 ўтган йилга нисбати" xfId="726"/>
    <cellStyle name="_СВОД-Банк-Вилоят_ПРОГНОЗ И 2008-2015 125 фоизлик ОКОНЧАТЕЛЬНЫЙ_Хоразм туман" xfId="727"/>
    <cellStyle name="_СВОД-Банк-Вилоят_ПРОГНОЗ И 2008-2015 125 фоизлик ОКОНЧАТЕЛЬНЫЙ_Хоразм туман_01.11.12 утган йилга нисбатан 2" xfId="728"/>
    <cellStyle name="_СВОД-Банк-Вилоят_ПРОГНОЗ И 2008-2015 125 фоизлик ОКОНЧАТЕЛЬНЫЙ_Хоразм туман_Копия 1474 илова  01.01.2012 ўтган йилга нисбати" xfId="729"/>
    <cellStyle name="_СВОД-Банк-Вилоят_Прог" xfId="730"/>
    <cellStyle name="_СВОД-Банк-Вилоят_Прог_01.11.12 утган йилга нисбатан 2" xfId="731"/>
    <cellStyle name="_СВОД-Банк-Вилоят_Прог_Копия 1474 илова  01.01.2012 ўтган йилга нисбати" xfId="732"/>
    <cellStyle name="_СВОД-Банк-Вилоят_Рес-га" xfId="733"/>
    <cellStyle name="_СВОД-Банк-Вилоят_Рес-га_Ўтган йилга нисбатан" xfId="734"/>
    <cellStyle name="_СВОД-Банк-Вилоят_Рес-га_Ўтган йилга нисбатан_01.11.12 утган йилга нисбатан 2" xfId="735"/>
    <cellStyle name="_СВОД-Банк-Вилоят_Рес-га_Ўтган йилга нисбатан_Копия 1474 илова  01.01.2012 ўтган йилга нисбати" xfId="736"/>
    <cellStyle name="_СВОД-Банк-Вилоят_Рес-га_Копия 1474 илова  01.01.2012 ўтган йилга нисбати" xfId="737"/>
    <cellStyle name="_СВОД-Банк-Вилоят_СВОД БАРЧА олдинги" xfId="738"/>
    <cellStyle name="_СВОД-Банк-Вилоят_СВОД БАРЧА олдинги_01.11.12 утган йилга нисбатан 2" xfId="739"/>
    <cellStyle name="_СВОД-Банк-Вилоят_СВОД БАРЧА олдинги_Копия 1474 илова  01.01.2012 ўтган йилга нисбати" xfId="740"/>
    <cellStyle name="_СВОД-Банк-Вилоят_выдача_2011-2015_1" xfId="741"/>
    <cellStyle name="_СВОД-Банк-Вилоят_выдача_2011-2015_1_Ўтган йилга нисбатан" xfId="742"/>
    <cellStyle name="_СВОД-Банк-Вилоят_выдача_2011-2015_1_Ўтган йилга нисбатан_01.11.12 утган йилга нисбатан 2" xfId="743"/>
    <cellStyle name="_СВОД-Банк-Вилоят_выдача_2011-2015_1_Ўтган йилга нисбатан_Копия 1474 илова  01.01.2012 ўтган йилга нисбати" xfId="744"/>
    <cellStyle name="_СВОД-Банк-Вилоят_выдача_2011-2015_1_Копия 1474 илова  01.01.2012 ўтган йилга нисбати" xfId="745"/>
    <cellStyle name="_СВОД-Банк-Вилоят_выдача_2011-2015_1_Хоразм туман" xfId="746"/>
    <cellStyle name="_СВОД-Банк-Вилоят_выдача_2011-2015_1_Хоразм туман_01.11.12 утган йилга нисбатан 2" xfId="747"/>
    <cellStyle name="_СВОД-Банк-Вилоят_выдача_2011-2015_1_Хоразм туман_Копия 1474 илова  01.01.2012 ўтган йилга нисбати" xfId="748"/>
    <cellStyle name="_СВОД-Банк-Вилоят_форма 01.01.2016" xfId="749"/>
    <cellStyle name="_СВОД-Банк-Вилоят_форма 01.01.2016_01.11.12 утган йилга нисбатан 2" xfId="750"/>
    <cellStyle name="_СВОД-Банк-Вилоят_форма 01.01.2016_Копия 1474 илова  01.01.2012 ўтган йилга нисбати" xfId="751"/>
    <cellStyle name="_СВОД-Умумий" xfId="752"/>
    <cellStyle name="_СВОД-Умумий_Ўтган йилга нисбатан" xfId="753"/>
    <cellStyle name="_СВОД-Умумий_Ўтган йилга нисбатан_01.11.12 утган йилга нисбатан 2" xfId="754"/>
    <cellStyle name="_СВОД-Умумий_Ўтган йилга нисбатан_Копия 1474 илова  01.01.2012 ўтган йилга нисбати" xfId="755"/>
    <cellStyle name="_СВОД-Умумий_Копия 1474 илова  01.01.2012 ўтган йилга нисбати" xfId="756"/>
    <cellStyle name="_СВОД-Умумий_Кредит линия-русча" xfId="757"/>
    <cellStyle name="_СВОД-Умумий_Кредит линия-русча_01.11.12 утган йилга нисбатан 2" xfId="758"/>
    <cellStyle name="_СВОД-Умумий_Кредит линия-русча_Книга1" xfId="759"/>
    <cellStyle name="_СВОД-Умумий_Кредит линия-русча_Книга1_01.11.12 утган йилга нисбатан 2" xfId="760"/>
    <cellStyle name="_СВОД-Умумий_Кредит линия-русча_Книга1_Копия 1474 илова  01.01.2012 ўтган йилга нисбати" xfId="761"/>
    <cellStyle name="_СВОД-Умумий_Кредит линия-русча_Копия 1474 илова  01.01.2012 ўтган йилга нисбати" xfId="762"/>
    <cellStyle name="_СВОД-Умумий_Кредит линия-русча_ПРОГНОЗ И 2008-2015 125 фоизлик ОКОНЧАТЕЛЬНЫЙ" xfId="763"/>
    <cellStyle name="_СВОД-Умумий_Кредит линия-русча_ПРОГНОЗ И 2008-2015 125 фоизлик ОКОНЧАТЕЛЬНЫЙ_01.11.12 утган йилга нисбатан 2" xfId="764"/>
    <cellStyle name="_СВОД-Умумий_Кредит линия-русча_ПРОГНОЗ И 2008-2015 125 фоизлик ОКОНЧАТЕЛЬНЫЙ_Копия 1474 илова  01.01.2012 ўтган йилга нисбати" xfId="765"/>
    <cellStyle name="_СВОД-Умумий_Кредит линия-русча_СВОД БАРЧА олдинги" xfId="766"/>
    <cellStyle name="_СВОД-Умумий_Кредит линия-русча_СВОД БАРЧА олдинги_Ўтган йилга нисбатан" xfId="767"/>
    <cellStyle name="_СВОД-Умумий_Кредит линия-русча_СВОД БАРЧА олдинги_Ўтган йилга нисбатан_01.11.12 утган йилга нисбатан 2" xfId="768"/>
    <cellStyle name="_СВОД-Умумий_Кредит линия-русча_СВОД БАРЧА олдинги_Ўтган йилга нисбатан_Копия 1474 илова  01.01.2012 ўтган йилга нисбати" xfId="769"/>
    <cellStyle name="_СВОД-Умумий_Кредит линия-русча_СВОД БАРЧА олдинги_Копия 1474 илова  01.01.2012 ўтган йилга нисбати" xfId="770"/>
    <cellStyle name="_СВОД-Умумий_Кредит линия-русча_Хоразм туман" xfId="771"/>
    <cellStyle name="_СВОД-Умумий_Кредит линия-русча_Хоразм туман_01.11.12 утган йилга нисбатан 2" xfId="772"/>
    <cellStyle name="_СВОД-Умумий_Кредит линия-русча_Хоразм туман_Копия 1474 илова  01.01.2012 ўтган йилга нисбати" xfId="773"/>
    <cellStyle name="_СВОД-Умумий_Кредит линия-русча_банк вилоят ув капитал" xfId="774"/>
    <cellStyle name="_СВОД-Умумий_Кредит линия-русча_банк вилоят ув капитал_01.11.12 утган йилга нисбатан 2" xfId="775"/>
    <cellStyle name="_СВОД-Умумий_Кредит линия-русча_банк вилоят ув капитал_Копия 1474 илова  01.01.2012 ўтган йилга нисбати" xfId="776"/>
    <cellStyle name="_СВОД-Умумий_Кредит линия-русча_кредиты" xfId="777"/>
    <cellStyle name="_СВОД-Умумий_Кредит линия-русча_кредиты_01.11.12 утган йилга нисбатан 2" xfId="778"/>
    <cellStyle name="_СВОД-Умумий_Кредит линия-русча_кредиты_Копия 1474 илова  01.01.2012 ўтган йилга нисбати" xfId="779"/>
    <cellStyle name="_СВОД-Умумий_ПРОГНОЗ И 2008-2015 125 фоизлик ОКОНЧАТЕЛЬНЫЙ" xfId="780"/>
    <cellStyle name="_СВОД-Умумий_ПРОГНОЗ И 2008-2015 125 фоизлик ОКОНЧАТЕЛЬНЫЙ_Ўтган йилга нисбатан" xfId="781"/>
    <cellStyle name="_СВОД-Умумий_ПРОГНОЗ И 2008-2015 125 фоизлик ОКОНЧАТЕЛЬНЫЙ_Ўтган йилга нисбатан_01.11.12 утган йилга нисбатан 2" xfId="782"/>
    <cellStyle name="_СВОД-Умумий_ПРОГНОЗ И 2008-2015 125 фоизлик ОКОНЧАТЕЛЬНЫЙ_Ўтган йилга нисбатан_Копия 1474 илова  01.01.2012 ўтган йилга нисбати" xfId="783"/>
    <cellStyle name="_СВОД-Умумий_ПРОГНОЗ И 2008-2015 125 фоизлик ОКОНЧАТЕЛЬНЫЙ_Копия 1474 илова  01.01.2012 ўтган йилга нисбати" xfId="784"/>
    <cellStyle name="_СВОД-Умумий_ПРОГНОЗ И 2008-2015 125 фоизлик ОКОНЧАТЕЛЬНЫЙ_Хоразм туман" xfId="785"/>
    <cellStyle name="_СВОД-Умумий_ПРОГНОЗ И 2008-2015 125 фоизлик ОКОНЧАТЕЛЬНЫЙ_Хоразм туман_01.11.12 утган йилга нисбатан 2" xfId="786"/>
    <cellStyle name="_СВОД-Умумий_ПРОГНОЗ И 2008-2015 125 фоизлик ОКОНЧАТЕЛЬНЫЙ_Хоразм туман_Копия 1474 илова  01.01.2012 ўтган йилга нисбати" xfId="787"/>
    <cellStyle name="_СВОД-Умумий_Прог" xfId="788"/>
    <cellStyle name="_СВОД-Умумий_Прог_01.11.12 утган йилга нисбатан 2" xfId="789"/>
    <cellStyle name="_СВОД-Умумий_Прог_Копия 1474 илова  01.01.2012 ўтган йилга нисбати" xfId="790"/>
    <cellStyle name="_СВОД-Умумий_Рес-га" xfId="791"/>
    <cellStyle name="_СВОД-Умумий_Рес-га_Ўтган йилга нисбатан" xfId="792"/>
    <cellStyle name="_СВОД-Умумий_Рес-га_Ўтган йилга нисбатан_01.11.12 утган йилга нисбатан 2" xfId="793"/>
    <cellStyle name="_СВОД-Умумий_Рес-га_Ўтган йилга нисбатан_Копия 1474 илова  01.01.2012 ўтган йилга нисбати" xfId="794"/>
    <cellStyle name="_СВОД-Умумий_Рес-га_Копия 1474 илова  01.01.2012 ўтган йилга нисбати" xfId="795"/>
    <cellStyle name="_СВОД-Умумий_СВОД БАРЧА олдинги" xfId="796"/>
    <cellStyle name="_СВОД-Умумий_СВОД БАРЧА олдинги_01.11.12 утган йилга нисбатан 2" xfId="797"/>
    <cellStyle name="_СВОД-Умумий_СВОД БАРЧА олдинги_Копия 1474 илова  01.01.2012 ўтган йилга нисбати" xfId="798"/>
    <cellStyle name="_СВОД-Умумий_выдача_2011-2015_1" xfId="799"/>
    <cellStyle name="_СВОД-Умумий_выдача_2011-2015_1_Ўтган йилга нисбатан" xfId="800"/>
    <cellStyle name="_СВОД-Умумий_выдача_2011-2015_1_Ўтган йилга нисбатан_01.11.12 утган йилга нисбатан 2" xfId="801"/>
    <cellStyle name="_СВОД-Умумий_выдача_2011-2015_1_Ўтган йилга нисбатан_Копия 1474 илова  01.01.2012 ўтган йилга нисбати" xfId="802"/>
    <cellStyle name="_СВОД-Умумий_выдача_2011-2015_1_Копия 1474 илова  01.01.2012 ўтган йилга нисбати" xfId="803"/>
    <cellStyle name="_СВОД-Умумий_выдача_2011-2015_1_Хоразм туман" xfId="804"/>
    <cellStyle name="_СВОД-Умумий_выдача_2011-2015_1_Хоразм туман_01.11.12 утган йилга нисбатан 2" xfId="805"/>
    <cellStyle name="_СВОД-Умумий_выдача_2011-2015_1_Хоразм туман_Копия 1474 илова  01.01.2012 ўтган йилга нисбати" xfId="806"/>
    <cellStyle name="_СВОД-Умумий_форма 01.01.2016" xfId="807"/>
    <cellStyle name="_СВОД-Умумий_форма 01.01.2016_01.11.12 утган йилга нисбатан 2" xfId="808"/>
    <cellStyle name="_СВОД-Умумий_форма 01.01.2016_Копия 1474 илова  01.01.2012 ўтган йилга нисбати" xfId="809"/>
    <cellStyle name="_Самар_анд" xfId="810"/>
    <cellStyle name="_Самар_анд_01.11.12 утган йилга нисбатан 2" xfId="811"/>
    <cellStyle name="_Самар_анд_Копия 1474 илова  01.01.2012 ўтган йилга нисбати" xfId="812"/>
    <cellStyle name="_Самар_анд_Прогноз_2012_24.09.11" xfId="813"/>
    <cellStyle name="_Самар_анд_Сухроб Вилоят свод" xfId="814"/>
    <cellStyle name="_Самар_анд_Сухроб Вилоят свод_01.11.12 утган йилга нисбатан 2" xfId="815"/>
    <cellStyle name="_Самар_анд_Сухроб Вилоят свод_КР_ Прогноз (4 жадвал)" xfId="816"/>
    <cellStyle name="_Самар_анд_Сухроб Вилоят свод_КР_ Прогноз (4 жадвал)_01.11.12 утган йилга нисбатан 2" xfId="817"/>
    <cellStyle name="_Самар_анд_Сухроб Вилоят свод_КР_ Прогноз (4 жадвал)_Копия 1474 илова  01.01.2012 ўтган йилга нисбати" xfId="818"/>
    <cellStyle name="_Самар_анд_Сухроб Вилоят свод_Копия 1474 илова  01.01.2012 ўтган йилга нисбати" xfId="819"/>
    <cellStyle name="_Самар_анд_иктисодга" xfId="820"/>
    <cellStyle name="_Самар_анд_иктисодга_01.11.12 утган йилга нисбатан 2" xfId="821"/>
    <cellStyle name="_Самар_анд_иктисодга_КР_ Прогноз (4 жадвал)" xfId="822"/>
    <cellStyle name="_Самар_анд_иктисодга_КР_ Прогноз (4 жадвал)_01.11.12 утган йилга нисбатан 2" xfId="823"/>
    <cellStyle name="_Самар_анд_иктисодга_КР_ Прогноз (4 жадвал)_Копия 1474 илова  01.01.2012 ўтган йилга нисбати" xfId="824"/>
    <cellStyle name="_Самар_анд_иктисодга_Копия 1474 илова  01.01.2012 ўтган йилга нисбати" xfId="825"/>
    <cellStyle name="_Сирдарё" xfId="826"/>
    <cellStyle name="_Сирдарё_01.11.12 утган йилга нисбатан 2" xfId="827"/>
    <cellStyle name="_Сирдарё_Копия 1474 илова  01.01.2012 ўтган йилга нисбати" xfId="828"/>
    <cellStyle name="_Сирдарё_Прогноз_2012_24.09.11" xfId="829"/>
    <cellStyle name="_Сирдарё_Сухроб Вилоят свод" xfId="830"/>
    <cellStyle name="_Сирдарё_Сухроб Вилоят свод_01.11.12 утган йилга нисбатан 2" xfId="831"/>
    <cellStyle name="_Сирдарё_Сухроб Вилоят свод_КР_ Прогноз (4 жадвал)" xfId="832"/>
    <cellStyle name="_Сирдарё_Сухроб Вилоят свод_КР_ Прогноз (4 жадвал)_01.11.12 утган йилга нисбатан 2" xfId="833"/>
    <cellStyle name="_Сирдарё_Сухроб Вилоят свод_КР_ Прогноз (4 жадвал)_Копия 1474 илова  01.01.2012 ўтган йилга нисбати" xfId="834"/>
    <cellStyle name="_Сирдарё_Сухроб Вилоят свод_Копия 1474 илова  01.01.2012 ўтган йилга нисбати" xfId="835"/>
    <cellStyle name="_Сирдарё_иктисодга" xfId="836"/>
    <cellStyle name="_Сирдарё_иктисодга_01.11.12 утган йилга нисбатан 2" xfId="837"/>
    <cellStyle name="_Сирдарё_иктисодга_КР_ Прогноз (4 жадвал)" xfId="838"/>
    <cellStyle name="_Сирдарё_иктисодга_КР_ Прогноз (4 жадвал)_01.11.12 утган йилга нисбатан 2" xfId="839"/>
    <cellStyle name="_Сирдарё_иктисодга_КР_ Прогноз (4 жадвал)_Копия 1474 илова  01.01.2012 ўтган йилга нисбати" xfId="840"/>
    <cellStyle name="_Сирдарё_иктисодга_Копия 1474 илова  01.01.2012 ўтган йилга нисбати" xfId="841"/>
    <cellStyle name="_Сурхондарё" xfId="842"/>
    <cellStyle name="_Сурхондарё " xfId="843"/>
    <cellStyle name="_Сурхондарё _01.11.12 утган йилга нисбатан 2" xfId="844"/>
    <cellStyle name="_Сурхондарё _Копия 1474 илова  01.01.2012 ўтган йилга нисбати" xfId="845"/>
    <cellStyle name="_Сурхондарё _Прогноз_2012_24.09.11" xfId="846"/>
    <cellStyle name="_Сурхондарё _Сухроб Вилоят свод" xfId="847"/>
    <cellStyle name="_Сурхондарё _Сухроб Вилоят свод_01.11.12 утган йилга нисбатан 2" xfId="848"/>
    <cellStyle name="_Сурхондарё _Сухроб Вилоят свод_КР_ Прогноз (4 жадвал)" xfId="849"/>
    <cellStyle name="_Сурхондарё _Сухроб Вилоят свод_КР_ Прогноз (4 жадвал)_01.11.12 утган йилга нисбатан 2" xfId="850"/>
    <cellStyle name="_Сурхондарё _Сухроб Вилоят свод_КР_ Прогноз (4 жадвал)_Копия 1474 илова  01.01.2012 ўтган йилга нисбати" xfId="851"/>
    <cellStyle name="_Сурхондарё _Сухроб Вилоят свод_Копия 1474 илова  01.01.2012 ўтган йилга нисбати" xfId="852"/>
    <cellStyle name="_Сурхондарё _иктисодга" xfId="853"/>
    <cellStyle name="_Сурхондарё _иктисодга_01.11.12 утган йилга нисбатан 2" xfId="854"/>
    <cellStyle name="_Сурхондарё _иктисодга_КР_ Прогноз (4 жадвал)" xfId="855"/>
    <cellStyle name="_Сурхондарё _иктисодга_КР_ Прогноз (4 жадвал)_01.11.12 утган йилга нисбатан 2" xfId="856"/>
    <cellStyle name="_Сурхондарё _иктисодга_КР_ Прогноз (4 жадвал)_Копия 1474 илова  01.01.2012 ўтган йилга нисбати" xfId="857"/>
    <cellStyle name="_Сурхондарё _иктисодга_Копия 1474 илова  01.01.2012 ўтган йилга нисбати" xfId="858"/>
    <cellStyle name="_Сухроб Вилоят свод" xfId="859"/>
    <cellStyle name="_ТошВилоят" xfId="860"/>
    <cellStyle name="_Тошкент в." xfId="861"/>
    <cellStyle name="_Тошкент в._01.11.12 утган йилга нисбатан 2" xfId="862"/>
    <cellStyle name="_Тошкент в._Копия 1474 илова  01.01.2012 ўтган йилга нисбати" xfId="863"/>
    <cellStyle name="_Факторный анализ" xfId="864"/>
    <cellStyle name="_Фаолият" xfId="865"/>
    <cellStyle name="_Фаолият_01.11.12 утган йилга нисбатан 2" xfId="866"/>
    <cellStyle name="_Фаолият_67 та жадвал №2" xfId="867"/>
    <cellStyle name="_Фаолият_67 та жадвал №2_01.11.12 утган йилга нисбатан 2" xfId="868"/>
    <cellStyle name="_Фаолият_67 та жадвал №2_Копия 1474 илова  01.01.2012 ўтган йилга нисбати" xfId="869"/>
    <cellStyle name="_Фаолият_67 талик жадвал-Иктисод №1" xfId="870"/>
    <cellStyle name="_Фаолият_67 талик жадвал-Иктисод №1_01.11.12 утган йилга нисбатан 2" xfId="871"/>
    <cellStyle name="_Фаолият_67 талик жадвал-Иктисод №1_Копия 1474 илова  01.01.2012 ўтган йилга нисбати" xfId="872"/>
    <cellStyle name="_Фаолият_БАЖАРИЛИШИ 1-май" xfId="873"/>
    <cellStyle name="_Фаолият_БАЖАРИЛИШИ 1-май_01.11.12 утган йилга нисбатан 2" xfId="874"/>
    <cellStyle name="_Фаолият_БАЖАРИЛИШИ 1-май_КР_ Прогноз (4 жадвал)" xfId="875"/>
    <cellStyle name="_Фаолият_БАЖАРИЛИШИ 1-май_КР_ Прогноз (4 жадвал)_01.11.12 утган йилга нисбатан 2" xfId="876"/>
    <cellStyle name="_Фаолият_БАЖАРИЛИШИ 1-май_КР_ Прогноз (4 жадвал)_Копия 1474 илова  01.01.2012 ўтган йилга нисбати" xfId="877"/>
    <cellStyle name="_Фаолият_БАЖАРИЛИШИ 1-май_Копия 1474 илова  01.01.2012 ўтган йилга нисбати" xfId="878"/>
    <cellStyle name="_Фаолият_Бобир учун 67 талик жадвал-Иктисод" xfId="879"/>
    <cellStyle name="_Фаолият_Бобир учун 67 талик жадвал-Иктисод_01.11.12 утган йилга нисбатан 2" xfId="880"/>
    <cellStyle name="_Фаолият_Бобир учун 67 талик жадвал-Иктисод_Копия 1474 илова  01.01.2012 ўтган йилга нисбати" xfId="881"/>
    <cellStyle name="_Фаолият_КР_ Прогноз (4 жадвал)" xfId="882"/>
    <cellStyle name="_Фаолият_КР_ Прогноз (4 жадвал)_01.11.12 утган йилга нисбатан 2" xfId="883"/>
    <cellStyle name="_Фаолият_КР_ Прогноз (4 жадвал)_Копия 1474 илова  01.01.2012 ўтган йилга нисбати" xfId="884"/>
    <cellStyle name="_Фаолият_Касаначи 4 ой" xfId="885"/>
    <cellStyle name="_Фаолият_Касаначи 4 ой_01.11.12 утган йилга нисбатан 2" xfId="886"/>
    <cellStyle name="_Фаолият_Касаначи 4 ой_Копия 1474 илова  01.01.2012 ўтган йилга нисбати" xfId="887"/>
    <cellStyle name="_Фаолият_Копия 1474 илова  01.01.2012 ўтган йилга нисбати" xfId="888"/>
    <cellStyle name="_Фаолият_Прогноз_2012_24.09.11" xfId="889"/>
    <cellStyle name="_Фаолият_Сухроб Вилоят свод" xfId="890"/>
    <cellStyle name="_Фаолият_Сухроб Вилоят свод_01.11.12 утган йилга нисбатан 2" xfId="891"/>
    <cellStyle name="_Фаолият_Сухроб Вилоят свод_КР_ Прогноз (4 жадвал)" xfId="892"/>
    <cellStyle name="_Фаолият_Сухроб Вилоят свод_КР_ Прогноз (4 жадвал)_01.11.12 утган йилга нисбатан 2" xfId="893"/>
    <cellStyle name="_Фаолият_Сухроб Вилоят свод_КР_ Прогноз (4 жадвал)_Копия 1474 илова  01.01.2012 ўтган йилга нисбати" xfId="894"/>
    <cellStyle name="_Фаолият_Сухроб Вилоят свод_Копия 1474 илова  01.01.2012 ўтган йилга нисбати" xfId="895"/>
    <cellStyle name="_Фаолият_ЯИЎ-сервис" xfId="896"/>
    <cellStyle name="_Фаолият_ЯИЎ-сервис_01.11.12 утган йилга нисбатан 2" xfId="897"/>
    <cellStyle name="_Фаолият_ЯИЎ-сервис_КР_ Прогноз (4 жадвал)" xfId="898"/>
    <cellStyle name="_Фаолият_ЯИЎ-сервис_КР_ Прогноз (4 жадвал)_01.11.12 утган йилга нисбатан 2" xfId="899"/>
    <cellStyle name="_Фаолият_ЯИЎ-сервис_КР_ Прогноз (4 жадвал)_Копия 1474 илова  01.01.2012 ўтган йилга нисбати" xfId="900"/>
    <cellStyle name="_Фаолият_ЯИЎ-сервис_Копия 1474 илова  01.01.2012 ўтган йилга нисбати" xfId="901"/>
    <cellStyle name="_Фаолият_иктисодга" xfId="902"/>
    <cellStyle name="_Фаолият_иктисодга_01.11.12 утган йилга нисбатан 2" xfId="903"/>
    <cellStyle name="_Фаолият_иктисодга_КР_ Прогноз (4 жадвал)" xfId="904"/>
    <cellStyle name="_Фаолият_иктисодга_КР_ Прогноз (4 жадвал)_01.11.12 утган йилга нисбатан 2" xfId="905"/>
    <cellStyle name="_Фаолият_иктисодга_КР_ Прогноз (4 жадвал)_Копия 1474 илова  01.01.2012 ўтган йилга нисбати" xfId="906"/>
    <cellStyle name="_Фаолият_иктисодга_Копия 1474 илова  01.01.2012 ўтган йилга нисбати" xfId="907"/>
    <cellStyle name="_Фаолият_учта туман буйича касана" xfId="908"/>
    <cellStyle name="_Фаолият_учта туман буйича касана_01.11.12 утган йилга нисбатан 2" xfId="909"/>
    <cellStyle name="_Фаолият_учта туман буйича касана_Копия 1474 илова  01.01.2012 ўтган йилга нисбати" xfId="910"/>
    <cellStyle name="_Фаолият_қишлоқ таррақиёти 82 банд тўлиқ" xfId="911"/>
    <cellStyle name="_Фаолият_қишлоқ таррақиёти 82 банд тўлиқ_01.11.12 утган йилга нисбатан 2" xfId="912"/>
    <cellStyle name="_Фаолият_қишлоқ таррақиёти 82 банд тўлиқ_КР_ Прогноз (4 жадвал)" xfId="913"/>
    <cellStyle name="_Фаолият_қишлоқ таррақиёти 82 банд тўлиқ_КР_ Прогноз (4 жадвал)_01.11.12 утган йилга нисбатан 2" xfId="914"/>
    <cellStyle name="_Фаолият_қишлоқ таррақиёти 82 банд тўлиқ_КР_ Прогноз (4 жадвал)_Копия 1474 илова  01.01.2012 ўтган йилга нисбати" xfId="915"/>
    <cellStyle name="_Фаолият_қишлоқ таррақиёти 82 банд тўлиқ_Копия 1474 илова  01.01.2012 ўтган йилга нисбати" xfId="916"/>
    <cellStyle name="_Фарғона" xfId="917"/>
    <cellStyle name="_Фарғона_01.11.12 утган йилга нисбатан 2" xfId="918"/>
    <cellStyle name="_Фарғона_Копия 1474 илова  01.01.2012 ўтган йилга нисбати" xfId="919"/>
    <cellStyle name="_Хокимият РЕЖА-2010" xfId="920"/>
    <cellStyle name="_Хокимиятга 01.03.2009й" xfId="921"/>
    <cellStyle name="_Хоразм" xfId="922"/>
    <cellStyle name="_Хоразм_01.11.12 утган йилга нисбатан 2" xfId="923"/>
    <cellStyle name="_Хоразм_Копия 1474 илова  01.01.2012 ўтган йилга нисбати" xfId="924"/>
    <cellStyle name="_Хоразм_Прогноз_2012_24.09.11" xfId="925"/>
    <cellStyle name="_Хоразм_Сухроб Вилоят свод" xfId="926"/>
    <cellStyle name="_Хоразм_Сухроб Вилоят свод_01.11.12 утган йилга нисбатан 2" xfId="927"/>
    <cellStyle name="_Хоразм_Сухроб Вилоят свод_КР_ Прогноз (4 жадвал)" xfId="928"/>
    <cellStyle name="_Хоразм_Сухроб Вилоят свод_КР_ Прогноз (4 жадвал)_01.11.12 утган йилга нисбатан 2" xfId="929"/>
    <cellStyle name="_Хоразм_Сухроб Вилоят свод_КР_ Прогноз (4 жадвал)_Копия 1474 илова  01.01.2012 ўтган йилга нисбати" xfId="930"/>
    <cellStyle name="_Хоразм_Сухроб Вилоят свод_Копия 1474 илова  01.01.2012 ўтган йилга нисбати" xfId="931"/>
    <cellStyle name="_Хоразм_иктисодга" xfId="932"/>
    <cellStyle name="_Хоразм_иктисодга_01.11.12 утган йилга нисбатан 2" xfId="933"/>
    <cellStyle name="_Хоразм_иктисодга_КР_ Прогноз (4 жадвал)" xfId="934"/>
    <cellStyle name="_Хоразм_иктисодга_КР_ Прогноз (4 жадвал)_01.11.12 утган йилга нисбатан 2" xfId="935"/>
    <cellStyle name="_Хоразм_иктисодга_КР_ Прогноз (4 жадвал)_Копия 1474 илова  01.01.2012 ўтган йилга нисбати" xfId="936"/>
    <cellStyle name="_Хоразм_иктисодга_Копия 1474 илова  01.01.2012 ўтган йилга нисбати" xfId="937"/>
    <cellStyle name="_Якка Тадбир аёл- (янгиси )1.04.08 й." xfId="938"/>
    <cellStyle name="_вилоят-ОМУХТА" xfId="939"/>
    <cellStyle name="_вилоят-ОМУХТА_Ўтган йилга нисбатан" xfId="940"/>
    <cellStyle name="_вилоят-ОМУХТА_Ўтган йилга нисбатан_01.11.12 утган йилга нисбатан 2" xfId="941"/>
    <cellStyle name="_вилоят-ОМУХТА_Ўтган йилга нисбатан_Копия 1474 илова  01.01.2012 ўтган йилга нисбати" xfId="942"/>
    <cellStyle name="_вилоят-ОМУХТА_Копия 1474 илова  01.01.2012 ўтган йилга нисбати" xfId="943"/>
    <cellStyle name="_вилоят-ОМУХТА_Кредит линия-русча" xfId="944"/>
    <cellStyle name="_вилоят-ОМУХТА_Кредит линия-русча_01.11.12 утган йилга нисбатан 2" xfId="945"/>
    <cellStyle name="_вилоят-ОМУХТА_Кредит линия-русча_Книга1" xfId="946"/>
    <cellStyle name="_вилоят-ОМУХТА_Кредит линия-русча_Книга1_01.11.12 утган йилга нисбатан 2" xfId="947"/>
    <cellStyle name="_вилоят-ОМУХТА_Кредит линия-русча_Книга1_Копия 1474 илова  01.01.2012 ўтган йилга нисбати" xfId="948"/>
    <cellStyle name="_вилоят-ОМУХТА_Кредит линия-русча_Копия 1474 илова  01.01.2012 ўтган йилга нисбати" xfId="949"/>
    <cellStyle name="_вилоят-ОМУХТА_Кредит линия-русча_ПРОГНОЗ И 2008-2015 125 фоизлик ОКОНЧАТЕЛЬНЫЙ" xfId="950"/>
    <cellStyle name="_вилоят-ОМУХТА_Кредит линия-русча_ПРОГНОЗ И 2008-2015 125 фоизлик ОКОНЧАТЕЛЬНЫЙ_01.11.12 утган йилга нисбатан 2" xfId="951"/>
    <cellStyle name="_вилоят-ОМУХТА_Кредит линия-русча_ПРОГНОЗ И 2008-2015 125 фоизлик ОКОНЧАТЕЛЬНЫЙ_Копия 1474 илова  01.01.2012 ўтган йилга нисбати" xfId="952"/>
    <cellStyle name="_вилоят-ОМУХТА_Кредит линия-русча_СВОД БАРЧА олдинги" xfId="953"/>
    <cellStyle name="_вилоят-ОМУХТА_Кредит линия-русча_СВОД БАРЧА олдинги_Ўтган йилга нисбатан" xfId="954"/>
    <cellStyle name="_вилоят-ОМУХТА_Кредит линия-русча_СВОД БАРЧА олдинги_Ўтган йилга нисбатан_01.11.12 утган йилга нисбатан 2" xfId="955"/>
    <cellStyle name="_вилоят-ОМУХТА_Кредит линия-русча_СВОД БАРЧА олдинги_Ўтган йилга нисбатан_Копия 1474 илова  01.01.2012 ўтган йилга нисбати" xfId="956"/>
    <cellStyle name="_вилоят-ОМУХТА_Кредит линия-русча_СВОД БАРЧА олдинги_Копия 1474 илова  01.01.2012 ўтган йилга нисбати" xfId="957"/>
    <cellStyle name="_вилоят-ОМУХТА_Кредит линия-русча_Хоразм туман" xfId="958"/>
    <cellStyle name="_вилоят-ОМУХТА_Кредит линия-русча_Хоразм туман_01.11.12 утган йилга нисбатан 2" xfId="959"/>
    <cellStyle name="_вилоят-ОМУХТА_Кредит линия-русча_Хоразм туман_Копия 1474 илова  01.01.2012 ўтган йилга нисбати" xfId="960"/>
    <cellStyle name="_вилоят-ОМУХТА_Кредит линия-русча_банк вилоят ув капитал" xfId="961"/>
    <cellStyle name="_вилоят-ОМУХТА_Кредит линия-русча_банк вилоят ув капитал_01.11.12 утган йилга нисбатан 2" xfId="962"/>
    <cellStyle name="_вилоят-ОМУХТА_Кредит линия-русча_банк вилоят ув капитал_Копия 1474 илова  01.01.2012 ўтган йилга нисбати" xfId="963"/>
    <cellStyle name="_вилоят-ОМУХТА_Кредит линия-русча_кредиты" xfId="964"/>
    <cellStyle name="_вилоят-ОМУХТА_Кредит линия-русча_кредиты_01.11.12 утган йилга нисбатан 2" xfId="965"/>
    <cellStyle name="_вилоят-ОМУХТА_Кредит линия-русча_кредиты_Копия 1474 илова  01.01.2012 ўтган йилга нисбати" xfId="966"/>
    <cellStyle name="_вилоят-ОМУХТА_ПРОГНОЗ И 2008-2015 125 фоизлик ОКОНЧАТЕЛЬНЫЙ" xfId="967"/>
    <cellStyle name="_вилоят-ОМУХТА_ПРОГНОЗ И 2008-2015 125 фоизлик ОКОНЧАТЕЛЬНЫЙ_Ўтган йилга нисбатан" xfId="968"/>
    <cellStyle name="_вилоят-ОМУХТА_ПРОГНОЗ И 2008-2015 125 фоизлик ОКОНЧАТЕЛЬНЫЙ_Ўтган йилга нисбатан_01.11.12 утган йилга нисбатан 2" xfId="969"/>
    <cellStyle name="_вилоят-ОМУХТА_ПРОГНОЗ И 2008-2015 125 фоизлик ОКОНЧАТЕЛЬНЫЙ_Ўтган йилга нисбатан_Копия 1474 илова  01.01.2012 ўтган йилга нисбати" xfId="970"/>
    <cellStyle name="_вилоят-ОМУХТА_ПРОГНОЗ И 2008-2015 125 фоизлик ОКОНЧАТЕЛЬНЫЙ_Копия 1474 илова  01.01.2012 ўтган йилга нисбати" xfId="971"/>
    <cellStyle name="_вилоят-ОМУХТА_ПРОГНОЗ И 2008-2015 125 фоизлик ОКОНЧАТЕЛЬНЫЙ_Хоразм туман" xfId="972"/>
    <cellStyle name="_вилоят-ОМУХТА_ПРОГНОЗ И 2008-2015 125 фоизлик ОКОНЧАТЕЛЬНЫЙ_Хоразм туман_01.11.12 утган йилга нисбатан 2" xfId="973"/>
    <cellStyle name="_вилоят-ОМУХТА_ПРОГНОЗ И 2008-2015 125 фоизлик ОКОНЧАТЕЛЬНЫЙ_Хоразм туман_Копия 1474 илова  01.01.2012 ўтган йилга нисбати" xfId="974"/>
    <cellStyle name="_вилоят-ОМУХТА_Прог" xfId="975"/>
    <cellStyle name="_вилоят-ОМУХТА_Прог_01.11.12 утган йилга нисбатан 2" xfId="976"/>
    <cellStyle name="_вилоят-ОМУХТА_Прог_Копия 1474 илова  01.01.2012 ўтган йилга нисбати" xfId="977"/>
    <cellStyle name="_вилоят-ОМУХТА_Рес-га" xfId="978"/>
    <cellStyle name="_вилоят-ОМУХТА_Рес-га_Ўтган йилга нисбатан" xfId="979"/>
    <cellStyle name="_вилоят-ОМУХТА_Рес-га_Ўтган йилга нисбатан_01.11.12 утган йилга нисбатан 2" xfId="980"/>
    <cellStyle name="_вилоят-ОМУХТА_Рес-га_Ўтган йилга нисбатан_Копия 1474 илова  01.01.2012 ўтган йилга нисбати" xfId="981"/>
    <cellStyle name="_вилоят-ОМУХТА_Рес-га_Копия 1474 илова  01.01.2012 ўтган йилга нисбати" xfId="982"/>
    <cellStyle name="_вилоят-ОМУХТА_СВОД БАРЧА олдинги" xfId="983"/>
    <cellStyle name="_вилоят-ОМУХТА_СВОД БАРЧА олдинги_01.11.12 утган йилга нисбатан 2" xfId="984"/>
    <cellStyle name="_вилоят-ОМУХТА_СВОД БАРЧА олдинги_Копия 1474 илова  01.01.2012 ўтган йилга нисбати" xfId="985"/>
    <cellStyle name="_вилоят-ОМУХТА_выдача_2011-2015_1" xfId="986"/>
    <cellStyle name="_вилоят-ОМУХТА_выдача_2011-2015_1_Ўтган йилга нисбатан" xfId="987"/>
    <cellStyle name="_вилоят-ОМУХТА_выдача_2011-2015_1_Ўтган йилга нисбатан_01.11.12 утган йилга нисбатан 2" xfId="988"/>
    <cellStyle name="_вилоят-ОМУХТА_выдача_2011-2015_1_Ўтган йилга нисбатан_Копия 1474 илова  01.01.2012 ўтган йилга нисбати" xfId="989"/>
    <cellStyle name="_вилоят-ОМУХТА_выдача_2011-2015_1_Копия 1474 илова  01.01.2012 ўтган йилга нисбати" xfId="990"/>
    <cellStyle name="_вилоят-ОМУХТА_выдача_2011-2015_1_Хоразм туман" xfId="991"/>
    <cellStyle name="_вилоят-ОМУХТА_выдача_2011-2015_1_Хоразм туман_01.11.12 утган йилга нисбатан 2" xfId="992"/>
    <cellStyle name="_вилоят-ОМУХТА_выдача_2011-2015_1_Хоразм туман_Копия 1474 илова  01.01.2012 ўтган йилга нисбати" xfId="993"/>
    <cellStyle name="_вилоят-ОМУХТА_форма 01.01.2016" xfId="994"/>
    <cellStyle name="_вилоят-ОМУХТА_форма 01.01.2016_01.11.12 утган йилга нисбатан 2" xfId="995"/>
    <cellStyle name="_вилоят-ОМУХТА_форма 01.01.2016_Копия 1474 илова  01.01.2012 ўтган йилга нисбати" xfId="996"/>
    <cellStyle name="_иктисодга" xfId="997"/>
    <cellStyle name="_инвестиции" xfId="998"/>
    <cellStyle name="_инвестиции_Прогноз_2012_24.09.11" xfId="999"/>
    <cellStyle name="_кварталиктисод+" xfId="1000"/>
    <cellStyle name="_намуна прогноз" xfId="1001"/>
    <cellStyle name="_соц раз Азиз" xfId="1002"/>
    <cellStyle name="_таблицы к изменению" xfId="1003"/>
    <cellStyle name="_таблицы к изменению_Прогноз_2012_24.09.11" xfId="1004"/>
    <cellStyle name="_учта туман буйича касана" xfId="1005"/>
    <cellStyle name="_факторы" xfId="1006"/>
    <cellStyle name="_чора-тадбир свод" xfId="1007"/>
    <cellStyle name="_чора-тадбир свод_01.11.12 утган йилга нисбатан 2" xfId="1008"/>
    <cellStyle name="_чора-тадбир свод_67 та жадвал №2" xfId="1009"/>
    <cellStyle name="_чора-тадбир свод_67 та жадвал №2_01.11.12 утган йилга нисбатан 2" xfId="1010"/>
    <cellStyle name="_чора-тадбир свод_67 та жадвал №2_Копия 1474 илова  01.01.2012 ўтган йилга нисбати" xfId="1011"/>
    <cellStyle name="_чора-тадбир свод_67 талик жадвал-Иктисод №1" xfId="1012"/>
    <cellStyle name="_чора-тадбир свод_67 талик жадвал-Иктисод №1_01.11.12 утган йилга нисбатан 2" xfId="1013"/>
    <cellStyle name="_чора-тадбир свод_67 талик жадвал-Иктисод №1_Копия 1474 илова  01.01.2012 ўтган йилга нисбати" xfId="1014"/>
    <cellStyle name="_чора-тадбир свод_БАЖАРИЛИШИ 1-май" xfId="1015"/>
    <cellStyle name="_чора-тадбир свод_БАЖАРИЛИШИ 1-май_01.11.12 утган йилга нисбатан 2" xfId="1016"/>
    <cellStyle name="_чора-тадбир свод_БАЖАРИЛИШИ 1-май_КР_ Прогноз (4 жадвал)" xfId="1017"/>
    <cellStyle name="_чора-тадбир свод_БАЖАРИЛИШИ 1-май_КР_ Прогноз (4 жадвал)_01.11.12 утган йилга нисбатан 2" xfId="1018"/>
    <cellStyle name="_чора-тадбир свод_БАЖАРИЛИШИ 1-май_КР_ Прогноз (4 жадвал)_Копия 1474 илова  01.01.2012 ўтган йилга нисбати" xfId="1019"/>
    <cellStyle name="_чора-тадбир свод_БАЖАРИЛИШИ 1-май_Копия 1474 илова  01.01.2012 ўтган йилга нисбати" xfId="1020"/>
    <cellStyle name="_чора-тадбир свод_Бобир учун 67 талик жадвал-Иктисод" xfId="1021"/>
    <cellStyle name="_чора-тадбир свод_Бобир учун 67 талик жадвал-Иктисод_01.11.12 утган йилга нисбатан 2" xfId="1022"/>
    <cellStyle name="_чора-тадбир свод_Бобир учун 67 талик жадвал-Иктисод_Копия 1474 илова  01.01.2012 ўтган йилга нисбати" xfId="1023"/>
    <cellStyle name="_чора-тадбир свод_КР_ Прогноз (4 жадвал)" xfId="1024"/>
    <cellStyle name="_чора-тадбир свод_КР_ Прогноз (4 жадвал)_01.11.12 утган йилга нисбатан 2" xfId="1025"/>
    <cellStyle name="_чора-тадбир свод_КР_ Прогноз (4 жадвал)_Копия 1474 илова  01.01.2012 ўтган йилга нисбати" xfId="1026"/>
    <cellStyle name="_чора-тадбир свод_Касаначи 4 ой" xfId="1027"/>
    <cellStyle name="_чора-тадбир свод_Касаначи 4 ой_01.11.12 утган йилга нисбатан 2" xfId="1028"/>
    <cellStyle name="_чора-тадбир свод_Касаначи 4 ой_Копия 1474 илова  01.01.2012 ўтган йилга нисбати" xfId="1029"/>
    <cellStyle name="_чора-тадбир свод_Копия 1474 илова  01.01.2012 ўтган йилга нисбати" xfId="1030"/>
    <cellStyle name="_чора-тадбир свод_Прогноз_2012_24.09.11" xfId="1031"/>
    <cellStyle name="_чора-тадбир свод_Сухроб Вилоят свод" xfId="1032"/>
    <cellStyle name="_чора-тадбир свод_Сухроб Вилоят свод_01.11.12 утган йилга нисбатан 2" xfId="1033"/>
    <cellStyle name="_чора-тадбир свод_Сухроб Вилоят свод_КР_ Прогноз (4 жадвал)" xfId="1034"/>
    <cellStyle name="_чора-тадбир свод_Сухроб Вилоят свод_КР_ Прогноз (4 жадвал)_01.11.12 утган йилга нисбатан 2" xfId="1035"/>
    <cellStyle name="_чора-тадбир свод_Сухроб Вилоят свод_КР_ Прогноз (4 жадвал)_Копия 1474 илова  01.01.2012 ўтган йилга нисбати" xfId="1036"/>
    <cellStyle name="_чора-тадбир свод_Сухроб Вилоят свод_Копия 1474 илова  01.01.2012 ўтган йилга нисбати" xfId="1037"/>
    <cellStyle name="_чора-тадбир свод_ЯИЎ-сервис" xfId="1038"/>
    <cellStyle name="_чора-тадбир свод_ЯИЎ-сервис_01.11.12 утган йилга нисбатан 2" xfId="1039"/>
    <cellStyle name="_чора-тадбир свод_ЯИЎ-сервис_КР_ Прогноз (4 жадвал)" xfId="1040"/>
    <cellStyle name="_чора-тадбир свод_ЯИЎ-сервис_КР_ Прогноз (4 жадвал)_01.11.12 утган йилга нисбатан 2" xfId="1041"/>
    <cellStyle name="_чора-тадбир свод_ЯИЎ-сервис_КР_ Прогноз (4 жадвал)_Копия 1474 илова  01.01.2012 ўтган йилга нисбати" xfId="1042"/>
    <cellStyle name="_чора-тадбир свод_ЯИЎ-сервис_Копия 1474 илова  01.01.2012 ўтган йилга нисбати" xfId="1043"/>
    <cellStyle name="_чора-тадбир свод_иктисодга" xfId="1044"/>
    <cellStyle name="_чора-тадбир свод_иктисодга_01.11.12 утган йилга нисбатан 2" xfId="1045"/>
    <cellStyle name="_чора-тадбир свод_иктисодга_КР_ Прогноз (4 жадвал)" xfId="1046"/>
    <cellStyle name="_чора-тадбир свод_иктисодга_КР_ Прогноз (4 жадвал)_01.11.12 утган йилга нисбатан 2" xfId="1047"/>
    <cellStyle name="_чора-тадбир свод_иктисодга_КР_ Прогноз (4 жадвал)_Копия 1474 илова  01.01.2012 ўтган йилга нисбати" xfId="1048"/>
    <cellStyle name="_чора-тадбир свод_иктисодга_Копия 1474 илова  01.01.2012 ўтган йилга нисбати" xfId="1049"/>
    <cellStyle name="_чора-тадбир свод_учта туман буйича касана" xfId="1050"/>
    <cellStyle name="_чора-тадбир свод_учта туман буйича касана_01.11.12 утган йилга нисбатан 2" xfId="1051"/>
    <cellStyle name="_чора-тадбир свод_учта туман буйича касана_Копия 1474 илова  01.01.2012 ўтган йилга нисбати" xfId="1052"/>
    <cellStyle name="_чора-тадбир свод_қишлоқ таррақиёти 82 банд тўлиқ" xfId="1053"/>
    <cellStyle name="_чора-тадбир свод_қишлоқ таррақиёти 82 банд тўлиқ_01.11.12 утган йилга нисбатан 2" xfId="1054"/>
    <cellStyle name="_чора-тадбир свод_қишлоқ таррақиёти 82 банд тўлиқ_КР_ Прогноз (4 жадвал)" xfId="1055"/>
    <cellStyle name="_чора-тадбир свод_қишлоқ таррақиёти 82 банд тўлиқ_КР_ Прогноз (4 жадвал)_01.11.12 утган йилга нисбатан 2" xfId="1056"/>
    <cellStyle name="_чора-тадбир свод_қишлоқ таррақиёти 82 банд тўлиқ_КР_ Прогноз (4 жадвал)_Копия 1474 илова  01.01.2012 ўтган йилга нисбати" xfId="1057"/>
    <cellStyle name="_чора-тадбир свод_қишлоқ таррақиёти 82 банд тўлиқ_Копия 1474 илова  01.01.2012 ўтган йилга нисбати" xfId="1058"/>
    <cellStyle name="Aaia?iue" xfId="1059"/>
    <cellStyle name="Aaia?iue 2" xfId="1060"/>
    <cellStyle name="Aaia?iue [0]" xfId="1061"/>
    <cellStyle name="Aaia?iue [0] 2" xfId="1062"/>
    <cellStyle name="Aaia?iue_,, 255 якуни" xfId="1063"/>
    <cellStyle name="Accent1 - 20%" xfId="1064"/>
    <cellStyle name="Accent1 - 40%" xfId="1065"/>
    <cellStyle name="Accent1 - 60%" xfId="1066"/>
    <cellStyle name="Accent1 10" xfId="1067"/>
    <cellStyle name="Accent1 2" xfId="1068"/>
    <cellStyle name="Accent1 3" xfId="1069"/>
    <cellStyle name="Accent1 4" xfId="1070"/>
    <cellStyle name="Accent1 5" xfId="1071"/>
    <cellStyle name="Accent1 6" xfId="1072"/>
    <cellStyle name="Accent1 7" xfId="1073"/>
    <cellStyle name="Accent1 8" xfId="1074"/>
    <cellStyle name="Accent1 9" xfId="1075"/>
    <cellStyle name="Accent2 - 20%" xfId="1076"/>
    <cellStyle name="Accent2 - 40%" xfId="1077"/>
    <cellStyle name="Accent2 - 60%" xfId="1078"/>
    <cellStyle name="Accent2 10" xfId="1079"/>
    <cellStyle name="Accent2 2" xfId="1080"/>
    <cellStyle name="Accent2 3" xfId="1081"/>
    <cellStyle name="Accent2 4" xfId="1082"/>
    <cellStyle name="Accent2 5" xfId="1083"/>
    <cellStyle name="Accent2 6" xfId="1084"/>
    <cellStyle name="Accent2 7" xfId="1085"/>
    <cellStyle name="Accent2 8" xfId="1086"/>
    <cellStyle name="Accent2 9" xfId="1087"/>
    <cellStyle name="Accent3 - 20%" xfId="1088"/>
    <cellStyle name="Accent3 - 40%" xfId="1089"/>
    <cellStyle name="Accent3 - 60%" xfId="1090"/>
    <cellStyle name="Accent3 10" xfId="1091"/>
    <cellStyle name="Accent3 2" xfId="1092"/>
    <cellStyle name="Accent3 3" xfId="1093"/>
    <cellStyle name="Accent3 4" xfId="1094"/>
    <cellStyle name="Accent3 5" xfId="1095"/>
    <cellStyle name="Accent3 6" xfId="1096"/>
    <cellStyle name="Accent3 7" xfId="1097"/>
    <cellStyle name="Accent3 8" xfId="1098"/>
    <cellStyle name="Accent3 9" xfId="1099"/>
    <cellStyle name="Accent4 - 20%" xfId="1100"/>
    <cellStyle name="Accent4 - 40%" xfId="1101"/>
    <cellStyle name="Accent4 - 60%" xfId="1102"/>
    <cellStyle name="Accent4 10" xfId="1103"/>
    <cellStyle name="Accent4 2" xfId="1104"/>
    <cellStyle name="Accent4 3" xfId="1105"/>
    <cellStyle name="Accent4 4" xfId="1106"/>
    <cellStyle name="Accent4 5" xfId="1107"/>
    <cellStyle name="Accent4 6" xfId="1108"/>
    <cellStyle name="Accent4 7" xfId="1109"/>
    <cellStyle name="Accent4 8" xfId="1110"/>
    <cellStyle name="Accent4 9" xfId="1111"/>
    <cellStyle name="Accent5 - 20%" xfId="1112"/>
    <cellStyle name="Accent5 - 40%" xfId="1113"/>
    <cellStyle name="Accent5 - 60%" xfId="1114"/>
    <cellStyle name="Accent5 10" xfId="1115"/>
    <cellStyle name="Accent5 2" xfId="1116"/>
    <cellStyle name="Accent5 3" xfId="1117"/>
    <cellStyle name="Accent5 4" xfId="1118"/>
    <cellStyle name="Accent5 5" xfId="1119"/>
    <cellStyle name="Accent5 6" xfId="1120"/>
    <cellStyle name="Accent5 7" xfId="1121"/>
    <cellStyle name="Accent5 8" xfId="1122"/>
    <cellStyle name="Accent5 9" xfId="1123"/>
    <cellStyle name="Accent6 - 20%" xfId="1124"/>
    <cellStyle name="Accent6 - 40%" xfId="1125"/>
    <cellStyle name="Accent6 - 60%" xfId="1126"/>
    <cellStyle name="Accent6 10" xfId="1127"/>
    <cellStyle name="Accent6 2" xfId="1128"/>
    <cellStyle name="Accent6 3" xfId="1129"/>
    <cellStyle name="Accent6 4" xfId="1130"/>
    <cellStyle name="Accent6 5" xfId="1131"/>
    <cellStyle name="Accent6 6" xfId="1132"/>
    <cellStyle name="Accent6 7" xfId="1133"/>
    <cellStyle name="Accent6 8" xfId="1134"/>
    <cellStyle name="Accent6 9" xfId="1135"/>
    <cellStyle name="Acdldnnueer" xfId="1136"/>
    <cellStyle name="Alilciue [0]_ 2003 aia" xfId="1137"/>
    <cellStyle name="Alilciue_ 2003 aia" xfId="1138"/>
    <cellStyle name="Bad 2" xfId="1139"/>
    <cellStyle name="Bad 3" xfId="1140"/>
    <cellStyle name="Calculation 2" xfId="1141"/>
    <cellStyle name="Calculation 3" xfId="1142"/>
    <cellStyle name="Check Cell 2" xfId="1143"/>
    <cellStyle name="Check Cell 3" xfId="1144"/>
    <cellStyle name="clsAltData" xfId="1145"/>
    <cellStyle name="clsAltMRVData" xfId="1146"/>
    <cellStyle name="clsBlank" xfId="1147"/>
    <cellStyle name="clsBlank 2" xfId="1148"/>
    <cellStyle name="clsColumnHeader" xfId="1149"/>
    <cellStyle name="clsData" xfId="1150"/>
    <cellStyle name="clsDefault" xfId="1151"/>
    <cellStyle name="clsDefault 2" xfId="1152"/>
    <cellStyle name="clsFooter" xfId="1153"/>
    <cellStyle name="clsIndexTableTitle" xfId="1154"/>
    <cellStyle name="clsMRVData" xfId="1155"/>
    <cellStyle name="clsReportFooter" xfId="1156"/>
    <cellStyle name="clsReportHeader" xfId="1157"/>
    <cellStyle name="clsRowHeader" xfId="1158"/>
    <cellStyle name="clsScale" xfId="1159"/>
    <cellStyle name="clsSection" xfId="1160"/>
    <cellStyle name="Comma 10" xfId="1161"/>
    <cellStyle name="Comma 11" xfId="1162"/>
    <cellStyle name="Comma 12" xfId="1163"/>
    <cellStyle name="Comma 13" xfId="1164"/>
    <cellStyle name="Comma 14" xfId="1165"/>
    <cellStyle name="Comma 15" xfId="1166"/>
    <cellStyle name="Comma 16" xfId="1167"/>
    <cellStyle name="Comma 17" xfId="1168"/>
    <cellStyle name="Comma 2" xfId="1169"/>
    <cellStyle name="Comma 2 2" xfId="1170"/>
    <cellStyle name="Comma 2 2 2" xfId="1171"/>
    <cellStyle name="Comma 2 2 3" xfId="1172"/>
    <cellStyle name="Comma 2 3" xfId="1173"/>
    <cellStyle name="Comma 2 4" xfId="1174"/>
    <cellStyle name="Comma 3" xfId="1175"/>
    <cellStyle name="Comma 3 2" xfId="1176"/>
    <cellStyle name="Comma 4" xfId="1177"/>
    <cellStyle name="Comma 4 2" xfId="1178"/>
    <cellStyle name="Comma 5" xfId="1179"/>
    <cellStyle name="Comma 5 2" xfId="1180"/>
    <cellStyle name="Comma 6" xfId="1181"/>
    <cellStyle name="Comma 7" xfId="1182"/>
    <cellStyle name="Comma 8" xfId="1183"/>
    <cellStyle name="Comma 9" xfId="1184"/>
    <cellStyle name="Comma [0] 2" xfId="1185"/>
    <cellStyle name="Comma [0] 2 2" xfId="1186"/>
    <cellStyle name="Comma [0] 2 2 2" xfId="1187"/>
    <cellStyle name="Comma [0] 2 3" xfId="1188"/>
    <cellStyle name="Comma0" xfId="1189"/>
    <cellStyle name="Comma0 2" xfId="1190"/>
    <cellStyle name="Comma0 3" xfId="1191"/>
    <cellStyle name="common" xfId="1192"/>
    <cellStyle name="common 2" xfId="1193"/>
    <cellStyle name="Currency 2" xfId="1194"/>
    <cellStyle name="Currency0" xfId="1195"/>
    <cellStyle name="Currency0 2" xfId="1196"/>
    <cellStyle name="Currency0 3" xfId="1197"/>
    <cellStyle name="Date" xfId="1198"/>
    <cellStyle name="Date 2" xfId="1199"/>
    <cellStyle name="Emphasis 1" xfId="1200"/>
    <cellStyle name="Emphasis 2" xfId="1201"/>
    <cellStyle name="Emphasis 3" xfId="1202"/>
    <cellStyle name="Euro" xfId="1203"/>
    <cellStyle name="Euro 2" xfId="1204"/>
    <cellStyle name="Euro 3" xfId="1205"/>
    <cellStyle name="Excel.Chart" xfId="1206"/>
    <cellStyle name="Explanatory Text 2" xfId="1207"/>
    <cellStyle name="F2" xfId="1208"/>
    <cellStyle name="F2 2" xfId="1209"/>
    <cellStyle name="F3" xfId="1210"/>
    <cellStyle name="F3 2" xfId="1211"/>
    <cellStyle name="F4" xfId="1212"/>
    <cellStyle name="F4 2" xfId="1213"/>
    <cellStyle name="F5" xfId="1214"/>
    <cellStyle name="F5 2" xfId="1215"/>
    <cellStyle name="F6" xfId="1216"/>
    <cellStyle name="F6 2" xfId="1217"/>
    <cellStyle name="F7" xfId="1218"/>
    <cellStyle name="F7 2" xfId="1219"/>
    <cellStyle name="F8" xfId="1220"/>
    <cellStyle name="F8 2" xfId="1221"/>
    <cellStyle name="Fixed" xfId="1222"/>
    <cellStyle name="Fixed 2" xfId="1223"/>
    <cellStyle name="Good 2" xfId="1224"/>
    <cellStyle name="Good 3" xfId="1225"/>
    <cellStyle name="Grey" xfId="1226"/>
    <cellStyle name="Heading 1 2" xfId="1227"/>
    <cellStyle name="Heading 2 2" xfId="1228"/>
    <cellStyle name="Heading 3 2" xfId="1229"/>
    <cellStyle name="Heading 3 3" xfId="1230"/>
    <cellStyle name="Heading 4 2" xfId="1231"/>
    <cellStyle name="Heading 4 3" xfId="1232"/>
    <cellStyle name="HEADING1" xfId="1233"/>
    <cellStyle name="HEADING2" xfId="1234"/>
    <cellStyle name="Hipervínculo" xfId="1235"/>
    <cellStyle name="Hipervínculo visitado" xfId="1236"/>
    <cellStyle name="I?ioaioiue" xfId="1237"/>
    <cellStyle name="I?ioaioiue 2" xfId="1238"/>
    <cellStyle name="I`u?iue_Deri98_D" xfId="1239"/>
    <cellStyle name="Iau?iue" xfId="1240"/>
    <cellStyle name="Iau?iue 2" xfId="1241"/>
    <cellStyle name="imf-one decimal" xfId="1242"/>
    <cellStyle name="imf-one decimal 2" xfId="1243"/>
    <cellStyle name="imf-zero decimal" xfId="1244"/>
    <cellStyle name="Ineduararr?n? acdldnnueer" xfId="1245"/>
    <cellStyle name="Input 10" xfId="1246"/>
    <cellStyle name="Input 2" xfId="1247"/>
    <cellStyle name="Input 3" xfId="1248"/>
    <cellStyle name="Input 4" xfId="1249"/>
    <cellStyle name="Input 5" xfId="1250"/>
    <cellStyle name="Input 6" xfId="1251"/>
    <cellStyle name="Input 7" xfId="1252"/>
    <cellStyle name="Input 8" xfId="1253"/>
    <cellStyle name="Input 9" xfId="1254"/>
    <cellStyle name="Input [yellow]" xfId="1255"/>
    <cellStyle name="Linked Cell 2" xfId="1256"/>
    <cellStyle name="Linked Cell 3" xfId="1257"/>
    <cellStyle name="Millares [0]_11.1.3. bis" xfId="1258"/>
    <cellStyle name="Millares_11.1.3. bis" xfId="1259"/>
    <cellStyle name="Milliers [0]_Conversion Summary" xfId="1260"/>
    <cellStyle name="Milliers_Conversion Summary" xfId="1261"/>
    <cellStyle name="Moneda [0]_11.1.3. bis" xfId="1262"/>
    <cellStyle name="Moneda_11.1.3. bis" xfId="1263"/>
    <cellStyle name="Monйtaire [0]_Conversion Summary" xfId="1264"/>
    <cellStyle name="Monйtaire_Conversion Summary" xfId="1265"/>
    <cellStyle name="mystyle" xfId="1266"/>
    <cellStyle name="Neutral 2" xfId="1267"/>
    <cellStyle name="Neutral 3" xfId="1268"/>
    <cellStyle name="Normal - Style1" xfId="1269"/>
    <cellStyle name="Normal - Style1 2" xfId="1270"/>
    <cellStyle name="Normal 10" xfId="1271"/>
    <cellStyle name="Normal 11" xfId="1272"/>
    <cellStyle name="Normal 12" xfId="1273"/>
    <cellStyle name="Normal 13" xfId="1274"/>
    <cellStyle name="Normal 14" xfId="1275"/>
    <cellStyle name="Normal 2" xfId="1276"/>
    <cellStyle name="Normal 2 2" xfId="1277"/>
    <cellStyle name="Normal 2 3" xfId="1278"/>
    <cellStyle name="Normal 2 4" xfId="1279"/>
    <cellStyle name="Normal 3" xfId="1280"/>
    <cellStyle name="Normal 3 2" xfId="1281"/>
    <cellStyle name="Normal 3 3" xfId="1282"/>
    <cellStyle name="Normal 4" xfId="1283"/>
    <cellStyle name="Normal 5" xfId="1284"/>
    <cellStyle name="Normal 6" xfId="1285"/>
    <cellStyle name="Normal 7" xfId="1286"/>
    <cellStyle name="Normal 8" xfId="1287"/>
    <cellStyle name="Normal 9" xfId="1288"/>
    <cellStyle name="Normal 9 2" xfId="1289"/>
    <cellStyle name="Note 2" xfId="1290"/>
    <cellStyle name="Note 3" xfId="1291"/>
    <cellStyle name="Note 4" xfId="1292"/>
    <cellStyle name="Nun??c [0]_ 2003 aia" xfId="1293"/>
    <cellStyle name="Nun??c_ 2003 aia" xfId="1294"/>
    <cellStyle name="Ociriniaue [0]_1" xfId="1295"/>
    <cellStyle name="Ociriniaue_1" xfId="1296"/>
    <cellStyle name="Oeiainiaue" xfId="1297"/>
    <cellStyle name="Oeiainiaue 2" xfId="1298"/>
    <cellStyle name="Oeiainiaue [0]" xfId="1299"/>
    <cellStyle name="Oeiainiaue [0] 2" xfId="1300"/>
    <cellStyle name="Oeiainiaue [0]_~4174642" xfId="1301"/>
    <cellStyle name="Oeiainiaue [0]_Ўтган йилга нисбатан" xfId="1302"/>
    <cellStyle name="Oeiainiaue [0]_Копия 1474 илова  01.01.2012 ўтган йилга нисбати" xfId="1303"/>
    <cellStyle name="Oeiainiaue [0]_Копия Правленияга 01.11.11 Факт 3" xfId="1304"/>
    <cellStyle name="Oeiainiaue [0]_Наслли, гўшт сут, Зоовет 2010й 1 апрель" xfId="1305"/>
    <cellStyle name="Oeiainiaue [0]_Наслли, гўшт сут, Зоовет 2010й 1 апрель_Ўтган йилга нисбатан" xfId="1306"/>
    <cellStyle name="Oeiainiaue [0]_Наслли, гўшт сут, Зоовет 2010й 1 апрель_Андижон туман" xfId="1307"/>
    <cellStyle name="Oeiainiaue [0]_Наслли, гўшт сут, Зоовет 2010й 1 апрель_Андижон туман_01.11.12 утган йилга нисбатан 2" xfId="1308"/>
    <cellStyle name="Oeiainiaue [0]_Наслли, гўшт сут, Зоовет 2010й 1 апрель_Андижон туман_Копия 1474 илова  01.01.2012 ўтган йилга нисбати" xfId="1309"/>
    <cellStyle name="Oeiainiaue [0]_Наслли, гўшт сут, Зоовет 2010й 1 апрель_Бухоро" xfId="1310"/>
    <cellStyle name="Oeiainiaue [0]_Наслли, гўшт сут, Зоовет 2010й 1 апрель_Бухоро_Ўтган йилга нисбатан" xfId="1311"/>
    <cellStyle name="Oeiainiaue [0]_Наслли, гўшт сут, Зоовет 2010й 1 апрель_Бухоро_Копия 1474 илова  01.01.2012 ўтган йилга нисбати" xfId="1312"/>
    <cellStyle name="Oeiainiaue [0]_Наслли, гўшт сут, Зоовет 2010й 1 апрель_Копия 1474 илова  01.01.2012 ўтган йилга нисбати" xfId="1313"/>
    <cellStyle name="Oeiainiaue [0]_Наслли, гўшт сут, Зоовет 2010й 1 апрель_Навоий1 туман" xfId="1314"/>
    <cellStyle name="Oeiainiaue [0]_Наслли, гўшт сут, Зоовет 2010й 1 апрель_Навоий1 туман_Ўтган йилга нисбатан" xfId="1315"/>
    <cellStyle name="Oeiainiaue [0]_Наслли, гўшт сут, Зоовет 2010й 1 апрель_Навоий1 туман_Копия 1474 илова  01.01.2012 ўтган йилга нисбати" xfId="1316"/>
    <cellStyle name="Oeiainiaue [0]_Наслли, гўшт сут, Зоовет 2010й 1 апрель_СВОД БАРЧА олдинги" xfId="1317"/>
    <cellStyle name="Oeiainiaue [0]_Наслли, гўшт сут, Зоовет 2010й 1 апрель_Хоразм туман" xfId="1318"/>
    <cellStyle name="Oeiainiaue [0]_Наслли, гўшт сут, Зоовет 2010й 1 апрель_Хоразм туман_01.11.12 утган йилга нисбатан 2" xfId="1319"/>
    <cellStyle name="Oeiainiaue [0]_Наслли, гўшт сут, Зоовет 2010й 1 апрель_Хоразм туман_Копия 1474 илова  01.01.2012 ўтган йилга нисбати" xfId="1320"/>
    <cellStyle name="Oeiainiaue [0]_ПРОГНОЗ И 2008-2015 125 фоизлик ОКОНЧАТЕЛЬНЫЙ" xfId="1321"/>
    <cellStyle name="Oeiainiaue [0]_ПРОГНОЗ И 2008-2015 125 фоизлик ОКОНЧАТЕЛЬНЫЙ_Андижон туман" xfId="1322"/>
    <cellStyle name="Oeiainiaue [0]_ПРОГНОЗ И 2008-2015 125 фоизлик ОКОНЧАТЕЛЬНЫЙ_Андижон туман_01.11.12 утган йилга нисбатан 2" xfId="1323"/>
    <cellStyle name="Oeiainiaue [0]_ПРОГНОЗ И 2008-2015 125 фоизлик ОКОНЧАТЕЛЬНЫЙ_Андижон туман_Копия 1474 илова  01.01.2012 ўтган йилга нисбати" xfId="1324"/>
    <cellStyle name="Oeiainiaue [0]_ПРОГНОЗ И 2008-2015 125 фоизлик ОКОНЧАТЕЛЬНЫЙ_Бухоро" xfId="1325"/>
    <cellStyle name="Oeiainiaue [0]_ПРОГНОЗ И 2008-2015 125 фоизлик ОКОНЧАТЕЛЬНЫЙ_Бухоро_Ўтган йилга нисбатан" xfId="1326"/>
    <cellStyle name="Oeiainiaue [0]_ПРОГНОЗ И 2008-2015 125 фоизлик ОКОНЧАТЕЛЬНЫЙ_Бухоро_Копия 1474 илова  01.01.2012 ўтган йилга нисбати" xfId="1327"/>
    <cellStyle name="Oeiainiaue [0]_ПРОГНОЗ И 2008-2015 125 фоизлик ОКОНЧАТЕЛЬНЫЙ_Навоий1 туман" xfId="1328"/>
    <cellStyle name="Oeiainiaue [0]_ПРОГНОЗ И 2008-2015 125 фоизлик ОКОНЧАТЕЛЬНЫЙ_Навоий1 туман_Ўтган йилга нисбатан" xfId="1329"/>
    <cellStyle name="Oeiainiaue [0]_ПРОГНОЗ И 2008-2015 125 фоизлик ОКОНЧАТЕЛЬНЫЙ_Навоий1 туман_Копия 1474 илова  01.01.2012 ўтган йилга нисбати" xfId="1330"/>
    <cellStyle name="Oeiainiaue [0]_ПРОГНОЗ И 2008-2015 125 фоизлик ОКОНЧАТЕЛЬНЫЙ_Хоразм туман" xfId="1331"/>
    <cellStyle name="Oeiainiaue [0]_ПРОГНОЗ И 2008-2015 125 фоизлик ОКОНЧАТЕЛЬНЫЙ_Хоразм туман_01.11.12 утган йилга нисбатан 2" xfId="1332"/>
    <cellStyle name="Oeiainiaue [0]_ПРОГНОЗ И 2008-2015 125 фоизлик ОКОНЧАТЕЛЬНЫЙ_Хоразм туман_Копия 1474 илова  01.01.2012 ўтган йилга нисбати" xfId="1333"/>
    <cellStyle name="Oeiainiaue [0]_Прог" xfId="1334"/>
    <cellStyle name="Oeiainiaue [0]_Рес-га" xfId="1335"/>
    <cellStyle name="Oeiainiaue [0]_Рес-га_Ўтган йилга нисбатан" xfId="1336"/>
    <cellStyle name="Oeiainiaue [0]_Рес-га_Копия 1474 илова  01.01.2012 ўтган йилга нисбати" xfId="1337"/>
    <cellStyle name="Oeiainiaue [0]_СВОД БАРЧА олдинги" xfId="1338"/>
    <cellStyle name="Oeiainiaue [0]_Тасдик-Бош вазир охирги" xfId="1339"/>
    <cellStyle name="Oeiainiaue [0]_Тасдик-Бош вазир охирги_Ўтган йилга нисбатан" xfId="1340"/>
    <cellStyle name="Oeiainiaue [0]_Тасдик-Бош вазир охирги_Копия 1474 илова  01.01.2012 ўтган йилга нисбати" xfId="1341"/>
    <cellStyle name="Oeiainiaue [0]_выдача_2011-2015_1" xfId="1342"/>
    <cellStyle name="Oeiainiaue [0]_выдача_2011-2015_1_Ўтган йилга нисбатан" xfId="1343"/>
    <cellStyle name="Oeiainiaue [0]_выдача_2011-2015_1_Андижон туман" xfId="1344"/>
    <cellStyle name="Oeiainiaue [0]_выдача_2011-2015_1_Андижон туман_01.11.12 утган йилга нисбатан 2" xfId="1345"/>
    <cellStyle name="Oeiainiaue [0]_выдача_2011-2015_1_Андижон туман_Копия 1474 илова  01.01.2012 ўтган йилга нисбати" xfId="1346"/>
    <cellStyle name="Oeiainiaue [0]_выдача_2011-2015_1_Бухоро" xfId="1347"/>
    <cellStyle name="Oeiainiaue [0]_выдача_2011-2015_1_Бухоро_Ўтган йилга нисбатан" xfId="1348"/>
    <cellStyle name="Oeiainiaue [0]_выдача_2011-2015_1_Бухоро_Копия 1474 илова  01.01.2012 ўтган йилга нисбати" xfId="1349"/>
    <cellStyle name="Oeiainiaue [0]_выдача_2011-2015_1_Копия 1474 илова  01.01.2012 ўтган йилга нисбати" xfId="1350"/>
    <cellStyle name="Oeiainiaue [0]_выдача_2011-2015_1_Навоий1 туман" xfId="1351"/>
    <cellStyle name="Oeiainiaue [0]_выдача_2011-2015_1_Навоий1 туман_Ўтган йилга нисбатан" xfId="1352"/>
    <cellStyle name="Oeiainiaue [0]_выдача_2011-2015_1_Навоий1 туман_Копия 1474 илова  01.01.2012 ўтган йилга нисбати" xfId="1353"/>
    <cellStyle name="Oeiainiaue [0]_выдача_2011-2015_1_СВОД БАРЧА олдинги" xfId="1354"/>
    <cellStyle name="Oeiainiaue [0]_выдача_2011-2015_1_Хоразм туман" xfId="1355"/>
    <cellStyle name="Oeiainiaue [0]_выдача_2011-2015_1_Хоразм туман_01.11.12 утган йилга нисбатан 2" xfId="1356"/>
    <cellStyle name="Oeiainiaue [0]_выдача_2011-2015_1_Хоразм туман_Копия 1474 илова  01.01.2012 ўтган йилга нисбати" xfId="1357"/>
    <cellStyle name="Oeiainiaue [0]_форма 01.01.2016" xfId="1358"/>
    <cellStyle name="Oeiainiaue_,, 255 якуни" xfId="1359"/>
    <cellStyle name="Oeiainiaue_Ўтган йилга нисбатан" xfId="1360"/>
    <cellStyle name="Oeiainiaue_Копия 1474 илова  01.01.2012 ўтган йилга нисбати" xfId="1361"/>
    <cellStyle name="Oeiainiaue_Копия Правленияга 01.11.11 Факт 3" xfId="1362"/>
    <cellStyle name="Oeiainiaue_Наслли, гўшт сут, Зоовет 2010й 1 апрель" xfId="1363"/>
    <cellStyle name="Oeiainiaue_Наслли, гўшт сут, Зоовет 2010й 1 апрель_Ўтган йилга нисбатан" xfId="1364"/>
    <cellStyle name="Oeiainiaue_Наслли, гўшт сут, Зоовет 2010й 1 апрель_Андижон туман" xfId="1365"/>
    <cellStyle name="Oeiainiaue_Наслли, гўшт сут, Зоовет 2010й 1 апрель_Андижон туман_01.11.12 утган йилга нисбатан 2" xfId="1366"/>
    <cellStyle name="Oeiainiaue_Наслли, гўшт сут, Зоовет 2010й 1 апрель_Андижон туман_Копия 1474 илова  01.01.2012 ўтган йилга нисбати" xfId="1367"/>
    <cellStyle name="Oeiainiaue_Наслли, гўшт сут, Зоовет 2010й 1 апрель_Бухоро" xfId="1368"/>
    <cellStyle name="Oeiainiaue_Наслли, гўшт сут, Зоовет 2010й 1 апрель_Бухоро_Ўтган йилга нисбатан" xfId="1369"/>
    <cellStyle name="Oeiainiaue_Наслли, гўшт сут, Зоовет 2010й 1 апрель_Бухоро_Копия 1474 илова  01.01.2012 ўтган йилга нисбати" xfId="1370"/>
    <cellStyle name="Oeiainiaue_Наслли, гўшт сут, Зоовет 2010й 1 апрель_Копия 1474 илова  01.01.2012 ўтган йилга нисбати" xfId="1371"/>
    <cellStyle name="Oeiainiaue_Наслли, гўшт сут, Зоовет 2010й 1 апрель_Навоий1 туман" xfId="1372"/>
    <cellStyle name="Oeiainiaue_Наслли, гўшт сут, Зоовет 2010й 1 апрель_Навоий1 туман_Ўтган йилга нисбатан" xfId="1373"/>
    <cellStyle name="Oeiainiaue_Наслли, гўшт сут, Зоовет 2010й 1 апрель_Навоий1 туман_Копия 1474 илова  01.01.2012 ўтган йилга нисбати" xfId="1374"/>
    <cellStyle name="Oeiainiaue_Наслли, гўшт сут, Зоовет 2010й 1 апрель_СВОД БАРЧА олдинги" xfId="1375"/>
    <cellStyle name="Oeiainiaue_Наслли, гўшт сут, Зоовет 2010й 1 апрель_Хоразм туман" xfId="1376"/>
    <cellStyle name="Oeiainiaue_Наслли, гўшт сут, Зоовет 2010й 1 апрель_Хоразм туман_01.11.12 утган йилга нисбатан 2" xfId="1377"/>
    <cellStyle name="Oeiainiaue_Наслли, гўшт сут, Зоовет 2010й 1 апрель_Хоразм туман_Копия 1474 илова  01.01.2012 ўтган йилга нисбати" xfId="1378"/>
    <cellStyle name="Oeiainiaue_ПРОГНОЗ И 2008-2015 125 фоизлик ОКОНЧАТЕЛЬНЫЙ" xfId="1379"/>
    <cellStyle name="Oeiainiaue_ПРОГНОЗ И 2008-2015 125 фоизлик ОКОНЧАТЕЛЬНЫЙ_Андижон туман" xfId="1380"/>
    <cellStyle name="Oeiainiaue_ПРОГНОЗ И 2008-2015 125 фоизлик ОКОНЧАТЕЛЬНЫЙ_Андижон туман_01.11.12 утган йилга нисбатан 2" xfId="1381"/>
    <cellStyle name="Oeiainiaue_ПРОГНОЗ И 2008-2015 125 фоизлик ОКОНЧАТЕЛЬНЫЙ_Андижон туман_Копия 1474 илова  01.01.2012 ўтган йилга нисбати" xfId="1382"/>
    <cellStyle name="Oeiainiaue_ПРОГНОЗ И 2008-2015 125 фоизлик ОКОНЧАТЕЛЬНЫЙ_Бухоро" xfId="1383"/>
    <cellStyle name="Oeiainiaue_ПРОГНОЗ И 2008-2015 125 фоизлик ОКОНЧАТЕЛЬНЫЙ_Бухоро_Ўтган йилга нисбатан" xfId="1384"/>
    <cellStyle name="Oeiainiaue_ПРОГНОЗ И 2008-2015 125 фоизлик ОКОНЧАТЕЛЬНЫЙ_Бухоро_Копия 1474 илова  01.01.2012 ўтган йилга нисбати" xfId="1385"/>
    <cellStyle name="Oeiainiaue_ПРОГНОЗ И 2008-2015 125 фоизлик ОКОНЧАТЕЛЬНЫЙ_Навоий1 туман" xfId="1386"/>
    <cellStyle name="Oeiainiaue_ПРОГНОЗ И 2008-2015 125 фоизлик ОКОНЧАТЕЛЬНЫЙ_Навоий1 туман_Ўтган йилга нисбатан" xfId="1387"/>
    <cellStyle name="Oeiainiaue_ПРОГНОЗ И 2008-2015 125 фоизлик ОКОНЧАТЕЛЬНЫЙ_Навоий1 туман_Копия 1474 илова  01.01.2012 ўтган йилга нисбати" xfId="1388"/>
    <cellStyle name="Oeiainiaue_ПРОГНОЗ И 2008-2015 125 фоизлик ОКОНЧАТЕЛЬНЫЙ_Хоразм туман" xfId="1389"/>
    <cellStyle name="Oeiainiaue_ПРОГНОЗ И 2008-2015 125 фоизлик ОКОНЧАТЕЛЬНЫЙ_Хоразм туман_01.11.12 утган йилга нисбатан 2" xfId="1390"/>
    <cellStyle name="Oeiainiaue_ПРОГНОЗ И 2008-2015 125 фоизлик ОКОНЧАТЕЛЬНЫЙ_Хоразм туман_Копия 1474 илова  01.01.2012 ўтган йилга нисбати" xfId="1391"/>
    <cellStyle name="Oeiainiaue_Прог" xfId="1392"/>
    <cellStyle name="Oeiainiaue_Рес-га" xfId="1393"/>
    <cellStyle name="Oeiainiaue_Рес-га_Ўтган йилга нисбатан" xfId="1394"/>
    <cellStyle name="Oeiainiaue_Рес-га_Копия 1474 илова  01.01.2012 ўтган йилга нисбати" xfId="1395"/>
    <cellStyle name="Oeiainiaue_СВОД БАРЧА олдинги" xfId="1396"/>
    <cellStyle name="Oeiainiaue_Тасдик-Бош вазир охирги" xfId="1397"/>
    <cellStyle name="Oeiainiaue_Тасдик-Бош вазир охирги_Ўтган йилга нисбатан" xfId="1398"/>
    <cellStyle name="Oeiainiaue_Тасдик-Бош вазир охирги_Копия 1474 илова  01.01.2012 ўтган йилга нисбати" xfId="1399"/>
    <cellStyle name="Oeiainiaue_выдача_2011-2015_1" xfId="1400"/>
    <cellStyle name="Oeiainiaue_выдача_2011-2015_1_Ўтган йилга нисбатан" xfId="1401"/>
    <cellStyle name="Oeiainiaue_выдача_2011-2015_1_Андижон туман" xfId="1402"/>
    <cellStyle name="Oeiainiaue_выдача_2011-2015_1_Андижон туман_01.11.12 утган йилга нисбатан 2" xfId="1403"/>
    <cellStyle name="Oeiainiaue_выдача_2011-2015_1_Андижон туман_Копия 1474 илова  01.01.2012 ўтган йилга нисбати" xfId="1404"/>
    <cellStyle name="Oeiainiaue_выдача_2011-2015_1_Бухоро" xfId="1405"/>
    <cellStyle name="Oeiainiaue_выдача_2011-2015_1_Бухоро_Ўтган йилга нисбатан" xfId="1406"/>
    <cellStyle name="Oeiainiaue_выдача_2011-2015_1_Бухоро_Копия 1474 илова  01.01.2012 ўтган йилга нисбати" xfId="1407"/>
    <cellStyle name="Oeiainiaue_выдача_2011-2015_1_Копия 1474 илова  01.01.2012 ўтган йилга нисбати" xfId="1408"/>
    <cellStyle name="Oeiainiaue_выдача_2011-2015_1_Навоий1 туман" xfId="1409"/>
    <cellStyle name="Oeiainiaue_выдача_2011-2015_1_Навоий1 туман_Ўтган йилга нисбатан" xfId="1410"/>
    <cellStyle name="Oeiainiaue_выдача_2011-2015_1_Навоий1 туман_Копия 1474 илова  01.01.2012 ўтган йилга нисбати" xfId="1411"/>
    <cellStyle name="Oeiainiaue_выдача_2011-2015_1_СВОД БАРЧА олдинги" xfId="1412"/>
    <cellStyle name="Oeiainiaue_выдача_2011-2015_1_Хоразм туман" xfId="1413"/>
    <cellStyle name="Oeiainiaue_выдача_2011-2015_1_Хоразм туман_01.11.12 утган йилга нисбатан 2" xfId="1414"/>
    <cellStyle name="Oeiainiaue_выдача_2011-2015_1_Хоразм туман_Копия 1474 илова  01.01.2012 ўтган йилга нисбати" xfId="1415"/>
    <cellStyle name="Oeiainiaue_форма 01.01.2016" xfId="1416"/>
    <cellStyle name="Output 2" xfId="1417"/>
    <cellStyle name="Output 3" xfId="1418"/>
    <cellStyle name="Percent 2" xfId="1419"/>
    <cellStyle name="Percent 3" xfId="1420"/>
    <cellStyle name="Percent 4" xfId="1421"/>
    <cellStyle name="Percent 5" xfId="1422"/>
    <cellStyle name="Percent 6" xfId="1423"/>
    <cellStyle name="Percent 7" xfId="1424"/>
    <cellStyle name="Percent [2]" xfId="1425"/>
    <cellStyle name="percentage difference" xfId="1426"/>
    <cellStyle name="percentage difference one decimal" xfId="1427"/>
    <cellStyle name="percentage difference zero decimal" xfId="1428"/>
    <cellStyle name="S0" xfId="1429"/>
    <cellStyle name="S1" xfId="1430"/>
    <cellStyle name="S2" xfId="1431"/>
    <cellStyle name="S3" xfId="1432"/>
    <cellStyle name="S4" xfId="1433"/>
    <cellStyle name="S5" xfId="1434"/>
    <cellStyle name="S6" xfId="1435"/>
    <cellStyle name="S7" xfId="1436"/>
    <cellStyle name="s]&#13;&#10;;load=rrtsklst.exe&#13;&#10;Beep=yes&#13;&#10;NullPort=None&#13;&#10;BorderWidth=3&#13;&#10;CursorBlinkRate=530&#13;&#10;DoubleClickSpeed=452&#13;&#10;Programs=com" xfId="1437"/>
    <cellStyle name="s]&#13;&#10;load=&#13;&#10;run=&#13;&#10;NullPort=None&#13;&#10;device=Epson FX-1170,EPSON9,LPT1:&#13;&#10;&#13;&#10;[Desktop]&#13;&#10;Wallpaper=C:\WIN95\SKY.BMP&#13;&#10;TileWallpap" xfId="1438"/>
    <cellStyle name="Sheet Title" xfId="1439"/>
    <cellStyle name="Standard_COST INPUT SHEET" xfId="1440"/>
    <cellStyle name="Title 2" xfId="1441"/>
    <cellStyle name="Total 2" xfId="1442"/>
    <cellStyle name="Warning Text 2" xfId="1443"/>
    <cellStyle name="Warning Text 3" xfId="1444"/>
    <cellStyle name="Wдhrung [0]_Software Project Status" xfId="1445"/>
    <cellStyle name="Wдhrung_Software Project Status" xfId="1446"/>
    <cellStyle name="" xfId="1447"/>
    <cellStyle name=" 2" xfId="1448"/>
    <cellStyle name="_1 кв ФАКТОР" xfId="1449"/>
    <cellStyle name="1" xfId="1450"/>
    <cellStyle name="1 2" xfId="1451"/>
    <cellStyle name="2" xfId="1452"/>
    <cellStyle name="2 2" xfId="1453"/>
    <cellStyle name="" xfId="1454"/>
    <cellStyle name=" 2" xfId="1455"/>
    <cellStyle name="_1 кв ФАКТОР" xfId="1456"/>
    <cellStyle name="_1-кисм 1-свод" xfId="1457"/>
    <cellStyle name="_1q2010" xfId="1458"/>
    <cellStyle name="_МВЭС Хусанбой" xfId="1459"/>
    <cellStyle name="_СВОД Прогноз 2008-2012й" xfId="1460"/>
    <cellStyle name="_Фарғона_1-кисм 1-свод" xfId="1461"/>
    <cellStyle name="_доп. табл по Поручению министра - посл." xfId="1462"/>
    <cellStyle name="_308 хисоботи 2010йил 1 апрель холатига" xfId="1463"/>
    <cellStyle name="_Ўтган йилга нисбатан" xfId="1464"/>
    <cellStyle name="_КР Нукус   (2 жадвал)" xfId="1465"/>
    <cellStyle name="_Копия 1474 илова  01.01.2012 ўтган йилга нисбати" xfId="1466"/>
    <cellStyle name="_Кредит линия-русча" xfId="1467"/>
    <cellStyle name="_Наслли, гўшт сут, Зоовет 2010й 1 апрель" xfId="1468"/>
    <cellStyle name="_ПРОГНОЗ И 2008-2015 125 фоизлик ОКОНЧАТЕЛЬНЫЙ" xfId="1469"/>
    <cellStyle name="_Прог" xfId="1470"/>
    <cellStyle name="_СВОД БАРЧА олдинги" xfId="1471"/>
    <cellStyle name="_Тасдик-Бош вазир охирги" xfId="1472"/>
    <cellStyle name="_выдача_2011-2015_1" xfId="1473"/>
    <cellStyle name="_форма 01.01.2016" xfId="1474"/>
    <cellStyle name="’ћѓћ‚›‰" xfId="1475"/>
    <cellStyle name="’ћѓћ‚›‰ 2" xfId="1476"/>
    <cellStyle name="" xfId="1477"/>
    <cellStyle name=" 2" xfId="1478"/>
    <cellStyle name="_1 кв ФАКТОР" xfId="1479"/>
    <cellStyle name="Äåíåæíûé" xfId="1480"/>
    <cellStyle name="Äåíåæíûé [0]" xfId="1481"/>
    <cellStyle name="Äåíåæíûé_308 хисоботи 2010йил 1 апрель холатига" xfId="1482"/>
    <cellStyle name="Îáû÷íûé" xfId="1483"/>
    <cellStyle name="Ïðîöåíòíûé" xfId="1484"/>
    <cellStyle name="Ôèíàíñîâûé" xfId="1485"/>
    <cellStyle name="Ôèíàíñîâûé [0]" xfId="1486"/>
    <cellStyle name="Ôèíàíñîâûé [0]_308 хисоботи 2010йил 1 апрель холатига" xfId="1487"/>
    <cellStyle name="Ôèíàíñîâûé [0]_Ўтган йилга нисбатан" xfId="1488"/>
    <cellStyle name="Ôèíàíñîâûé [0]_КР Нукус   (2 жадвал)" xfId="1489"/>
    <cellStyle name="Ôèíàíñîâûé [0]_Копия 1474 илова  01.01.2012 ўтган йилга нисбати" xfId="1490"/>
    <cellStyle name="Ôèíàíñîâûé [0]_Наслли, гўшт сут, Зоовет 2010й 1 апрель" xfId="1491"/>
    <cellStyle name="Ôèíàíñîâûé [0]_Наслли, гўшт сут, Зоовет 2010й 1 апрель_Ўтган йилга нисбатан" xfId="1492"/>
    <cellStyle name="Ôèíàíñîâûé [0]_Наслли, гўшт сут, Зоовет 2010й 1 апрель_Андижон туман" xfId="1493"/>
    <cellStyle name="Ôèíàíñîâûé [0]_Наслли, гўшт сут, Зоовет 2010й 1 апрель_Андижон туман_01.11.12 утган йилга нисбатан 2" xfId="1494"/>
    <cellStyle name="Ôèíàíñîâûé [0]_Наслли, гўшт сут, Зоовет 2010й 1 апрель_Андижон туман_Копия 1474 илова  01.01.2012 ўтган йилга нисбати" xfId="1495"/>
    <cellStyle name="Ôèíàíñîâûé [0]_Наслли, гўшт сут, Зоовет 2010й 1 апрель_Бухоро" xfId="1496"/>
    <cellStyle name="Ôèíàíñîâûé [0]_Наслли, гўшт сут, Зоовет 2010й 1 апрель_Бухоро_Ўтган йилга нисбатан" xfId="1497"/>
    <cellStyle name="Ôèíàíñîâûé [0]_Наслли, гўшт сут, Зоовет 2010й 1 апрель_Бухоро_Копия 1474 илова  01.01.2012 ўтган йилга нисбати" xfId="1498"/>
    <cellStyle name="Ôèíàíñîâûé [0]_Наслли, гўшт сут, Зоовет 2010й 1 апрель_Копия 1474 илова  01.01.2012 ўтган йилга нисбати" xfId="1499"/>
    <cellStyle name="Ôèíàíñîâûé [0]_Наслли, гўшт сут, Зоовет 2010й 1 апрель_Навоий1 туман" xfId="1500"/>
    <cellStyle name="Ôèíàíñîâûé [0]_Наслли, гўшт сут, Зоовет 2010й 1 апрель_Навоий1 туман_Ўтган йилга нисбатан" xfId="1501"/>
    <cellStyle name="Ôèíàíñîâûé [0]_Наслли, гўшт сут, Зоовет 2010й 1 апрель_Навоий1 туман_Копия 1474 илова  01.01.2012 ўтган йилга нисбати" xfId="1502"/>
    <cellStyle name="Ôèíàíñîâûé [0]_Наслли, гўшт сут, Зоовет 2010й 1 апрель_СВОД БАРЧА олдинги" xfId="1503"/>
    <cellStyle name="Ôèíàíñîâûé [0]_Наслли, гўшт сут, Зоовет 2010й 1 апрель_Хоразм туман" xfId="1504"/>
    <cellStyle name="Ôèíàíñîâûé [0]_Наслли, гўшт сут, Зоовет 2010й 1 апрель_Хоразм туман_01.11.12 утган йилга нисбатан 2" xfId="1505"/>
    <cellStyle name="Ôèíàíñîâûé [0]_Наслли, гўшт сут, Зоовет 2010й 1 апрель_Хоразм туман_Копия 1474 илова  01.01.2012 ўтган йилга нисбати" xfId="1506"/>
    <cellStyle name="Ôèíàíñîâûé [0]_ПРОГНОЗ И 2008-2015 125 фоизлик ОКОНЧАТЕЛЬНЫЙ" xfId="1507"/>
    <cellStyle name="Ôèíàíñîâûé [0]_ПРОГНОЗ И 2008-2015 125 фоизлик ОКОНЧАТЕЛЬНЫЙ_Андижон туман" xfId="1508"/>
    <cellStyle name="Ôèíàíñîâûé [0]_ПРОГНОЗ И 2008-2015 125 фоизлик ОКОНЧАТЕЛЬНЫЙ_Андижон туман_01.11.12 утган йилга нисбатан 2" xfId="1509"/>
    <cellStyle name="Ôèíàíñîâûé [0]_ПРОГНОЗ И 2008-2015 125 фоизлик ОКОНЧАТЕЛЬНЫЙ_Андижон туман_Копия 1474 илова  01.01.2012 ўтган йилга нисбати" xfId="1510"/>
    <cellStyle name="Ôèíàíñîâûé [0]_ПРОГНОЗ И 2008-2015 125 фоизлик ОКОНЧАТЕЛЬНЫЙ_Бухоро" xfId="1511"/>
    <cellStyle name="Ôèíàíñîâûé [0]_ПРОГНОЗ И 2008-2015 125 фоизлик ОКОНЧАТЕЛЬНЫЙ_Бухоро_Ўтган йилга нисбатан" xfId="1512"/>
    <cellStyle name="Ôèíàíñîâûé [0]_ПРОГНОЗ И 2008-2015 125 фоизлик ОКОНЧАТЕЛЬНЫЙ_Бухоро_Копия 1474 илова  01.01.2012 ўтган йилга нисбати" xfId="1513"/>
    <cellStyle name="Ôèíàíñîâûé [0]_ПРОГНОЗ И 2008-2015 125 фоизлик ОКОНЧАТЕЛЬНЫЙ_Навоий1 туман" xfId="1514"/>
    <cellStyle name="Ôèíàíñîâûé [0]_ПРОГНОЗ И 2008-2015 125 фоизлик ОКОНЧАТЕЛЬНЫЙ_Навоий1 туман_Ўтган йилга нисбатан" xfId="1515"/>
    <cellStyle name="Ôèíàíñîâûé [0]_ПРОГНОЗ И 2008-2015 125 фоизлик ОКОНЧАТЕЛЬНЫЙ_Навоий1 туман_Копия 1474 илова  01.01.2012 ўтган йилга нисбати" xfId="1516"/>
    <cellStyle name="Ôèíàíñîâûé [0]_ПРОГНОЗ И 2008-2015 125 фоизлик ОКОНЧАТЕЛЬНЫЙ_Хоразм туман" xfId="1517"/>
    <cellStyle name="Ôèíàíñîâûé [0]_ПРОГНОЗ И 2008-2015 125 фоизлик ОКОНЧАТЕЛЬНЫЙ_Хоразм туман_01.11.12 утган йилга нисбатан 2" xfId="1518"/>
    <cellStyle name="Ôèíàíñîâûé [0]_ПРОГНОЗ И 2008-2015 125 фоизлик ОКОНЧАТЕЛЬНЫЙ_Хоразм туман_Копия 1474 илова  01.01.2012 ўтган йилга нисбати" xfId="1519"/>
    <cellStyle name="Ôèíàíñîâûé [0]_Прог" xfId="1520"/>
    <cellStyle name="Ôèíàíñîâûé [0]_Рес-га" xfId="1521"/>
    <cellStyle name="Ôèíàíñîâûé [0]_Рес-га_Ўтган йилга нисбатан" xfId="1522"/>
    <cellStyle name="Ôèíàíñîâûé [0]_Рес-га_Копия 1474 илова  01.01.2012 ўтган йилга нисбати" xfId="1523"/>
    <cellStyle name="Ôèíàíñîâûé [0]_СВОД БАРЧА олдинги" xfId="1524"/>
    <cellStyle name="Ôèíàíñîâûé [0]_Тасдик-Бош вазир охирги" xfId="1525"/>
    <cellStyle name="Ôèíàíñîâûé [0]_Тасдик-Бош вазир охирги_Ўтган йилга нисбатан" xfId="1526"/>
    <cellStyle name="Ôèíàíñîâûé [0]_Тасдик-Бош вазир охирги_Копия 1474 илова  01.01.2012 ўтган йилга нисбати" xfId="1527"/>
    <cellStyle name="Ôèíàíñîâûé [0]_выдача_2011-2015_1" xfId="1528"/>
    <cellStyle name="Ôèíàíñîâûé [0]_выдача_2011-2015_1_Ўтган йилга нисбатан" xfId="1529"/>
    <cellStyle name="Ôèíàíñîâûé [0]_выдача_2011-2015_1_Андижон туман" xfId="1530"/>
    <cellStyle name="Ôèíàíñîâûé [0]_выдача_2011-2015_1_Андижон туман_01.11.12 утган йилга нисбатан 2" xfId="1531"/>
    <cellStyle name="Ôèíàíñîâûé [0]_выдача_2011-2015_1_Андижон туман_Копия 1474 илова  01.01.2012 ўтган йилга нисбати" xfId="1532"/>
    <cellStyle name="Ôèíàíñîâûé [0]_выдача_2011-2015_1_Бухоро" xfId="1533"/>
    <cellStyle name="Ôèíàíñîâûé [0]_выдача_2011-2015_1_Бухоро_Ўтган йилга нисбатан" xfId="1534"/>
    <cellStyle name="Ôèíàíñîâûé [0]_выдача_2011-2015_1_Бухоро_Копия 1474 илова  01.01.2012 ўтган йилга нисбати" xfId="1535"/>
    <cellStyle name="Ôèíàíñîâûé [0]_выдача_2011-2015_1_Копия 1474 илова  01.01.2012 ўтган йилга нисбати" xfId="1536"/>
    <cellStyle name="Ôèíàíñîâûé [0]_выдача_2011-2015_1_Навоий1 туман" xfId="1537"/>
    <cellStyle name="Ôèíàíñîâûé [0]_выдача_2011-2015_1_Навоий1 туман_Ўтган йилга нисбатан" xfId="1538"/>
    <cellStyle name="Ôèíàíñîâûé [0]_выдача_2011-2015_1_Навоий1 туман_Копия 1474 илова  01.01.2012 ўтган йилга нисбати" xfId="1539"/>
    <cellStyle name="Ôèíàíñîâûé [0]_выдача_2011-2015_1_СВОД БАРЧА олдинги" xfId="1540"/>
    <cellStyle name="Ôèíàíñîâûé [0]_выдача_2011-2015_1_Хоразм туман" xfId="1541"/>
  </cellStyles>
  <colors>
    <indexedColors>
      <rgbColor rgb="FF000000"/>
      <rgbColor rgb="FFFFFFFF"/>
      <rgbColor rgb="FFFF0000"/>
      <rgbColor rgb="FF00FF00"/>
      <rgbColor rgb="FF0000FF"/>
      <rgbColor rgb="FFFF9F9F"/>
      <rgbColor rgb="FFFF00FF"/>
      <rgbColor rgb="FF00FFFF"/>
      <rgbColor rgb="FF800000"/>
      <rgbColor rgb="FF008000"/>
      <rgbColor rgb="FF000080"/>
      <rgbColor rgb="FFB2B2B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L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17" activeCellId="0" sqref="C17"/>
    </sheetView>
  </sheetViews>
  <sheetFormatPr baseColWidth="8" defaultColWidth="8.83203125" defaultRowHeight="12.75" zeroHeight="0" outlineLevelRow="0"/>
  <cols>
    <col width="29.66" customWidth="1" style="9" min="2" max="2"/>
    <col width="24.16" customWidth="1" style="9" min="3" max="3"/>
  </cols>
  <sheetData>
    <row r="1" ht="12.75" customHeight="1" s="10">
      <c r="B1" s="9" t="inlineStr">
        <is>
          <t>STEP 1</t>
        </is>
      </c>
    </row>
    <row r="3" ht="12.75" customHeight="1" s="10">
      <c r="B3" s="9" t="inlineStr">
        <is>
          <t>Z-score (95% one-sided)</t>
        </is>
      </c>
      <c r="C3" s="9">
        <f>NORMINV(0.95,0,1)</f>
        <v/>
      </c>
    </row>
    <row r="4" ht="12.75" customHeight="1" s="10">
      <c r="B4" s="9" t="inlineStr">
        <is>
          <t>3-month volatility</t>
        </is>
      </c>
      <c r="C4" s="9">
        <f>LOOKUP(2,1/('Gold price'!D:D&lt;&gt;""),'Gold price'!D:D)</f>
        <v/>
      </c>
    </row>
    <row r="5" ht="12.75" customHeight="1" s="10">
      <c r="B5" s="9" t="inlineStr">
        <is>
          <t>3-month volatility annualized</t>
        </is>
      </c>
      <c r="C5" s="9">
        <f>C4*SQRT(12)</f>
        <v/>
      </c>
    </row>
    <row r="6" ht="12.75" customHeight="1" s="10">
      <c r="B6" s="9" t="inlineStr">
        <is>
          <t>12-month volatility</t>
        </is>
      </c>
      <c r="C6" s="9">
        <f>LOOKUP(2,1/('Gold price'!E:E&lt;&gt;""),'Gold price'!E:E)</f>
        <v/>
      </c>
    </row>
    <row r="9" ht="12.75" customHeight="1" s="10">
      <c r="B9" s="9" t="inlineStr">
        <is>
          <t>STEP 2</t>
        </is>
      </c>
    </row>
    <row r="11" ht="12.75" customHeight="1" s="10">
      <c r="B11" s="9" t="inlineStr">
        <is>
          <t>Country</t>
        </is>
      </c>
      <c r="C11" s="9">
        <f>IFERROR(LEFT(Value!D1,FIND(":",Value!D1)-1),LEFT(Value!D1,FIND(" ",Value!D1)-1))</f>
        <v/>
      </c>
      <c r="D11" s="9">
        <f>IFERROR(LEFT(Value!F1,FIND(":",Value!F1)-1),LEFT(Value!F1,FIND(" ",Value!F1)-1))</f>
        <v/>
      </c>
      <c r="E11" s="9">
        <f>IFERROR(LEFT(Value!J1,FIND(":",Value!J1)-1),LEFT(Value!J1,FIND(" ",Value!J1)-1))</f>
        <v/>
      </c>
      <c r="F11" s="9">
        <f>IFERROR(LEFT(Value!L1,FIND(":",Value!L1)-1),LEFT(Value!L1,FIND(" ",Value!L1)-1))</f>
        <v/>
      </c>
      <c r="G11" s="9">
        <f>IFERROR(LEFT(Value!M1,FIND(":",Value!M1)-1),LEFT(Value!M1,FIND(" ",Value!M1)-1))</f>
        <v/>
      </c>
      <c r="H11" s="9">
        <f>IFERROR(LEFT(Value!N1,FIND(":",Value!N1)-1),LEFT(Value!N1,FIND(" ",Value!N1)-1))</f>
        <v/>
      </c>
      <c r="I11" s="9">
        <f>IFERROR(LEFT(Value!O1,FIND(":",Value!O1)-1),LEFT(Value!O1,FIND(" ",Value!O1)-1))</f>
        <v/>
      </c>
      <c r="J11" s="9">
        <f>IFERROR(LEFT(Value!Q1,FIND(":",Value!Q1)-1),LEFT(Value!Q1,FIND(" ",Value!Q1)-1))</f>
        <v/>
      </c>
      <c r="K11" s="9">
        <f>IFERROR(LEFT(Volume!G1,FIND(":",Volume!G1)-1),LEFT(Volume!G1,FIND(" ",Volume!G1)-1))</f>
        <v/>
      </c>
      <c r="L11" s="9">
        <f>IFERROR(LEFT(Volume!H1,FIND(":",Volume!H1)-1),LEFT(Volume!H1,FIND(" ",Volume!H1)-1))</f>
        <v/>
      </c>
    </row>
    <row r="12" ht="23.85" customHeight="1" s="10">
      <c r="B12" s="11" t="inlineStr">
        <is>
          <t>Gold reserves 
(in millions of USD)</t>
        </is>
      </c>
      <c r="C12" s="12">
        <f>Value!D18</f>
        <v/>
      </c>
      <c r="D12" s="13">
        <f>Value!F18</f>
        <v/>
      </c>
      <c r="E12" s="14">
        <f>Value!J18</f>
        <v/>
      </c>
      <c r="F12" s="14">
        <f>Value!L18</f>
        <v/>
      </c>
      <c r="G12" s="14">
        <f>Value!M18</f>
        <v/>
      </c>
      <c r="H12" s="14">
        <f>Value!N18</f>
        <v/>
      </c>
      <c r="I12" s="14">
        <f>Value!O18</f>
        <v/>
      </c>
      <c r="J12" s="12">
        <f>Value!Q18</f>
        <v/>
      </c>
      <c r="K12" s="14">
        <f>Volume!G18*AVERAGE('Gold price'!$B$422:$B$430)</f>
        <v/>
      </c>
      <c r="L12" s="9">
        <f>Volume!H18*AVERAGE('Gold price'!$B$422:$B$430)</f>
        <v/>
      </c>
    </row>
    <row r="13" ht="12.75" customHeight="1" s="10">
      <c r="B13" s="9" t="inlineStr">
        <is>
          <t>Gold valuation exposure (95% one-sided shock)</t>
        </is>
      </c>
      <c r="C13" s="9">
        <f>IF(C12&lt;&gt;"",C12*$C$3*$C$4/100,"")</f>
        <v/>
      </c>
      <c r="D13" s="9">
        <f>IF(D12&lt;&gt;"",D12*$C$3*$C$4/100,"")</f>
        <v/>
      </c>
      <c r="E13" s="9">
        <f>IF(E12&lt;&gt;"",E12*$C$3*$C$4/100,"")</f>
        <v/>
      </c>
      <c r="F13" s="9">
        <f>IF(F12&lt;&gt;"",F12*$C$3*$C$4/100,"")</f>
        <v/>
      </c>
      <c r="G13" s="9">
        <f>IF(G12&lt;&gt;"",G12*$C$3*$C$4/100,"")</f>
        <v/>
      </c>
      <c r="H13" s="9">
        <f>IF(H12&lt;&gt;"",H12*$C$3*$C$4/100,"")</f>
        <v/>
      </c>
      <c r="I13" s="9">
        <f>IF(I12&lt;&gt;"",I12*$C$3*$C$4/100,"")</f>
        <v/>
      </c>
      <c r="J13" s="9">
        <f>IF(J12&lt;&gt;"",J12*$C$3*$C$4/100,"")</f>
        <v/>
      </c>
      <c r="K13" s="9">
        <f>IF(K12&lt;&gt;"",K12*$C$3*$C$4/100,"")</f>
        <v/>
      </c>
      <c r="L13" s="9">
        <f>IF(L12&lt;&gt;"",L12*$C$3*$C$4/100,"")</f>
        <v/>
      </c>
    </row>
    <row r="16" ht="12.75" customHeight="1" s="10">
      <c r="B16" s="9" t="inlineStr">
        <is>
          <t>STEP 3</t>
        </is>
      </c>
    </row>
    <row r="20" ht="12.75" customHeight="1" s="10">
      <c r="B20" s="9" t="inlineStr">
        <is>
          <t>Country</t>
        </is>
      </c>
      <c r="C20" s="9">
        <f>C11</f>
        <v/>
      </c>
      <c r="D20" s="9">
        <f>D11</f>
        <v/>
      </c>
      <c r="E20" s="9">
        <f>E11</f>
        <v/>
      </c>
      <c r="F20" s="9">
        <f>G11</f>
        <v/>
      </c>
      <c r="G20" s="9">
        <f>I11</f>
        <v/>
      </c>
      <c r="H20" s="9">
        <f>J11</f>
        <v/>
      </c>
    </row>
    <row r="21" ht="23.85" customHeight="1" s="10">
      <c r="B21" s="11" t="inlineStr">
        <is>
          <t>Gold reserves 
(in millions of USD)</t>
        </is>
      </c>
      <c r="C21" s="12">
        <f>C12</f>
        <v/>
      </c>
      <c r="D21" s="13">
        <f>D12</f>
        <v/>
      </c>
      <c r="E21" s="14">
        <f>E12</f>
        <v/>
      </c>
      <c r="F21" s="14">
        <f>G12</f>
        <v/>
      </c>
      <c r="G21" s="14">
        <f>I12</f>
        <v/>
      </c>
      <c r="H21" s="12">
        <f>J12</f>
        <v/>
      </c>
    </row>
    <row r="22" ht="12.75" customHeight="1" s="10">
      <c r="B22" s="9" t="inlineStr">
        <is>
          <t>Gold valuation exposure (95% one-sided shock)</t>
        </is>
      </c>
      <c r="C22" s="9">
        <f>C13</f>
        <v/>
      </c>
      <c r="D22" s="9">
        <f>D13</f>
        <v/>
      </c>
      <c r="E22" s="9">
        <f>E13</f>
        <v/>
      </c>
      <c r="F22" s="9">
        <f>G13</f>
        <v/>
      </c>
      <c r="G22" s="9">
        <f>I13</f>
        <v/>
      </c>
      <c r="H22" s="9">
        <f>J13</f>
        <v/>
      </c>
    </row>
    <row r="23" ht="12.75" customHeight="1" s="10">
      <c r="B23" s="9" t="inlineStr">
        <is>
          <t>Total Reserve</t>
        </is>
      </c>
      <c r="C23" s="9">
        <f>INDEX('Total Reserves'!$C$18:$P$18,MATCH("*"&amp;C20&amp;"*",'Total Reserves'!$C$1:$P$1,0))</f>
        <v/>
      </c>
      <c r="D23" s="9">
        <f>INDEX('Total Reserves'!$C$18:$P$18,MATCH("*"&amp;D20&amp;"*",'Total Reserves'!$C$1:$P$1,0))</f>
        <v/>
      </c>
      <c r="E23" s="9">
        <f>INDEX('Total Reserves'!$C$18:$P$18,MATCH("*"&amp;E20&amp;"*",'Total Reserves'!$C$1:$P$1,0))</f>
        <v/>
      </c>
      <c r="F23" s="9">
        <f>INDEX('Total Reserves'!$C$18:$P$18,MATCH("*"&amp;F20&amp;"*",'Total Reserves'!$C$1:$P$1,0))</f>
        <v/>
      </c>
      <c r="G23" s="9">
        <f>INDEX('Total Reserves'!$C$18:$P$18,MATCH("*"&amp;G20&amp;"*",'Total Reserves'!$C$1:$P$1,0))</f>
        <v/>
      </c>
      <c r="H23" s="9">
        <f>INDEX('Total Reserves'!$C$18:$P$18,MATCH("*"&amp;H20&amp;"*",'Total Reserves'!$C$1:$P$1,0))</f>
        <v/>
      </c>
    </row>
    <row r="24" ht="12.75" customHeight="1" s="10">
      <c r="B24" s="9" t="inlineStr">
        <is>
          <t>RaR(in percent of total reserves)</t>
        </is>
      </c>
      <c r="C24" s="9">
        <f>IF(C23&lt;&gt;"",C22/C23,"")</f>
        <v/>
      </c>
      <c r="D24" s="9">
        <f>IF(D23&lt;&gt;"",D22/D23,"")</f>
        <v/>
      </c>
      <c r="E24" s="9">
        <f>IF(E23&lt;&gt;"",E22/E23,"")</f>
        <v/>
      </c>
      <c r="F24" s="9">
        <f>IF(F23&lt;&gt;"",F22/F23,"")</f>
        <v/>
      </c>
      <c r="G24" s="9">
        <f>IF(G23&lt;&gt;"",G22/G23,"")</f>
        <v/>
      </c>
      <c r="H24" s="9">
        <f>IF(H23&lt;&gt;"",H22/H23,"")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430"/>
  <sheetViews>
    <sheetView showFormulas="0" showGridLines="1" showRowColHeaders="1" showZeros="1" rightToLeft="0" tabSelected="0" showOutlineSymbols="1" defaultGridColor="1" view="normal" topLeftCell="A64" colorId="64" zoomScale="100" zoomScaleNormal="100" zoomScalePageLayoutView="100" workbookViewId="0">
      <selection pane="topLeft" activeCell="H23" activeCellId="0" sqref="H23"/>
    </sheetView>
  </sheetViews>
  <sheetFormatPr baseColWidth="8" defaultColWidth="9.1640625" defaultRowHeight="15" zeroHeight="0" outlineLevelRow="0"/>
  <cols>
    <col width="9.16" customWidth="1" style="15" min="1" max="16384"/>
  </cols>
  <sheetData>
    <row r="1" ht="15" customHeight="1" s="10">
      <c r="B1" s="15" t="inlineStr">
        <is>
          <t>Gold, Fixing Committee of the London Bullion Market Association, London 3 PM fixed price, US$ per troy ounce</t>
        </is>
      </c>
      <c r="C1" s="15" t="inlineStr">
        <is>
          <t>Monthly log return</t>
        </is>
      </c>
      <c r="D1" s="15" t="inlineStr">
        <is>
          <t>3-month volatility</t>
        </is>
      </c>
      <c r="E1" s="15" t="inlineStr">
        <is>
          <t>12-month volatility</t>
        </is>
      </c>
    </row>
    <row r="2" ht="15" customHeight="1" s="10">
      <c r="A2" s="15" t="inlineStr">
        <is>
          <t>1990M1</t>
        </is>
      </c>
      <c r="B2" s="15" t="n">
        <v>409.819061279297</v>
      </c>
    </row>
    <row r="3" ht="15" customHeight="1" s="10">
      <c r="A3" s="15" t="inlineStr">
        <is>
          <t>1990M2</t>
        </is>
      </c>
      <c r="B3" s="15" t="n">
        <v>417.181060791016</v>
      </c>
      <c r="C3" s="15">
        <f>IF(AND(B3&lt;&gt;"",B2&lt;&gt;""),LN(B3/B2)*100,"")</f>
        <v/>
      </c>
    </row>
    <row r="4" ht="15" customHeight="1" s="10">
      <c r="A4" s="15" t="inlineStr">
        <is>
          <t>1990M3</t>
        </is>
      </c>
      <c r="B4" s="15" t="n">
        <v>392.703338623047</v>
      </c>
      <c r="C4" s="15">
        <f>IF(AND(B4&lt;&gt;"",B3&lt;&gt;""),LN(B4/B3)*100,"")</f>
        <v/>
      </c>
    </row>
    <row r="5" ht="15" customHeight="1" s="10">
      <c r="A5" s="15" t="inlineStr">
        <is>
          <t>1990M4</t>
        </is>
      </c>
      <c r="B5" s="15" t="n">
        <v>374.292114257813</v>
      </c>
      <c r="C5" s="15">
        <f>IF(AND(B5&lt;&gt;"",B4&lt;&gt;""),LN(B5/B4)*100,"")</f>
        <v/>
      </c>
      <c r="D5" s="15">
        <f>IF(COUNT(C3:C5)=3,stdev.s(C3:C5),"")</f>
        <v/>
      </c>
    </row>
    <row r="6" ht="15" customHeight="1" s="10">
      <c r="A6" s="15" t="inlineStr">
        <is>
          <t>1990M5</t>
        </is>
      </c>
      <c r="B6" s="15" t="n">
        <v>369.197631835938</v>
      </c>
      <c r="C6" s="15">
        <f>IF(AND(B6&lt;&gt;"",B5&lt;&gt;""),LN(B6/B5)*100,"")</f>
        <v/>
      </c>
      <c r="D6" s="15">
        <f>IF(COUNT(C4:C6)=3,stdev.s(C4:C6),"")</f>
        <v/>
      </c>
    </row>
    <row r="7" ht="15" customHeight="1" s="10">
      <c r="A7" s="15" t="inlineStr">
        <is>
          <t>1990M6</t>
        </is>
      </c>
      <c r="B7" s="15" t="n">
        <v>352.527618408203</v>
      </c>
      <c r="C7" s="15">
        <f>IF(AND(B7&lt;&gt;"",B6&lt;&gt;""),LN(B7/B6)*100,"")</f>
        <v/>
      </c>
      <c r="D7" s="15">
        <f>IF(COUNT(C5:C7)=3,stdev.s(C5:C7),"")</f>
        <v/>
      </c>
    </row>
    <row r="8" ht="15" customHeight="1" s="10">
      <c r="A8" s="15" t="inlineStr">
        <is>
          <t>1990M7</t>
        </is>
      </c>
      <c r="B8" s="15" t="n">
        <v>362.498565673828</v>
      </c>
      <c r="C8" s="15">
        <f>IF(AND(B8&lt;&gt;"",B7&lt;&gt;""),LN(B8/B7)*100,"")</f>
        <v/>
      </c>
      <c r="D8" s="15">
        <f>IF(COUNT(C6:C8)=3,stdev.s(C6:C8),"")</f>
        <v/>
      </c>
    </row>
    <row r="9" ht="15" customHeight="1" s="10">
      <c r="A9" s="15" t="inlineStr">
        <is>
          <t>1990M8</t>
        </is>
      </c>
      <c r="B9" s="15" t="n">
        <v>394.631805419922</v>
      </c>
      <c r="C9" s="15">
        <f>IF(AND(B9&lt;&gt;"",B8&lt;&gt;""),LN(B9/B8)*100,"")</f>
        <v/>
      </c>
      <c r="D9" s="15">
        <f>IF(COUNT(C7:C9)=3,stdev.s(C7:C9),"")</f>
        <v/>
      </c>
    </row>
    <row r="10" ht="15" customHeight="1" s="10">
      <c r="A10" s="15" t="inlineStr">
        <is>
          <t>1990M9</t>
        </is>
      </c>
      <c r="B10" s="15" t="n">
        <v>389.755004882813</v>
      </c>
      <c r="C10" s="15">
        <f>IF(AND(B10&lt;&gt;"",B9&lt;&gt;""),LN(B10/B9)*100,"")</f>
        <v/>
      </c>
      <c r="D10" s="15">
        <f>IF(COUNT(C8:C10)=3,stdev.s(C8:C10),"")</f>
        <v/>
      </c>
    </row>
    <row r="11" ht="15" customHeight="1" s="10">
      <c r="A11" s="15" t="inlineStr">
        <is>
          <t>1990M10</t>
        </is>
      </c>
      <c r="B11" s="15" t="n">
        <v>380.995208740234</v>
      </c>
      <c r="C11" s="15">
        <f>IF(AND(B11&lt;&gt;"",B10&lt;&gt;""),LN(B11/B10)*100,"")</f>
        <v/>
      </c>
      <c r="D11" s="15">
        <f>IF(COUNT(C9:C11)=3,stdev.s(C9:C11),"")</f>
        <v/>
      </c>
    </row>
    <row r="12" ht="15" customHeight="1" s="10">
      <c r="A12" s="15" t="inlineStr">
        <is>
          <t>1990M11</t>
        </is>
      </c>
      <c r="B12" s="15" t="n">
        <v>381.794097900391</v>
      </c>
      <c r="C12" s="15">
        <f>IF(AND(B12&lt;&gt;"",B11&lt;&gt;""),LN(B12/B11)*100,"")</f>
        <v/>
      </c>
      <c r="D12" s="15">
        <f>IF(COUNT(C10:C12)=3,stdev.s(C10:C12),"")</f>
        <v/>
      </c>
    </row>
    <row r="13" ht="15" customHeight="1" s="10">
      <c r="A13" s="15" t="inlineStr">
        <is>
          <t>1990M12</t>
        </is>
      </c>
      <c r="B13" s="15" t="n">
        <v>376.682342529297</v>
      </c>
      <c r="C13" s="15">
        <f>IF(AND(B13&lt;&gt;"",B12&lt;&gt;""),LN(B13/B12)*100,"")</f>
        <v/>
      </c>
      <c r="D13" s="15">
        <f>IF(COUNT(C11:C13)=3,stdev.s(C11:C13),"")</f>
        <v/>
      </c>
    </row>
    <row r="14" ht="15" customHeight="1" s="10">
      <c r="A14" s="15" t="inlineStr">
        <is>
          <t>1991M1</t>
        </is>
      </c>
      <c r="B14" s="15" t="n">
        <v>383.702270507813</v>
      </c>
      <c r="C14" s="15">
        <f>IF(AND(B14&lt;&gt;"",B13&lt;&gt;""),LN(B14/B13)*100,"")</f>
        <v/>
      </c>
      <c r="D14" s="15">
        <f>IF(COUNT(C12:C14)=3,stdev.s(C12:C14),"")</f>
        <v/>
      </c>
      <c r="E14" s="15">
        <f>IF(COUNT(C3:C14)=12,stdev.s(C3:C14),"")</f>
        <v/>
      </c>
    </row>
    <row r="15" ht="15" customHeight="1" s="10">
      <c r="A15" s="15" t="inlineStr">
        <is>
          <t>1991M2</t>
        </is>
      </c>
      <c r="B15" s="15" t="n">
        <v>364.391662597656</v>
      </c>
      <c r="C15" s="15">
        <f>IF(AND(B15&lt;&gt;"",B14&lt;&gt;""),LN(B15/B14)*100,"")</f>
        <v/>
      </c>
      <c r="D15" s="15">
        <f>IF(COUNT(C13:C15)=3,stdev.s(C13:C15),"")</f>
        <v/>
      </c>
      <c r="E15" s="15">
        <f>IF(COUNT(C4:C15)=12,stdev.s(C4:C15),"")</f>
        <v/>
      </c>
    </row>
    <row r="16" ht="15" customHeight="1" s="10">
      <c r="A16" s="15" t="inlineStr">
        <is>
          <t>1991M3</t>
        </is>
      </c>
      <c r="B16" s="15" t="n">
        <v>362.760803222656</v>
      </c>
      <c r="C16" s="15">
        <f>IF(AND(B16&lt;&gt;"",B15&lt;&gt;""),LN(B16/B15)*100,"")</f>
        <v/>
      </c>
      <c r="D16" s="15">
        <f>IF(COUNT(C14:C16)=3,stdev.s(C14:C16),"")</f>
        <v/>
      </c>
      <c r="E16" s="15">
        <f>IF(COUNT(C5:C16)=12,stdev.s(C5:C16),"")</f>
        <v/>
      </c>
    </row>
    <row r="17" ht="15" customHeight="1" s="10">
      <c r="A17" s="15" t="inlineStr">
        <is>
          <t>1991M4</t>
        </is>
      </c>
      <c r="B17" s="15" t="n">
        <v>358.323333740234</v>
      </c>
      <c r="C17" s="15">
        <f>IF(AND(B17&lt;&gt;"",B16&lt;&gt;""),LN(B17/B16)*100,"")</f>
        <v/>
      </c>
      <c r="D17" s="15">
        <f>IF(COUNT(C15:C17)=3,stdev.s(C15:C17),"")</f>
        <v/>
      </c>
      <c r="E17" s="15">
        <f>IF(COUNT(C6:C17)=12,stdev.s(C6:C17),"")</f>
        <v/>
      </c>
    </row>
    <row r="18" ht="15" customHeight="1" s="10">
      <c r="A18" s="15" t="inlineStr">
        <is>
          <t>1991M5</t>
        </is>
      </c>
      <c r="B18" s="15" t="n">
        <v>356.964294433594</v>
      </c>
      <c r="C18" s="15">
        <f>IF(AND(B18&lt;&gt;"",B17&lt;&gt;""),LN(B18/B17)*100,"")</f>
        <v/>
      </c>
      <c r="D18" s="15">
        <f>IF(COUNT(C16:C18)=3,stdev.s(C16:C18),"")</f>
        <v/>
      </c>
      <c r="E18" s="15">
        <f>IF(COUNT(C7:C18)=12,stdev.s(C7:C18),"")</f>
        <v/>
      </c>
    </row>
    <row r="19" ht="15" customHeight="1" s="10">
      <c r="A19" s="15" t="inlineStr">
        <is>
          <t>1991M6</t>
        </is>
      </c>
      <c r="B19" s="15" t="n">
        <v>366.910003662109</v>
      </c>
      <c r="C19" s="15">
        <f>IF(AND(B19&lt;&gt;"",B18&lt;&gt;""),LN(B19/B18)*100,"")</f>
        <v/>
      </c>
      <c r="D19" s="15">
        <f>IF(COUNT(C17:C19)=3,stdev.s(C17:C19),"")</f>
        <v/>
      </c>
      <c r="E19" s="15">
        <f>IF(COUNT(C8:C19)=12,stdev.s(C8:C19),"")</f>
        <v/>
      </c>
    </row>
    <row r="20" ht="15" customHeight="1" s="10">
      <c r="A20" s="15" t="inlineStr">
        <is>
          <t>1991M7</t>
        </is>
      </c>
      <c r="B20" s="15" t="n">
        <v>367.792266845703</v>
      </c>
      <c r="C20" s="15">
        <f>IF(AND(B20&lt;&gt;"",B19&lt;&gt;""),LN(B20/B19)*100,"")</f>
        <v/>
      </c>
      <c r="D20" s="15">
        <f>IF(COUNT(C18:C20)=3,stdev.s(C18:C20),"")</f>
        <v/>
      </c>
      <c r="E20" s="15">
        <f>IF(COUNT(C9:C20)=12,stdev.s(C9:C20),"")</f>
        <v/>
      </c>
    </row>
    <row r="21" ht="15" customHeight="1" s="10">
      <c r="A21" s="15" t="inlineStr">
        <is>
          <t>1991M8</t>
        </is>
      </c>
      <c r="B21" s="15" t="n">
        <v>356.669525146484</v>
      </c>
      <c r="C21" s="15">
        <f>IF(AND(B21&lt;&gt;"",B20&lt;&gt;""),LN(B21/B20)*100,"")</f>
        <v/>
      </c>
      <c r="D21" s="15">
        <f>IF(COUNT(C19:C21)=3,stdev.s(C19:C21),"")</f>
        <v/>
      </c>
      <c r="E21" s="15">
        <f>IF(COUNT(C10:C21)=12,stdev.s(C10:C21),"")</f>
        <v/>
      </c>
    </row>
    <row r="22" ht="15" customHeight="1" s="10">
      <c r="A22" s="15" t="inlineStr">
        <is>
          <t>1991M9</t>
        </is>
      </c>
      <c r="B22" s="15" t="n">
        <v>348.742858886719</v>
      </c>
      <c r="C22" s="15">
        <f>IF(AND(B22&lt;&gt;"",B21&lt;&gt;""),LN(B22/B21)*100,"")</f>
        <v/>
      </c>
      <c r="D22" s="15">
        <f>IF(COUNT(C20:C22)=3,stdev.s(C20:C22),"")</f>
        <v/>
      </c>
      <c r="E22" s="15">
        <f>IF(COUNT(C11:C22)=12,stdev.s(C11:C22),"")</f>
        <v/>
      </c>
    </row>
    <row r="23" ht="15" customHeight="1" s="10">
      <c r="A23" s="15" t="inlineStr">
        <is>
          <t>1991M10</t>
        </is>
      </c>
      <c r="B23" s="15" t="n">
        <v>358.814361572266</v>
      </c>
      <c r="C23" s="15">
        <f>IF(AND(B23&lt;&gt;"",B22&lt;&gt;""),LN(B23/B22)*100,"")</f>
        <v/>
      </c>
      <c r="D23" s="15">
        <f>IF(COUNT(C21:C23)=3,stdev.s(C21:C23),"")</f>
        <v/>
      </c>
      <c r="E23" s="15">
        <f>IF(COUNT(C12:C23)=12,stdev.s(C12:C23),"")</f>
        <v/>
      </c>
    </row>
    <row r="24" ht="15" customHeight="1" s="10">
      <c r="A24" s="15" t="inlineStr">
        <is>
          <t>1991M11</t>
        </is>
      </c>
      <c r="B24" s="15" t="n">
        <v>359.589996337891</v>
      </c>
      <c r="C24" s="15">
        <f>IF(AND(B24&lt;&gt;"",B23&lt;&gt;""),LN(B24/B23)*100,"")</f>
        <v/>
      </c>
      <c r="D24" s="15">
        <f>IF(COUNT(C22:C24)=3,stdev.s(C22:C24),"")</f>
        <v/>
      </c>
      <c r="E24" s="15">
        <f>IF(COUNT(C13:C24)=12,stdev.s(C13:C24),"")</f>
        <v/>
      </c>
    </row>
    <row r="25" ht="15" customHeight="1" s="10">
      <c r="A25" s="15" t="inlineStr">
        <is>
          <t>1991M12</t>
        </is>
      </c>
      <c r="B25" s="15" t="n">
        <v>361.532012939453</v>
      </c>
      <c r="C25" s="15">
        <f>IF(AND(B25&lt;&gt;"",B24&lt;&gt;""),LN(B25/B24)*100,"")</f>
        <v/>
      </c>
      <c r="D25" s="15">
        <f>IF(COUNT(C23:C25)=3,stdev.s(C23:C25),"")</f>
        <v/>
      </c>
      <c r="E25" s="15">
        <f>IF(COUNT(C14:C25)=12,stdev.s(C14:C25),"")</f>
        <v/>
      </c>
    </row>
    <row r="26" ht="15" customHeight="1" s="10">
      <c r="A26" s="15" t="inlineStr">
        <is>
          <t>1992M1</t>
        </is>
      </c>
      <c r="B26" s="15" t="n">
        <v>354.700958251953</v>
      </c>
      <c r="C26" s="15">
        <f>IF(AND(B26&lt;&gt;"",B25&lt;&gt;""),LN(B26/B25)*100,"")</f>
        <v/>
      </c>
      <c r="D26" s="15">
        <f>IF(COUNT(C24:C26)=3,stdev.s(C24:C26),"")</f>
        <v/>
      </c>
      <c r="E26" s="15">
        <f>IF(COUNT(C15:C26)=12,stdev.s(C15:C26),"")</f>
        <v/>
      </c>
    </row>
    <row r="27" ht="15" customHeight="1" s="10">
      <c r="A27" s="15" t="inlineStr">
        <is>
          <t>1992M2</t>
        </is>
      </c>
      <c r="B27" s="15" t="n">
        <v>353.779998779297</v>
      </c>
      <c r="C27" s="15">
        <f>IF(AND(B27&lt;&gt;"",B26&lt;&gt;""),LN(B27/B26)*100,"")</f>
        <v/>
      </c>
      <c r="D27" s="15">
        <f>IF(COUNT(C25:C27)=3,stdev.s(C25:C27),"")</f>
        <v/>
      </c>
      <c r="E27" s="15">
        <f>IF(COUNT(C16:C27)=12,stdev.s(C16:C27),"")</f>
        <v/>
      </c>
    </row>
    <row r="28" ht="15" customHeight="1" s="10">
      <c r="A28" s="15" t="inlineStr">
        <is>
          <t>1992M3</t>
        </is>
      </c>
      <c r="B28" s="15" t="n">
        <v>344.183319091797</v>
      </c>
      <c r="C28" s="15">
        <f>IF(AND(B28&lt;&gt;"",B27&lt;&gt;""),LN(B28/B27)*100,"")</f>
        <v/>
      </c>
      <c r="D28" s="15">
        <f>IF(COUNT(C26:C28)=3,stdev.s(C26:C28),"")</f>
        <v/>
      </c>
      <c r="E28" s="15">
        <f>IF(COUNT(C17:C28)=12,stdev.s(C17:C28),"")</f>
        <v/>
      </c>
    </row>
    <row r="29" ht="15" customHeight="1" s="10">
      <c r="A29" s="15" t="inlineStr">
        <is>
          <t>1992M4</t>
        </is>
      </c>
      <c r="B29" s="15" t="n">
        <v>338.691589355469</v>
      </c>
      <c r="C29" s="15">
        <f>IF(AND(B29&lt;&gt;"",B28&lt;&gt;""),LN(B29/B28)*100,"")</f>
        <v/>
      </c>
      <c r="D29" s="15">
        <f>IF(COUNT(C27:C29)=3,stdev.s(C27:C29),"")</f>
        <v/>
      </c>
      <c r="E29" s="15">
        <f>IF(COUNT(C18:C29)=12,stdev.s(C18:C29),"")</f>
        <v/>
      </c>
    </row>
    <row r="30" ht="15" customHeight="1" s="10">
      <c r="A30" s="15" t="inlineStr">
        <is>
          <t>1992M5</t>
        </is>
      </c>
      <c r="B30" s="15" t="n">
        <v>337.098937988281</v>
      </c>
      <c r="C30" s="15">
        <f>IF(AND(B30&lt;&gt;"",B29&lt;&gt;""),LN(B30/B29)*100,"")</f>
        <v/>
      </c>
      <c r="D30" s="15">
        <f>IF(COUNT(C28:C30)=3,stdev.s(C28:C30),"")</f>
        <v/>
      </c>
      <c r="E30" s="15">
        <f>IF(COUNT(C19:C30)=12,stdev.s(C19:C30),"")</f>
        <v/>
      </c>
    </row>
    <row r="31" ht="15" customHeight="1" s="10">
      <c r="A31" s="15" t="inlineStr">
        <is>
          <t>1992M6</t>
        </is>
      </c>
      <c r="B31" s="15" t="n">
        <v>341.021911621094</v>
      </c>
      <c r="C31" s="15">
        <f>IF(AND(B31&lt;&gt;"",B30&lt;&gt;""),LN(B31/B30)*100,"")</f>
        <v/>
      </c>
      <c r="D31" s="15">
        <f>IF(COUNT(C29:C31)=3,stdev.s(C29:C31),"")</f>
        <v/>
      </c>
      <c r="E31" s="15">
        <f>IF(COUNT(C20:C31)=12,stdev.s(C20:C31),"")</f>
        <v/>
      </c>
    </row>
    <row r="32" ht="15" customHeight="1" s="10">
      <c r="A32" s="15" t="inlineStr">
        <is>
          <t>1992M7</t>
        </is>
      </c>
      <c r="B32" s="15" t="n">
        <v>352.254486083984</v>
      </c>
      <c r="C32" s="15">
        <f>IF(AND(B32&lt;&gt;"",B31&lt;&gt;""),LN(B32/B31)*100,"")</f>
        <v/>
      </c>
      <c r="D32" s="15">
        <f>IF(COUNT(C30:C32)=3,stdev.s(C30:C32),"")</f>
        <v/>
      </c>
      <c r="E32" s="15">
        <f>IF(COUNT(C21:C32)=12,stdev.s(C21:C32),"")</f>
        <v/>
      </c>
    </row>
    <row r="33" ht="15" customHeight="1" s="10">
      <c r="A33" s="15" t="inlineStr">
        <is>
          <t>1992M8</t>
        </is>
      </c>
      <c r="B33" s="15" t="n">
        <v>342.892852783203</v>
      </c>
      <c r="C33" s="15">
        <f>IF(AND(B33&lt;&gt;"",B32&lt;&gt;""),LN(B33/B32)*100,"")</f>
        <v/>
      </c>
      <c r="D33" s="15">
        <f>IF(COUNT(C31:C33)=3,stdev.s(C31:C33),"")</f>
        <v/>
      </c>
      <c r="E33" s="15">
        <f>IF(COUNT(C22:C33)=12,stdev.s(C22:C33),"")</f>
        <v/>
      </c>
    </row>
    <row r="34" ht="15" customHeight="1" s="10">
      <c r="A34" s="15" t="inlineStr">
        <is>
          <t>1992M9</t>
        </is>
      </c>
      <c r="B34" s="15" t="n">
        <v>345.006500244141</v>
      </c>
      <c r="C34" s="15">
        <f>IF(AND(B34&lt;&gt;"",B33&lt;&gt;""),LN(B34/B33)*100,"")</f>
        <v/>
      </c>
      <c r="D34" s="15">
        <f>IF(COUNT(C32:C34)=3,stdev.s(C32:C34),"")</f>
        <v/>
      </c>
      <c r="E34" s="15">
        <f>IF(COUNT(C23:C34)=12,stdev.s(C23:C34),"")</f>
        <v/>
      </c>
    </row>
    <row r="35" ht="15" customHeight="1" s="10">
      <c r="A35" s="15" t="inlineStr">
        <is>
          <t>1992M10</t>
        </is>
      </c>
      <c r="B35" s="15" t="n">
        <v>344.892395019531</v>
      </c>
      <c r="C35" s="15">
        <f>IF(AND(B35&lt;&gt;"",B34&lt;&gt;""),LN(B35/B34)*100,"")</f>
        <v/>
      </c>
      <c r="D35" s="15">
        <f>IF(COUNT(C33:C35)=3,stdev.s(C33:C35),"")</f>
        <v/>
      </c>
      <c r="E35" s="15">
        <f>IF(COUNT(C24:C35)=12,stdev.s(C24:C35),"")</f>
        <v/>
      </c>
    </row>
    <row r="36" ht="15" customHeight="1" s="10">
      <c r="A36" s="15" t="inlineStr">
        <is>
          <t>1992M11</t>
        </is>
      </c>
      <c r="B36" s="15" t="n">
        <v>335.050537109375</v>
      </c>
      <c r="C36" s="15">
        <f>IF(AND(B36&lt;&gt;"",B35&lt;&gt;""),LN(B36/B35)*100,"")</f>
        <v/>
      </c>
      <c r="D36" s="15">
        <f>IF(COUNT(C34:C36)=3,stdev.s(C34:C36),"")</f>
        <v/>
      </c>
      <c r="E36" s="15">
        <f>IF(COUNT(C25:C36)=12,stdev.s(C25:C36),"")</f>
        <v/>
      </c>
    </row>
    <row r="37" ht="15" customHeight="1" s="10">
      <c r="A37" s="15" t="inlineStr">
        <is>
          <t>1992M12</t>
        </is>
      </c>
      <c r="B37" s="15" t="n">
        <v>334.80712890625</v>
      </c>
      <c r="C37" s="15">
        <f>IF(AND(B37&lt;&gt;"",B36&lt;&gt;""),LN(B37/B36)*100,"")</f>
        <v/>
      </c>
      <c r="D37" s="15">
        <f>IF(COUNT(C35:C37)=3,stdev.s(C35:C37),"")</f>
        <v/>
      </c>
      <c r="E37" s="15">
        <f>IF(COUNT(C26:C37)=12,stdev.s(C26:C37),"")</f>
        <v/>
      </c>
    </row>
    <row r="38" ht="15" customHeight="1" s="10">
      <c r="A38" s="15" t="inlineStr">
        <is>
          <t>1993M1</t>
        </is>
      </c>
      <c r="B38" s="15" t="n">
        <v>329.030548095703</v>
      </c>
      <c r="C38" s="15">
        <f>IF(AND(B38&lt;&gt;"",B37&lt;&gt;""),LN(B38/B37)*100,"")</f>
        <v/>
      </c>
      <c r="D38" s="15">
        <f>IF(COUNT(C36:C38)=3,stdev.s(C36:C38),"")</f>
        <v/>
      </c>
      <c r="E38" s="15">
        <f>IF(COUNT(C27:C38)=12,stdev.s(C27:C38),"")</f>
        <v/>
      </c>
    </row>
    <row r="39" ht="15" customHeight="1" s="10">
      <c r="A39" s="15" t="inlineStr">
        <is>
          <t>1993M2</t>
        </is>
      </c>
      <c r="B39" s="15" t="n">
        <v>329.299987792969</v>
      </c>
      <c r="C39" s="15">
        <f>IF(AND(B39&lt;&gt;"",B38&lt;&gt;""),LN(B39/B38)*100,"")</f>
        <v/>
      </c>
      <c r="D39" s="15">
        <f>IF(COUNT(C37:C39)=3,stdev.s(C37:C39),"")</f>
        <v/>
      </c>
      <c r="E39" s="15">
        <f>IF(COUNT(C28:C39)=12,stdev.s(C28:C39),"")</f>
        <v/>
      </c>
    </row>
    <row r="40" ht="15" customHeight="1" s="10">
      <c r="A40" s="15" t="inlineStr">
        <is>
          <t>1993M3</t>
        </is>
      </c>
      <c r="B40" s="15" t="n">
        <v>330.096954345703</v>
      </c>
      <c r="C40" s="15">
        <f>IF(AND(B40&lt;&gt;"",B39&lt;&gt;""),LN(B40/B39)*100,"")</f>
        <v/>
      </c>
      <c r="D40" s="15">
        <f>IF(COUNT(C38:C40)=3,stdev.s(C38:C40),"")</f>
        <v/>
      </c>
      <c r="E40" s="15">
        <f>IF(COUNT(C29:C40)=12,stdev.s(C29:C40),"")</f>
        <v/>
      </c>
    </row>
    <row r="41" ht="15" customHeight="1" s="10">
      <c r="A41" s="15" t="inlineStr">
        <is>
          <t>1993M4</t>
        </is>
      </c>
      <c r="B41" s="15" t="n">
        <v>342.05712890625</v>
      </c>
      <c r="C41" s="15">
        <f>IF(AND(B41&lt;&gt;"",B40&lt;&gt;""),LN(B41/B40)*100,"")</f>
        <v/>
      </c>
      <c r="D41" s="15">
        <f>IF(COUNT(C39:C41)=3,stdev.s(C39:C41),"")</f>
        <v/>
      </c>
      <c r="E41" s="15">
        <f>IF(COUNT(C30:C41)=12,stdev.s(C30:C41),"")</f>
        <v/>
      </c>
    </row>
    <row r="42" ht="15" customHeight="1" s="10">
      <c r="A42" s="15" t="inlineStr">
        <is>
          <t>1993M5</t>
        </is>
      </c>
      <c r="B42" s="15" t="n">
        <v>366.667999267578</v>
      </c>
      <c r="C42" s="15">
        <f>IF(AND(B42&lt;&gt;"",B41&lt;&gt;""),LN(B42/B41)*100,"")</f>
        <v/>
      </c>
      <c r="D42" s="15">
        <f>IF(COUNT(C40:C42)=3,stdev.s(C40:C42),"")</f>
        <v/>
      </c>
      <c r="E42" s="15">
        <f>IF(COUNT(C31:C42)=12,stdev.s(C31:C42),"")</f>
        <v/>
      </c>
    </row>
    <row r="43" ht="15" customHeight="1" s="10">
      <c r="A43" s="15" t="inlineStr">
        <is>
          <t>1993M6</t>
        </is>
      </c>
      <c r="B43" s="15" t="n">
        <v>371.809997558594</v>
      </c>
      <c r="C43" s="15">
        <f>IF(AND(B43&lt;&gt;"",B42&lt;&gt;""),LN(B43/B42)*100,"")</f>
        <v/>
      </c>
      <c r="D43" s="15">
        <f>IF(COUNT(C41:C43)=3,stdev.s(C41:C43),"")</f>
        <v/>
      </c>
      <c r="E43" s="15">
        <f>IF(COUNT(C32:C43)=12,stdev.s(C32:C43),"")</f>
        <v/>
      </c>
    </row>
    <row r="44" ht="15" customHeight="1" s="10">
      <c r="A44" s="15" t="inlineStr">
        <is>
          <t>1993M7</t>
        </is>
      </c>
      <c r="B44" s="15" t="n">
        <v>392.399993896484</v>
      </c>
      <c r="C44" s="15">
        <f>IF(AND(B44&lt;&gt;"",B43&lt;&gt;""),LN(B44/B43)*100,"")</f>
        <v/>
      </c>
      <c r="D44" s="15">
        <f>IF(COUNT(C42:C44)=3,stdev.s(C42:C44),"")</f>
        <v/>
      </c>
      <c r="E44" s="15">
        <f>IF(COUNT(C33:C44)=12,stdev.s(C33:C44),"")</f>
        <v/>
      </c>
    </row>
    <row r="45" ht="15" customHeight="1" s="10">
      <c r="A45" s="15" t="inlineStr">
        <is>
          <t>1993M8</t>
        </is>
      </c>
      <c r="B45" s="15" t="n">
        <v>378.700012207031</v>
      </c>
      <c r="C45" s="15">
        <f>IF(AND(B45&lt;&gt;"",B44&lt;&gt;""),LN(B45/B44)*100,"")</f>
        <v/>
      </c>
      <c r="D45" s="15">
        <f>IF(COUNT(C43:C45)=3,stdev.s(C43:C45),"")</f>
        <v/>
      </c>
      <c r="E45" s="15">
        <f>IF(COUNT(C34:C45)=12,stdev.s(C34:C45),"")</f>
        <v/>
      </c>
    </row>
    <row r="46" ht="15" customHeight="1" s="10">
      <c r="A46" s="15" t="inlineStr">
        <is>
          <t>1993M9</t>
        </is>
      </c>
      <c r="B46" s="15" t="n">
        <v>354.399993896484</v>
      </c>
      <c r="C46" s="15">
        <f>IF(AND(B46&lt;&gt;"",B45&lt;&gt;""),LN(B46/B45)*100,"")</f>
        <v/>
      </c>
      <c r="D46" s="15">
        <f>IF(COUNT(C44:C46)=3,stdev.s(C44:C46),"")</f>
        <v/>
      </c>
      <c r="E46" s="15">
        <f>IF(COUNT(C35:C46)=12,stdev.s(C35:C46),"")</f>
        <v/>
      </c>
    </row>
    <row r="47" ht="15" customHeight="1" s="10">
      <c r="A47" s="15" t="inlineStr">
        <is>
          <t>1993M10</t>
        </is>
      </c>
      <c r="B47" s="15" t="n">
        <v>362.380004882813</v>
      </c>
      <c r="C47" s="15">
        <f>IF(AND(B47&lt;&gt;"",B46&lt;&gt;""),LN(B47/B46)*100,"")</f>
        <v/>
      </c>
      <c r="D47" s="15">
        <f>IF(COUNT(C45:C47)=3,stdev.s(C45:C47),"")</f>
        <v/>
      </c>
      <c r="E47" s="15">
        <f>IF(COUNT(C36:C47)=12,stdev.s(C36:C47),"")</f>
        <v/>
      </c>
    </row>
    <row r="48" ht="15" customHeight="1" s="10">
      <c r="A48" s="15" t="inlineStr">
        <is>
          <t>1993M11</t>
        </is>
      </c>
      <c r="B48" s="15" t="n">
        <v>374.167510986328</v>
      </c>
      <c r="C48" s="15">
        <f>IF(AND(B48&lt;&gt;"",B47&lt;&gt;""),LN(B48/B47)*100,"")</f>
        <v/>
      </c>
      <c r="D48" s="15">
        <f>IF(COUNT(C46:C48)=3,stdev.s(C46:C48),"")</f>
        <v/>
      </c>
      <c r="E48" s="15">
        <f>IF(COUNT(C37:C48)=12,stdev.s(C37:C48),"")</f>
        <v/>
      </c>
    </row>
    <row r="49" ht="15" customHeight="1" s="10">
      <c r="A49" s="15" t="inlineStr">
        <is>
          <t>1993M12</t>
        </is>
      </c>
      <c r="B49" s="15" t="n">
        <v>383.302001953125</v>
      </c>
      <c r="C49" s="15">
        <f>IF(AND(B49&lt;&gt;"",B48&lt;&gt;""),LN(B49/B48)*100,"")</f>
        <v/>
      </c>
      <c r="D49" s="15">
        <f>IF(COUNT(C47:C49)=3,stdev.s(C47:C49),"")</f>
        <v/>
      </c>
      <c r="E49" s="15">
        <f>IF(COUNT(C38:C49)=12,stdev.s(C38:C49),"")</f>
        <v/>
      </c>
    </row>
    <row r="50" ht="15" customHeight="1" s="10">
      <c r="A50" s="15" t="inlineStr">
        <is>
          <t>1994M1</t>
        </is>
      </c>
      <c r="B50" s="15" t="n">
        <v>387.077514648438</v>
      </c>
      <c r="C50" s="15">
        <f>IF(AND(B50&lt;&gt;"",B49&lt;&gt;""),LN(B50/B49)*100,"")</f>
        <v/>
      </c>
      <c r="D50" s="15">
        <f>IF(COUNT(C48:C50)=3,stdev.s(C48:C50),"")</f>
        <v/>
      </c>
      <c r="E50" s="15">
        <f>IF(COUNT(C39:C50)=12,stdev.s(C39:C50),"")</f>
        <v/>
      </c>
    </row>
    <row r="51" ht="15" customHeight="1" s="10">
      <c r="A51" s="15" t="inlineStr">
        <is>
          <t>1994M2</t>
        </is>
      </c>
      <c r="B51" s="15" t="n">
        <v>382.304992675781</v>
      </c>
      <c r="C51" s="15">
        <f>IF(AND(B51&lt;&gt;"",B50&lt;&gt;""),LN(B51/B50)*100,"")</f>
        <v/>
      </c>
      <c r="D51" s="15">
        <f>IF(COUNT(C49:C51)=3,stdev.s(C49:C51),"")</f>
        <v/>
      </c>
      <c r="E51" s="15">
        <f>IF(COUNT(C40:C51)=12,stdev.s(C40:C51),"")</f>
        <v/>
      </c>
    </row>
    <row r="52" ht="15" customHeight="1" s="10">
      <c r="A52" s="15" t="inlineStr">
        <is>
          <t>1994M3</t>
        </is>
      </c>
      <c r="B52" s="15" t="n">
        <v>383.877502441406</v>
      </c>
      <c r="C52" s="15">
        <f>IF(AND(B52&lt;&gt;"",B51&lt;&gt;""),LN(B52/B51)*100,"")</f>
        <v/>
      </c>
      <c r="D52" s="15">
        <f>IF(COUNT(C50:C52)=3,stdev.s(C50:C52),"")</f>
        <v/>
      </c>
      <c r="E52" s="15">
        <f>IF(COUNT(C41:C52)=12,stdev.s(C41:C52),"")</f>
        <v/>
      </c>
    </row>
    <row r="53" ht="15" customHeight="1" s="10">
      <c r="A53" s="15" t="inlineStr">
        <is>
          <t>1994M4</t>
        </is>
      </c>
      <c r="B53" s="15" t="n">
        <v>377.321044921875</v>
      </c>
      <c r="C53" s="15">
        <f>IF(AND(B53&lt;&gt;"",B52&lt;&gt;""),LN(B53/B52)*100,"")</f>
        <v/>
      </c>
      <c r="D53" s="15">
        <f>IF(COUNT(C51:C53)=3,stdev.s(C51:C53),"")</f>
        <v/>
      </c>
      <c r="E53" s="15">
        <f>IF(COUNT(C42:C53)=12,stdev.s(C42:C53),"")</f>
        <v/>
      </c>
    </row>
    <row r="54" ht="15" customHeight="1" s="10">
      <c r="A54" s="15" t="inlineStr">
        <is>
          <t>1994M5</t>
        </is>
      </c>
      <c r="B54" s="15" t="n">
        <v>381.589996337891</v>
      </c>
      <c r="C54" s="15">
        <f>IF(AND(B54&lt;&gt;"",B53&lt;&gt;""),LN(B54/B53)*100,"")</f>
        <v/>
      </c>
      <c r="D54" s="15">
        <f>IF(COUNT(C52:C54)=3,stdev.s(C52:C54),"")</f>
        <v/>
      </c>
      <c r="E54" s="15">
        <f>IF(COUNT(C43:C54)=12,stdev.s(C43:C54),"")</f>
        <v/>
      </c>
    </row>
    <row r="55" ht="15" customHeight="1" s="10">
      <c r="A55" s="15" t="inlineStr">
        <is>
          <t>1994M6</t>
        </is>
      </c>
      <c r="B55" s="15" t="n">
        <v>385.743194580078</v>
      </c>
      <c r="C55" s="15">
        <f>IF(AND(B55&lt;&gt;"",B54&lt;&gt;""),LN(B55/B54)*100,"")</f>
        <v/>
      </c>
      <c r="D55" s="15">
        <f>IF(COUNT(C53:C55)=3,stdev.s(C53:C55),"")</f>
        <v/>
      </c>
      <c r="E55" s="15">
        <f>IF(COUNT(C44:C55)=12,stdev.s(C44:C55),"")</f>
        <v/>
      </c>
    </row>
    <row r="56" ht="15" customHeight="1" s="10">
      <c r="A56" s="15" t="inlineStr">
        <is>
          <t>1994M7</t>
        </is>
      </c>
      <c r="B56" s="15" t="n">
        <v>385.399993896484</v>
      </c>
      <c r="C56" s="15">
        <f>IF(AND(B56&lt;&gt;"",B55&lt;&gt;""),LN(B56/B55)*100,"")</f>
        <v/>
      </c>
      <c r="D56" s="15">
        <f>IF(COUNT(C54:C56)=3,stdev.s(C54:C56),"")</f>
        <v/>
      </c>
      <c r="E56" s="15">
        <f>IF(COUNT(C45:C56)=12,stdev.s(C45:C56),"")</f>
        <v/>
      </c>
    </row>
    <row r="57" ht="15" customHeight="1" s="10">
      <c r="A57" s="15" t="inlineStr">
        <is>
          <t>1994M8</t>
        </is>
      </c>
      <c r="B57" s="15" t="n">
        <v>380.761352539063</v>
      </c>
      <c r="C57" s="15">
        <f>IF(AND(B57&lt;&gt;"",B56&lt;&gt;""),LN(B57/B56)*100,"")</f>
        <v/>
      </c>
      <c r="D57" s="15">
        <f>IF(COUNT(C55:C57)=3,stdev.s(C55:C57),"")</f>
        <v/>
      </c>
      <c r="E57" s="15">
        <f>IF(COUNT(C46:C57)=12,stdev.s(C46:C57),"")</f>
        <v/>
      </c>
    </row>
    <row r="58" ht="15" customHeight="1" s="10">
      <c r="A58" s="15" t="inlineStr">
        <is>
          <t>1994M9</t>
        </is>
      </c>
      <c r="B58" s="15" t="n">
        <v>391.928100585938</v>
      </c>
      <c r="C58" s="15">
        <f>IF(AND(B58&lt;&gt;"",B57&lt;&gt;""),LN(B58/B57)*100,"")</f>
        <v/>
      </c>
      <c r="D58" s="15">
        <f>IF(COUNT(C56:C58)=3,stdev.s(C56:C58),"")</f>
        <v/>
      </c>
      <c r="E58" s="15">
        <f>IF(COUNT(C47:C58)=12,stdev.s(C47:C58),"")</f>
        <v/>
      </c>
    </row>
    <row r="59" ht="15" customHeight="1" s="10">
      <c r="A59" s="15" t="inlineStr">
        <is>
          <t>1994M10</t>
        </is>
      </c>
      <c r="B59" s="15" t="n">
        <v>389.594451904297</v>
      </c>
      <c r="C59" s="15">
        <f>IF(AND(B59&lt;&gt;"",B58&lt;&gt;""),LN(B59/B58)*100,"")</f>
        <v/>
      </c>
      <c r="D59" s="15">
        <f>IF(COUNT(C57:C59)=3,stdev.s(C57:C59),"")</f>
        <v/>
      </c>
      <c r="E59" s="15">
        <f>IF(COUNT(C48:C59)=12,stdev.s(C48:C59),"")</f>
        <v/>
      </c>
    </row>
    <row r="60" ht="15" customHeight="1" s="10">
      <c r="A60" s="15" t="inlineStr">
        <is>
          <t>1994M11</t>
        </is>
      </c>
      <c r="B60" s="15" t="n">
        <v>384.441253662109</v>
      </c>
      <c r="C60" s="15">
        <f>IF(AND(B60&lt;&gt;"",B59&lt;&gt;""),LN(B60/B59)*100,"")</f>
        <v/>
      </c>
      <c r="D60" s="15">
        <f>IF(COUNT(C58:C60)=3,stdev.s(C58:C60),"")</f>
        <v/>
      </c>
      <c r="E60" s="15">
        <f>IF(COUNT(C49:C60)=12,stdev.s(C49:C60),"")</f>
        <v/>
      </c>
    </row>
    <row r="61" ht="15" customHeight="1" s="10">
      <c r="A61" s="15" t="inlineStr">
        <is>
          <t>1994M12</t>
        </is>
      </c>
      <c r="B61" s="15" t="n">
        <v>379.399993896484</v>
      </c>
      <c r="C61" s="15">
        <f>IF(AND(B61&lt;&gt;"",B60&lt;&gt;""),LN(B61/B60)*100,"")</f>
        <v/>
      </c>
      <c r="D61" s="15">
        <f>IF(COUNT(C59:C61)=3,stdev.s(C59:C61),"")</f>
        <v/>
      </c>
      <c r="E61" s="15">
        <f>IF(COUNT(C50:C61)=12,stdev.s(C50:C61),"")</f>
        <v/>
      </c>
    </row>
    <row r="62" ht="15" customHeight="1" s="10">
      <c r="A62" s="15" t="inlineStr">
        <is>
          <t>1995M1</t>
        </is>
      </c>
      <c r="B62" s="15" t="n">
        <v>378.549987792969</v>
      </c>
      <c r="C62" s="15">
        <f>IF(AND(B62&lt;&gt;"",B61&lt;&gt;""),LN(B62/B61)*100,"")</f>
        <v/>
      </c>
      <c r="D62" s="15">
        <f>IF(COUNT(C60:C62)=3,stdev.s(C60:C62),"")</f>
        <v/>
      </c>
      <c r="E62" s="15">
        <f>IF(COUNT(C51:C62)=12,stdev.s(C51:C62),"")</f>
        <v/>
      </c>
    </row>
    <row r="63" ht="15" customHeight="1" s="10">
      <c r="A63" s="15" t="inlineStr">
        <is>
          <t>1995M2</t>
        </is>
      </c>
      <c r="B63" s="15" t="n">
        <v>376.505249023438</v>
      </c>
      <c r="C63" s="15">
        <f>IF(AND(B63&lt;&gt;"",B62&lt;&gt;""),LN(B63/B62)*100,"")</f>
        <v/>
      </c>
      <c r="D63" s="15">
        <f>IF(COUNT(C61:C63)=3,stdev.s(C61:C63),"")</f>
        <v/>
      </c>
      <c r="E63" s="15">
        <f>IF(COUNT(C52:C63)=12,stdev.s(C52:C63),"")</f>
        <v/>
      </c>
    </row>
    <row r="64" ht="15" customHeight="1" s="10">
      <c r="A64" s="15" t="inlineStr">
        <is>
          <t>1995M3</t>
        </is>
      </c>
      <c r="B64" s="15" t="n">
        <v>381.661895751953</v>
      </c>
      <c r="C64" s="15">
        <f>IF(AND(B64&lt;&gt;"",B63&lt;&gt;""),LN(B64/B63)*100,"")</f>
        <v/>
      </c>
      <c r="D64" s="15">
        <f>IF(COUNT(C62:C64)=3,stdev.s(C62:C64),"")</f>
        <v/>
      </c>
      <c r="E64" s="15">
        <f>IF(COUNT(C53:C64)=12,stdev.s(C53:C64),"")</f>
        <v/>
      </c>
    </row>
    <row r="65" ht="15" customHeight="1" s="10">
      <c r="A65" s="15" t="inlineStr">
        <is>
          <t>1995M4</t>
        </is>
      </c>
      <c r="B65" s="15" t="n">
        <v>391.04443359375</v>
      </c>
      <c r="C65" s="15">
        <f>IF(AND(B65&lt;&gt;"",B64&lt;&gt;""),LN(B65/B64)*100,"")</f>
        <v/>
      </c>
      <c r="D65" s="15">
        <f>IF(COUNT(C63:C65)=3,stdev.s(C63:C65),"")</f>
        <v/>
      </c>
      <c r="E65" s="15">
        <f>IF(COUNT(C54:C65)=12,stdev.s(C54:C65),"")</f>
        <v/>
      </c>
    </row>
    <row r="66" ht="15" customHeight="1" s="10">
      <c r="A66" s="15" t="inlineStr">
        <is>
          <t>1995M5</t>
        </is>
      </c>
      <c r="B66" s="15" t="n">
        <v>385.219055175781</v>
      </c>
      <c r="C66" s="15">
        <f>IF(AND(B66&lt;&gt;"",B65&lt;&gt;""),LN(B66/B65)*100,"")</f>
        <v/>
      </c>
      <c r="D66" s="15">
        <f>IF(COUNT(C64:C66)=3,stdev.s(C64:C66),"")</f>
        <v/>
      </c>
      <c r="E66" s="15">
        <f>IF(COUNT(C55:C66)=12,stdev.s(C55:C66),"")</f>
        <v/>
      </c>
    </row>
    <row r="67" ht="15" customHeight="1" s="10">
      <c r="A67" s="15" t="inlineStr">
        <is>
          <t>1995M6</t>
        </is>
      </c>
      <c r="B67" s="15" t="n">
        <v>387.490478515625</v>
      </c>
      <c r="C67" s="15">
        <f>IF(AND(B67&lt;&gt;"",B66&lt;&gt;""),LN(B67/B66)*100,"")</f>
        <v/>
      </c>
      <c r="D67" s="15">
        <f>IF(COUNT(C65:C67)=3,stdev.s(C65:C67),"")</f>
        <v/>
      </c>
      <c r="E67" s="15">
        <f>IF(COUNT(C56:C67)=12,stdev.s(C56:C67),"")</f>
        <v/>
      </c>
    </row>
    <row r="68" ht="15" customHeight="1" s="10">
      <c r="A68" s="15" t="inlineStr">
        <is>
          <t>1995M7</t>
        </is>
      </c>
      <c r="B68" s="15" t="n">
        <v>386.240478515625</v>
      </c>
      <c r="C68" s="15">
        <f>IF(AND(B68&lt;&gt;"",B67&lt;&gt;""),LN(B68/B67)*100,"")</f>
        <v/>
      </c>
      <c r="D68" s="15">
        <f>IF(COUNT(C66:C68)=3,stdev.s(C66:C68),"")</f>
        <v/>
      </c>
      <c r="E68" s="15">
        <f>IF(COUNT(C57:C68)=12,stdev.s(C57:C68),"")</f>
        <v/>
      </c>
    </row>
    <row r="69" ht="15" customHeight="1" s="10">
      <c r="A69" s="15" t="inlineStr">
        <is>
          <t>1995M8</t>
        </is>
      </c>
      <c r="B69" s="15" t="n">
        <v>383.697631835938</v>
      </c>
      <c r="C69" s="15">
        <f>IF(AND(B69&lt;&gt;"",B68&lt;&gt;""),LN(B69/B68)*100,"")</f>
        <v/>
      </c>
      <c r="D69" s="15">
        <f>IF(COUNT(C67:C69)=3,stdev.s(C67:C69),"")</f>
        <v/>
      </c>
      <c r="E69" s="15">
        <f>IF(COUNT(C58:C69)=12,stdev.s(C58:C69),"")</f>
        <v/>
      </c>
    </row>
    <row r="70" ht="15" customHeight="1" s="10">
      <c r="A70" s="15" t="inlineStr">
        <is>
          <t>1995M9</t>
        </is>
      </c>
      <c r="B70" s="15" t="n">
        <v>383.217498779297</v>
      </c>
      <c r="C70" s="15">
        <f>IF(AND(B70&lt;&gt;"",B69&lt;&gt;""),LN(B70/B69)*100,"")</f>
        <v/>
      </c>
      <c r="D70" s="15">
        <f>IF(COUNT(C68:C70)=3,stdev.s(C68:C70),"")</f>
        <v/>
      </c>
      <c r="E70" s="15">
        <f>IF(COUNT(C59:C70)=12,stdev.s(C59:C70),"")</f>
        <v/>
      </c>
    </row>
    <row r="71" ht="15" customHeight="1" s="10">
      <c r="A71" s="15" t="inlineStr">
        <is>
          <t>1995M10</t>
        </is>
      </c>
      <c r="B71" s="15" t="n">
        <v>383.069030761719</v>
      </c>
      <c r="C71" s="15">
        <f>IF(AND(B71&lt;&gt;"",B70&lt;&gt;""),LN(B71/B70)*100,"")</f>
        <v/>
      </c>
      <c r="D71" s="15">
        <f>IF(COUNT(C69:C71)=3,stdev.s(C69:C71),"")</f>
        <v/>
      </c>
      <c r="E71" s="15">
        <f>IF(COUNT(C60:C71)=12,stdev.s(C60:C71),"")</f>
        <v/>
      </c>
    </row>
    <row r="72" ht="15" customHeight="1" s="10">
      <c r="A72" s="15" t="inlineStr">
        <is>
          <t>1995M11</t>
        </is>
      </c>
      <c r="B72" s="15" t="n">
        <v>385.676300048828</v>
      </c>
      <c r="C72" s="15">
        <f>IF(AND(B72&lt;&gt;"",B71&lt;&gt;""),LN(B72/B71)*100,"")</f>
        <v/>
      </c>
      <c r="D72" s="15">
        <f>IF(COUNT(C70:C72)=3,stdev.s(C70:C72),"")</f>
        <v/>
      </c>
      <c r="E72" s="15">
        <f>IF(COUNT(C61:C72)=12,stdev.s(C61:C72),"")</f>
        <v/>
      </c>
    </row>
    <row r="73" ht="15" customHeight="1" s="10">
      <c r="A73" s="15" t="inlineStr">
        <is>
          <t>1995M12</t>
        </is>
      </c>
      <c r="B73" s="15" t="n">
        <v>387.557678222656</v>
      </c>
      <c r="C73" s="15">
        <f>IF(AND(B73&lt;&gt;"",B72&lt;&gt;""),LN(B73/B72)*100,"")</f>
        <v/>
      </c>
      <c r="D73" s="15">
        <f>IF(COUNT(C71:C73)=3,stdev.s(C71:C73),"")</f>
        <v/>
      </c>
      <c r="E73" s="15">
        <f>IF(COUNT(C62:C73)=12,stdev.s(C62:C73),"")</f>
        <v/>
      </c>
    </row>
    <row r="74" ht="15" customHeight="1" s="10">
      <c r="A74" s="15" t="inlineStr">
        <is>
          <t>1996M1</t>
        </is>
      </c>
      <c r="B74" s="15" t="n">
        <v>400.070587158203</v>
      </c>
      <c r="C74" s="15">
        <f>IF(AND(B74&lt;&gt;"",B73&lt;&gt;""),LN(B74/B73)*100,"")</f>
        <v/>
      </c>
      <c r="D74" s="15">
        <f>IF(COUNT(C72:C74)=3,stdev.s(C72:C74),"")</f>
        <v/>
      </c>
      <c r="E74" s="15">
        <f>IF(COUNT(C63:C74)=12,stdev.s(C63:C74),"")</f>
        <v/>
      </c>
    </row>
    <row r="75" ht="15" customHeight="1" s="10">
      <c r="A75" s="15" t="inlineStr">
        <is>
          <t>1996M2</t>
        </is>
      </c>
      <c r="B75" s="15" t="n">
        <v>404.484222412109</v>
      </c>
      <c r="C75" s="15">
        <f>IF(AND(B75&lt;&gt;"",B74&lt;&gt;""),LN(B75/B74)*100,"")</f>
        <v/>
      </c>
      <c r="D75" s="15">
        <f>IF(COUNT(C73:C75)=3,stdev.s(C73:C75),"")</f>
        <v/>
      </c>
      <c r="E75" s="15">
        <f>IF(COUNT(C64:C75)=12,stdev.s(C64:C75),"")</f>
        <v/>
      </c>
    </row>
    <row r="76" ht="15" customHeight="1" s="10">
      <c r="A76" s="15" t="inlineStr">
        <is>
          <t>1996M3</t>
        </is>
      </c>
      <c r="B76" s="15" t="n">
        <v>396.326324462891</v>
      </c>
      <c r="C76" s="15">
        <f>IF(AND(B76&lt;&gt;"",B75&lt;&gt;""),LN(B76/B75)*100,"")</f>
        <v/>
      </c>
      <c r="D76" s="15">
        <f>IF(COUNT(C74:C76)=3,stdev.s(C74:C76),"")</f>
        <v/>
      </c>
      <c r="E76" s="15">
        <f>IF(COUNT(C65:C76)=12,stdev.s(C65:C76),"")</f>
        <v/>
      </c>
    </row>
    <row r="77" ht="15" customHeight="1" s="10">
      <c r="A77" s="15" t="inlineStr">
        <is>
          <t>1996M4</t>
        </is>
      </c>
      <c r="B77" s="15" t="n">
        <v>393.144989013672</v>
      </c>
      <c r="C77" s="15">
        <f>IF(AND(B77&lt;&gt;"",B76&lt;&gt;""),LN(B77/B76)*100,"")</f>
        <v/>
      </c>
      <c r="D77" s="15">
        <f>IF(COUNT(C75:C77)=3,stdev.s(C75:C77),"")</f>
        <v/>
      </c>
      <c r="E77" s="15">
        <f>IF(COUNT(C66:C77)=12,stdev.s(C66:C77),"")</f>
        <v/>
      </c>
    </row>
    <row r="78" ht="15" customHeight="1" s="10">
      <c r="A78" s="15" t="inlineStr">
        <is>
          <t>1996M5</t>
        </is>
      </c>
      <c r="B78" s="15" t="n">
        <v>391.94287109375</v>
      </c>
      <c r="C78" s="15">
        <f>IF(AND(B78&lt;&gt;"",B77&lt;&gt;""),LN(B78/B77)*100,"")</f>
        <v/>
      </c>
      <c r="D78" s="15">
        <f>IF(COUNT(C76:C78)=3,stdev.s(C76:C78),"")</f>
        <v/>
      </c>
      <c r="E78" s="15">
        <f>IF(COUNT(C67:C78)=12,stdev.s(C67:C78),"")</f>
        <v/>
      </c>
    </row>
    <row r="79" ht="15" customHeight="1" s="10">
      <c r="A79" s="15" t="inlineStr">
        <is>
          <t>1996M6</t>
        </is>
      </c>
      <c r="B79" s="15" t="n">
        <v>385.272491455078</v>
      </c>
      <c r="C79" s="15">
        <f>IF(AND(B79&lt;&gt;"",B78&lt;&gt;""),LN(B79/B78)*100,"")</f>
        <v/>
      </c>
      <c r="D79" s="15">
        <f>IF(COUNT(C77:C79)=3,stdev.s(C77:C79),"")</f>
        <v/>
      </c>
      <c r="E79" s="15">
        <f>IF(COUNT(C68:C79)=12,stdev.s(C68:C79),"")</f>
        <v/>
      </c>
    </row>
    <row r="80" ht="15" customHeight="1" s="10">
      <c r="A80" s="15" t="inlineStr">
        <is>
          <t>1996M7</t>
        </is>
      </c>
      <c r="B80" s="15" t="n">
        <v>383.586364746094</v>
      </c>
      <c r="C80" s="15">
        <f>IF(AND(B80&lt;&gt;"",B79&lt;&gt;""),LN(B80/B79)*100,"")</f>
        <v/>
      </c>
      <c r="D80" s="15">
        <f>IF(COUNT(C78:C80)=3,stdev.s(C78:C80),"")</f>
        <v/>
      </c>
      <c r="E80" s="15">
        <f>IF(COUNT(C69:C80)=12,stdev.s(C69:C80),"")</f>
        <v/>
      </c>
    </row>
    <row r="81" ht="15" customHeight="1" s="10">
      <c r="A81" s="15" t="inlineStr">
        <is>
          <t>1996M8</t>
        </is>
      </c>
      <c r="B81" s="15" t="n">
        <v>387.471435546875</v>
      </c>
      <c r="C81" s="15">
        <f>IF(AND(B81&lt;&gt;"",B80&lt;&gt;""),LN(B81/B80)*100,"")</f>
        <v/>
      </c>
      <c r="D81" s="15">
        <f>IF(COUNT(C79:C81)=3,stdev.s(C79:C81),"")</f>
        <v/>
      </c>
      <c r="E81" s="15">
        <f>IF(COUNT(C70:C81)=12,stdev.s(C70:C81),"")</f>
        <v/>
      </c>
    </row>
    <row r="82" ht="15" customHeight="1" s="10">
      <c r="A82" s="15" t="inlineStr">
        <is>
          <t>1996M9</t>
        </is>
      </c>
      <c r="B82" s="15" t="n">
        <v>382.964996337891</v>
      </c>
      <c r="C82" s="15">
        <f>IF(AND(B82&lt;&gt;"",B81&lt;&gt;""),LN(B82/B81)*100,"")</f>
        <v/>
      </c>
      <c r="D82" s="15">
        <f>IF(COUNT(C80:C82)=3,stdev.s(C80:C82),"")</f>
        <v/>
      </c>
      <c r="E82" s="15">
        <f>IF(COUNT(C71:C82)=12,stdev.s(C71:C82),"")</f>
        <v/>
      </c>
    </row>
    <row r="83" ht="15" customHeight="1" s="10">
      <c r="A83" s="15" t="inlineStr">
        <is>
          <t>1996M10</t>
        </is>
      </c>
      <c r="B83" s="15" t="n">
        <v>381.072723388672</v>
      </c>
      <c r="C83" s="15">
        <f>IF(AND(B83&lt;&gt;"",B82&lt;&gt;""),LN(B83/B82)*100,"")</f>
        <v/>
      </c>
      <c r="D83" s="15">
        <f>IF(COUNT(C81:C83)=3,stdev.s(C81:C83),"")</f>
        <v/>
      </c>
      <c r="E83" s="15">
        <f>IF(COUNT(C72:C83)=12,stdev.s(C72:C83),"")</f>
        <v/>
      </c>
    </row>
    <row r="84" ht="15" customHeight="1" s="10">
      <c r="A84" s="15" t="inlineStr">
        <is>
          <t>1996M11</t>
        </is>
      </c>
      <c r="B84" s="15" t="n">
        <v>378.516662597656</v>
      </c>
      <c r="C84" s="15">
        <f>IF(AND(B84&lt;&gt;"",B83&lt;&gt;""),LN(B84/B83)*100,"")</f>
        <v/>
      </c>
      <c r="D84" s="15">
        <f>IF(COUNT(C82:C84)=3,stdev.s(C82:C84),"")</f>
        <v/>
      </c>
      <c r="E84" s="15">
        <f>IF(COUNT(C73:C84)=12,stdev.s(C73:C84),"")</f>
        <v/>
      </c>
    </row>
    <row r="85" ht="15" customHeight="1" s="10">
      <c r="A85" s="15" t="inlineStr">
        <is>
          <t>1996M12</t>
        </is>
      </c>
      <c r="B85" s="15" t="n">
        <v>368.977661132813</v>
      </c>
      <c r="C85" s="15">
        <f>IF(AND(B85&lt;&gt;"",B84&lt;&gt;""),LN(B85/B84)*100,"")</f>
        <v/>
      </c>
      <c r="D85" s="15">
        <f>IF(COUNT(C83:C85)=3,stdev.s(C83:C85),"")</f>
        <v/>
      </c>
      <c r="E85" s="15">
        <f>IF(COUNT(C74:C85)=12,stdev.s(C74:C85),"")</f>
        <v/>
      </c>
    </row>
    <row r="86" ht="15" customHeight="1" s="10">
      <c r="A86" s="15" t="inlineStr">
        <is>
          <t>1997M1</t>
        </is>
      </c>
      <c r="B86" s="15" t="n">
        <v>355.200012207031</v>
      </c>
      <c r="C86" s="15">
        <f>IF(AND(B86&lt;&gt;"",B85&lt;&gt;""),LN(B86/B85)*100,"")</f>
        <v/>
      </c>
      <c r="D86" s="15">
        <f>IF(COUNT(C84:C86)=3,stdev.s(C84:C86),"")</f>
        <v/>
      </c>
      <c r="E86" s="15">
        <f>IF(COUNT(C75:C86)=12,stdev.s(C75:C86),"")</f>
        <v/>
      </c>
    </row>
    <row r="87" ht="15" customHeight="1" s="10">
      <c r="A87" s="15" t="inlineStr">
        <is>
          <t>1997M2</t>
        </is>
      </c>
      <c r="B87" s="15" t="n">
        <v>346.713195800781</v>
      </c>
      <c r="C87" s="15">
        <f>IF(AND(B87&lt;&gt;"",B86&lt;&gt;""),LN(B87/B86)*100,"")</f>
        <v/>
      </c>
      <c r="D87" s="15">
        <f>IF(COUNT(C85:C87)=3,stdev.s(C85:C87),"")</f>
        <v/>
      </c>
      <c r="E87" s="15">
        <f>IF(COUNT(C76:C87)=12,stdev.s(C76:C87),"")</f>
        <v/>
      </c>
    </row>
    <row r="88" ht="15" customHeight="1" s="10">
      <c r="A88" s="15" t="inlineStr">
        <is>
          <t>1997M3</t>
        </is>
      </c>
      <c r="B88" s="15" t="n">
        <v>351.805267333984</v>
      </c>
      <c r="C88" s="15">
        <f>IF(AND(B88&lt;&gt;"",B87&lt;&gt;""),LN(B88/B87)*100,"")</f>
        <v/>
      </c>
      <c r="D88" s="15">
        <f>IF(COUNT(C86:C88)=3,stdev.s(C86:C88),"")</f>
        <v/>
      </c>
      <c r="E88" s="15">
        <f>IF(COUNT(C77:C88)=12,stdev.s(C77:C88),"")</f>
        <v/>
      </c>
    </row>
    <row r="89" ht="15" customHeight="1" s="10">
      <c r="A89" s="15" t="inlineStr">
        <is>
          <t>1997M4</t>
        </is>
      </c>
      <c r="B89" s="15" t="n">
        <v>344.583343505859</v>
      </c>
      <c r="C89" s="15">
        <f>IF(AND(B89&lt;&gt;"",B88&lt;&gt;""),LN(B89/B88)*100,"")</f>
        <v/>
      </c>
      <c r="D89" s="15">
        <f>IF(COUNT(C87:C89)=3,stdev.s(C87:C89),"")</f>
        <v/>
      </c>
      <c r="E89" s="15">
        <f>IF(COUNT(C78:C89)=12,stdev.s(C78:C89),"")</f>
        <v/>
      </c>
    </row>
    <row r="90" ht="15" customHeight="1" s="10">
      <c r="A90" s="15" t="inlineStr">
        <is>
          <t>1997M5</t>
        </is>
      </c>
      <c r="B90" s="15" t="n">
        <v>343.702789306641</v>
      </c>
      <c r="C90" s="15">
        <f>IF(AND(B90&lt;&gt;"",B89&lt;&gt;""),LN(B90/B89)*100,"")</f>
        <v/>
      </c>
      <c r="D90" s="15">
        <f>IF(COUNT(C88:C90)=3,stdev.s(C88:C90),"")</f>
        <v/>
      </c>
      <c r="E90" s="15">
        <f>IF(COUNT(C79:C90)=12,stdev.s(C79:C90),"")</f>
        <v/>
      </c>
    </row>
    <row r="91" ht="15" customHeight="1" s="10">
      <c r="A91" s="15" t="inlineStr">
        <is>
          <t>1997M6</t>
        </is>
      </c>
      <c r="B91" s="15" t="n">
        <v>340.476318359375</v>
      </c>
      <c r="C91" s="15">
        <f>IF(AND(B91&lt;&gt;"",B90&lt;&gt;""),LN(B91/B90)*100,"")</f>
        <v/>
      </c>
      <c r="D91" s="15">
        <f>IF(COUNT(C89:C91)=3,stdev.s(C89:C91),"")</f>
        <v/>
      </c>
      <c r="E91" s="15">
        <f>IF(COUNT(C80:C91)=12,stdev.s(C80:C91),"")</f>
        <v/>
      </c>
    </row>
    <row r="92" ht="15" customHeight="1" s="10">
      <c r="A92" s="15" t="inlineStr">
        <is>
          <t>1997M7</t>
        </is>
      </c>
      <c r="B92" s="15" t="n">
        <v>324.088623046875</v>
      </c>
      <c r="C92" s="15">
        <f>IF(AND(B92&lt;&gt;"",B91&lt;&gt;""),LN(B92/B91)*100,"")</f>
        <v/>
      </c>
      <c r="D92" s="15">
        <f>IF(COUNT(C90:C92)=3,stdev.s(C90:C92),"")</f>
        <v/>
      </c>
      <c r="E92" s="15">
        <f>IF(COUNT(C81:C92)=12,stdev.s(C81:C92),"")</f>
        <v/>
      </c>
    </row>
    <row r="93" ht="15" customHeight="1" s="10">
      <c r="A93" s="15" t="inlineStr">
        <is>
          <t>1997M8</t>
        </is>
      </c>
      <c r="B93" s="15" t="n">
        <v>324.049987792969</v>
      </c>
      <c r="C93" s="15">
        <f>IF(AND(B93&lt;&gt;"",B92&lt;&gt;""),LN(B93/B92)*100,"")</f>
        <v/>
      </c>
      <c r="D93" s="15">
        <f>IF(COUNT(C91:C93)=3,stdev.s(C91:C93),"")</f>
        <v/>
      </c>
      <c r="E93" s="15">
        <f>IF(COUNT(C82:C93)=12,stdev.s(C82:C93),"")</f>
        <v/>
      </c>
    </row>
    <row r="94" ht="15" customHeight="1" s="10">
      <c r="A94" s="15" t="inlineStr">
        <is>
          <t>1997M9</t>
        </is>
      </c>
      <c r="B94" s="15" t="n">
        <v>324.476196289063</v>
      </c>
      <c r="C94" s="15">
        <f>IF(AND(B94&lt;&gt;"",B93&lt;&gt;""),LN(B94/B93)*100,"")</f>
        <v/>
      </c>
      <c r="D94" s="15">
        <f>IF(COUNT(C92:C94)=3,stdev.s(C92:C94),"")</f>
        <v/>
      </c>
      <c r="E94" s="15">
        <f>IF(COUNT(C83:C94)=12,stdev.s(C83:C94),"")</f>
        <v/>
      </c>
    </row>
    <row r="95" ht="15" customHeight="1" s="10">
      <c r="A95" s="15" t="inlineStr">
        <is>
          <t>1997M10</t>
        </is>
      </c>
      <c r="B95" s="15" t="n">
        <v>323.883331298828</v>
      </c>
      <c r="C95" s="15">
        <f>IF(AND(B95&lt;&gt;"",B94&lt;&gt;""),LN(B95/B94)*100,"")</f>
        <v/>
      </c>
      <c r="D95" s="15">
        <f>IF(COUNT(C93:C95)=3,stdev.s(C93:C95),"")</f>
        <v/>
      </c>
      <c r="E95" s="15">
        <f>IF(COUNT(C84:C95)=12,stdev.s(C84:C95),"")</f>
        <v/>
      </c>
    </row>
    <row r="96" ht="15" customHeight="1" s="10">
      <c r="A96" s="15" t="inlineStr">
        <is>
          <t>1997M11</t>
        </is>
      </c>
      <c r="B96" s="15" t="n">
        <v>305.346160888672</v>
      </c>
      <c r="C96" s="15">
        <f>IF(AND(B96&lt;&gt;"",B95&lt;&gt;""),LN(B96/B95)*100,"")</f>
        <v/>
      </c>
      <c r="D96" s="15">
        <f>IF(COUNT(C94:C96)=3,stdev.s(C94:C96),"")</f>
        <v/>
      </c>
      <c r="E96" s="15">
        <f>IF(COUNT(C85:C96)=12,stdev.s(C85:C96),"")</f>
        <v/>
      </c>
    </row>
    <row r="97" ht="15" customHeight="1" s="10">
      <c r="A97" s="15" t="inlineStr">
        <is>
          <t>1997M12</t>
        </is>
      </c>
      <c r="B97" s="15" t="n">
        <v>287.619995117188</v>
      </c>
      <c r="C97" s="15">
        <f>IF(AND(B97&lt;&gt;"",B96&lt;&gt;""),LN(B97/B96)*100,"")</f>
        <v/>
      </c>
      <c r="D97" s="15">
        <f>IF(COUNT(C95:C97)=3,stdev.s(C95:C97),"")</f>
        <v/>
      </c>
      <c r="E97" s="15">
        <f>IF(COUNT(C86:C97)=12,stdev.s(C86:C97),"")</f>
        <v/>
      </c>
    </row>
    <row r="98" ht="15" customHeight="1" s="10">
      <c r="A98" s="15" t="inlineStr">
        <is>
          <t>1998M1</t>
        </is>
      </c>
      <c r="B98" s="15" t="n">
        <v>289.5</v>
      </c>
      <c r="C98" s="15">
        <f>IF(AND(B98&lt;&gt;"",B97&lt;&gt;""),LN(B98/B97)*100,"")</f>
        <v/>
      </c>
      <c r="D98" s="15">
        <f>IF(COUNT(C96:C98)=3,stdev.s(C96:C98),"")</f>
        <v/>
      </c>
      <c r="E98" s="15">
        <f>IF(COUNT(C87:C98)=12,stdev.s(C87:C98),"")</f>
        <v/>
      </c>
    </row>
    <row r="99" ht="15" customHeight="1" s="10">
      <c r="A99" s="15" t="inlineStr">
        <is>
          <t>1998M2</t>
        </is>
      </c>
      <c r="B99" s="15" t="n">
        <v>297.455261230469</v>
      </c>
      <c r="C99" s="15">
        <f>IF(AND(B99&lt;&gt;"",B98&lt;&gt;""),LN(B99/B98)*100,"")</f>
        <v/>
      </c>
      <c r="D99" s="15">
        <f>IF(COUNT(C97:C99)=3,stdev.s(C97:C99),"")</f>
        <v/>
      </c>
      <c r="E99" s="15">
        <f>IF(COUNT(C88:C99)=12,stdev.s(C88:C99),"")</f>
        <v/>
      </c>
    </row>
    <row r="100" ht="15" customHeight="1" s="10">
      <c r="A100" s="15" t="inlineStr">
        <is>
          <t>1998M3</t>
        </is>
      </c>
      <c r="B100" s="15" t="n">
        <v>295.954559326172</v>
      </c>
      <c r="C100" s="15">
        <f>IF(AND(B100&lt;&gt;"",B99&lt;&gt;""),LN(B100/B99)*100,"")</f>
        <v/>
      </c>
      <c r="D100" s="15">
        <f>IF(COUNT(C98:C100)=3,stdev.s(C98:C100),"")</f>
        <v/>
      </c>
      <c r="E100" s="15">
        <f>IF(COUNT(C89:C100)=12,stdev.s(C89:C100),"")</f>
        <v/>
      </c>
    </row>
    <row r="101" ht="15" customHeight="1" s="10">
      <c r="A101" s="15" t="inlineStr">
        <is>
          <t>1998M4</t>
        </is>
      </c>
      <c r="B101" s="15" t="n">
        <v>308.285003662109</v>
      </c>
      <c r="C101" s="15">
        <f>IF(AND(B101&lt;&gt;"",B100&lt;&gt;""),LN(B101/B100)*100,"")</f>
        <v/>
      </c>
      <c r="D101" s="15">
        <f>IF(COUNT(C99:C101)=3,stdev.s(C99:C101),"")</f>
        <v/>
      </c>
      <c r="E101" s="15">
        <f>IF(COUNT(C90:C101)=12,stdev.s(C90:C101),"")</f>
        <v/>
      </c>
    </row>
    <row r="102" ht="15" customHeight="1" s="10">
      <c r="A102" s="15" t="inlineStr">
        <is>
          <t>1998M5</t>
        </is>
      </c>
      <c r="B102" s="15" t="n">
        <v>298.978942871094</v>
      </c>
      <c r="C102" s="15">
        <f>IF(AND(B102&lt;&gt;"",B101&lt;&gt;""),LN(B102/B101)*100,"")</f>
        <v/>
      </c>
      <c r="D102" s="15">
        <f>IF(COUNT(C100:C102)=3,stdev.s(C100:C102),"")</f>
        <v/>
      </c>
      <c r="E102" s="15">
        <f>IF(COUNT(C91:C102)=12,stdev.s(C91:C102),"")</f>
        <v/>
      </c>
    </row>
    <row r="103" ht="15" customHeight="1" s="10">
      <c r="A103" s="15" t="inlineStr">
        <is>
          <t>1998M6</t>
        </is>
      </c>
      <c r="B103" s="15" t="n">
        <v>292.538635253906</v>
      </c>
      <c r="C103" s="15">
        <f>IF(AND(B103&lt;&gt;"",B102&lt;&gt;""),LN(B103/B102)*100,"")</f>
        <v/>
      </c>
      <c r="D103" s="15">
        <f>IF(COUNT(C101:C103)=3,stdev.s(C101:C103),"")</f>
        <v/>
      </c>
      <c r="E103" s="15">
        <f>IF(COUNT(C92:C103)=12,stdev.s(C92:C103),"")</f>
        <v/>
      </c>
    </row>
    <row r="104" ht="15" customHeight="1" s="10">
      <c r="A104" s="15" t="inlineStr">
        <is>
          <t>1998M7</t>
        </is>
      </c>
      <c r="B104" s="15" t="n">
        <v>292.752258300781</v>
      </c>
      <c r="C104" s="15">
        <f>IF(AND(B104&lt;&gt;"",B103&lt;&gt;""),LN(B104/B103)*100,"")</f>
        <v/>
      </c>
      <c r="D104" s="15">
        <f>IF(COUNT(C102:C104)=3,stdev.s(C102:C104),"")</f>
        <v/>
      </c>
      <c r="E104" s="15">
        <f>IF(COUNT(C93:C104)=12,stdev.s(C93:C104),"")</f>
        <v/>
      </c>
    </row>
    <row r="105" ht="15" customHeight="1" s="10">
      <c r="A105" s="15" t="inlineStr">
        <is>
          <t>1998M8</t>
        </is>
      </c>
      <c r="B105" s="15" t="n">
        <v>284.109985351563</v>
      </c>
      <c r="C105" s="15">
        <f>IF(AND(B105&lt;&gt;"",B104&lt;&gt;""),LN(B105/B104)*100,"")</f>
        <v/>
      </c>
      <c r="D105" s="15">
        <f>IF(COUNT(C103:C105)=3,stdev.s(C103:C105),"")</f>
        <v/>
      </c>
      <c r="E105" s="15">
        <f>IF(COUNT(C94:C105)=12,stdev.s(C94:C105),"")</f>
        <v/>
      </c>
    </row>
    <row r="106" ht="15" customHeight="1" s="10">
      <c r="A106" s="15" t="inlineStr">
        <is>
          <t>1998M9</t>
        </is>
      </c>
      <c r="B106" s="15" t="n">
        <v>288.981811523438</v>
      </c>
      <c r="C106" s="15">
        <f>IF(AND(B106&lt;&gt;"",B105&lt;&gt;""),LN(B106/B105)*100,"")</f>
        <v/>
      </c>
      <c r="D106" s="15">
        <f>IF(COUNT(C104:C106)=3,stdev.s(C104:C106),"")</f>
        <v/>
      </c>
      <c r="E106" s="15">
        <f>IF(COUNT(C95:C106)=12,stdev.s(C95:C106),"")</f>
        <v/>
      </c>
    </row>
    <row r="107" ht="15" customHeight="1" s="10">
      <c r="A107" s="15" t="inlineStr">
        <is>
          <t>1998M10</t>
        </is>
      </c>
      <c r="B107" s="15" t="n">
        <v>295.714996337891</v>
      </c>
      <c r="C107" s="15">
        <f>IF(AND(B107&lt;&gt;"",B106&lt;&gt;""),LN(B107/B106)*100,"")</f>
        <v/>
      </c>
      <c r="D107" s="15">
        <f>IF(COUNT(C105:C107)=3,stdev.s(C105:C107),"")</f>
        <v/>
      </c>
      <c r="E107" s="15">
        <f>IF(COUNT(C96:C107)=12,stdev.s(C96:C107),"")</f>
        <v/>
      </c>
    </row>
    <row r="108" ht="15" customHeight="1" s="10">
      <c r="A108" s="15" t="inlineStr">
        <is>
          <t>1998M11</t>
        </is>
      </c>
      <c r="B108" s="15" t="n">
        <v>293.716674804688</v>
      </c>
      <c r="C108" s="15">
        <f>IF(AND(B108&lt;&gt;"",B107&lt;&gt;""),LN(B108/B107)*100,"")</f>
        <v/>
      </c>
      <c r="D108" s="15">
        <f>IF(COUNT(C106:C108)=3,stdev.s(C106:C108),"")</f>
        <v/>
      </c>
      <c r="E108" s="15">
        <f>IF(COUNT(C97:C108)=12,stdev.s(C97:C108),"")</f>
        <v/>
      </c>
    </row>
    <row r="109" ht="15" customHeight="1" s="10">
      <c r="A109" s="15" t="inlineStr">
        <is>
          <t>1998M12</t>
        </is>
      </c>
      <c r="B109" s="15" t="n">
        <v>291.678955078125</v>
      </c>
      <c r="C109" s="15">
        <f>IF(AND(B109&lt;&gt;"",B108&lt;&gt;""),LN(B109/B108)*100,"")</f>
        <v/>
      </c>
      <c r="D109" s="15">
        <f>IF(COUNT(C107:C109)=3,stdev.s(C107:C109),"")</f>
        <v/>
      </c>
      <c r="E109" s="15">
        <f>IF(COUNT(C98:C109)=12,stdev.s(C98:C109),"")</f>
        <v/>
      </c>
    </row>
    <row r="110" ht="15" customHeight="1" s="10">
      <c r="A110" s="15" t="inlineStr">
        <is>
          <t>1999M1</t>
        </is>
      </c>
      <c r="B110" s="15" t="n">
        <v>286.9368286</v>
      </c>
      <c r="C110" s="15">
        <f>IF(AND(B110&lt;&gt;"",B109&lt;&gt;""),LN(B110/B109)*100,"")</f>
        <v/>
      </c>
      <c r="D110" s="15">
        <f>IF(COUNT(C108:C110)=3,stdev.s(C108:C110),"")</f>
        <v/>
      </c>
      <c r="E110" s="15">
        <f>IF(COUNT(C99:C110)=12,stdev.s(C99:C110),"")</f>
        <v/>
      </c>
    </row>
    <row r="111" ht="15" customHeight="1" s="10">
      <c r="A111" s="15" t="inlineStr">
        <is>
          <t>1999M2</t>
        </is>
      </c>
      <c r="B111" s="15" t="n">
        <v>287.655</v>
      </c>
      <c r="C111" s="15">
        <f>IF(AND(B111&lt;&gt;"",B110&lt;&gt;""),LN(B111/B110)*100,"")</f>
        <v/>
      </c>
      <c r="D111" s="15">
        <f>IF(COUNT(C109:C111)=3,stdev.s(C109:C111),"")</f>
        <v/>
      </c>
      <c r="E111" s="15">
        <f>IF(COUNT(C100:C111)=12,stdev.s(C100:C111),"")</f>
        <v/>
      </c>
    </row>
    <row r="112" ht="15" customHeight="1" s="10">
      <c r="A112" s="15" t="inlineStr">
        <is>
          <t>1999M3</t>
        </is>
      </c>
      <c r="B112" s="15" t="n">
        <v>286.2136364</v>
      </c>
      <c r="C112" s="15">
        <f>IF(AND(B112&lt;&gt;"",B111&lt;&gt;""),LN(B112/B111)*100,"")</f>
        <v/>
      </c>
      <c r="D112" s="15">
        <f>IF(COUNT(C110:C112)=3,stdev.s(C110:C112),"")</f>
        <v/>
      </c>
      <c r="E112" s="15">
        <f>IF(COUNT(C101:C112)=12,stdev.s(C101:C112),"")</f>
        <v/>
      </c>
    </row>
    <row r="113" ht="15" customHeight="1" s="10">
      <c r="A113" s="15" t="inlineStr">
        <is>
          <t>1999M4</t>
        </is>
      </c>
      <c r="B113" s="15" t="n">
        <v>282.6175</v>
      </c>
      <c r="C113" s="15">
        <f>IF(AND(B113&lt;&gt;"",B112&lt;&gt;""),LN(B113/B112)*100,"")</f>
        <v/>
      </c>
      <c r="D113" s="15">
        <f>IF(COUNT(C111:C113)=3,stdev.s(C111:C113),"")</f>
        <v/>
      </c>
      <c r="E113" s="15">
        <f>IF(COUNT(C102:C113)=12,stdev.s(C102:C113),"")</f>
        <v/>
      </c>
    </row>
    <row r="114" ht="15" customHeight="1" s="10">
      <c r="A114" s="15" t="inlineStr">
        <is>
          <t>1999M5</t>
        </is>
      </c>
      <c r="B114" s="15" t="n">
        <v>276.91</v>
      </c>
      <c r="C114" s="15">
        <f>IF(AND(B114&lt;&gt;"",B113&lt;&gt;""),LN(B114/B113)*100,"")</f>
        <v/>
      </c>
      <c r="D114" s="15">
        <f>IF(COUNT(C112:C114)=3,stdev.s(C112:C114),"")</f>
        <v/>
      </c>
      <c r="E114" s="15">
        <f>IF(COUNT(C103:C114)=12,stdev.s(C103:C114),"")</f>
        <v/>
      </c>
    </row>
    <row r="115" ht="15" customHeight="1" s="10">
      <c r="A115" s="15" t="inlineStr">
        <is>
          <t>1999M6</t>
        </is>
      </c>
      <c r="B115" s="15" t="n">
        <v>261.3136364</v>
      </c>
      <c r="C115" s="15">
        <f>IF(AND(B115&lt;&gt;"",B114&lt;&gt;""),LN(B115/B114)*100,"")</f>
        <v/>
      </c>
      <c r="D115" s="15">
        <f>IF(COUNT(C113:C115)=3,stdev.s(C113:C115),"")</f>
        <v/>
      </c>
      <c r="E115" s="15">
        <f>IF(COUNT(C104:C115)=12,stdev.s(C104:C115),"")</f>
        <v/>
      </c>
    </row>
    <row r="116" ht="15" customHeight="1" s="10">
      <c r="A116" s="15" t="inlineStr">
        <is>
          <t>1999M7</t>
        </is>
      </c>
      <c r="B116" s="15" t="n">
        <v>256.6931818</v>
      </c>
      <c r="C116" s="15">
        <f>IF(AND(B116&lt;&gt;"",B115&lt;&gt;""),LN(B116/B115)*100,"")</f>
        <v/>
      </c>
      <c r="D116" s="15">
        <f>IF(COUNT(C114:C116)=3,stdev.s(C114:C116),"")</f>
        <v/>
      </c>
      <c r="E116" s="15">
        <f>IF(COUNT(C105:C116)=12,stdev.s(C105:C116),"")</f>
        <v/>
      </c>
    </row>
    <row r="117" ht="15" customHeight="1" s="10">
      <c r="A117" s="15" t="inlineStr">
        <is>
          <t>1999M8</t>
        </is>
      </c>
      <c r="B117" s="15" t="n">
        <v>256.9052632</v>
      </c>
      <c r="C117" s="15">
        <f>IF(AND(B117&lt;&gt;"",B116&lt;&gt;""),LN(B117/B116)*100,"")</f>
        <v/>
      </c>
      <c r="D117" s="15">
        <f>IF(COUNT(C115:C117)=3,stdev.s(C115:C117),"")</f>
        <v/>
      </c>
      <c r="E117" s="15">
        <f>IF(COUNT(C106:C117)=12,stdev.s(C106:C117),"")</f>
        <v/>
      </c>
    </row>
    <row r="118" ht="15" customHeight="1" s="10">
      <c r="A118" s="15" t="inlineStr">
        <is>
          <t>1999M9</t>
        </is>
      </c>
      <c r="B118" s="15" t="n">
        <v>264.3108696</v>
      </c>
      <c r="C118" s="15">
        <f>IF(AND(B118&lt;&gt;"",B117&lt;&gt;""),LN(B118/B117)*100,"")</f>
        <v/>
      </c>
      <c r="D118" s="15">
        <f>IF(COUNT(C116:C118)=3,stdev.s(C116:C118),"")</f>
        <v/>
      </c>
      <c r="E118" s="15">
        <f>IF(COUNT(C107:C118)=12,stdev.s(C107:C118),"")</f>
        <v/>
      </c>
    </row>
    <row r="119" ht="15" customHeight="1" s="10">
      <c r="A119" s="15" t="inlineStr">
        <is>
          <t>1999M10</t>
        </is>
      </c>
      <c r="B119" s="15" t="n">
        <v>310.7815789</v>
      </c>
      <c r="C119" s="15">
        <f>IF(AND(B119&lt;&gt;"",B118&lt;&gt;""),LN(B119/B118)*100,"")</f>
        <v/>
      </c>
      <c r="D119" s="15">
        <f>IF(COUNT(C117:C119)=3,stdev.s(C117:C119),"")</f>
        <v/>
      </c>
      <c r="E119" s="15">
        <f>IF(COUNT(C108:C119)=12,stdev.s(C108:C119),"")</f>
        <v/>
      </c>
    </row>
    <row r="120" ht="15" customHeight="1" s="10">
      <c r="A120" s="15" t="inlineStr">
        <is>
          <t>1999M11</t>
        </is>
      </c>
      <c r="B120" s="15" t="n">
        <v>293.1840909</v>
      </c>
      <c r="C120" s="15">
        <f>IF(AND(B120&lt;&gt;"",B119&lt;&gt;""),LN(B120/B119)*100,"")</f>
        <v/>
      </c>
      <c r="D120" s="15">
        <f>IF(COUNT(C118:C120)=3,stdev.s(C118:C120),"")</f>
        <v/>
      </c>
      <c r="E120" s="15">
        <f>IF(COUNT(C109:C120)=12,stdev.s(C109:C120),"")</f>
        <v/>
      </c>
    </row>
    <row r="121" ht="15" customHeight="1" s="10">
      <c r="A121" s="15" t="inlineStr">
        <is>
          <t>1999M12</t>
        </is>
      </c>
      <c r="B121" s="15" t="n">
        <v>282.9526316</v>
      </c>
      <c r="C121" s="15">
        <f>IF(AND(B121&lt;&gt;"",B120&lt;&gt;""),LN(B121/B120)*100,"")</f>
        <v/>
      </c>
      <c r="D121" s="15">
        <f>IF(COUNT(C119:C121)=3,stdev.s(C119:C121),"")</f>
        <v/>
      </c>
      <c r="E121" s="15">
        <f>IF(COUNT(C110:C121)=12,stdev.s(C110:C121),"")</f>
        <v/>
      </c>
    </row>
    <row r="122" ht="15" customHeight="1" s="10">
      <c r="A122" s="15" t="inlineStr">
        <is>
          <t>2000M1</t>
        </is>
      </c>
      <c r="B122" s="15" t="n">
        <v>284.065625</v>
      </c>
      <c r="C122" s="15">
        <f>IF(AND(B122&lt;&gt;"",B121&lt;&gt;""),LN(B122/B121)*100,"")</f>
        <v/>
      </c>
      <c r="D122" s="15">
        <f>IF(COUNT(C120:C122)=3,stdev.s(C120:C122),"")</f>
        <v/>
      </c>
      <c r="E122" s="15">
        <f>IF(COUNT(C111:C122)=12,stdev.s(C111:C122),"")</f>
        <v/>
      </c>
    </row>
    <row r="123" ht="15" customHeight="1" s="10">
      <c r="A123" s="15" t="inlineStr">
        <is>
          <t>2000M2</t>
        </is>
      </c>
      <c r="B123" s="15" t="n">
        <v>299.715</v>
      </c>
      <c r="C123" s="15">
        <f>IF(AND(B123&lt;&gt;"",B122&lt;&gt;""),LN(B123/B122)*100,"")</f>
        <v/>
      </c>
      <c r="D123" s="15">
        <f>IF(COUNT(C121:C123)=3,stdev.s(C121:C123),"")</f>
        <v/>
      </c>
      <c r="E123" s="15">
        <f>IF(COUNT(C112:C123)=12,stdev.s(C112:C123),"")</f>
        <v/>
      </c>
    </row>
    <row r="124" ht="15" customHeight="1" s="10">
      <c r="A124" s="15" t="inlineStr">
        <is>
          <t>2000M3</t>
        </is>
      </c>
      <c r="B124" s="15" t="n">
        <v>286.924</v>
      </c>
      <c r="C124" s="15">
        <f>IF(AND(B124&lt;&gt;"",B123&lt;&gt;""),LN(B124/B123)*100,"")</f>
        <v/>
      </c>
      <c r="D124" s="15">
        <f>IF(COUNT(C122:C124)=3,stdev.s(C122:C124),"")</f>
        <v/>
      </c>
      <c r="E124" s="15">
        <f>IF(COUNT(C113:C124)=12,stdev.s(C113:C124),"")</f>
        <v/>
      </c>
    </row>
    <row r="125" ht="15" customHeight="1" s="10">
      <c r="A125" s="15" t="inlineStr">
        <is>
          <t>2000M4</t>
        </is>
      </c>
      <c r="B125" s="15" t="n">
        <v>279.6526316</v>
      </c>
      <c r="C125" s="15">
        <f>IF(AND(B125&lt;&gt;"",B124&lt;&gt;""),LN(B125/B124)*100,"")</f>
        <v/>
      </c>
      <c r="D125" s="15">
        <f>IF(COUNT(C123:C125)=3,stdev.s(C123:C125),"")</f>
        <v/>
      </c>
      <c r="E125" s="15">
        <f>IF(COUNT(C114:C125)=12,stdev.s(C114:C125),"")</f>
        <v/>
      </c>
    </row>
    <row r="126" ht="15" customHeight="1" s="10">
      <c r="A126" s="15" t="inlineStr">
        <is>
          <t>2000M5</t>
        </is>
      </c>
      <c r="B126" s="15" t="n">
        <v>276.7409091</v>
      </c>
      <c r="C126" s="15">
        <f>IF(AND(B126&lt;&gt;"",B125&lt;&gt;""),LN(B126/B125)*100,"")</f>
        <v/>
      </c>
      <c r="D126" s="15">
        <f>IF(COUNT(C124:C126)=3,stdev.s(C124:C126),"")</f>
        <v/>
      </c>
      <c r="E126" s="15">
        <f>IF(COUNT(C115:C126)=12,stdev.s(C115:C126),"")</f>
        <v/>
      </c>
    </row>
    <row r="127" ht="15" customHeight="1" s="10">
      <c r="A127" s="15" t="inlineStr">
        <is>
          <t>2000M6</t>
        </is>
      </c>
      <c r="B127" s="15" t="n">
        <v>285.7318182</v>
      </c>
      <c r="C127" s="15">
        <f>IF(AND(B127&lt;&gt;"",B126&lt;&gt;""),LN(B127/B126)*100,"")</f>
        <v/>
      </c>
      <c r="D127" s="15">
        <f>IF(COUNT(C125:C127)=3,stdev.s(C125:C127),"")</f>
        <v/>
      </c>
      <c r="E127" s="15">
        <f>IF(COUNT(C116:C127)=12,stdev.s(C116:C127),"")</f>
        <v/>
      </c>
    </row>
    <row r="128" ht="15" customHeight="1" s="10">
      <c r="A128" s="15" t="inlineStr">
        <is>
          <t>2000M7</t>
        </is>
      </c>
      <c r="B128" s="15" t="n">
        <v>281.5857143</v>
      </c>
      <c r="C128" s="15">
        <f>IF(AND(B128&lt;&gt;"",B127&lt;&gt;""),LN(B128/B127)*100,"")</f>
        <v/>
      </c>
      <c r="D128" s="15">
        <f>IF(COUNT(C126:C128)=3,stdev.s(C126:C128),"")</f>
        <v/>
      </c>
      <c r="E128" s="15">
        <f>IF(COUNT(C117:C128)=12,stdev.s(C117:C128),"")</f>
        <v/>
      </c>
    </row>
    <row r="129" ht="15" customHeight="1" s="10">
      <c r="A129" s="15" t="inlineStr">
        <is>
          <t>2000M8</t>
        </is>
      </c>
      <c r="B129" s="15" t="n">
        <v>274.425</v>
      </c>
      <c r="C129" s="15">
        <f>IF(AND(B129&lt;&gt;"",B128&lt;&gt;""),LN(B129/B128)*100,"")</f>
        <v/>
      </c>
      <c r="D129" s="15">
        <f>IF(COUNT(C127:C129)=3,stdev.s(C127:C129),"")</f>
        <v/>
      </c>
      <c r="E129" s="15">
        <f>IF(COUNT(C118:C129)=12,stdev.s(C118:C129),"")</f>
        <v/>
      </c>
    </row>
    <row r="130" ht="15" customHeight="1" s="10">
      <c r="A130" s="15" t="inlineStr">
        <is>
          <t>2000M9</t>
        </is>
      </c>
      <c r="B130" s="15" t="n">
        <v>273.53</v>
      </c>
      <c r="C130" s="15">
        <f>IF(AND(B130&lt;&gt;"",B129&lt;&gt;""),LN(B130/B129)*100,"")</f>
        <v/>
      </c>
      <c r="D130" s="15">
        <f>IF(COUNT(C128:C130)=3,stdev.s(C128:C130),"")</f>
        <v/>
      </c>
      <c r="E130" s="15">
        <f>IF(COUNT(C119:C130)=12,stdev.s(C119:C130),"")</f>
        <v/>
      </c>
    </row>
    <row r="131" ht="15" customHeight="1" s="10">
      <c r="A131" s="15" t="inlineStr">
        <is>
          <t>2000M10</t>
        </is>
      </c>
      <c r="B131" s="15" t="n">
        <v>269.9285714</v>
      </c>
      <c r="C131" s="15">
        <f>IF(AND(B131&lt;&gt;"",B130&lt;&gt;""),LN(B131/B130)*100,"")</f>
        <v/>
      </c>
      <c r="D131" s="15">
        <f>IF(COUNT(C129:C131)=3,stdev.s(C129:C131),"")</f>
        <v/>
      </c>
      <c r="E131" s="15">
        <f>IF(COUNT(C120:C131)=12,stdev.s(C120:C131),"")</f>
        <v/>
      </c>
    </row>
    <row r="132" ht="15" customHeight="1" s="10">
      <c r="A132" s="15" t="inlineStr">
        <is>
          <t>2000M11</t>
        </is>
      </c>
      <c r="B132" s="15" t="n">
        <v>266.2973684</v>
      </c>
      <c r="C132" s="15">
        <f>IF(AND(B132&lt;&gt;"",B131&lt;&gt;""),LN(B132/B131)*100,"")</f>
        <v/>
      </c>
      <c r="D132" s="15">
        <f>IF(COUNT(C130:C132)=3,stdev.s(C130:C132),"")</f>
        <v/>
      </c>
      <c r="E132" s="15">
        <f>IF(COUNT(C121:C132)=12,stdev.s(C121:C132),"")</f>
        <v/>
      </c>
    </row>
    <row r="133" ht="15" customHeight="1" s="10">
      <c r="A133" s="15" t="inlineStr">
        <is>
          <t>2000M12</t>
        </is>
      </c>
      <c r="B133" s="15" t="n">
        <v>271.45</v>
      </c>
      <c r="C133" s="15">
        <f>IF(AND(B133&lt;&gt;"",B132&lt;&gt;""),LN(B133/B132)*100,"")</f>
        <v/>
      </c>
      <c r="D133" s="15">
        <f>IF(COUNT(C131:C133)=3,stdev.s(C131:C133),"")</f>
        <v/>
      </c>
      <c r="E133" s="15">
        <f>IF(COUNT(C122:C133)=12,stdev.s(C122:C133),"")</f>
        <v/>
      </c>
    </row>
    <row r="134" ht="15" customHeight="1" s="10">
      <c r="A134" s="15" t="inlineStr">
        <is>
          <t>2001M1</t>
        </is>
      </c>
      <c r="B134" s="15" t="n">
        <v>265.4863636</v>
      </c>
      <c r="C134" s="15">
        <f>IF(AND(B134&lt;&gt;"",B133&lt;&gt;""),LN(B134/B133)*100,"")</f>
        <v/>
      </c>
      <c r="D134" s="15">
        <f>IF(COUNT(C132:C134)=3,stdev.s(C132:C134),"")</f>
        <v/>
      </c>
      <c r="E134" s="15">
        <f>IF(COUNT(C123:C134)=12,stdev.s(C123:C134),"")</f>
        <v/>
      </c>
    </row>
    <row r="135" ht="15" customHeight="1" s="10">
      <c r="A135" s="15" t="inlineStr">
        <is>
          <t>2001M2</t>
        </is>
      </c>
      <c r="B135" s="15" t="n">
        <v>262.0894737</v>
      </c>
      <c r="C135" s="15">
        <f>IF(AND(B135&lt;&gt;"",B134&lt;&gt;""),LN(B135/B134)*100,"")</f>
        <v/>
      </c>
      <c r="D135" s="15">
        <f>IF(COUNT(C133:C135)=3,stdev.s(C133:C135),"")</f>
        <v/>
      </c>
      <c r="E135" s="15">
        <f>IF(COUNT(C124:C135)=12,stdev.s(C124:C135),"")</f>
        <v/>
      </c>
    </row>
    <row r="136" ht="15" customHeight="1" s="10">
      <c r="A136" s="15" t="inlineStr">
        <is>
          <t>2001M3</t>
        </is>
      </c>
      <c r="B136" s="15" t="n">
        <v>263.0272727</v>
      </c>
      <c r="C136" s="15">
        <f>IF(AND(B136&lt;&gt;"",B135&lt;&gt;""),LN(B136/B135)*100,"")</f>
        <v/>
      </c>
      <c r="D136" s="15">
        <f>IF(COUNT(C134:C136)=3,stdev.s(C134:C136),"")</f>
        <v/>
      </c>
      <c r="E136" s="15">
        <f>IF(COUNT(C125:C136)=12,stdev.s(C125:C136),"")</f>
        <v/>
      </c>
    </row>
    <row r="137" ht="15" customHeight="1" s="10">
      <c r="A137" s="15" t="inlineStr">
        <is>
          <t>2001M4</t>
        </is>
      </c>
      <c r="B137" s="15" t="n">
        <v>260.3305556</v>
      </c>
      <c r="C137" s="15">
        <f>IF(AND(B137&lt;&gt;"",B136&lt;&gt;""),LN(B137/B136)*100,"")</f>
        <v/>
      </c>
      <c r="D137" s="15">
        <f>IF(COUNT(C135:C137)=3,stdev.s(C135:C137),"")</f>
        <v/>
      </c>
      <c r="E137" s="15">
        <f>IF(COUNT(C126:C137)=12,stdev.s(C126:C137),"")</f>
        <v/>
      </c>
    </row>
    <row r="138" ht="15" customHeight="1" s="10">
      <c r="A138" s="15" t="inlineStr">
        <is>
          <t>2001M5</t>
        </is>
      </c>
      <c r="B138" s="15" t="n">
        <v>272.0931818</v>
      </c>
      <c r="C138" s="15">
        <f>IF(AND(B138&lt;&gt;"",B137&lt;&gt;""),LN(B138/B137)*100,"")</f>
        <v/>
      </c>
      <c r="D138" s="15">
        <f>IF(COUNT(C136:C138)=3,stdev.s(C136:C138),"")</f>
        <v/>
      </c>
      <c r="E138" s="15">
        <f>IF(COUNT(C127:C138)=12,stdev.s(C127:C138),"")</f>
        <v/>
      </c>
    </row>
    <row r="139" ht="15" customHeight="1" s="10">
      <c r="A139" s="15" t="inlineStr">
        <is>
          <t>2001M6</t>
        </is>
      </c>
      <c r="B139" s="15" t="n">
        <v>270.202381</v>
      </c>
      <c r="C139" s="15">
        <f>IF(AND(B139&lt;&gt;"",B138&lt;&gt;""),LN(B139/B138)*100,"")</f>
        <v/>
      </c>
      <c r="D139" s="15">
        <f>IF(COUNT(C137:C139)=3,stdev.s(C137:C139),"")</f>
        <v/>
      </c>
      <c r="E139" s="15">
        <f>IF(COUNT(C128:C139)=12,stdev.s(C128:C139),"")</f>
        <v/>
      </c>
    </row>
    <row r="140" ht="15" customHeight="1" s="10">
      <c r="A140" s="15" t="inlineStr">
        <is>
          <t>2001M7</t>
        </is>
      </c>
      <c r="B140" s="15" t="n">
        <v>267.5261905</v>
      </c>
      <c r="C140" s="15">
        <f>IF(AND(B140&lt;&gt;"",B139&lt;&gt;""),LN(B140/B139)*100,"")</f>
        <v/>
      </c>
      <c r="D140" s="15">
        <f>IF(COUNT(C138:C140)=3,stdev.s(C138:C140),"")</f>
        <v/>
      </c>
      <c r="E140" s="15">
        <f>IF(COUNT(C129:C140)=12,stdev.s(C129:C140),"")</f>
        <v/>
      </c>
    </row>
    <row r="141" ht="15" customHeight="1" s="10">
      <c r="A141" s="15" t="inlineStr">
        <is>
          <t>2001M8</t>
        </is>
      </c>
      <c r="B141" s="15" t="n">
        <v>272.0921053</v>
      </c>
      <c r="C141" s="15">
        <f>IF(AND(B141&lt;&gt;"",B140&lt;&gt;""),LN(B141/B140)*100,"")</f>
        <v/>
      </c>
      <c r="D141" s="15">
        <f>IF(COUNT(C139:C141)=3,stdev.s(C139:C141),"")</f>
        <v/>
      </c>
      <c r="E141" s="15">
        <f>IF(COUNT(C130:C141)=12,stdev.s(C130:C141),"")</f>
        <v/>
      </c>
    </row>
    <row r="142" ht="15" customHeight="1" s="10">
      <c r="A142" s="15" t="inlineStr">
        <is>
          <t>2001M9</t>
        </is>
      </c>
      <c r="B142" s="15" t="n">
        <v>284.4723529</v>
      </c>
      <c r="C142" s="15">
        <f>IF(AND(B142&lt;&gt;"",B141&lt;&gt;""),LN(B142/B141)*100,"")</f>
        <v/>
      </c>
      <c r="D142" s="15">
        <f>IF(COUNT(C140:C142)=3,stdev.s(C140:C142),"")</f>
        <v/>
      </c>
      <c r="E142" s="15">
        <f>IF(COUNT(C131:C142)=12,stdev.s(C131:C142),"")</f>
        <v/>
      </c>
    </row>
    <row r="143" ht="15" customHeight="1" s="10">
      <c r="A143" s="15" t="inlineStr">
        <is>
          <t>2001M10</t>
        </is>
      </c>
      <c r="B143" s="15" t="n">
        <v>282.2671429</v>
      </c>
      <c r="C143" s="15">
        <f>IF(AND(B143&lt;&gt;"",B142&lt;&gt;""),LN(B143/B142)*100,"")</f>
        <v/>
      </c>
      <c r="D143" s="15">
        <f>IF(COUNT(C141:C143)=3,stdev.s(C141:C143),"")</f>
        <v/>
      </c>
      <c r="E143" s="15">
        <f>IF(COUNT(C132:C143)=12,stdev.s(C132:C143),"")</f>
        <v/>
      </c>
    </row>
    <row r="144" ht="15" customHeight="1" s="10">
      <c r="A144" s="15" t="inlineStr">
        <is>
          <t>2001M11</t>
        </is>
      </c>
      <c r="B144" s="15" t="n">
        <v>277.184375</v>
      </c>
      <c r="C144" s="15">
        <f>IF(AND(B144&lt;&gt;"",B143&lt;&gt;""),LN(B144/B143)*100,"")</f>
        <v/>
      </c>
      <c r="D144" s="15">
        <f>IF(COUNT(C142:C144)=3,stdev.s(C142:C144),"")</f>
        <v/>
      </c>
      <c r="E144" s="15">
        <f>IF(COUNT(C133:C144)=12,stdev.s(C133:C144),"")</f>
        <v/>
      </c>
    </row>
    <row r="145" ht="15" customHeight="1" s="10">
      <c r="A145" s="15" t="inlineStr">
        <is>
          <t>2001M12</t>
        </is>
      </c>
      <c r="B145" s="15" t="n">
        <v>275.8357143</v>
      </c>
      <c r="C145" s="15">
        <f>IF(AND(B145&lt;&gt;"",B144&lt;&gt;""),LN(B145/B144)*100,"")</f>
        <v/>
      </c>
      <c r="D145" s="15">
        <f>IF(COUNT(C143:C145)=3,stdev.s(C143:C145),"")</f>
        <v/>
      </c>
      <c r="E145" s="15">
        <f>IF(COUNT(C134:C145)=12,stdev.s(C134:C145),"")</f>
        <v/>
      </c>
    </row>
    <row r="146" ht="15" customHeight="1" s="10">
      <c r="A146" s="15" t="inlineStr">
        <is>
          <t>2002M1</t>
        </is>
      </c>
      <c r="B146" s="15" t="n">
        <v>281</v>
      </c>
      <c r="C146" s="15">
        <f>IF(AND(B146&lt;&gt;"",B145&lt;&gt;""),LN(B146/B145)*100,"")</f>
        <v/>
      </c>
      <c r="D146" s="15">
        <f>IF(COUNT(C144:C146)=3,stdev.s(C144:C146),"")</f>
        <v/>
      </c>
      <c r="E146" s="15">
        <f>IF(COUNT(C135:C146)=12,stdev.s(C135:C146),"")</f>
        <v/>
      </c>
    </row>
    <row r="147" ht="15" customHeight="1" s="10">
      <c r="A147" s="15" t="inlineStr">
        <is>
          <t>2002M2</t>
        </is>
      </c>
      <c r="B147" s="15" t="n">
        <v>295.2875</v>
      </c>
      <c r="C147" s="15">
        <f>IF(AND(B147&lt;&gt;"",B146&lt;&gt;""),LN(B147/B146)*100,"")</f>
        <v/>
      </c>
      <c r="D147" s="15">
        <f>IF(COUNT(C145:C147)=3,stdev.s(C145:C147),"")</f>
        <v/>
      </c>
      <c r="E147" s="15">
        <f>IF(COUNT(C136:C147)=12,stdev.s(C136:C147),"")</f>
        <v/>
      </c>
    </row>
    <row r="148" ht="15" customHeight="1" s="10">
      <c r="A148" s="15" t="inlineStr">
        <is>
          <t>2002M3</t>
        </is>
      </c>
      <c r="B148" s="15" t="n">
        <v>294.0475</v>
      </c>
      <c r="C148" s="15">
        <f>IF(AND(B148&lt;&gt;"",B147&lt;&gt;""),LN(B148/B147)*100,"")</f>
        <v/>
      </c>
      <c r="D148" s="15">
        <f>IF(COUNT(C146:C148)=3,stdev.s(C146:C148),"")</f>
        <v/>
      </c>
      <c r="E148" s="15">
        <f>IF(COUNT(C137:C148)=12,stdev.s(C137:C148),"")</f>
        <v/>
      </c>
    </row>
    <row r="149" ht="15" customHeight="1" s="10">
      <c r="A149" s="15" t="inlineStr">
        <is>
          <t>2002M4</t>
        </is>
      </c>
      <c r="B149" s="15" t="n">
        <v>302.6833333</v>
      </c>
      <c r="C149" s="15">
        <f>IF(AND(B149&lt;&gt;"",B148&lt;&gt;""),LN(B149/B148)*100,"")</f>
        <v/>
      </c>
      <c r="D149" s="15">
        <f>IF(COUNT(C147:C149)=3,stdev.s(C147:C149),"")</f>
        <v/>
      </c>
      <c r="E149" s="15">
        <f>IF(COUNT(C138:C149)=12,stdev.s(C138:C149),"")</f>
        <v/>
      </c>
    </row>
    <row r="150" ht="15" customHeight="1" s="10">
      <c r="A150" s="15" t="inlineStr">
        <is>
          <t>2002M5</t>
        </is>
      </c>
      <c r="B150" s="15" t="n">
        <v>314.4931818</v>
      </c>
      <c r="C150" s="15">
        <f>IF(AND(B150&lt;&gt;"",B149&lt;&gt;""),LN(B150/B149)*100,"")</f>
        <v/>
      </c>
      <c r="D150" s="15">
        <f>IF(COUNT(C148:C150)=3,stdev.s(C148:C150),"")</f>
        <v/>
      </c>
      <c r="E150" s="15">
        <f>IF(COUNT(C139:C150)=12,stdev.s(C139:C150),"")</f>
        <v/>
      </c>
    </row>
    <row r="151" ht="15" customHeight="1" s="10">
      <c r="A151" s="15" t="inlineStr">
        <is>
          <t>2002M6</t>
        </is>
      </c>
      <c r="B151" s="15" t="n">
        <v>321.1777778</v>
      </c>
      <c r="C151" s="15">
        <f>IF(AND(B151&lt;&gt;"",B150&lt;&gt;""),LN(B151/B150)*100,"")</f>
        <v/>
      </c>
      <c r="D151" s="15">
        <f>IF(COUNT(C149:C151)=3,stdev.s(C149:C151),"")</f>
        <v/>
      </c>
      <c r="E151" s="15">
        <f>IF(COUNT(C140:C151)=12,stdev.s(C140:C151),"")</f>
        <v/>
      </c>
    </row>
    <row r="152" ht="15" customHeight="1" s="10">
      <c r="A152" s="15" t="inlineStr">
        <is>
          <t>2002M7</t>
        </is>
      </c>
      <c r="B152" s="15" t="n">
        <v>313.2913043</v>
      </c>
      <c r="C152" s="15">
        <f>IF(AND(B152&lt;&gt;"",B151&lt;&gt;""),LN(B152/B151)*100,"")</f>
        <v/>
      </c>
      <c r="D152" s="15">
        <f>IF(COUNT(C150:C152)=3,stdev.s(C150:C152),"")</f>
        <v/>
      </c>
      <c r="E152" s="15">
        <f>IF(COUNT(C141:C152)=12,stdev.s(C141:C152),"")</f>
        <v/>
      </c>
    </row>
    <row r="153" ht="15" customHeight="1" s="10">
      <c r="A153" s="15" t="inlineStr">
        <is>
          <t>2002M8</t>
        </is>
      </c>
      <c r="B153" s="15" t="n">
        <v>310.2809524</v>
      </c>
      <c r="C153" s="15">
        <f>IF(AND(B153&lt;&gt;"",B152&lt;&gt;""),LN(B153/B152)*100,"")</f>
        <v/>
      </c>
      <c r="D153" s="15">
        <f>IF(COUNT(C151:C153)=3,stdev.s(C151:C153),"")</f>
        <v/>
      </c>
      <c r="E153" s="15">
        <f>IF(COUNT(C142:C153)=12,stdev.s(C142:C153),"")</f>
        <v/>
      </c>
    </row>
    <row r="154" ht="15" customHeight="1" s="10">
      <c r="A154" s="15" t="inlineStr">
        <is>
          <t>2002M9</t>
        </is>
      </c>
      <c r="B154" s="15" t="n">
        <v>319.1357143</v>
      </c>
      <c r="C154" s="15">
        <f>IF(AND(B154&lt;&gt;"",B153&lt;&gt;""),LN(B154/B153)*100,"")</f>
        <v/>
      </c>
      <c r="D154" s="15">
        <f>IF(COUNT(C152:C154)=3,stdev.s(C152:C154),"")</f>
        <v/>
      </c>
      <c r="E154" s="15">
        <f>IF(COUNT(C143:C154)=12,stdev.s(C143:C154),"")</f>
        <v/>
      </c>
    </row>
    <row r="155" ht="15" customHeight="1" s="10">
      <c r="A155" s="15" t="inlineStr">
        <is>
          <t>2002M10</t>
        </is>
      </c>
      <c r="B155" s="15" t="n">
        <v>316.5565217</v>
      </c>
      <c r="C155" s="15">
        <f>IF(AND(B155&lt;&gt;"",B154&lt;&gt;""),LN(B155/B154)*100,"")</f>
        <v/>
      </c>
      <c r="D155" s="15">
        <f>IF(COUNT(C153:C155)=3,stdev.s(C153:C155),"")</f>
        <v/>
      </c>
      <c r="E155" s="15">
        <f>IF(COUNT(C144:C155)=12,stdev.s(C144:C155),"")</f>
        <v/>
      </c>
    </row>
    <row r="156" ht="15" customHeight="1" s="10">
      <c r="A156" s="15" t="inlineStr">
        <is>
          <t>2002M11</t>
        </is>
      </c>
      <c r="B156" s="15" t="n">
        <v>320.4357143</v>
      </c>
      <c r="C156" s="15">
        <f>IF(AND(B156&lt;&gt;"",B155&lt;&gt;""),LN(B156/B155)*100,"")</f>
        <v/>
      </c>
      <c r="D156" s="15">
        <f>IF(COUNT(C154:C156)=3,stdev.s(C154:C156),"")</f>
        <v/>
      </c>
      <c r="E156" s="15">
        <f>IF(COUNT(C145:C156)=12,stdev.s(C145:C156),"")</f>
        <v/>
      </c>
    </row>
    <row r="157" ht="15" customHeight="1" s="10">
      <c r="A157" s="15" t="inlineStr">
        <is>
          <t>2002M12</t>
        </is>
      </c>
      <c r="B157" s="15" t="n">
        <v>332.0361111</v>
      </c>
      <c r="C157" s="15">
        <f>IF(AND(B157&lt;&gt;"",B156&lt;&gt;""),LN(B157/B156)*100,"")</f>
        <v/>
      </c>
      <c r="D157" s="15">
        <f>IF(COUNT(C155:C157)=3,stdev.s(C155:C157),"")</f>
        <v/>
      </c>
      <c r="E157" s="15">
        <f>IF(COUNT(C146:C157)=12,stdev.s(C146:C157),"")</f>
        <v/>
      </c>
    </row>
    <row r="158" ht="15" customHeight="1" s="10">
      <c r="A158" s="15" t="inlineStr">
        <is>
          <t>2003M1</t>
        </is>
      </c>
      <c r="B158" s="15" t="n">
        <v>356.859090909091</v>
      </c>
      <c r="C158" s="15">
        <f>IF(AND(B158&lt;&gt;"",B157&lt;&gt;""),LN(B158/B157)*100,"")</f>
        <v/>
      </c>
      <c r="D158" s="15">
        <f>IF(COUNT(C156:C158)=3,stdev.s(C156:C158),"")</f>
        <v/>
      </c>
      <c r="E158" s="15">
        <f>IF(COUNT(C147:C158)=12,stdev.s(C147:C158),"")</f>
        <v/>
      </c>
    </row>
    <row r="159" ht="15" customHeight="1" s="10">
      <c r="A159" s="15" t="inlineStr">
        <is>
          <t>2003M2</t>
        </is>
      </c>
      <c r="B159" s="15" t="n">
        <v>358.97</v>
      </c>
      <c r="C159" s="15">
        <f>IF(AND(B159&lt;&gt;"",B158&lt;&gt;""),LN(B159/B158)*100,"")</f>
        <v/>
      </c>
      <c r="D159" s="15">
        <f>IF(COUNT(C157:C159)=3,stdev.s(C157:C159),"")</f>
        <v/>
      </c>
      <c r="E159" s="15">
        <f>IF(COUNT(C148:C159)=12,stdev.s(C148:C159),"")</f>
        <v/>
      </c>
    </row>
    <row r="160" ht="15" customHeight="1" s="10">
      <c r="A160" s="15" t="inlineStr">
        <is>
          <t>2003M3</t>
        </is>
      </c>
      <c r="B160" s="15" t="n">
        <v>340.55</v>
      </c>
      <c r="C160" s="15">
        <f>IF(AND(B160&lt;&gt;"",B159&lt;&gt;""),LN(B160/B159)*100,"")</f>
        <v/>
      </c>
      <c r="D160" s="15">
        <f>IF(COUNT(C158:C160)=3,stdev.s(C158:C160),"")</f>
        <v/>
      </c>
      <c r="E160" s="15">
        <f>IF(COUNT(C149:C160)=12,stdev.s(C149:C160),"")</f>
        <v/>
      </c>
    </row>
    <row r="161" ht="15" customHeight="1" s="10">
      <c r="A161" s="15" t="inlineStr">
        <is>
          <t>2003M4</t>
        </is>
      </c>
      <c r="B161" s="15" t="n">
        <v>328.18</v>
      </c>
      <c r="C161" s="15">
        <f>IF(AND(B161&lt;&gt;"",B160&lt;&gt;""),LN(B161/B160)*100,"")</f>
        <v/>
      </c>
      <c r="D161" s="15">
        <f>IF(COUNT(C159:C161)=3,stdev.s(C159:C161),"")</f>
        <v/>
      </c>
      <c r="E161" s="15">
        <f>IF(COUNT(C150:C161)=12,stdev.s(C150:C161),"")</f>
        <v/>
      </c>
    </row>
    <row r="162" ht="15" customHeight="1" s="10">
      <c r="A162" s="15" t="inlineStr">
        <is>
          <t>2003M5</t>
        </is>
      </c>
      <c r="B162" s="15" t="n">
        <v>355.6825</v>
      </c>
      <c r="C162" s="15">
        <f>IF(AND(B162&lt;&gt;"",B161&lt;&gt;""),LN(B162/B161)*100,"")</f>
        <v/>
      </c>
      <c r="D162" s="15">
        <f>IF(COUNT(C160:C162)=3,stdev.s(C160:C162),"")</f>
        <v/>
      </c>
      <c r="E162" s="15">
        <f>IF(COUNT(C151:C162)=12,stdev.s(C151:C162),"")</f>
        <v/>
      </c>
    </row>
    <row r="163" ht="15" customHeight="1" s="10">
      <c r="A163" s="15" t="inlineStr">
        <is>
          <t>2003M6</t>
        </is>
      </c>
      <c r="B163" s="15" t="n">
        <v>356.352380952381</v>
      </c>
      <c r="C163" s="15">
        <f>IF(AND(B163&lt;&gt;"",B162&lt;&gt;""),LN(B163/B162)*100,"")</f>
        <v/>
      </c>
      <c r="D163" s="15">
        <f>IF(COUNT(C161:C163)=3,stdev.s(C161:C163),"")</f>
        <v/>
      </c>
      <c r="E163" s="15">
        <f>IF(COUNT(C152:C163)=12,stdev.s(C152:C163),"")</f>
        <v/>
      </c>
    </row>
    <row r="164" ht="15" customHeight="1" s="10">
      <c r="A164" s="15" t="inlineStr">
        <is>
          <t>2003M7</t>
        </is>
      </c>
      <c r="B164" s="15" t="n">
        <v>351.019565217391</v>
      </c>
      <c r="C164" s="15">
        <f>IF(AND(B164&lt;&gt;"",B163&lt;&gt;""),LN(B164/B163)*100,"")</f>
        <v/>
      </c>
      <c r="D164" s="15">
        <f>IF(COUNT(C162:C164)=3,stdev.s(C162:C164),"")</f>
        <v/>
      </c>
      <c r="E164" s="15">
        <f>IF(COUNT(C153:C164)=12,stdev.s(C153:C164),"")</f>
        <v/>
      </c>
    </row>
    <row r="165" ht="15" customHeight="1" s="10">
      <c r="A165" s="15" t="inlineStr">
        <is>
          <t>2003M8</t>
        </is>
      </c>
      <c r="B165" s="15" t="n">
        <v>359.7675</v>
      </c>
      <c r="C165" s="15">
        <f>IF(AND(B165&lt;&gt;"",B164&lt;&gt;""),LN(B165/B164)*100,"")</f>
        <v/>
      </c>
      <c r="D165" s="15">
        <f>IF(COUNT(C163:C165)=3,stdev.s(C163:C165),"")</f>
        <v/>
      </c>
      <c r="E165" s="15">
        <f>IF(COUNT(C154:C165)=12,stdev.s(C154:C165),"")</f>
        <v/>
      </c>
    </row>
    <row r="166" ht="15" customHeight="1" s="10">
      <c r="A166" s="15" t="inlineStr">
        <is>
          <t>2003M9</t>
        </is>
      </c>
      <c r="B166" s="15" t="n">
        <v>378.945454545455</v>
      </c>
      <c r="C166" s="15">
        <f>IF(AND(B166&lt;&gt;"",B165&lt;&gt;""),LN(B166/B165)*100,"")</f>
        <v/>
      </c>
      <c r="D166" s="15">
        <f>IF(COUNT(C164:C166)=3,stdev.s(C164:C166),"")</f>
        <v/>
      </c>
      <c r="E166" s="15">
        <f>IF(COUNT(C155:C166)=12,stdev.s(C155:C166),"")</f>
        <v/>
      </c>
    </row>
    <row r="167" ht="15" customHeight="1" s="10">
      <c r="A167" s="15" t="inlineStr">
        <is>
          <t>2003M10</t>
        </is>
      </c>
      <c r="B167" s="15" t="n">
        <v>378.919565217391</v>
      </c>
      <c r="C167" s="15">
        <f>IF(AND(B167&lt;&gt;"",B166&lt;&gt;""),LN(B167/B166)*100,"")</f>
        <v/>
      </c>
      <c r="D167" s="15">
        <f>IF(COUNT(C165:C167)=3,stdev.s(C165:C167),"")</f>
        <v/>
      </c>
      <c r="E167" s="15">
        <f>IF(COUNT(C156:C167)=12,stdev.s(C156:C167),"")</f>
        <v/>
      </c>
    </row>
    <row r="168" ht="15" customHeight="1" s="10">
      <c r="A168" s="15" t="inlineStr">
        <is>
          <t>2003M11</t>
        </is>
      </c>
      <c r="B168" s="15" t="n">
        <v>389.91</v>
      </c>
      <c r="C168" s="15">
        <f>IF(AND(B168&lt;&gt;"",B167&lt;&gt;""),LN(B168/B167)*100,"")</f>
        <v/>
      </c>
      <c r="D168" s="15">
        <f>IF(COUNT(C166:C168)=3,stdev.s(C166:C168),"")</f>
        <v/>
      </c>
      <c r="E168" s="15">
        <f>IF(COUNT(C157:C168)=12,stdev.s(C157:C168),"")</f>
        <v/>
      </c>
    </row>
    <row r="169" ht="15" customHeight="1" s="10">
      <c r="A169" s="15" t="inlineStr">
        <is>
          <t>2003M12</t>
        </is>
      </c>
      <c r="B169" s="15" t="n">
        <v>406.952631578947</v>
      </c>
      <c r="C169" s="15">
        <f>IF(AND(B169&lt;&gt;"",B168&lt;&gt;""),LN(B169/B168)*100,"")</f>
        <v/>
      </c>
      <c r="D169" s="15">
        <f>IF(COUNT(C167:C169)=3,stdev.s(C167:C169),"")</f>
        <v/>
      </c>
      <c r="E169" s="15">
        <f>IF(COUNT(C158:C169)=12,stdev.s(C158:C169),"")</f>
        <v/>
      </c>
    </row>
    <row r="170" ht="15" customHeight="1" s="10">
      <c r="A170" s="15" t="inlineStr">
        <is>
          <t>2004M1</t>
        </is>
      </c>
      <c r="B170" s="15" t="n">
        <v>413.788095238095</v>
      </c>
      <c r="C170" s="15">
        <f>IF(AND(B170&lt;&gt;"",B169&lt;&gt;""),LN(B170/B169)*100,"")</f>
        <v/>
      </c>
      <c r="D170" s="15">
        <f>IF(COUNT(C168:C170)=3,stdev.s(C168:C170),"")</f>
        <v/>
      </c>
      <c r="E170" s="15">
        <f>IF(COUNT(C159:C170)=12,stdev.s(C159:C170),"")</f>
        <v/>
      </c>
    </row>
    <row r="171" ht="15" customHeight="1" s="10">
      <c r="A171" s="15" t="inlineStr">
        <is>
          <t>2004M2</t>
        </is>
      </c>
      <c r="B171" s="15" t="n">
        <v>404.8775</v>
      </c>
      <c r="C171" s="15">
        <f>IF(AND(B171&lt;&gt;"",B170&lt;&gt;""),LN(B171/B170)*100,"")</f>
        <v/>
      </c>
      <c r="D171" s="15">
        <f>IF(COUNT(C169:C171)=3,stdev.s(C169:C171),"")</f>
        <v/>
      </c>
      <c r="E171" s="15">
        <f>IF(COUNT(C160:C171)=12,stdev.s(C160:C171),"")</f>
        <v/>
      </c>
    </row>
    <row r="172" ht="15" customHeight="1" s="10">
      <c r="A172" s="15" t="inlineStr">
        <is>
          <t>2004M3</t>
        </is>
      </c>
      <c r="B172" s="15" t="n">
        <v>406.667391304348</v>
      </c>
      <c r="C172" s="15">
        <f>IF(AND(B172&lt;&gt;"",B171&lt;&gt;""),LN(B172/B171)*100,"")</f>
        <v/>
      </c>
      <c r="D172" s="15">
        <f>IF(COUNT(C170:C172)=3,stdev.s(C170:C172),"")</f>
        <v/>
      </c>
      <c r="E172" s="15">
        <f>IF(COUNT(C161:C172)=12,stdev.s(C161:C172),"")</f>
        <v/>
      </c>
    </row>
    <row r="173" ht="15" customHeight="1" s="10">
      <c r="A173" s="15" t="inlineStr">
        <is>
          <t>2004M4</t>
        </is>
      </c>
      <c r="B173" s="15" t="n">
        <v>403.26</v>
      </c>
      <c r="C173" s="15">
        <f>IF(AND(B173&lt;&gt;"",B172&lt;&gt;""),LN(B173/B172)*100,"")</f>
        <v/>
      </c>
      <c r="D173" s="15">
        <f>IF(COUNT(C171:C173)=3,stdev.s(C171:C173),"")</f>
        <v/>
      </c>
      <c r="E173" s="15">
        <f>IF(COUNT(C162:C173)=12,stdev.s(C162:C173),"")</f>
        <v/>
      </c>
    </row>
    <row r="174" ht="15" customHeight="1" s="10">
      <c r="A174" s="15" t="inlineStr">
        <is>
          <t>2004M5</t>
        </is>
      </c>
      <c r="B174" s="15" t="n">
        <v>383.778947368421</v>
      </c>
      <c r="C174" s="15">
        <f>IF(AND(B174&lt;&gt;"",B173&lt;&gt;""),LN(B174/B173)*100,"")</f>
        <v/>
      </c>
      <c r="D174" s="15">
        <f>IF(COUNT(C172:C174)=3,stdev.s(C172:C174),"")</f>
        <v/>
      </c>
      <c r="E174" s="15">
        <f>IF(COUNT(C163:C174)=12,stdev.s(C163:C174),"")</f>
        <v/>
      </c>
    </row>
    <row r="175" ht="15" customHeight="1" s="10">
      <c r="A175" s="15" t="inlineStr">
        <is>
          <t>2004M6</t>
        </is>
      </c>
      <c r="B175" s="15" t="n">
        <v>392.372727272727</v>
      </c>
      <c r="C175" s="15">
        <f>IF(AND(B175&lt;&gt;"",B174&lt;&gt;""),LN(B175/B174)*100,"")</f>
        <v/>
      </c>
      <c r="D175" s="15">
        <f>IF(COUNT(C173:C175)=3,stdev.s(C173:C175),"")</f>
        <v/>
      </c>
      <c r="E175" s="15">
        <f>IF(COUNT(C164:C175)=12,stdev.s(C164:C175),"")</f>
        <v/>
      </c>
    </row>
    <row r="176" ht="15" customHeight="1" s="10">
      <c r="A176" s="15" t="inlineStr">
        <is>
          <t>2004M7</t>
        </is>
      </c>
      <c r="B176" s="15" t="n">
        <v>398.090909090909</v>
      </c>
      <c r="C176" s="15">
        <f>IF(AND(B176&lt;&gt;"",B175&lt;&gt;""),LN(B176/B175)*100,"")</f>
        <v/>
      </c>
      <c r="D176" s="15">
        <f>IF(COUNT(C174:C176)=3,stdev.s(C174:C176),"")</f>
        <v/>
      </c>
      <c r="E176" s="15">
        <f>IF(COUNT(C165:C176)=12,stdev.s(C165:C176),"")</f>
        <v/>
      </c>
    </row>
    <row r="177" ht="15" customHeight="1" s="10">
      <c r="A177" s="15" t="inlineStr">
        <is>
          <t>2004M8</t>
        </is>
      </c>
      <c r="B177" s="15" t="n">
        <v>400.509523809524</v>
      </c>
      <c r="C177" s="15">
        <f>IF(AND(B177&lt;&gt;"",B176&lt;&gt;""),LN(B177/B176)*100,"")</f>
        <v/>
      </c>
      <c r="D177" s="15">
        <f>IF(COUNT(C175:C177)=3,stdev.s(C175:C177),"")</f>
        <v/>
      </c>
      <c r="E177" s="15">
        <f>IF(COUNT(C166:C177)=12,stdev.s(C166:C177),"")</f>
        <v/>
      </c>
    </row>
    <row r="178" ht="15" customHeight="1" s="10">
      <c r="A178" s="15" t="inlineStr">
        <is>
          <t>2004M9</t>
        </is>
      </c>
      <c r="B178" s="15" t="n">
        <v>405.275</v>
      </c>
      <c r="C178" s="15">
        <f>IF(AND(B178&lt;&gt;"",B177&lt;&gt;""),LN(B178/B177)*100,"")</f>
        <v/>
      </c>
      <c r="D178" s="15">
        <f>IF(COUNT(C176:C178)=3,stdev.s(C176:C178),"")</f>
        <v/>
      </c>
      <c r="E178" s="15">
        <f>IF(COUNT(C167:C178)=12,stdev.s(C167:C178),"")</f>
        <v/>
      </c>
    </row>
    <row r="179" ht="15" customHeight="1" s="10">
      <c r="A179" s="15" t="inlineStr">
        <is>
          <t>2004M10</t>
        </is>
      </c>
      <c r="B179" s="15" t="n">
        <v>420.464285714286</v>
      </c>
      <c r="C179" s="15">
        <f>IF(AND(B179&lt;&gt;"",B178&lt;&gt;""),LN(B179/B178)*100,"")</f>
        <v/>
      </c>
      <c r="D179" s="15">
        <f>IF(COUNT(C177:C179)=3,stdev.s(C177:C179),"")</f>
        <v/>
      </c>
      <c r="E179" s="15">
        <f>IF(COUNT(C168:C179)=12,stdev.s(C168:C179),"")</f>
        <v/>
      </c>
    </row>
    <row r="180" ht="15" customHeight="1" s="10">
      <c r="A180" s="15" t="inlineStr">
        <is>
          <t>2004M11</t>
        </is>
      </c>
      <c r="B180" s="15" t="n">
        <v>439.375</v>
      </c>
      <c r="C180" s="15">
        <f>IF(AND(B180&lt;&gt;"",B179&lt;&gt;""),LN(B180/B179)*100,"")</f>
        <v/>
      </c>
      <c r="D180" s="15">
        <f>IF(COUNT(C178:C180)=3,stdev.s(C178:C180),"")</f>
        <v/>
      </c>
      <c r="E180" s="15">
        <f>IF(COUNT(C169:C180)=12,stdev.s(C169:C180),"")</f>
        <v/>
      </c>
    </row>
    <row r="181" ht="15" customHeight="1" s="10">
      <c r="A181" s="15" t="inlineStr">
        <is>
          <t>2004M12</t>
        </is>
      </c>
      <c r="B181" s="15" t="n">
        <v>442.078947368421</v>
      </c>
      <c r="C181" s="15">
        <f>IF(AND(B181&lt;&gt;"",B180&lt;&gt;""),LN(B181/B180)*100,"")</f>
        <v/>
      </c>
      <c r="D181" s="15">
        <f>IF(COUNT(C179:C181)=3,stdev.s(C179:C181),"")</f>
        <v/>
      </c>
      <c r="E181" s="15">
        <f>IF(COUNT(C170:C181)=12,stdev.s(C170:C181),"")</f>
        <v/>
      </c>
    </row>
    <row r="182" ht="15" customHeight="1" s="10">
      <c r="A182" s="15" t="inlineStr">
        <is>
          <t>2005M1</t>
        </is>
      </c>
      <c r="B182" s="15" t="n">
        <v>424.03</v>
      </c>
      <c r="C182" s="15">
        <f>IF(AND(B182&lt;&gt;"",B181&lt;&gt;""),LN(B182/B181)*100,"")</f>
        <v/>
      </c>
      <c r="D182" s="15">
        <f>IF(COUNT(C180:C182)=3,stdev.s(C180:C182),"")</f>
        <v/>
      </c>
      <c r="E182" s="15">
        <f>IF(COUNT(C171:C182)=12,stdev.s(C171:C182),"")</f>
        <v/>
      </c>
    </row>
    <row r="183" ht="15" customHeight="1" s="10">
      <c r="A183" s="15" t="inlineStr">
        <is>
          <t>2005M2</t>
        </is>
      </c>
      <c r="B183" s="15" t="n">
        <v>423.35</v>
      </c>
      <c r="C183" s="15">
        <f>IF(AND(B183&lt;&gt;"",B182&lt;&gt;""),LN(B183/B182)*100,"")</f>
        <v/>
      </c>
      <c r="D183" s="15">
        <f>IF(COUNT(C181:C183)=3,stdev.s(C181:C183),"")</f>
        <v/>
      </c>
      <c r="E183" s="15">
        <f>IF(COUNT(C172:C183)=12,stdev.s(C172:C183),"")</f>
        <v/>
      </c>
    </row>
    <row r="184" ht="15" customHeight="1" s="10">
      <c r="A184" s="15" t="inlineStr">
        <is>
          <t>2005M3</t>
        </is>
      </c>
      <c r="B184" s="15" t="n">
        <v>434.321428571429</v>
      </c>
      <c r="C184" s="15">
        <f>IF(AND(B184&lt;&gt;"",B183&lt;&gt;""),LN(B184/B183)*100,"")</f>
        <v/>
      </c>
      <c r="D184" s="15">
        <f>IF(COUNT(C182:C184)=3,stdev.s(C182:C184),"")</f>
        <v/>
      </c>
      <c r="E184" s="15">
        <f>IF(COUNT(C173:C184)=12,stdev.s(C173:C184),"")</f>
        <v/>
      </c>
    </row>
    <row r="185" ht="15" customHeight="1" s="10">
      <c r="A185" s="15" t="inlineStr">
        <is>
          <t>2005M4</t>
        </is>
      </c>
      <c r="B185" s="15" t="n">
        <v>429.233333333333</v>
      </c>
      <c r="C185" s="15">
        <f>IF(AND(B185&lt;&gt;"",B184&lt;&gt;""),LN(B185/B184)*100,"")</f>
        <v/>
      </c>
      <c r="D185" s="15">
        <f>IF(COUNT(C183:C185)=3,stdev.s(C183:C185),"")</f>
        <v/>
      </c>
      <c r="E185" s="15">
        <f>IF(COUNT(C174:C185)=12,stdev.s(C174:C185),"")</f>
        <v/>
      </c>
    </row>
    <row r="186" ht="15" customHeight="1" s="10">
      <c r="A186" s="15" t="inlineStr">
        <is>
          <t>2005M5</t>
        </is>
      </c>
      <c r="B186" s="15" t="n">
        <v>421.8725</v>
      </c>
      <c r="C186" s="15">
        <f>IF(AND(B186&lt;&gt;"",B185&lt;&gt;""),LN(B186/B185)*100,"")</f>
        <v/>
      </c>
      <c r="D186" s="15">
        <f>IF(COUNT(C184:C186)=3,stdev.s(C184:C186),"")</f>
        <v/>
      </c>
      <c r="E186" s="15">
        <f>IF(COUNT(C175:C186)=12,stdev.s(C175:C186),"")</f>
        <v/>
      </c>
    </row>
    <row r="187" ht="15" customHeight="1" s="10">
      <c r="A187" s="15" t="inlineStr">
        <is>
          <t>2005M6</t>
        </is>
      </c>
      <c r="B187" s="15" t="n">
        <v>430.656818181818</v>
      </c>
      <c r="C187" s="15">
        <f>IF(AND(B187&lt;&gt;"",B186&lt;&gt;""),LN(B187/B186)*100,"")</f>
        <v/>
      </c>
      <c r="D187" s="15">
        <f>IF(COUNT(C185:C187)=3,stdev.s(C185:C187),"")</f>
        <v/>
      </c>
      <c r="E187" s="15">
        <f>IF(COUNT(C176:C187)=12,stdev.s(C176:C187),"")</f>
        <v/>
      </c>
    </row>
    <row r="188" ht="15" customHeight="1" s="10">
      <c r="A188" s="15" t="inlineStr">
        <is>
          <t>2005M7</t>
        </is>
      </c>
      <c r="B188" s="15" t="n">
        <v>424.478571428571</v>
      </c>
      <c r="C188" s="15">
        <f>IF(AND(B188&lt;&gt;"",B187&lt;&gt;""),LN(B188/B187)*100,"")</f>
        <v/>
      </c>
      <c r="D188" s="15">
        <f>IF(COUNT(C186:C188)=3,stdev.s(C186:C188),"")</f>
        <v/>
      </c>
      <c r="E188" s="15">
        <f>IF(COUNT(C177:C188)=12,stdev.s(C177:C188),"")</f>
        <v/>
      </c>
    </row>
    <row r="189" ht="15" customHeight="1" s="10">
      <c r="A189" s="15" t="inlineStr">
        <is>
          <t>2005M8</t>
        </is>
      </c>
      <c r="B189" s="15" t="n">
        <v>437.929545454545</v>
      </c>
      <c r="C189" s="15">
        <f>IF(AND(B189&lt;&gt;"",B188&lt;&gt;""),LN(B189/B188)*100,"")</f>
        <v/>
      </c>
      <c r="D189" s="15">
        <f>IF(COUNT(C187:C189)=3,stdev.s(C187:C189),"")</f>
        <v/>
      </c>
      <c r="E189" s="15">
        <f>IF(COUNT(C178:C189)=12,stdev.s(C178:C189),"")</f>
        <v/>
      </c>
    </row>
    <row r="190" ht="15" customHeight="1" s="10">
      <c r="A190" s="15" t="inlineStr">
        <is>
          <t>2005M9</t>
        </is>
      </c>
      <c r="B190" s="15" t="n">
        <v>456.047727272727</v>
      </c>
      <c r="C190" s="15">
        <f>IF(AND(B190&lt;&gt;"",B189&lt;&gt;""),LN(B190/B189)*100,"")</f>
        <v/>
      </c>
      <c r="D190" s="15">
        <f>IF(COUNT(C188:C190)=3,stdev.s(C188:C190),"")</f>
        <v/>
      </c>
      <c r="E190" s="15">
        <f>IF(COUNT(C179:C190)=12,stdev.s(C179:C190),"")</f>
        <v/>
      </c>
    </row>
    <row r="191" ht="15" customHeight="1" s="10">
      <c r="A191" s="15" t="inlineStr">
        <is>
          <t>2005M10</t>
        </is>
      </c>
      <c r="B191" s="15" t="n">
        <v>469.897619047619</v>
      </c>
      <c r="C191" s="15">
        <f>IF(AND(B191&lt;&gt;"",B190&lt;&gt;""),LN(B191/B190)*100,"")</f>
        <v/>
      </c>
      <c r="D191" s="15">
        <f>IF(COUNT(C189:C191)=3,stdev.s(C189:C191),"")</f>
        <v/>
      </c>
      <c r="E191" s="15">
        <f>IF(COUNT(C180:C191)=12,stdev.s(C180:C191),"")</f>
        <v/>
      </c>
    </row>
    <row r="192" ht="15" customHeight="1" s="10">
      <c r="A192" s="15" t="inlineStr">
        <is>
          <t>2005M11</t>
        </is>
      </c>
      <c r="B192" s="15" t="n">
        <v>476.665909090909</v>
      </c>
      <c r="C192" s="15">
        <f>IF(AND(B192&lt;&gt;"",B191&lt;&gt;""),LN(B192/B191)*100,"")</f>
        <v/>
      </c>
      <c r="D192" s="15">
        <f>IF(COUNT(C190:C192)=3,stdev.s(C190:C192),"")</f>
        <v/>
      </c>
      <c r="E192" s="15">
        <f>IF(COUNT(C181:C192)=12,stdev.s(C181:C192),"")</f>
        <v/>
      </c>
    </row>
    <row r="193" ht="15" customHeight="1" s="10">
      <c r="A193" s="15" t="inlineStr">
        <is>
          <t>2005M12</t>
        </is>
      </c>
      <c r="B193" s="15" t="n">
        <v>510.097222222222</v>
      </c>
      <c r="C193" s="15">
        <f>IF(AND(B193&lt;&gt;"",B192&lt;&gt;""),LN(B193/B192)*100,"")</f>
        <v/>
      </c>
      <c r="D193" s="15">
        <f>IF(COUNT(C191:C193)=3,stdev.s(C191:C193),"")</f>
        <v/>
      </c>
      <c r="E193" s="15">
        <f>IF(COUNT(C182:C193)=12,stdev.s(C182:C193),"")</f>
        <v/>
      </c>
    </row>
    <row r="194" ht="15" customHeight="1" s="10">
      <c r="A194" s="15" t="inlineStr">
        <is>
          <t>2006M1</t>
        </is>
      </c>
      <c r="B194" s="15" t="n">
        <v>549.864285714286</v>
      </c>
      <c r="C194" s="15">
        <f>IF(AND(B194&lt;&gt;"",B193&lt;&gt;""),LN(B194/B193)*100,"")</f>
        <v/>
      </c>
      <c r="D194" s="15">
        <f>IF(COUNT(C192:C194)=3,stdev.s(C192:C194),"")</f>
        <v/>
      </c>
      <c r="E194" s="15">
        <f>IF(COUNT(C183:C194)=12,stdev.s(C183:C194),"")</f>
        <v/>
      </c>
    </row>
    <row r="195" ht="15" customHeight="1" s="10">
      <c r="A195" s="15" t="inlineStr">
        <is>
          <t>2006M2</t>
        </is>
      </c>
      <c r="B195" s="15" t="n">
        <v>554.995</v>
      </c>
      <c r="C195" s="15">
        <f>IF(AND(B195&lt;&gt;"",B194&lt;&gt;""),LN(B195/B194)*100,"")</f>
        <v/>
      </c>
      <c r="D195" s="15">
        <f>IF(COUNT(C193:C195)=3,stdev.s(C193:C195),"")</f>
        <v/>
      </c>
      <c r="E195" s="15">
        <f>IF(COUNT(C184:C195)=12,stdev.s(C184:C195),"")</f>
        <v/>
      </c>
    </row>
    <row r="196" ht="15" customHeight="1" s="10">
      <c r="A196" s="15" t="inlineStr">
        <is>
          <t>2006M3</t>
        </is>
      </c>
      <c r="B196" s="15" t="n">
        <v>557.09347826087</v>
      </c>
      <c r="C196" s="15">
        <f>IF(AND(B196&lt;&gt;"",B195&lt;&gt;""),LN(B196/B195)*100,"")</f>
        <v/>
      </c>
      <c r="D196" s="15">
        <f>IF(COUNT(C194:C196)=3,stdev.s(C194:C196),"")</f>
        <v/>
      </c>
      <c r="E196" s="15">
        <f>IF(COUNT(C185:C196)=12,stdev.s(C185:C196),"")</f>
        <v/>
      </c>
    </row>
    <row r="197" ht="15" customHeight="1" s="10">
      <c r="A197" s="15" t="inlineStr">
        <is>
          <t>2006M4</t>
        </is>
      </c>
      <c r="B197" s="15" t="n">
        <v>610.6527777777781</v>
      </c>
      <c r="C197" s="15">
        <f>IF(AND(B197&lt;&gt;"",B196&lt;&gt;""),LN(B197/B196)*100,"")</f>
        <v/>
      </c>
      <c r="D197" s="15">
        <f>IF(COUNT(C195:C197)=3,stdev.s(C195:C197),"")</f>
        <v/>
      </c>
      <c r="E197" s="15">
        <f>IF(COUNT(C186:C197)=12,stdev.s(C186:C197),"")</f>
        <v/>
      </c>
    </row>
    <row r="198" ht="15" customHeight="1" s="10">
      <c r="A198" s="15" t="inlineStr">
        <is>
          <t>2006M5</t>
        </is>
      </c>
      <c r="B198" s="15" t="n">
        <v>675.392857142857</v>
      </c>
      <c r="C198" s="15">
        <f>IF(AND(B198&lt;&gt;"",B197&lt;&gt;""),LN(B198/B197)*100,"")</f>
        <v/>
      </c>
      <c r="D198" s="15">
        <f>IF(COUNT(C196:C198)=3,stdev.s(C196:C198),"")</f>
        <v/>
      </c>
      <c r="E198" s="15">
        <f>IF(COUNT(C187:C198)=12,stdev.s(C187:C198),"")</f>
        <v/>
      </c>
    </row>
    <row r="199" ht="15" customHeight="1" s="10">
      <c r="A199" s="15" t="inlineStr">
        <is>
          <t>2006M6</t>
        </is>
      </c>
      <c r="B199" s="15" t="n">
        <v>596.145454545455</v>
      </c>
      <c r="C199" s="15">
        <f>IF(AND(B199&lt;&gt;"",B198&lt;&gt;""),LN(B199/B198)*100,"")</f>
        <v/>
      </c>
      <c r="D199" s="15">
        <f>IF(COUNT(C197:C199)=3,stdev.s(C197:C199),"")</f>
        <v/>
      </c>
      <c r="E199" s="15">
        <f>IF(COUNT(C188:C199)=12,stdev.s(C188:C199),"")</f>
        <v/>
      </c>
    </row>
    <row r="200" ht="15" customHeight="1" s="10">
      <c r="A200" s="15" t="inlineStr">
        <is>
          <t>2006M7</t>
        </is>
      </c>
      <c r="B200" s="15" t="n">
        <v>633.7095238095239</v>
      </c>
      <c r="C200" s="15">
        <f>IF(AND(B200&lt;&gt;"",B199&lt;&gt;""),LN(B200/B199)*100,"")</f>
        <v/>
      </c>
      <c r="D200" s="15">
        <f>IF(COUNT(C198:C200)=3,stdev.s(C198:C200),"")</f>
        <v/>
      </c>
      <c r="E200" s="15">
        <f>IF(COUNT(C189:C200)=12,stdev.s(C189:C200),"")</f>
        <v/>
      </c>
    </row>
    <row r="201" ht="15" customHeight="1" s="10">
      <c r="A201" s="15" t="inlineStr">
        <is>
          <t>2006M8</t>
        </is>
      </c>
      <c r="B201" s="15" t="n">
        <v>632.593181818182</v>
      </c>
      <c r="C201" s="15">
        <f>IF(AND(B201&lt;&gt;"",B200&lt;&gt;""),LN(B201/B200)*100,"")</f>
        <v/>
      </c>
      <c r="D201" s="15">
        <f>IF(COUNT(C199:C201)=3,stdev.s(C199:C201),"")</f>
        <v/>
      </c>
      <c r="E201" s="15">
        <f>IF(COUNT(C190:C201)=12,stdev.s(C190:C201),"")</f>
        <v/>
      </c>
    </row>
    <row r="202" ht="15" customHeight="1" s="10">
      <c r="A202" s="15" t="inlineStr">
        <is>
          <t>2006M9</t>
        </is>
      </c>
      <c r="B202" s="15" t="n">
        <v>598.185714285714</v>
      </c>
      <c r="C202" s="15">
        <f>IF(AND(B202&lt;&gt;"",B201&lt;&gt;""),LN(B202/B201)*100,"")</f>
        <v/>
      </c>
      <c r="D202" s="15">
        <f>IF(COUNT(C200:C202)=3,stdev.s(C200:C202),"")</f>
        <v/>
      </c>
      <c r="E202" s="15">
        <f>IF(COUNT(C191:C202)=12,stdev.s(C191:C202),"")</f>
        <v/>
      </c>
    </row>
    <row r="203" ht="15" customHeight="1" s="10">
      <c r="A203" s="15" t="inlineStr">
        <is>
          <t>2006M10</t>
        </is>
      </c>
      <c r="B203" s="15" t="n">
        <v>585.779545454546</v>
      </c>
      <c r="C203" s="15">
        <f>IF(AND(B203&lt;&gt;"",B202&lt;&gt;""),LN(B203/B202)*100,"")</f>
        <v/>
      </c>
      <c r="D203" s="15">
        <f>IF(COUNT(C201:C203)=3,stdev.s(C201:C203),"")</f>
        <v/>
      </c>
      <c r="E203" s="15">
        <f>IF(COUNT(C192:C203)=12,stdev.s(C192:C203),"")</f>
        <v/>
      </c>
    </row>
    <row r="204" ht="15" customHeight="1" s="10">
      <c r="A204" s="15" t="inlineStr">
        <is>
          <t>2006M11</t>
        </is>
      </c>
      <c r="B204" s="15" t="n">
        <v>627.827272727273</v>
      </c>
      <c r="C204" s="15">
        <f>IF(AND(B204&lt;&gt;"",B203&lt;&gt;""),LN(B204/B203)*100,"")</f>
        <v/>
      </c>
      <c r="D204" s="15">
        <f>IF(COUNT(C202:C204)=3,stdev.s(C202:C204),"")</f>
        <v/>
      </c>
      <c r="E204" s="15">
        <f>IF(COUNT(C193:C204)=12,stdev.s(C193:C204),"")</f>
        <v/>
      </c>
    </row>
    <row r="205" ht="15" customHeight="1" s="10">
      <c r="A205" s="15" t="inlineStr">
        <is>
          <t>2006M12</t>
        </is>
      </c>
      <c r="B205" s="15" t="n">
        <v>629.791176470588</v>
      </c>
      <c r="C205" s="15">
        <f>IF(AND(B205&lt;&gt;"",B204&lt;&gt;""),LN(B205/B204)*100,"")</f>
        <v/>
      </c>
      <c r="D205" s="15">
        <f>IF(COUNT(C203:C205)=3,stdev.s(C203:C205),"")</f>
        <v/>
      </c>
      <c r="E205" s="15">
        <f>IF(COUNT(C194:C205)=12,stdev.s(C194:C205),"")</f>
        <v/>
      </c>
    </row>
    <row r="206" ht="15" customHeight="1" s="10">
      <c r="A206" s="15" t="inlineStr">
        <is>
          <t>2007M1</t>
        </is>
      </c>
      <c r="B206" s="15" t="n">
        <v>631.1659090909091</v>
      </c>
      <c r="C206" s="15">
        <f>IF(AND(B206&lt;&gt;"",B205&lt;&gt;""),LN(B206/B205)*100,"")</f>
        <v/>
      </c>
      <c r="D206" s="15">
        <f>IF(COUNT(C204:C206)=3,stdev.s(C204:C206),"")</f>
        <v/>
      </c>
      <c r="E206" s="15">
        <f>IF(COUNT(C195:C206)=12,stdev.s(C195:C206),"")</f>
        <v/>
      </c>
    </row>
    <row r="207" ht="15" customHeight="1" s="10">
      <c r="A207" s="15" t="inlineStr">
        <is>
          <t>2007M2</t>
        </is>
      </c>
      <c r="B207" s="15" t="n">
        <v>664.745</v>
      </c>
      <c r="C207" s="15">
        <f>IF(AND(B207&lt;&gt;"",B206&lt;&gt;""),LN(B207/B206)*100,"")</f>
        <v/>
      </c>
      <c r="D207" s="15">
        <f>IF(COUNT(C205:C207)=3,stdev.s(C205:C207),"")</f>
        <v/>
      </c>
      <c r="E207" s="15">
        <f>IF(COUNT(C196:C207)=12,stdev.s(C196:C207),"")</f>
        <v/>
      </c>
    </row>
    <row r="208" ht="15" customHeight="1" s="10">
      <c r="A208" s="15" t="inlineStr">
        <is>
          <t>2007M3</t>
        </is>
      </c>
      <c r="B208" s="15" t="n">
        <v>654.895454545455</v>
      </c>
      <c r="C208" s="15">
        <f>IF(AND(B208&lt;&gt;"",B207&lt;&gt;""),LN(B208/B207)*100,"")</f>
        <v/>
      </c>
      <c r="D208" s="15">
        <f>IF(COUNT(C206:C208)=3,stdev.s(C206:C208),"")</f>
        <v/>
      </c>
      <c r="E208" s="15">
        <f>IF(COUNT(C197:C208)=12,stdev.s(C197:C208),"")</f>
        <v/>
      </c>
    </row>
    <row r="209" ht="15" customHeight="1" s="10">
      <c r="A209" s="15" t="inlineStr">
        <is>
          <t>2007M4</t>
        </is>
      </c>
      <c r="B209" s="15" t="n">
        <v>679.368421052632</v>
      </c>
      <c r="C209" s="15">
        <f>IF(AND(B209&lt;&gt;"",B208&lt;&gt;""),LN(B209/B208)*100,"")</f>
        <v/>
      </c>
      <c r="D209" s="15">
        <f>IF(COUNT(C207:C209)=3,stdev.s(C207:C209),"")</f>
        <v/>
      </c>
      <c r="E209" s="15">
        <f>IF(COUNT(C198:C209)=12,stdev.s(C198:C209),"")</f>
        <v/>
      </c>
    </row>
    <row r="210" ht="15" customHeight="1" s="10">
      <c r="A210" s="15" t="inlineStr">
        <is>
          <t>2007M5</t>
        </is>
      </c>
      <c r="B210" s="15" t="n">
        <v>666.859523809524</v>
      </c>
      <c r="C210" s="15">
        <f>IF(AND(B210&lt;&gt;"",B209&lt;&gt;""),LN(B210/B209)*100,"")</f>
        <v/>
      </c>
      <c r="D210" s="15">
        <f>IF(COUNT(C208:C210)=3,stdev.s(C208:C210),"")</f>
        <v/>
      </c>
      <c r="E210" s="15">
        <f>IF(COUNT(C199:C210)=12,stdev.s(C199:C210),"")</f>
        <v/>
      </c>
    </row>
    <row r="211" ht="15" customHeight="1" s="10">
      <c r="A211" s="15" t="inlineStr">
        <is>
          <t>2007M6</t>
        </is>
      </c>
      <c r="B211" s="15" t="n">
        <v>655.490476190476</v>
      </c>
      <c r="C211" s="15">
        <f>IF(AND(B211&lt;&gt;"",B210&lt;&gt;""),LN(B211/B210)*100,"")</f>
        <v/>
      </c>
      <c r="D211" s="15">
        <f>IF(COUNT(C209:C211)=3,stdev.s(C209:C211),"")</f>
        <v/>
      </c>
      <c r="E211" s="15">
        <f>IF(COUNT(C200:C211)=12,stdev.s(C200:C211),"")</f>
        <v/>
      </c>
    </row>
    <row r="212" ht="15" customHeight="1" s="10">
      <c r="A212" s="15" t="inlineStr">
        <is>
          <t>2007M7</t>
        </is>
      </c>
      <c r="B212" s="15" t="n">
        <v>665.295454545455</v>
      </c>
      <c r="C212" s="15">
        <f>IF(AND(B212&lt;&gt;"",B211&lt;&gt;""),LN(B212/B211)*100,"")</f>
        <v/>
      </c>
      <c r="D212" s="15">
        <f>IF(COUNT(C210:C212)=3,stdev.s(C210:C212),"")</f>
        <v/>
      </c>
      <c r="E212" s="15">
        <f>IF(COUNT(C201:C212)=12,stdev.s(C201:C212),"")</f>
        <v/>
      </c>
    </row>
    <row r="213" ht="15" customHeight="1" s="10">
      <c r="A213" s="15" t="inlineStr">
        <is>
          <t>2007M8</t>
        </is>
      </c>
      <c r="B213" s="15" t="n">
        <v>665.4113636363639</v>
      </c>
      <c r="C213" s="15">
        <f>IF(AND(B213&lt;&gt;"",B212&lt;&gt;""),LN(B213/B212)*100,"")</f>
        <v/>
      </c>
      <c r="D213" s="15">
        <f>IF(COUNT(C211:C213)=3,stdev.s(C211:C213),"")</f>
        <v/>
      </c>
      <c r="E213" s="15">
        <f>IF(COUNT(C202:C213)=12,stdev.s(C202:C213),"")</f>
        <v/>
      </c>
    </row>
    <row r="214" ht="15" customHeight="1" s="10">
      <c r="A214" s="15" t="inlineStr">
        <is>
          <t>2007M9</t>
        </is>
      </c>
      <c r="B214" s="15" t="n">
        <v>712.6525</v>
      </c>
      <c r="C214" s="15">
        <f>IF(AND(B214&lt;&gt;"",B213&lt;&gt;""),LN(B214/B213)*100,"")</f>
        <v/>
      </c>
      <c r="D214" s="15">
        <f>IF(COUNT(C212:C214)=3,stdev.s(C212:C214),"")</f>
        <v/>
      </c>
      <c r="E214" s="15">
        <f>IF(COUNT(C203:C214)=12,stdev.s(C203:C214),"")</f>
        <v/>
      </c>
    </row>
    <row r="215" ht="15" customHeight="1" s="10">
      <c r="A215" s="15" t="inlineStr">
        <is>
          <t>2007M10</t>
        </is>
      </c>
      <c r="B215" s="15" t="n">
        <v>754.604347826087</v>
      </c>
      <c r="C215" s="15">
        <f>IF(AND(B215&lt;&gt;"",B214&lt;&gt;""),LN(B215/B214)*100,"")</f>
        <v/>
      </c>
      <c r="D215" s="15">
        <f>IF(COUNT(C213:C215)=3,stdev.s(C213:C215),"")</f>
        <v/>
      </c>
      <c r="E215" s="15">
        <f>IF(COUNT(C204:C215)=12,stdev.s(C204:C215),"")</f>
        <v/>
      </c>
    </row>
    <row r="216" ht="15" customHeight="1" s="10">
      <c r="A216" s="15" t="inlineStr">
        <is>
          <t>2007M11</t>
        </is>
      </c>
      <c r="B216" s="15" t="n">
        <v>806.247727272727</v>
      </c>
      <c r="C216" s="15">
        <f>IF(AND(B216&lt;&gt;"",B215&lt;&gt;""),LN(B216/B215)*100,"")</f>
        <v/>
      </c>
      <c r="D216" s="15">
        <f>IF(COUNT(C214:C216)=3,stdev.s(C214:C216),"")</f>
        <v/>
      </c>
      <c r="E216" s="15">
        <f>IF(COUNT(C205:C216)=12,stdev.s(C205:C216),"")</f>
        <v/>
      </c>
    </row>
    <row r="217" ht="15" customHeight="1" s="10">
      <c r="A217" s="15" t="inlineStr">
        <is>
          <t>2007M12</t>
        </is>
      </c>
      <c r="B217" s="15" t="n">
        <v>803.202941176471</v>
      </c>
      <c r="C217" s="15">
        <f>IF(AND(B217&lt;&gt;"",B216&lt;&gt;""),LN(B217/B216)*100,"")</f>
        <v/>
      </c>
      <c r="D217" s="15">
        <f>IF(COUNT(C215:C217)=3,stdev.s(C215:C217),"")</f>
        <v/>
      </c>
      <c r="E217" s="15">
        <f>IF(COUNT(C206:C217)=12,stdev.s(C206:C217),"")</f>
        <v/>
      </c>
    </row>
    <row r="218" ht="15" customHeight="1" s="10">
      <c r="A218" s="15" t="inlineStr">
        <is>
          <t>2008M1</t>
        </is>
      </c>
      <c r="B218" s="15" t="n">
        <v>889.595454545455</v>
      </c>
      <c r="C218" s="15">
        <f>IF(AND(B218&lt;&gt;"",B217&lt;&gt;""),LN(B218/B217)*100,"")</f>
        <v/>
      </c>
      <c r="D218" s="15">
        <f>IF(COUNT(C216:C218)=3,stdev.s(C216:C218),"")</f>
        <v/>
      </c>
      <c r="E218" s="15">
        <f>IF(COUNT(C207:C218)=12,stdev.s(C207:C218),"")</f>
        <v/>
      </c>
    </row>
    <row r="219" ht="15" customHeight="1" s="10">
      <c r="A219" s="15" t="inlineStr">
        <is>
          <t>2008M2</t>
        </is>
      </c>
      <c r="B219" s="15" t="n">
        <v>922.297619047619</v>
      </c>
      <c r="C219" s="15">
        <f>IF(AND(B219&lt;&gt;"",B218&lt;&gt;""),LN(B219/B218)*100,"")</f>
        <v/>
      </c>
      <c r="D219" s="15">
        <f>IF(COUNT(C217:C219)=3,stdev.s(C217:C219),"")</f>
        <v/>
      </c>
      <c r="E219" s="15">
        <f>IF(COUNT(C208:C219)=12,stdev.s(C208:C219),"")</f>
        <v/>
      </c>
    </row>
    <row r="220" ht="15" customHeight="1" s="10">
      <c r="A220" s="15" t="inlineStr">
        <is>
          <t>2008M3</t>
        </is>
      </c>
      <c r="B220" s="15" t="n">
        <v>968.434210526316</v>
      </c>
      <c r="C220" s="15">
        <f>IF(AND(B220&lt;&gt;"",B219&lt;&gt;""),LN(B220/B219)*100,"")</f>
        <v/>
      </c>
      <c r="D220" s="15">
        <f>IF(COUNT(C218:C220)=3,stdev.s(C218:C220),"")</f>
        <v/>
      </c>
      <c r="E220" s="15">
        <f>IF(COUNT(C209:C220)=12,stdev.s(C209:C220),"")</f>
        <v/>
      </c>
    </row>
    <row r="221" ht="15" customHeight="1" s="10">
      <c r="A221" s="15" t="inlineStr">
        <is>
          <t>2008M4</t>
        </is>
      </c>
      <c r="B221" s="15" t="n">
        <v>909.704545454546</v>
      </c>
      <c r="C221" s="15">
        <f>IF(AND(B221&lt;&gt;"",B220&lt;&gt;""),LN(B221/B220)*100,"")</f>
        <v/>
      </c>
      <c r="D221" s="15">
        <f>IF(COUNT(C219:C221)=3,stdev.s(C219:C221),"")</f>
        <v/>
      </c>
      <c r="E221" s="15">
        <f>IF(COUNT(C210:C221)=12,stdev.s(C210:C221),"")</f>
        <v/>
      </c>
    </row>
    <row r="222" ht="15" customHeight="1" s="10">
      <c r="A222" s="15" t="inlineStr">
        <is>
          <t>2008M5</t>
        </is>
      </c>
      <c r="B222" s="15" t="n">
        <v>888.6625</v>
      </c>
      <c r="C222" s="15">
        <f>IF(AND(B222&lt;&gt;"",B221&lt;&gt;""),LN(B222/B221)*100,"")</f>
        <v/>
      </c>
      <c r="D222" s="15">
        <f>IF(COUNT(C220:C222)=3,stdev.s(C220:C222),"")</f>
        <v/>
      </c>
      <c r="E222" s="15">
        <f>IF(COUNT(C211:C222)=12,stdev.s(C211:C222),"")</f>
        <v/>
      </c>
    </row>
    <row r="223" ht="15" customHeight="1" s="10">
      <c r="A223" s="15" t="inlineStr">
        <is>
          <t>2008M6</t>
        </is>
      </c>
      <c r="B223" s="15" t="n">
        <v>889.488095238095</v>
      </c>
      <c r="C223" s="15">
        <f>IF(AND(B223&lt;&gt;"",B222&lt;&gt;""),LN(B223/B222)*100,"")</f>
        <v/>
      </c>
      <c r="D223" s="15">
        <f>IF(COUNT(C221:C223)=3,stdev.s(C221:C223),"")</f>
        <v/>
      </c>
      <c r="E223" s="15">
        <f>IF(COUNT(C212:C223)=12,stdev.s(C212:C223),"")</f>
        <v/>
      </c>
    </row>
    <row r="224" ht="15" customHeight="1" s="10">
      <c r="A224" s="15" t="inlineStr">
        <is>
          <t>2008M7</t>
        </is>
      </c>
      <c r="B224" s="15" t="n">
        <v>939.771739130435</v>
      </c>
      <c r="C224" s="15">
        <f>IF(AND(B224&lt;&gt;"",B223&lt;&gt;""),LN(B224/B223)*100,"")</f>
        <v/>
      </c>
      <c r="D224" s="15">
        <f>IF(COUNT(C222:C224)=3,stdev.s(C222:C224),"")</f>
        <v/>
      </c>
      <c r="E224" s="15">
        <f>IF(COUNT(C213:C224)=12,stdev.s(C213:C224),"")</f>
        <v/>
      </c>
    </row>
    <row r="225" ht="15" customHeight="1" s="10">
      <c r="A225" s="15" t="inlineStr">
        <is>
          <t>2008M8</t>
        </is>
      </c>
      <c r="B225" s="15" t="n">
        <v>839.025</v>
      </c>
      <c r="C225" s="15">
        <f>IF(AND(B225&lt;&gt;"",B224&lt;&gt;""),LN(B225/B224)*100,"")</f>
        <v/>
      </c>
      <c r="D225" s="15">
        <f>IF(COUNT(C223:C225)=3,stdev.s(C223:C225),"")</f>
        <v/>
      </c>
      <c r="E225" s="15">
        <f>IF(COUNT(C214:C225)=12,stdev.s(C214:C225),"")</f>
        <v/>
      </c>
    </row>
    <row r="226" ht="15" customHeight="1" s="10">
      <c r="A226" s="15" t="inlineStr">
        <is>
          <t>2008M9</t>
        </is>
      </c>
      <c r="B226" s="15" t="n">
        <v>829.931818181818</v>
      </c>
      <c r="C226" s="15">
        <f>IF(AND(B226&lt;&gt;"",B225&lt;&gt;""),LN(B226/B225)*100,"")</f>
        <v/>
      </c>
      <c r="D226" s="15">
        <f>IF(COUNT(C224:C226)=3,stdev.s(C224:C226),"")</f>
        <v/>
      </c>
      <c r="E226" s="15">
        <f>IF(COUNT(C215:C226)=12,stdev.s(C215:C226),"")</f>
        <v/>
      </c>
    </row>
    <row r="227" ht="15" customHeight="1" s="10">
      <c r="A227" s="15" t="inlineStr">
        <is>
          <t>2008M10</t>
        </is>
      </c>
      <c r="B227" s="15" t="n">
        <v>806.619565217391</v>
      </c>
      <c r="C227" s="15">
        <f>IF(AND(B227&lt;&gt;"",B226&lt;&gt;""),LN(B227/B226)*100,"")</f>
        <v/>
      </c>
      <c r="D227" s="15">
        <f>IF(COUNT(C225:C227)=3,stdev.s(C225:C227),"")</f>
        <v/>
      </c>
      <c r="E227" s="15">
        <f>IF(COUNT(C216:C227)=12,stdev.s(C216:C227),"")</f>
        <v/>
      </c>
    </row>
    <row r="228" ht="15" customHeight="1" s="10">
      <c r="A228" s="15" t="inlineStr">
        <is>
          <t>2008M11</t>
        </is>
      </c>
      <c r="B228" s="15" t="n">
        <v>760.8625</v>
      </c>
      <c r="C228" s="15">
        <f>IF(AND(B228&lt;&gt;"",B227&lt;&gt;""),LN(B228/B227)*100,"")</f>
        <v/>
      </c>
      <c r="D228" s="15">
        <f>IF(COUNT(C226:C228)=3,stdev.s(C226:C228),"")</f>
        <v/>
      </c>
      <c r="E228" s="15">
        <f>IF(COUNT(C217:C228)=12,stdev.s(C217:C228),"")</f>
        <v/>
      </c>
    </row>
    <row r="229" ht="15" customHeight="1" s="10">
      <c r="A229" s="15" t="inlineStr">
        <is>
          <t>2008M12</t>
        </is>
      </c>
      <c r="B229" s="15" t="n">
        <v>816.092105263158</v>
      </c>
      <c r="C229" s="15">
        <f>IF(AND(B229&lt;&gt;"",B228&lt;&gt;""),LN(B229/B228)*100,"")</f>
        <v/>
      </c>
      <c r="D229" s="15">
        <f>IF(COUNT(C227:C229)=3,stdev.s(C227:C229),"")</f>
        <v/>
      </c>
      <c r="E229" s="15">
        <f>IF(COUNT(C218:C229)=12,stdev.s(C218:C229),"")</f>
        <v/>
      </c>
    </row>
    <row r="230" ht="15" customHeight="1" s="10">
      <c r="A230" s="15" t="inlineStr">
        <is>
          <t>2009M1</t>
        </is>
      </c>
      <c r="B230" s="15" t="n">
        <v>858.690476190476</v>
      </c>
      <c r="C230" s="15">
        <f>IF(AND(B230&lt;&gt;"",B229&lt;&gt;""),LN(B230/B229)*100,"")</f>
        <v/>
      </c>
      <c r="D230" s="15">
        <f>IF(COUNT(C228:C230)=3,stdev.s(C228:C230),"")</f>
        <v/>
      </c>
      <c r="E230" s="15">
        <f>IF(COUNT(C219:C230)=12,stdev.s(C219:C230),"")</f>
        <v/>
      </c>
    </row>
    <row r="231" ht="15" customHeight="1" s="10">
      <c r="A231" s="15" t="inlineStr">
        <is>
          <t>2009M2</t>
        </is>
      </c>
      <c r="B231" s="15" t="n">
        <v>943.1625</v>
      </c>
      <c r="C231" s="15">
        <f>IF(AND(B231&lt;&gt;"",B230&lt;&gt;""),LN(B231/B230)*100,"")</f>
        <v/>
      </c>
      <c r="D231" s="15">
        <f>IF(COUNT(C229:C231)=3,stdev.s(C229:C231),"")</f>
        <v/>
      </c>
      <c r="E231" s="15">
        <f>IF(COUNT(C220:C231)=12,stdev.s(C220:C231),"")</f>
        <v/>
      </c>
    </row>
    <row r="232" ht="15" customHeight="1" s="10">
      <c r="A232" s="15" t="inlineStr">
        <is>
          <t>2009M3</t>
        </is>
      </c>
      <c r="B232" s="15" t="n">
        <v>924.272727272727</v>
      </c>
      <c r="C232" s="15">
        <f>IF(AND(B232&lt;&gt;"",B231&lt;&gt;""),LN(B232/B231)*100,"")</f>
        <v/>
      </c>
      <c r="D232" s="15">
        <f>IF(COUNT(C230:C232)=3,stdev.s(C230:C232),"")</f>
        <v/>
      </c>
      <c r="E232" s="15">
        <f>IF(COUNT(C221:C232)=12,stdev.s(C221:C232),"")</f>
        <v/>
      </c>
    </row>
    <row r="233" ht="15" customHeight="1" s="10">
      <c r="A233" s="15" t="inlineStr">
        <is>
          <t>2009M4</t>
        </is>
      </c>
      <c r="B233" s="15" t="n">
        <v>890.2</v>
      </c>
      <c r="C233" s="15">
        <f>IF(AND(B233&lt;&gt;"",B232&lt;&gt;""),LN(B233/B232)*100,"")</f>
        <v/>
      </c>
      <c r="D233" s="15">
        <f>IF(COUNT(C231:C233)=3,stdev.s(C231:C233),"")</f>
        <v/>
      </c>
      <c r="E233" s="15">
        <f>IF(COUNT(C222:C233)=12,stdev.s(C222:C233),"")</f>
        <v/>
      </c>
    </row>
    <row r="234" ht="15" customHeight="1" s="10">
      <c r="A234" s="15" t="inlineStr">
        <is>
          <t>2009M5</t>
        </is>
      </c>
      <c r="B234" s="15" t="n">
        <v>928.644736842105</v>
      </c>
      <c r="C234" s="15">
        <f>IF(AND(B234&lt;&gt;"",B233&lt;&gt;""),LN(B234/B233)*100,"")</f>
        <v/>
      </c>
      <c r="D234" s="15">
        <f>IF(COUNT(C232:C234)=3,stdev.s(C232:C234),"")</f>
        <v/>
      </c>
      <c r="E234" s="15">
        <f>IF(COUNT(C223:C234)=12,stdev.s(C223:C234),"")</f>
        <v/>
      </c>
    </row>
    <row r="235" ht="15" customHeight="1" s="10">
      <c r="A235" s="15" t="inlineStr">
        <is>
          <t>2009M6</t>
        </is>
      </c>
      <c r="B235" s="15" t="n">
        <v>945.670454545455</v>
      </c>
      <c r="C235" s="15">
        <f>IF(AND(B235&lt;&gt;"",B234&lt;&gt;""),LN(B235/B234)*100,"")</f>
        <v/>
      </c>
      <c r="D235" s="15">
        <f>IF(COUNT(C233:C235)=3,stdev.s(C233:C235),"")</f>
        <v/>
      </c>
      <c r="E235" s="15">
        <f>IF(COUNT(C224:C235)=12,stdev.s(C224:C235),"")</f>
        <v/>
      </c>
    </row>
    <row r="236" ht="15" customHeight="1" s="10">
      <c r="A236" s="15" t="inlineStr">
        <is>
          <t>2009M7</t>
        </is>
      </c>
      <c r="B236" s="15" t="n">
        <v>934.228260869565</v>
      </c>
      <c r="C236" s="15">
        <f>IF(AND(B236&lt;&gt;"",B235&lt;&gt;""),LN(B236/B235)*100,"")</f>
        <v/>
      </c>
      <c r="D236" s="15">
        <f>IF(COUNT(C234:C236)=3,stdev.s(C234:C236),"")</f>
        <v/>
      </c>
      <c r="E236" s="15">
        <f>IF(COUNT(C225:C236)=12,stdev.s(C225:C236),"")</f>
        <v/>
      </c>
    </row>
    <row r="237" ht="15" customHeight="1" s="10">
      <c r="A237" s="15" t="inlineStr">
        <is>
          <t>2009M8</t>
        </is>
      </c>
      <c r="B237" s="15" t="n">
        <v>949.375</v>
      </c>
      <c r="C237" s="15">
        <f>IF(AND(B237&lt;&gt;"",B236&lt;&gt;""),LN(B237/B236)*100,"")</f>
        <v/>
      </c>
      <c r="D237" s="15">
        <f>IF(COUNT(C235:C237)=3,stdev.s(C235:C237),"")</f>
        <v/>
      </c>
      <c r="E237" s="15">
        <f>IF(COUNT(C226:C237)=12,stdev.s(C226:C237),"")</f>
        <v/>
      </c>
    </row>
    <row r="238" ht="15" customHeight="1" s="10">
      <c r="A238" s="15" t="inlineStr">
        <is>
          <t>2009M9</t>
        </is>
      </c>
      <c r="B238" s="15" t="n">
        <v>996.590909090909</v>
      </c>
      <c r="C238" s="15">
        <f>IF(AND(B238&lt;&gt;"",B237&lt;&gt;""),LN(B238/B237)*100,"")</f>
        <v/>
      </c>
      <c r="D238" s="15">
        <f>IF(COUNT(C236:C238)=3,stdev.s(C236:C238),"")</f>
        <v/>
      </c>
      <c r="E238" s="15">
        <f>IF(COUNT(C227:C238)=12,stdev.s(C227:C238),"")</f>
        <v/>
      </c>
    </row>
    <row r="239" ht="15" customHeight="1" s="10">
      <c r="A239" s="15" t="inlineStr">
        <is>
          <t>2009M10</t>
        </is>
      </c>
      <c r="B239" s="15" t="n">
        <v>1043.15909090909</v>
      </c>
      <c r="C239" s="15">
        <f>IF(AND(B239&lt;&gt;"",B238&lt;&gt;""),LN(B239/B238)*100,"")</f>
        <v/>
      </c>
      <c r="D239" s="15">
        <f>IF(COUNT(C237:C239)=3,stdev.s(C237:C239),"")</f>
        <v/>
      </c>
      <c r="E239" s="15">
        <f>IF(COUNT(C228:C239)=12,stdev.s(C228:C239),"")</f>
        <v/>
      </c>
    </row>
    <row r="240" ht="15" customHeight="1" s="10">
      <c r="A240" s="15" t="inlineStr">
        <is>
          <t>2009M11</t>
        </is>
      </c>
      <c r="B240" s="15" t="n">
        <v>1127.03571428571</v>
      </c>
      <c r="C240" s="15">
        <f>IF(AND(B240&lt;&gt;"",B239&lt;&gt;""),LN(B240/B239)*100,"")</f>
        <v/>
      </c>
      <c r="D240" s="15">
        <f>IF(COUNT(C238:C240)=3,stdev.s(C238:C240),"")</f>
        <v/>
      </c>
      <c r="E240" s="15">
        <f>IF(COUNT(C229:C240)=12,stdev.s(C229:C240),"")</f>
        <v/>
      </c>
    </row>
    <row r="241" ht="15" customHeight="1" s="10">
      <c r="A241" s="15" t="inlineStr">
        <is>
          <t>2009M12</t>
        </is>
      </c>
      <c r="B241" s="15" t="n">
        <v>1134.72368421053</v>
      </c>
      <c r="C241" s="15">
        <f>IF(AND(B241&lt;&gt;"",B240&lt;&gt;""),LN(B241/B240)*100,"")</f>
        <v/>
      </c>
      <c r="D241" s="15">
        <f>IF(COUNT(C239:C241)=3,stdev.s(C239:C241),"")</f>
        <v/>
      </c>
      <c r="E241" s="15">
        <f>IF(COUNT(C230:C241)=12,stdev.s(C230:C241),"")</f>
        <v/>
      </c>
    </row>
    <row r="242" ht="15" customHeight="1" s="10">
      <c r="A242" s="15" t="inlineStr">
        <is>
          <t>2010M1</t>
        </is>
      </c>
      <c r="B242" s="15" t="n">
        <v>1117.9625</v>
      </c>
      <c r="C242" s="15">
        <f>IF(AND(B242&lt;&gt;"",B241&lt;&gt;""),LN(B242/B241)*100,"")</f>
        <v/>
      </c>
      <c r="D242" s="15">
        <f>IF(COUNT(C240:C242)=3,stdev.s(C240:C242),"")</f>
        <v/>
      </c>
      <c r="E242" s="15">
        <f>IF(COUNT(C231:C242)=12,stdev.s(C231:C242),"")</f>
        <v/>
      </c>
    </row>
    <row r="243" ht="15" customHeight="1" s="10">
      <c r="A243" s="15" t="inlineStr">
        <is>
          <t>2010M2</t>
        </is>
      </c>
      <c r="B243" s="15" t="n">
        <v>1095.4125</v>
      </c>
      <c r="C243" s="15">
        <f>IF(AND(B243&lt;&gt;"",B242&lt;&gt;""),LN(B243/B242)*100,"")</f>
        <v/>
      </c>
      <c r="D243" s="15">
        <f>IF(COUNT(C241:C243)=3,stdev.s(C241:C243),"")</f>
        <v/>
      </c>
      <c r="E243" s="15">
        <f>IF(COUNT(C232:C243)=12,stdev.s(C232:C243),"")</f>
        <v/>
      </c>
    </row>
    <row r="244" ht="15" customHeight="1" s="10">
      <c r="A244" s="15" t="inlineStr">
        <is>
          <t>2010M3</t>
        </is>
      </c>
      <c r="B244" s="15" t="n">
        <v>1113.33695652174</v>
      </c>
      <c r="C244" s="15">
        <f>IF(AND(B244&lt;&gt;"",B243&lt;&gt;""),LN(B244/B243)*100,"")</f>
        <v/>
      </c>
      <c r="D244" s="15">
        <f>IF(COUNT(C242:C244)=3,stdev.s(C242:C244),"")</f>
        <v/>
      </c>
      <c r="E244" s="15">
        <f>IF(COUNT(C233:C244)=12,stdev.s(C233:C244),"")</f>
        <v/>
      </c>
    </row>
    <row r="245" ht="15" customHeight="1" s="10">
      <c r="A245" s="15" t="inlineStr">
        <is>
          <t>2010M4</t>
        </is>
      </c>
      <c r="B245" s="15" t="n">
        <v>1148.6875</v>
      </c>
      <c r="C245" s="15">
        <f>IF(AND(B245&lt;&gt;"",B244&lt;&gt;""),LN(B245/B244)*100,"")</f>
        <v/>
      </c>
      <c r="D245" s="15">
        <f>IF(COUNT(C243:C245)=3,stdev.s(C243:C245),"")</f>
        <v/>
      </c>
      <c r="E245" s="15">
        <f>IF(COUNT(C234:C245)=12,stdev.s(C234:C245),"")</f>
        <v/>
      </c>
    </row>
    <row r="246" ht="15" customHeight="1" s="10">
      <c r="A246" s="15" t="inlineStr">
        <is>
          <t>2010M5</t>
        </is>
      </c>
      <c r="B246" s="15" t="n">
        <v>1205.43421052632</v>
      </c>
      <c r="C246" s="15">
        <f>IF(AND(B246&lt;&gt;"",B245&lt;&gt;""),LN(B246/B245)*100,"")</f>
        <v/>
      </c>
      <c r="D246" s="15">
        <f>IF(COUNT(C244:C246)=3,stdev.s(C244:C246),"")</f>
        <v/>
      </c>
      <c r="E246" s="15">
        <f>IF(COUNT(C235:C246)=12,stdev.s(C235:C246),"")</f>
        <v/>
      </c>
    </row>
    <row r="247" ht="15" customHeight="1" s="10">
      <c r="A247" s="15" t="inlineStr">
        <is>
          <t>2010M6</t>
        </is>
      </c>
      <c r="B247" s="15" t="n">
        <v>1232.92045454546</v>
      </c>
      <c r="C247" s="15">
        <f>IF(AND(B247&lt;&gt;"",B246&lt;&gt;""),LN(B247/B246)*100,"")</f>
        <v/>
      </c>
      <c r="D247" s="15">
        <f>IF(COUNT(C245:C247)=3,stdev.s(C245:C247),"")</f>
        <v/>
      </c>
      <c r="E247" s="15">
        <f>IF(COUNT(C236:C247)=12,stdev.s(C236:C247),"")</f>
        <v/>
      </c>
    </row>
    <row r="248" ht="15" customHeight="1" s="10">
      <c r="A248" s="15" t="inlineStr">
        <is>
          <t>2010M7</t>
        </is>
      </c>
      <c r="B248" s="15" t="n">
        <v>1192.96590909091</v>
      </c>
      <c r="C248" s="15">
        <f>IF(AND(B248&lt;&gt;"",B247&lt;&gt;""),LN(B248/B247)*100,"")</f>
        <v/>
      </c>
      <c r="D248" s="15">
        <f>IF(COUNT(C246:C248)=3,stdev.s(C246:C248),"")</f>
        <v/>
      </c>
      <c r="E248" s="15">
        <f>IF(COUNT(C237:C248)=12,stdev.s(C237:C248),"")</f>
        <v/>
      </c>
    </row>
    <row r="249" ht="15" customHeight="1" s="10">
      <c r="A249" s="15" t="inlineStr">
        <is>
          <t>2010M8</t>
        </is>
      </c>
      <c r="B249" s="15" t="n">
        <v>1215.80952380952</v>
      </c>
      <c r="C249" s="15">
        <f>IF(AND(B249&lt;&gt;"",B248&lt;&gt;""),LN(B249/B248)*100,"")</f>
        <v/>
      </c>
      <c r="D249" s="15">
        <f>IF(COUNT(C247:C249)=3,stdev.s(C247:C249),"")</f>
        <v/>
      </c>
      <c r="E249" s="15">
        <f>IF(COUNT(C238:C249)=12,stdev.s(C238:C249),"")</f>
        <v/>
      </c>
    </row>
    <row r="250" ht="15" customHeight="1" s="10">
      <c r="A250" s="15" t="inlineStr">
        <is>
          <t>2010M9</t>
        </is>
      </c>
      <c r="B250" s="15" t="n">
        <v>1270.97727272727</v>
      </c>
      <c r="C250" s="15">
        <f>IF(AND(B250&lt;&gt;"",B249&lt;&gt;""),LN(B250/B249)*100,"")</f>
        <v/>
      </c>
      <c r="D250" s="15">
        <f>IF(COUNT(C248:C250)=3,stdev.s(C248:C250),"")</f>
        <v/>
      </c>
      <c r="E250" s="15">
        <f>IF(COUNT(C239:C250)=12,stdev.s(C239:C250),"")</f>
        <v/>
      </c>
    </row>
    <row r="251" ht="15" customHeight="1" s="10">
      <c r="A251" s="15" t="inlineStr">
        <is>
          <t>2010M10</t>
        </is>
      </c>
      <c r="B251" s="15" t="n">
        <v>1342.02380952381</v>
      </c>
      <c r="C251" s="15">
        <f>IF(AND(B251&lt;&gt;"",B250&lt;&gt;""),LN(B251/B250)*100,"")</f>
        <v/>
      </c>
      <c r="D251" s="15">
        <f>IF(COUNT(C249:C251)=3,stdev.s(C249:C251),"")</f>
        <v/>
      </c>
      <c r="E251" s="15">
        <f>IF(COUNT(C240:C251)=12,stdev.s(C240:C251),"")</f>
        <v/>
      </c>
    </row>
    <row r="252" ht="15" customHeight="1" s="10">
      <c r="A252" s="15" t="inlineStr">
        <is>
          <t>2010M11</t>
        </is>
      </c>
      <c r="B252" s="15" t="n">
        <v>1369.88636363636</v>
      </c>
      <c r="C252" s="15">
        <f>IF(AND(B252&lt;&gt;"",B251&lt;&gt;""),LN(B252/B251)*100,"")</f>
        <v/>
      </c>
      <c r="D252" s="15">
        <f>IF(COUNT(C250:C252)=3,stdev.s(C250:C252),"")</f>
        <v/>
      </c>
      <c r="E252" s="15">
        <f>IF(COUNT(C241:C252)=12,stdev.s(C241:C252),"")</f>
        <v/>
      </c>
    </row>
    <row r="253" ht="15" customHeight="1" s="10">
      <c r="A253" s="15" t="inlineStr">
        <is>
          <t>2010M12</t>
        </is>
      </c>
      <c r="B253" s="15" t="n">
        <v>1390.55263157895</v>
      </c>
      <c r="C253" s="15">
        <f>IF(AND(B253&lt;&gt;"",B252&lt;&gt;""),LN(B253/B252)*100,"")</f>
        <v/>
      </c>
      <c r="D253" s="15">
        <f>IF(COUNT(C251:C253)=3,stdev.s(C251:C253),"")</f>
        <v/>
      </c>
      <c r="E253" s="15">
        <f>IF(COUNT(C242:C253)=12,stdev.s(C242:C253),"")</f>
        <v/>
      </c>
    </row>
    <row r="254" ht="15" customHeight="1" s="10">
      <c r="A254" s="15" t="inlineStr">
        <is>
          <t>2011M1</t>
        </is>
      </c>
      <c r="B254" s="15" t="n">
        <v>1356.4</v>
      </c>
      <c r="C254" s="15">
        <f>IF(AND(B254&lt;&gt;"",B253&lt;&gt;""),LN(B254/B253)*100,"")</f>
        <v/>
      </c>
      <c r="D254" s="15">
        <f>IF(COUNT(C252:C254)=3,stdev.s(C252:C254),"")</f>
        <v/>
      </c>
      <c r="E254" s="15">
        <f>IF(COUNT(C243:C254)=12,stdev.s(C243:C254),"")</f>
        <v/>
      </c>
    </row>
    <row r="255" ht="15" customHeight="1" s="10">
      <c r="A255" s="15" t="inlineStr">
        <is>
          <t>2011M2</t>
        </is>
      </c>
      <c r="B255" s="15" t="n">
        <v>1372.725</v>
      </c>
      <c r="C255" s="15">
        <f>IF(AND(B255&lt;&gt;"",B254&lt;&gt;""),LN(B255/B254)*100,"")</f>
        <v/>
      </c>
      <c r="D255" s="15">
        <f>IF(COUNT(C253:C255)=3,stdev.s(C253:C255),"")</f>
        <v/>
      </c>
      <c r="E255" s="15">
        <f>IF(COUNT(C244:C255)=12,stdev.s(C244:C255),"")</f>
        <v/>
      </c>
    </row>
    <row r="256" ht="15" customHeight="1" s="10">
      <c r="A256" s="15" t="inlineStr">
        <is>
          <t>2011M3</t>
        </is>
      </c>
      <c r="B256" s="15" t="n">
        <v>1424.01086956522</v>
      </c>
      <c r="C256" s="15">
        <f>IF(AND(B256&lt;&gt;"",B255&lt;&gt;""),LN(B256/B255)*100,"")</f>
        <v/>
      </c>
      <c r="D256" s="15">
        <f>IF(COUNT(C254:C256)=3,stdev.s(C254:C256),"")</f>
        <v/>
      </c>
      <c r="E256" s="15">
        <f>IF(COUNT(C245:C256)=12,stdev.s(C245:C256),"")</f>
        <v/>
      </c>
    </row>
    <row r="257" ht="15" customHeight="1" s="10">
      <c r="A257" s="15" t="inlineStr">
        <is>
          <t>2011M4</t>
        </is>
      </c>
      <c r="B257" s="15" t="n">
        <v>1473.80555555556</v>
      </c>
      <c r="C257" s="15">
        <f>IF(AND(B257&lt;&gt;"",B256&lt;&gt;""),LN(B257/B256)*100,"")</f>
        <v/>
      </c>
      <c r="D257" s="15">
        <f>IF(COUNT(C255:C257)=3,stdev.s(C255:C257),"")</f>
        <v/>
      </c>
      <c r="E257" s="15">
        <f>IF(COUNT(C246:C257)=12,stdev.s(C246:C257),"")</f>
        <v/>
      </c>
    </row>
    <row r="258" ht="15" customHeight="1" s="10">
      <c r="A258" s="15" t="inlineStr">
        <is>
          <t>2011M5</t>
        </is>
      </c>
      <c r="B258" s="15" t="n">
        <v>1510.4375</v>
      </c>
      <c r="C258" s="15">
        <f>IF(AND(B258&lt;&gt;"",B257&lt;&gt;""),LN(B258/B257)*100,"")</f>
        <v/>
      </c>
      <c r="D258" s="15">
        <f>IF(COUNT(C256:C258)=3,stdev.s(C256:C258),"")</f>
        <v/>
      </c>
      <c r="E258" s="15">
        <f>IF(COUNT(C247:C258)=12,stdev.s(C247:C258),"")</f>
        <v/>
      </c>
    </row>
    <row r="259" ht="15" customHeight="1" s="10">
      <c r="A259" s="15" t="inlineStr">
        <is>
          <t>2011M6</t>
        </is>
      </c>
      <c r="B259" s="15" t="n">
        <v>1528.65909090909</v>
      </c>
      <c r="C259" s="15">
        <f>IF(AND(B259&lt;&gt;"",B258&lt;&gt;""),LN(B259/B258)*100,"")</f>
        <v/>
      </c>
      <c r="D259" s="15">
        <f>IF(COUNT(C257:C259)=3,stdev.s(C257:C259),"")</f>
        <v/>
      </c>
      <c r="E259" s="15">
        <f>IF(COUNT(C248:C259)=12,stdev.s(C248:C259),"")</f>
        <v/>
      </c>
    </row>
    <row r="260" ht="15" customHeight="1" s="10">
      <c r="A260" s="15" t="inlineStr">
        <is>
          <t>2011M7</t>
        </is>
      </c>
      <c r="B260" s="15" t="n">
        <v>1572.80952380952</v>
      </c>
      <c r="C260" s="15">
        <f>IF(AND(B260&lt;&gt;"",B259&lt;&gt;""),LN(B260/B259)*100,"")</f>
        <v/>
      </c>
      <c r="D260" s="15">
        <f>IF(COUNT(C258:C260)=3,stdev.s(C258:C260),"")</f>
        <v/>
      </c>
      <c r="E260" s="15">
        <f>IF(COUNT(C249:C260)=12,stdev.s(C249:C260),"")</f>
        <v/>
      </c>
    </row>
    <row r="261" ht="15" customHeight="1" s="10">
      <c r="A261" s="15" t="inlineStr">
        <is>
          <t>2011M8</t>
        </is>
      </c>
      <c r="B261" s="15" t="n">
        <v>1755.80681818182</v>
      </c>
      <c r="C261" s="15">
        <f>IF(AND(B261&lt;&gt;"",B260&lt;&gt;""),LN(B261/B260)*100,"")</f>
        <v/>
      </c>
      <c r="D261" s="15">
        <f>IF(COUNT(C259:C261)=3,stdev.s(C259:C261),"")</f>
        <v/>
      </c>
      <c r="E261" s="15">
        <f>IF(COUNT(C250:C261)=12,stdev.s(C250:C261),"")</f>
        <v/>
      </c>
    </row>
    <row r="262" ht="15" customHeight="1" s="10">
      <c r="A262" s="15" t="inlineStr">
        <is>
          <t>2011M9</t>
        </is>
      </c>
      <c r="B262" s="15" t="n">
        <v>1771.85227272727</v>
      </c>
      <c r="C262" s="15">
        <f>IF(AND(B262&lt;&gt;"",B261&lt;&gt;""),LN(B262/B261)*100,"")</f>
        <v/>
      </c>
      <c r="D262" s="15">
        <f>IF(COUNT(C260:C262)=3,stdev.s(C260:C262),"")</f>
        <v/>
      </c>
      <c r="E262" s="15">
        <f>IF(COUNT(C251:C262)=12,stdev.s(C251:C262),"")</f>
        <v/>
      </c>
    </row>
    <row r="263" ht="15" customHeight="1" s="10">
      <c r="A263" s="15" t="inlineStr">
        <is>
          <t>2011M10</t>
        </is>
      </c>
      <c r="B263" s="15" t="n">
        <v>1665.21428571429</v>
      </c>
      <c r="C263" s="15">
        <f>IF(AND(B263&lt;&gt;"",B262&lt;&gt;""),LN(B263/B262)*100,"")</f>
        <v/>
      </c>
      <c r="D263" s="15">
        <f>IF(COUNT(C261:C263)=3,stdev.s(C261:C263),"")</f>
        <v/>
      </c>
      <c r="E263" s="15">
        <f>IF(COUNT(C252:C263)=12,stdev.s(C252:C263),"")</f>
        <v/>
      </c>
    </row>
    <row r="264" ht="15" customHeight="1" s="10">
      <c r="A264" s="15" t="inlineStr">
        <is>
          <t>2011M11</t>
        </is>
      </c>
      <c r="B264" s="15" t="n">
        <v>1738.97727272727</v>
      </c>
      <c r="C264" s="15">
        <f>IF(AND(B264&lt;&gt;"",B263&lt;&gt;""),LN(B264/B263)*100,"")</f>
        <v/>
      </c>
      <c r="D264" s="15">
        <f>IF(COUNT(C262:C264)=3,stdev.s(C262:C264),"")</f>
        <v/>
      </c>
      <c r="E264" s="15">
        <f>IF(COUNT(C253:C264)=12,stdev.s(C253:C264),"")</f>
        <v/>
      </c>
    </row>
    <row r="265" ht="15" customHeight="1" s="10">
      <c r="A265" s="15" t="inlineStr">
        <is>
          <t>2011M12</t>
        </is>
      </c>
      <c r="B265" s="15" t="n">
        <v>1652.30555555556</v>
      </c>
      <c r="C265" s="15">
        <f>IF(AND(B265&lt;&gt;"",B264&lt;&gt;""),LN(B265/B264)*100,"")</f>
        <v/>
      </c>
      <c r="D265" s="15">
        <f>IF(COUNT(C263:C265)=3,stdev.s(C263:C265),"")</f>
        <v/>
      </c>
      <c r="E265" s="15">
        <f>IF(COUNT(C254:C265)=12,stdev.s(C254:C265),"")</f>
        <v/>
      </c>
    </row>
    <row r="266" ht="15" customHeight="1" s="10">
      <c r="A266" s="15" t="inlineStr">
        <is>
          <t>2012M1</t>
        </is>
      </c>
      <c r="B266" s="15" t="n">
        <v>1656.11904761905</v>
      </c>
      <c r="C266" s="15">
        <f>IF(AND(B266&lt;&gt;"",B265&lt;&gt;""),LN(B266/B265)*100,"")</f>
        <v/>
      </c>
      <c r="D266" s="15">
        <f>IF(COUNT(C264:C266)=3,stdev.s(C264:C266),"")</f>
        <v/>
      </c>
      <c r="E266" s="15">
        <f>IF(COUNT(C255:C266)=12,stdev.s(C255:C266),"")</f>
        <v/>
      </c>
    </row>
    <row r="267" ht="15" customHeight="1" s="10">
      <c r="A267" s="15" t="inlineStr">
        <is>
          <t>2012M2</t>
        </is>
      </c>
      <c r="B267" s="15" t="n">
        <v>1742.61904761905</v>
      </c>
      <c r="C267" s="15">
        <f>IF(AND(B267&lt;&gt;"",B266&lt;&gt;""),LN(B267/B266)*100,"")</f>
        <v/>
      </c>
      <c r="D267" s="15">
        <f>IF(COUNT(C265:C267)=3,stdev.s(C265:C267),"")</f>
        <v/>
      </c>
      <c r="E267" s="15">
        <f>IF(COUNT(C256:C267)=12,stdev.s(C256:C267),"")</f>
        <v/>
      </c>
    </row>
    <row r="268" ht="15" customHeight="1" s="10">
      <c r="A268" s="15" t="inlineStr">
        <is>
          <t>2012M3</t>
        </is>
      </c>
      <c r="B268" s="15" t="n">
        <v>1673.77272727273</v>
      </c>
      <c r="C268" s="15">
        <f>IF(AND(B268&lt;&gt;"",B267&lt;&gt;""),LN(B268/B267)*100,"")</f>
        <v/>
      </c>
      <c r="D268" s="15">
        <f>IF(COUNT(C266:C268)=3,stdev.s(C266:C268),"")</f>
        <v/>
      </c>
      <c r="E268" s="15">
        <f>IF(COUNT(C257:C268)=12,stdev.s(C257:C268),"")</f>
        <v/>
      </c>
    </row>
    <row r="269" ht="15" customHeight="1" s="10">
      <c r="A269" s="15" t="inlineStr">
        <is>
          <t>2012M4</t>
        </is>
      </c>
      <c r="B269" s="15" t="n">
        <v>1650.06578947368</v>
      </c>
      <c r="C269" s="15">
        <f>IF(AND(B269&lt;&gt;"",B268&lt;&gt;""),LN(B269/B268)*100,"")</f>
        <v/>
      </c>
      <c r="D269" s="15">
        <f>IF(COUNT(C267:C269)=3,stdev.s(C267:C269),"")</f>
        <v/>
      </c>
      <c r="E269" s="15">
        <f>IF(COUNT(C258:C269)=12,stdev.s(C258:C269),"")</f>
        <v/>
      </c>
    </row>
    <row r="270" ht="15" customHeight="1" s="10">
      <c r="A270" s="15" t="inlineStr">
        <is>
          <t>2012M5</t>
        </is>
      </c>
      <c r="B270" s="15" t="n">
        <v>1585.50454545455</v>
      </c>
      <c r="C270" s="15">
        <f>IF(AND(B270&lt;&gt;"",B269&lt;&gt;""),LN(B270/B269)*100,"")</f>
        <v/>
      </c>
      <c r="D270" s="15">
        <f>IF(COUNT(C268:C270)=3,stdev.s(C268:C270),"")</f>
        <v/>
      </c>
      <c r="E270" s="15">
        <f>IF(COUNT(C259:C270)=12,stdev.s(C259:C270),"")</f>
        <v/>
      </c>
    </row>
    <row r="271" ht="15" customHeight="1" s="10">
      <c r="A271" s="15" t="inlineStr">
        <is>
          <t>2012M6</t>
        </is>
      </c>
      <c r="B271" s="15" t="n">
        <v>1596.69736842105</v>
      </c>
      <c r="C271" s="15">
        <f>IF(AND(B271&lt;&gt;"",B270&lt;&gt;""),LN(B271/B270)*100,"")</f>
        <v/>
      </c>
      <c r="D271" s="15">
        <f>IF(COUNT(C269:C271)=3,stdev.s(C269:C271),"")</f>
        <v/>
      </c>
      <c r="E271" s="15">
        <f>IF(COUNT(C260:C271)=12,stdev.s(C260:C271),"")</f>
        <v/>
      </c>
    </row>
    <row r="272" ht="15" customHeight="1" s="10">
      <c r="A272" s="15" t="inlineStr">
        <is>
          <t>2012M7</t>
        </is>
      </c>
      <c r="B272" s="15" t="n">
        <v>1593.90909090909</v>
      </c>
      <c r="C272" s="15">
        <f>IF(AND(B272&lt;&gt;"",B271&lt;&gt;""),LN(B272/B271)*100,"")</f>
        <v/>
      </c>
      <c r="D272" s="15">
        <f>IF(COUNT(C270:C272)=3,stdev.s(C270:C272),"")</f>
        <v/>
      </c>
      <c r="E272" s="15">
        <f>IF(COUNT(C261:C272)=12,stdev.s(C261:C272),"")</f>
        <v/>
      </c>
    </row>
    <row r="273" ht="15" customHeight="1" s="10">
      <c r="A273" s="15" t="inlineStr">
        <is>
          <t>2012M8</t>
        </is>
      </c>
      <c r="B273" s="15" t="n">
        <v>1626.03409090909</v>
      </c>
      <c r="C273" s="15">
        <f>IF(AND(B273&lt;&gt;"",B272&lt;&gt;""),LN(B273/B272)*100,"")</f>
        <v/>
      </c>
      <c r="D273" s="15">
        <f>IF(COUNT(C271:C273)=3,stdev.s(C271:C273),"")</f>
        <v/>
      </c>
      <c r="E273" s="15">
        <f>IF(COUNT(C262:C273)=12,stdev.s(C262:C273),"")</f>
        <v/>
      </c>
    </row>
    <row r="274" ht="15" customHeight="1" s="10">
      <c r="A274" s="15" t="inlineStr">
        <is>
          <t>2012M9</t>
        </is>
      </c>
      <c r="B274" s="15" t="n">
        <v>1744.45</v>
      </c>
      <c r="C274" s="15">
        <f>IF(AND(B274&lt;&gt;"",B273&lt;&gt;""),LN(B274/B273)*100,"")</f>
        <v/>
      </c>
      <c r="D274" s="15">
        <f>IF(COUNT(C272:C274)=3,stdev.s(C272:C274),"")</f>
        <v/>
      </c>
      <c r="E274" s="15">
        <f>IF(COUNT(C263:C274)=12,stdev.s(C263:C274),"")</f>
        <v/>
      </c>
    </row>
    <row r="275" ht="15" customHeight="1" s="10">
      <c r="A275" s="15" t="inlineStr">
        <is>
          <t>2012M10</t>
        </is>
      </c>
      <c r="B275" s="15" t="n">
        <v>1747.01086956522</v>
      </c>
      <c r="C275" s="15">
        <f>IF(AND(B275&lt;&gt;"",B274&lt;&gt;""),LN(B275/B274)*100,"")</f>
        <v/>
      </c>
      <c r="D275" s="15">
        <f>IF(COUNT(C273:C275)=3,stdev.s(C273:C275),"")</f>
        <v/>
      </c>
      <c r="E275" s="15">
        <f>IF(COUNT(C264:C275)=12,stdev.s(C264:C275),"")</f>
        <v/>
      </c>
    </row>
    <row r="276" ht="15" customHeight="1" s="10">
      <c r="A276" s="15" t="inlineStr">
        <is>
          <t>2012M11</t>
        </is>
      </c>
      <c r="B276" s="15" t="n">
        <v>1721.13636363636</v>
      </c>
      <c r="C276" s="15">
        <f>IF(AND(B276&lt;&gt;"",B275&lt;&gt;""),LN(B276/B275)*100,"")</f>
        <v/>
      </c>
      <c r="D276" s="15">
        <f>IF(COUNT(C274:C276)=3,stdev.s(C274:C276),"")</f>
        <v/>
      </c>
      <c r="E276" s="15">
        <f>IF(COUNT(C265:C276)=12,stdev.s(C265:C276),"")</f>
        <v/>
      </c>
    </row>
    <row r="277" ht="15" customHeight="1" s="10">
      <c r="A277" s="15" t="inlineStr">
        <is>
          <t>2012M12</t>
        </is>
      </c>
      <c r="B277" s="15" t="n">
        <v>1688.52941176471</v>
      </c>
      <c r="C277" s="15">
        <f>IF(AND(B277&lt;&gt;"",B276&lt;&gt;""),LN(B277/B276)*100,"")</f>
        <v/>
      </c>
      <c r="D277" s="15">
        <f>IF(COUNT(C275:C277)=3,stdev.s(C275:C277),"")</f>
        <v/>
      </c>
      <c r="E277" s="15">
        <f>IF(COUNT(C266:C277)=12,stdev.s(C266:C277),"")</f>
        <v/>
      </c>
    </row>
    <row r="278" ht="15" customHeight="1" s="10">
      <c r="A278" s="15" t="inlineStr">
        <is>
          <t>2013M1</t>
        </is>
      </c>
      <c r="B278" s="15" t="n">
        <v>1670.95454545455</v>
      </c>
      <c r="C278" s="15">
        <f>IF(AND(B278&lt;&gt;"",B277&lt;&gt;""),LN(B278/B277)*100,"")</f>
        <v/>
      </c>
      <c r="D278" s="15">
        <f>IF(COUNT(C276:C278)=3,stdev.s(C276:C278),"")</f>
        <v/>
      </c>
      <c r="E278" s="15">
        <f>IF(COUNT(C267:C278)=12,stdev.s(C267:C278),"")</f>
        <v/>
      </c>
    </row>
    <row r="279" ht="15" customHeight="1" s="10">
      <c r="A279" s="15" t="inlineStr">
        <is>
          <t>2013M2</t>
        </is>
      </c>
      <c r="B279" s="15" t="n">
        <v>1627.5875</v>
      </c>
      <c r="C279" s="15">
        <f>IF(AND(B279&lt;&gt;"",B278&lt;&gt;""),LN(B279/B278)*100,"")</f>
        <v/>
      </c>
      <c r="D279" s="15">
        <f>IF(COUNT(C277:C279)=3,stdev.s(C277:C279),"")</f>
        <v/>
      </c>
      <c r="E279" s="15">
        <f>IF(COUNT(C268:C279)=12,stdev.s(C268:C279),"")</f>
        <v/>
      </c>
    </row>
    <row r="280" ht="15" customHeight="1" s="10">
      <c r="A280" s="15" t="inlineStr">
        <is>
          <t>2013M3</t>
        </is>
      </c>
      <c r="B280" s="15" t="n">
        <v>1592.8625</v>
      </c>
      <c r="C280" s="15">
        <f>IF(AND(B280&lt;&gt;"",B279&lt;&gt;""),LN(B280/B279)*100,"")</f>
        <v/>
      </c>
      <c r="D280" s="15">
        <f>IF(COUNT(C278:C280)=3,stdev.s(C278:C280),"")</f>
        <v/>
      </c>
      <c r="E280" s="15">
        <f>IF(COUNT(C269:C280)=12,stdev.s(C269:C280),"")</f>
        <v/>
      </c>
    </row>
    <row r="281" ht="15" customHeight="1" s="10">
      <c r="A281" s="15" t="inlineStr">
        <is>
          <t>2013M4</t>
        </is>
      </c>
      <c r="B281" s="15" t="n">
        <v>1485.08333333333</v>
      </c>
      <c r="C281" s="15">
        <f>IF(AND(B281&lt;&gt;"",B280&lt;&gt;""),LN(B281/B280)*100,"")</f>
        <v/>
      </c>
      <c r="D281" s="15">
        <f>IF(COUNT(C279:C281)=3,stdev.s(C279:C281),"")</f>
        <v/>
      </c>
      <c r="E281" s="15">
        <f>IF(COUNT(C270:C281)=12,stdev.s(C270:C281),"")</f>
        <v/>
      </c>
    </row>
    <row r="282" ht="15" customHeight="1" s="10">
      <c r="A282" s="15" t="inlineStr">
        <is>
          <t>2013M5</t>
        </is>
      </c>
      <c r="B282" s="15" t="n">
        <v>1413.5</v>
      </c>
      <c r="C282" s="15">
        <f>IF(AND(B282&lt;&gt;"",B281&lt;&gt;""),LN(B282/B281)*100,"")</f>
        <v/>
      </c>
      <c r="D282" s="15">
        <f>IF(COUNT(C280:C282)=3,stdev.s(C280:C282),"")</f>
        <v/>
      </c>
      <c r="E282" s="15">
        <f>IF(COUNT(C271:C282)=12,stdev.s(C271:C282),"")</f>
        <v/>
      </c>
    </row>
    <row r="283" ht="15" customHeight="1" s="10">
      <c r="A283" s="15" t="inlineStr">
        <is>
          <t>2013M6</t>
        </is>
      </c>
      <c r="B283" s="15" t="n">
        <v>1342.3625</v>
      </c>
      <c r="C283" s="15">
        <f>IF(AND(B283&lt;&gt;"",B282&lt;&gt;""),LN(B283/B282)*100,"")</f>
        <v/>
      </c>
      <c r="D283" s="15">
        <f>IF(COUNT(C281:C283)=3,stdev.s(C281:C283),"")</f>
        <v/>
      </c>
      <c r="E283" s="15">
        <f>IF(COUNT(C272:C283)=12,stdev.s(C272:C283),"")</f>
        <v/>
      </c>
    </row>
    <row r="284" ht="15" customHeight="1" s="10">
      <c r="A284" s="15" t="inlineStr">
        <is>
          <t>2013M7</t>
        </is>
      </c>
      <c r="B284" s="15" t="n">
        <v>1286.72391304348</v>
      </c>
      <c r="C284" s="15">
        <f>IF(AND(B284&lt;&gt;"",B283&lt;&gt;""),LN(B284/B283)*100,"")</f>
        <v/>
      </c>
      <c r="D284" s="15">
        <f>IF(COUNT(C282:C284)=3,stdev.s(C282:C284),"")</f>
        <v/>
      </c>
      <c r="E284" s="15">
        <f>IF(COUNT(C273:C284)=12,stdev.s(C273:C284),"")</f>
        <v/>
      </c>
    </row>
    <row r="285" ht="15" customHeight="1" s="10">
      <c r="A285" s="15" t="inlineStr">
        <is>
          <t>2013M8</t>
        </is>
      </c>
      <c r="B285" s="15" t="n">
        <v>1347.09523809524</v>
      </c>
      <c r="C285" s="15">
        <f>IF(AND(B285&lt;&gt;"",B284&lt;&gt;""),LN(B285/B284)*100,"")</f>
        <v/>
      </c>
      <c r="D285" s="15">
        <f>IF(COUNT(C283:C285)=3,stdev.s(C283:C285),"")</f>
        <v/>
      </c>
      <c r="E285" s="15">
        <f>IF(COUNT(C274:C285)=12,stdev.s(C274:C285),"")</f>
        <v/>
      </c>
    </row>
    <row r="286" ht="15" customHeight="1" s="10">
      <c r="A286" s="15" t="inlineStr">
        <is>
          <t>2013M9</t>
        </is>
      </c>
      <c r="B286" s="15" t="n">
        <v>1348.79761904762</v>
      </c>
      <c r="C286" s="15">
        <f>IF(AND(B286&lt;&gt;"",B285&lt;&gt;""),LN(B286/B285)*100,"")</f>
        <v/>
      </c>
      <c r="D286" s="15">
        <f>IF(COUNT(C284:C286)=3,stdev.s(C284:C286),"")</f>
        <v/>
      </c>
      <c r="E286" s="15">
        <f>IF(COUNT(C275:C286)=12,stdev.s(C275:C286),"")</f>
        <v/>
      </c>
    </row>
    <row r="287" ht="15" customHeight="1" s="10">
      <c r="A287" s="15" t="inlineStr">
        <is>
          <t>2013M10</t>
        </is>
      </c>
      <c r="B287" s="15" t="n">
        <v>1316.1847826087</v>
      </c>
      <c r="C287" s="15">
        <f>IF(AND(B287&lt;&gt;"",B286&lt;&gt;""),LN(B287/B286)*100,"")</f>
        <v/>
      </c>
      <c r="D287" s="15">
        <f>IF(COUNT(C285:C287)=3,stdev.s(C285:C287),"")</f>
        <v/>
      </c>
      <c r="E287" s="15">
        <f>IF(COUNT(C276:C287)=12,stdev.s(C276:C287),"")</f>
        <v/>
      </c>
    </row>
    <row r="288" ht="15" customHeight="1" s="10">
      <c r="A288" s="15" t="inlineStr">
        <is>
          <t>2013M11</t>
        </is>
      </c>
      <c r="B288" s="15" t="n">
        <v>1275.82142857143</v>
      </c>
      <c r="C288" s="15">
        <f>IF(AND(B288&lt;&gt;"",B287&lt;&gt;""),LN(B288/B287)*100,"")</f>
        <v/>
      </c>
      <c r="D288" s="15">
        <f>IF(COUNT(C286:C288)=3,stdev.s(C286:C288),"")</f>
        <v/>
      </c>
      <c r="E288" s="15">
        <f>IF(COUNT(C277:C288)=12,stdev.s(C277:C288),"")</f>
        <v/>
      </c>
    </row>
    <row r="289" ht="15" customHeight="1" s="10">
      <c r="A289" s="15" t="inlineStr">
        <is>
          <t>2013M12</t>
        </is>
      </c>
      <c r="B289" s="15" t="n">
        <v>1225.40277777778</v>
      </c>
      <c r="C289" s="15">
        <f>IF(AND(B289&lt;&gt;"",B288&lt;&gt;""),LN(B289/B288)*100,"")</f>
        <v/>
      </c>
      <c r="D289" s="15">
        <f>IF(COUNT(C287:C289)=3,stdev.s(C287:C289),"")</f>
        <v/>
      </c>
      <c r="E289" s="15">
        <f>IF(COUNT(C278:C289)=12,stdev.s(C278:C289),"")</f>
        <v/>
      </c>
    </row>
    <row r="290" ht="15" customHeight="1" s="10">
      <c r="A290" s="15" t="inlineStr">
        <is>
          <t>2014M1</t>
        </is>
      </c>
      <c r="B290" s="15" t="n">
        <v>1244.79545454546</v>
      </c>
      <c r="C290" s="15">
        <f>IF(AND(B290&lt;&gt;"",B289&lt;&gt;""),LN(B290/B289)*100,"")</f>
        <v/>
      </c>
      <c r="D290" s="15">
        <f>IF(COUNT(C288:C290)=3,stdev.s(C288:C290),"")</f>
        <v/>
      </c>
      <c r="E290" s="15">
        <f>IF(COUNT(C279:C290)=12,stdev.s(C279:C290),"")</f>
        <v/>
      </c>
    </row>
    <row r="291" ht="15" customHeight="1" s="10">
      <c r="A291" s="15" t="inlineStr">
        <is>
          <t>2014M2</t>
        </is>
      </c>
      <c r="B291" s="15" t="n">
        <v>1300.975</v>
      </c>
      <c r="C291" s="15">
        <f>IF(AND(B291&lt;&gt;"",B290&lt;&gt;""),LN(B291/B290)*100,"")</f>
        <v/>
      </c>
      <c r="D291" s="15">
        <f>IF(COUNT(C289:C291)=3,stdev.s(C289:C291),"")</f>
        <v/>
      </c>
      <c r="E291" s="15">
        <f>IF(COUNT(C280:C291)=12,stdev.s(C280:C291),"")</f>
        <v/>
      </c>
    </row>
    <row r="292" ht="15" customHeight="1" s="10">
      <c r="A292" s="15" t="inlineStr">
        <is>
          <t>2014M3</t>
        </is>
      </c>
      <c r="B292" s="15" t="n">
        <v>1336.08333333333</v>
      </c>
      <c r="C292" s="15">
        <f>IF(AND(B292&lt;&gt;"",B291&lt;&gt;""),LN(B292/B291)*100,"")</f>
        <v/>
      </c>
      <c r="D292" s="15">
        <f>IF(COUNT(C290:C292)=3,stdev.s(C290:C292),"")</f>
        <v/>
      </c>
      <c r="E292" s="15">
        <f>IF(COUNT(C281:C292)=12,stdev.s(C281:C292),"")</f>
        <v/>
      </c>
    </row>
    <row r="293" ht="15" customHeight="1" s="10">
      <c r="A293" s="15" t="inlineStr">
        <is>
          <t>2014M4</t>
        </is>
      </c>
      <c r="B293" s="15" t="n">
        <v>1299</v>
      </c>
      <c r="C293" s="15">
        <f>IF(AND(B293&lt;&gt;"",B292&lt;&gt;""),LN(B293/B292)*100,"")</f>
        <v/>
      </c>
      <c r="D293" s="15">
        <f>IF(COUNT(C291:C293)=3,stdev.s(C291:C293),"")</f>
        <v/>
      </c>
      <c r="E293" s="15">
        <f>IF(COUNT(C282:C293)=12,stdev.s(C282:C293),"")</f>
        <v/>
      </c>
    </row>
    <row r="294" ht="15" customHeight="1" s="10">
      <c r="A294" s="15" t="inlineStr">
        <is>
          <t>2014M5</t>
        </is>
      </c>
      <c r="B294" s="15" t="n">
        <v>1287.525</v>
      </c>
      <c r="C294" s="15">
        <f>IF(AND(B294&lt;&gt;"",B293&lt;&gt;""),LN(B294/B293)*100,"")</f>
        <v/>
      </c>
      <c r="D294" s="15">
        <f>IF(COUNT(C292:C294)=3,stdev.s(C292:C294),"")</f>
        <v/>
      </c>
      <c r="E294" s="15">
        <f>IF(COUNT(C283:C294)=12,stdev.s(C283:C294),"")</f>
        <v/>
      </c>
    </row>
    <row r="295" ht="15" customHeight="1" s="10">
      <c r="A295" s="15" t="inlineStr">
        <is>
          <t>2014M6</t>
        </is>
      </c>
      <c r="B295" s="15" t="n">
        <v>1279.09523809524</v>
      </c>
      <c r="C295" s="15">
        <f>IF(AND(B295&lt;&gt;"",B294&lt;&gt;""),LN(B295/B294)*100,"")</f>
        <v/>
      </c>
      <c r="D295" s="15">
        <f>IF(COUNT(C293:C295)=3,stdev.s(C293:C295),"")</f>
        <v/>
      </c>
      <c r="E295" s="15">
        <f>IF(COUNT(C284:C295)=12,stdev.s(C284:C295),"")</f>
        <v/>
      </c>
    </row>
    <row r="296" ht="15" customHeight="1" s="10">
      <c r="A296" s="15" t="inlineStr">
        <is>
          <t>2014M7</t>
        </is>
      </c>
      <c r="B296" s="15" t="n">
        <v>1310.96739130435</v>
      </c>
      <c r="C296" s="15">
        <f>IF(AND(B296&lt;&gt;"",B295&lt;&gt;""),LN(B296/B295)*100,"")</f>
        <v/>
      </c>
      <c r="D296" s="15">
        <f>IF(COUNT(C294:C296)=3,stdev.s(C294:C296),"")</f>
        <v/>
      </c>
      <c r="E296" s="15">
        <f>IF(COUNT(C285:C296)=12,stdev.s(C285:C296),"")</f>
        <v/>
      </c>
    </row>
    <row r="297" ht="15" customHeight="1" s="10">
      <c r="A297" s="15" t="inlineStr">
        <is>
          <t>2014M8</t>
        </is>
      </c>
      <c r="B297" s="15" t="n">
        <v>1295.9875</v>
      </c>
      <c r="C297" s="15">
        <f>IF(AND(B297&lt;&gt;"",B296&lt;&gt;""),LN(B297/B296)*100,"")</f>
        <v/>
      </c>
      <c r="D297" s="15">
        <f>IF(COUNT(C295:C297)=3,stdev.s(C295:C297),"")</f>
        <v/>
      </c>
      <c r="E297" s="15">
        <f>IF(COUNT(C286:C297)=12,stdev.s(C286:C297),"")</f>
        <v/>
      </c>
    </row>
    <row r="298" ht="15" customHeight="1" s="10">
      <c r="A298" s="15" t="inlineStr">
        <is>
          <t>2014M9</t>
        </is>
      </c>
      <c r="B298" s="15" t="n">
        <v>1238.81818181818</v>
      </c>
      <c r="C298" s="15">
        <f>IF(AND(B298&lt;&gt;"",B297&lt;&gt;""),LN(B298/B297)*100,"")</f>
        <v/>
      </c>
      <c r="D298" s="15">
        <f>IF(COUNT(C296:C298)=3,stdev.s(C296:C298),"")</f>
        <v/>
      </c>
      <c r="E298" s="15">
        <f>IF(COUNT(C287:C298)=12,stdev.s(C287:C298),"")</f>
        <v/>
      </c>
    </row>
    <row r="299" ht="15" customHeight="1" s="10">
      <c r="A299" s="15" t="inlineStr">
        <is>
          <t>2014M10</t>
        </is>
      </c>
      <c r="B299" s="15" t="n">
        <v>1222.48913043478</v>
      </c>
      <c r="C299" s="15">
        <f>IF(AND(B299&lt;&gt;"",B298&lt;&gt;""),LN(B299/B298)*100,"")</f>
        <v/>
      </c>
      <c r="D299" s="15">
        <f>IF(COUNT(C297:C299)=3,stdev.s(C297:C299),"")</f>
        <v/>
      </c>
      <c r="E299" s="15">
        <f>IF(COUNT(C288:C299)=12,stdev.s(C288:C299),"")</f>
        <v/>
      </c>
    </row>
    <row r="300" ht="15" customHeight="1" s="10">
      <c r="A300" s="15" t="inlineStr">
        <is>
          <t>2014M11</t>
        </is>
      </c>
      <c r="B300" s="15" t="n">
        <v>1176.3</v>
      </c>
      <c r="C300" s="15">
        <f>IF(AND(B300&lt;&gt;"",B299&lt;&gt;""),LN(B300/B299)*100,"")</f>
        <v/>
      </c>
      <c r="D300" s="15">
        <f>IF(COUNT(C298:C300)=3,stdev.s(C298:C300),"")</f>
        <v/>
      </c>
      <c r="E300" s="15">
        <f>IF(COUNT(C289:C300)=12,stdev.s(C289:C300),"")</f>
        <v/>
      </c>
    </row>
    <row r="301" ht="15" customHeight="1" s="10">
      <c r="A301" s="15" t="inlineStr">
        <is>
          <t>2014M12</t>
        </is>
      </c>
      <c r="B301" s="15" t="n">
        <v>1202.28947368421</v>
      </c>
      <c r="C301" s="15">
        <f>IF(AND(B301&lt;&gt;"",B300&lt;&gt;""),LN(B301/B300)*100,"")</f>
        <v/>
      </c>
      <c r="D301" s="15">
        <f>IF(COUNT(C299:C301)=3,stdev.s(C299:C301),"")</f>
        <v/>
      </c>
      <c r="E301" s="15">
        <f>IF(COUNT(C290:C301)=12,stdev.s(C290:C301),"")</f>
        <v/>
      </c>
    </row>
    <row r="302" ht="15" customHeight="1" s="10">
      <c r="A302" s="15" t="inlineStr">
        <is>
          <t>2015M1</t>
        </is>
      </c>
      <c r="B302" s="15" t="n">
        <v>1251.84523809524</v>
      </c>
      <c r="C302" s="15">
        <f>IF(AND(B302&lt;&gt;"",B301&lt;&gt;""),LN(B302/B301)*100,"")</f>
        <v/>
      </c>
      <c r="D302" s="15">
        <f>IF(COUNT(C300:C302)=3,stdev.s(C300:C302),"")</f>
        <v/>
      </c>
      <c r="E302" s="15">
        <f>IF(COUNT(C291:C302)=12,stdev.s(C291:C302),"")</f>
        <v/>
      </c>
    </row>
    <row r="303" ht="15" customHeight="1" s="10">
      <c r="A303" s="15" t="inlineStr">
        <is>
          <t>2015M2</t>
        </is>
      </c>
      <c r="B303" s="15" t="n">
        <v>1227.1875</v>
      </c>
      <c r="C303" s="15">
        <f>IF(AND(B303&lt;&gt;"",B302&lt;&gt;""),LN(B303/B302)*100,"")</f>
        <v/>
      </c>
      <c r="D303" s="15">
        <f>IF(COUNT(C301:C303)=3,stdev.s(C301:C303),"")</f>
        <v/>
      </c>
      <c r="E303" s="15">
        <f>IF(COUNT(C292:C303)=12,stdev.s(C292:C303),"")</f>
        <v/>
      </c>
    </row>
    <row r="304" ht="15" customHeight="1" s="10">
      <c r="A304" s="15" t="inlineStr">
        <is>
          <t>2015M3</t>
        </is>
      </c>
      <c r="B304" s="15" t="n">
        <v>1178.62954545455</v>
      </c>
      <c r="C304" s="15">
        <f>IF(AND(B304&lt;&gt;"",B303&lt;&gt;""),LN(B304/B303)*100,"")</f>
        <v/>
      </c>
      <c r="D304" s="15">
        <f>IF(COUNT(C302:C304)=3,stdev.s(C302:C304),"")</f>
        <v/>
      </c>
      <c r="E304" s="15">
        <f>IF(COUNT(C293:C304)=12,stdev.s(C293:C304),"")</f>
        <v/>
      </c>
    </row>
    <row r="305" ht="15" customHeight="1" s="10">
      <c r="A305" s="15" t="inlineStr">
        <is>
          <t>2015M4</t>
        </is>
      </c>
      <c r="B305" s="15" t="n">
        <v>1197.91</v>
      </c>
      <c r="C305" s="15">
        <f>IF(AND(B305&lt;&gt;"",B304&lt;&gt;""),LN(B305/B304)*100,"")</f>
        <v/>
      </c>
      <c r="D305" s="15">
        <f>IF(COUNT(C303:C305)=3,stdev.s(C303:C305),"")</f>
        <v/>
      </c>
      <c r="E305" s="15">
        <f>IF(COUNT(C294:C305)=12,stdev.s(C294:C305),"")</f>
        <v/>
      </c>
    </row>
    <row r="306" ht="15" customHeight="1" s="10">
      <c r="A306" s="15" t="inlineStr">
        <is>
          <t>2015M5</t>
        </is>
      </c>
      <c r="B306" s="15" t="n">
        <v>1199.05263157895</v>
      </c>
      <c r="C306" s="15">
        <f>IF(AND(B306&lt;&gt;"",B305&lt;&gt;""),LN(B306/B305)*100,"")</f>
        <v/>
      </c>
      <c r="D306" s="15">
        <f>IF(COUNT(C304:C306)=3,stdev.s(C304:C306),"")</f>
        <v/>
      </c>
      <c r="E306" s="15">
        <f>IF(COUNT(C295:C306)=12,stdev.s(C295:C306),"")</f>
        <v/>
      </c>
    </row>
    <row r="307" ht="15" customHeight="1" s="10">
      <c r="A307" s="15" t="inlineStr">
        <is>
          <t>2015M6</t>
        </is>
      </c>
      <c r="B307" s="15" t="n">
        <v>1181.50454545455</v>
      </c>
      <c r="C307" s="15">
        <f>IF(AND(B307&lt;&gt;"",B306&lt;&gt;""),LN(B307/B306)*100,"")</f>
        <v/>
      </c>
      <c r="D307" s="15">
        <f>IF(COUNT(C305:C307)=3,stdev.s(C305:C307),"")</f>
        <v/>
      </c>
      <c r="E307" s="15">
        <f>IF(COUNT(C296:C307)=12,stdev.s(C296:C307),"")</f>
        <v/>
      </c>
    </row>
    <row r="308" ht="15" customHeight="1" s="10">
      <c r="A308" s="15" t="inlineStr">
        <is>
          <t>2015M7</t>
        </is>
      </c>
      <c r="B308" s="15" t="n">
        <v>1130.03695652174</v>
      </c>
      <c r="C308" s="15">
        <f>IF(AND(B308&lt;&gt;"",B307&lt;&gt;""),LN(B308/B307)*100,"")</f>
        <v/>
      </c>
      <c r="D308" s="15">
        <f>IF(COUNT(C306:C308)=3,stdev.s(C306:C308),"")</f>
        <v/>
      </c>
      <c r="E308" s="15">
        <f>IF(COUNT(C297:C308)=12,stdev.s(C297:C308),"")</f>
        <v/>
      </c>
    </row>
    <row r="309" ht="15" customHeight="1" s="10">
      <c r="A309" s="15" t="inlineStr">
        <is>
          <t>2015M8</t>
        </is>
      </c>
      <c r="B309" s="15" t="n">
        <v>1117.475</v>
      </c>
      <c r="C309" s="15">
        <f>IF(AND(B309&lt;&gt;"",B308&lt;&gt;""),LN(B309/B308)*100,"")</f>
        <v/>
      </c>
      <c r="D309" s="15">
        <f>IF(COUNT(C307:C309)=3,stdev.s(C307:C309),"")</f>
        <v/>
      </c>
      <c r="E309" s="15">
        <f>IF(COUNT(C298:C309)=12,stdev.s(C298:C309),"")</f>
        <v/>
      </c>
    </row>
    <row r="310" ht="15" customHeight="1" s="10">
      <c r="A310" s="15" t="inlineStr">
        <is>
          <t>2015M9</t>
        </is>
      </c>
      <c r="B310" s="15" t="n">
        <v>1124.53181818182</v>
      </c>
      <c r="C310" s="15">
        <f>IF(AND(B310&lt;&gt;"",B309&lt;&gt;""),LN(B310/B309)*100,"")</f>
        <v/>
      </c>
      <c r="D310" s="15">
        <f>IF(COUNT(C308:C310)=3,stdev.s(C308:C310),"")</f>
        <v/>
      </c>
      <c r="E310" s="15">
        <f>IF(COUNT(C299:C310)=12,stdev.s(C299:C310),"")</f>
        <v/>
      </c>
    </row>
    <row r="311" ht="15" customHeight="1" s="10">
      <c r="A311" s="15" t="inlineStr">
        <is>
          <t>2015M10</t>
        </is>
      </c>
      <c r="B311" s="15" t="n">
        <v>1159.24545454546</v>
      </c>
      <c r="C311" s="15">
        <f>IF(AND(B311&lt;&gt;"",B310&lt;&gt;""),LN(B311/B310)*100,"")</f>
        <v/>
      </c>
      <c r="D311" s="15">
        <f>IF(COUNT(C309:C311)=3,stdev.s(C309:C311),"")</f>
        <v/>
      </c>
      <c r="E311" s="15">
        <f>IF(COUNT(C300:C311)=12,stdev.s(C300:C311),"")</f>
        <v/>
      </c>
    </row>
    <row r="312" ht="15" customHeight="1" s="10">
      <c r="A312" s="15" t="inlineStr">
        <is>
          <t>2015M11</t>
        </is>
      </c>
      <c r="B312" s="15" t="n">
        <v>1085.70238095238</v>
      </c>
      <c r="C312" s="15">
        <f>IF(AND(B312&lt;&gt;"",B311&lt;&gt;""),LN(B312/B311)*100,"")</f>
        <v/>
      </c>
      <c r="D312" s="15">
        <f>IF(COUNT(C310:C312)=3,stdev.s(C310:C312),"")</f>
        <v/>
      </c>
      <c r="E312" s="15">
        <f>IF(COUNT(C301:C312)=12,stdev.s(C301:C312),"")</f>
        <v/>
      </c>
    </row>
    <row r="313" ht="15" customHeight="1" s="10">
      <c r="A313" s="15" t="inlineStr">
        <is>
          <t>2015M12</t>
        </is>
      </c>
      <c r="B313" s="15" t="n">
        <v>1068.25263157895</v>
      </c>
      <c r="C313" s="15">
        <f>IF(AND(B313&lt;&gt;"",B312&lt;&gt;""),LN(B313/B312)*100,"")</f>
        <v/>
      </c>
      <c r="D313" s="15">
        <f>IF(COUNT(C311:C313)=3,stdev.s(C311:C313),"")</f>
        <v/>
      </c>
      <c r="E313" s="15">
        <f>IF(COUNT(C302:C313)=12,stdev.s(C302:C313),"")</f>
        <v/>
      </c>
    </row>
    <row r="314" ht="15" customHeight="1" s="10">
      <c r="A314" s="15" t="inlineStr">
        <is>
          <t>2016M1</t>
        </is>
      </c>
      <c r="B314" s="15" t="n">
        <v>1097.375</v>
      </c>
      <c r="C314" s="15">
        <f>IF(AND(B314&lt;&gt;"",B313&lt;&gt;""),LN(B314/B313)*100,"")</f>
        <v/>
      </c>
      <c r="D314" s="15">
        <f>IF(COUNT(C312:C314)=3,stdev.s(C312:C314),"")</f>
        <v/>
      </c>
      <c r="E314" s="15">
        <f>IF(COUNT(C303:C314)=12,stdev.s(C303:C314),"")</f>
        <v/>
      </c>
    </row>
    <row r="315" ht="15" customHeight="1" s="10">
      <c r="A315" s="15" t="inlineStr">
        <is>
          <t>2016M2</t>
        </is>
      </c>
      <c r="B315" s="15" t="n">
        <v>1199.91190476191</v>
      </c>
      <c r="C315" s="15">
        <f>IF(AND(B315&lt;&gt;"",B314&lt;&gt;""),LN(B315/B314)*100,"")</f>
        <v/>
      </c>
      <c r="D315" s="15">
        <f>IF(COUNT(C313:C315)=3,stdev.s(C313:C315),"")</f>
        <v/>
      </c>
      <c r="E315" s="15">
        <f>IF(COUNT(C304:C315)=12,stdev.s(C304:C315),"")</f>
        <v/>
      </c>
    </row>
    <row r="316" ht="15" customHeight="1" s="10">
      <c r="A316" s="15" t="inlineStr">
        <is>
          <t>2016M3</t>
        </is>
      </c>
      <c r="B316" s="15" t="n">
        <v>1246.3380952381</v>
      </c>
      <c r="C316" s="15">
        <f>IF(AND(B316&lt;&gt;"",B315&lt;&gt;""),LN(B316/B315)*100,"")</f>
        <v/>
      </c>
      <c r="D316" s="15">
        <f>IF(COUNT(C314:C316)=3,stdev.s(C314:C316),"")</f>
        <v/>
      </c>
      <c r="E316" s="15">
        <f>IF(COUNT(C305:C316)=12,stdev.s(C305:C316),"")</f>
        <v/>
      </c>
    </row>
    <row r="317" ht="15" customHeight="1" s="10">
      <c r="A317" s="15" t="inlineStr">
        <is>
          <t>2016M4</t>
        </is>
      </c>
      <c r="B317" s="15" t="n">
        <v>1242.26190476191</v>
      </c>
      <c r="C317" s="15">
        <f>IF(AND(B317&lt;&gt;"",B316&lt;&gt;""),LN(B317/B316)*100,"")</f>
        <v/>
      </c>
      <c r="D317" s="15">
        <f>IF(COUNT(C315:C317)=3,stdev.s(C315:C317),"")</f>
        <v/>
      </c>
      <c r="E317" s="15">
        <f>IF(COUNT(C306:C317)=12,stdev.s(C306:C317),"")</f>
        <v/>
      </c>
    </row>
    <row r="318" ht="15" customHeight="1" s="10">
      <c r="A318" s="15" t="inlineStr">
        <is>
          <t>2016M5</t>
        </is>
      </c>
      <c r="B318" s="15" t="n">
        <v>1259.3975</v>
      </c>
      <c r="C318" s="15">
        <f>IF(AND(B318&lt;&gt;"",B317&lt;&gt;""),LN(B318/B317)*100,"")</f>
        <v/>
      </c>
      <c r="D318" s="15">
        <f>IF(COUNT(C316:C318)=3,stdev.s(C316:C318),"")</f>
        <v/>
      </c>
      <c r="E318" s="15">
        <f>IF(COUNT(C307:C318)=12,stdev.s(C307:C318),"")</f>
        <v/>
      </c>
    </row>
    <row r="319" ht="15" customHeight="1" s="10">
      <c r="A319" s="15" t="inlineStr">
        <is>
          <t>2016M6</t>
        </is>
      </c>
      <c r="B319" s="15" t="n">
        <v>1276.40454545455</v>
      </c>
      <c r="C319" s="15">
        <f>IF(AND(B319&lt;&gt;"",B318&lt;&gt;""),LN(B319/B318)*100,"")</f>
        <v/>
      </c>
      <c r="D319" s="15">
        <f>IF(COUNT(C317:C319)=3,stdev.s(C317:C319),"")</f>
        <v/>
      </c>
      <c r="E319" s="15">
        <f>IF(COUNT(C308:C319)=12,stdev.s(C308:C319),"")</f>
        <v/>
      </c>
    </row>
    <row r="320" ht="15" customHeight="1" s="10">
      <c r="A320" s="15" t="inlineStr">
        <is>
          <t>2016M7</t>
        </is>
      </c>
      <c r="B320" s="15" t="n">
        <v>1337.32619047619</v>
      </c>
      <c r="C320" s="15">
        <f>IF(AND(B320&lt;&gt;"",B319&lt;&gt;""),LN(B320/B319)*100,"")</f>
        <v/>
      </c>
      <c r="D320" s="15">
        <f>IF(COUNT(C318:C320)=3,stdev.s(C318:C320),"")</f>
        <v/>
      </c>
      <c r="E320" s="15">
        <f>IF(COUNT(C309:C320)=12,stdev.s(C309:C320),"")</f>
        <v/>
      </c>
    </row>
    <row r="321" ht="15" customHeight="1" s="10">
      <c r="A321" s="15" t="inlineStr">
        <is>
          <t>2016M8</t>
        </is>
      </c>
      <c r="B321" s="15" t="n">
        <v>1341.08863636364</v>
      </c>
      <c r="C321" s="15">
        <f>IF(AND(B321&lt;&gt;"",B320&lt;&gt;""),LN(B321/B320)*100,"")</f>
        <v/>
      </c>
      <c r="D321" s="15">
        <f>IF(COUNT(C319:C321)=3,stdev.s(C319:C321),"")</f>
        <v/>
      </c>
      <c r="E321" s="15">
        <f>IF(COUNT(C310:C321)=12,stdev.s(C310:C321),"")</f>
        <v/>
      </c>
    </row>
    <row r="322" ht="15" customHeight="1" s="10">
      <c r="A322" s="15" t="inlineStr">
        <is>
          <t>2016M9</t>
        </is>
      </c>
      <c r="B322" s="15" t="n">
        <v>1326.02954545455</v>
      </c>
      <c r="C322" s="15">
        <f>IF(AND(B322&lt;&gt;"",B321&lt;&gt;""),LN(B322/B321)*100,"")</f>
        <v/>
      </c>
      <c r="D322" s="15">
        <f>IF(COUNT(C320:C322)=3,stdev.s(C320:C322),"")</f>
        <v/>
      </c>
      <c r="E322" s="15">
        <f>IF(COUNT(C311:C322)=12,stdev.s(C311:C322),"")</f>
        <v/>
      </c>
    </row>
    <row r="323" ht="15" customHeight="1" s="10">
      <c r="A323" s="15" t="inlineStr">
        <is>
          <t>2016M10</t>
        </is>
      </c>
      <c r="B323" s="15" t="n">
        <v>1266.56904761905</v>
      </c>
      <c r="C323" s="15">
        <f>IF(AND(B323&lt;&gt;"",B322&lt;&gt;""),LN(B323/B322)*100,"")</f>
        <v/>
      </c>
      <c r="D323" s="15">
        <f>IF(COUNT(C321:C323)=3,stdev.s(C321:C323),"")</f>
        <v/>
      </c>
      <c r="E323" s="15">
        <f>IF(COUNT(C312:C323)=12,stdev.s(C312:C323),"")</f>
        <v/>
      </c>
    </row>
    <row r="324" ht="15" customHeight="1" s="10">
      <c r="A324" s="15" t="inlineStr">
        <is>
          <t>2016M11</t>
        </is>
      </c>
      <c r="B324" s="15" t="n">
        <v>1235.97954545455</v>
      </c>
      <c r="C324" s="15">
        <f>IF(AND(B324&lt;&gt;"",B323&lt;&gt;""),LN(B324/B323)*100,"")</f>
        <v/>
      </c>
      <c r="D324" s="15">
        <f>IF(COUNT(C322:C324)=3,stdev.s(C322:C324),"")</f>
        <v/>
      </c>
      <c r="E324" s="15">
        <f>IF(COUNT(C313:C324)=12,stdev.s(C313:C324),"")</f>
        <v/>
      </c>
    </row>
    <row r="325" ht="15" customHeight="1" s="10">
      <c r="A325" s="15" t="inlineStr">
        <is>
          <t>2016M12</t>
        </is>
      </c>
      <c r="B325" s="15" t="n">
        <v>1151.40277777778</v>
      </c>
      <c r="C325" s="15">
        <f>IF(AND(B325&lt;&gt;"",B324&lt;&gt;""),LN(B325/B324)*100,"")</f>
        <v/>
      </c>
      <c r="D325" s="15">
        <f>IF(COUNT(C323:C325)=3,stdev.s(C323:C325),"")</f>
        <v/>
      </c>
      <c r="E325" s="15">
        <f>IF(COUNT(C314:C325)=12,stdev.s(C314:C325),"")</f>
        <v/>
      </c>
    </row>
    <row r="326" ht="15" customHeight="1" s="10">
      <c r="A326" s="15" t="inlineStr">
        <is>
          <t>2017M1</t>
        </is>
      </c>
      <c r="B326" s="15" t="n">
        <v>1192.61666666667</v>
      </c>
      <c r="C326" s="15">
        <f>IF(AND(B326&lt;&gt;"",B325&lt;&gt;""),LN(B326/B325)*100,"")</f>
        <v/>
      </c>
      <c r="D326" s="15">
        <f>IF(COUNT(C324:C326)=3,stdev.s(C324:C326),"")</f>
        <v/>
      </c>
      <c r="E326" s="15">
        <f>IF(COUNT(C315:C326)=12,stdev.s(C315:C326),"")</f>
        <v/>
      </c>
    </row>
    <row r="327" ht="15" customHeight="1" s="10">
      <c r="A327" s="15" t="inlineStr">
        <is>
          <t>2017M2</t>
        </is>
      </c>
      <c r="B327" s="15" t="n">
        <v>1234.3575</v>
      </c>
      <c r="C327" s="15">
        <f>IF(AND(B327&lt;&gt;"",B326&lt;&gt;""),LN(B327/B326)*100,"")</f>
        <v/>
      </c>
      <c r="D327" s="15">
        <f>IF(COUNT(C325:C327)=3,stdev.s(C325:C327),"")</f>
        <v/>
      </c>
      <c r="E327" s="15">
        <f>IF(COUNT(C316:C327)=12,stdev.s(C316:C327),"")</f>
        <v/>
      </c>
    </row>
    <row r="328" ht="15" customHeight="1" s="10">
      <c r="A328" s="15" t="inlineStr">
        <is>
          <t>2017M3</t>
        </is>
      </c>
      <c r="B328" s="15" t="n">
        <v>1231.09347826087</v>
      </c>
      <c r="C328" s="15">
        <f>IF(AND(B328&lt;&gt;"",B327&lt;&gt;""),LN(B328/B327)*100,"")</f>
        <v/>
      </c>
      <c r="D328" s="15">
        <f>IF(COUNT(C326:C328)=3,stdev.s(C326:C328),"")</f>
        <v/>
      </c>
      <c r="E328" s="15">
        <f>IF(COUNT(C317:C328)=12,stdev.s(C317:C328),"")</f>
        <v/>
      </c>
    </row>
    <row r="329" ht="15" customHeight="1" s="10">
      <c r="A329" s="15" t="inlineStr">
        <is>
          <t>2017M4</t>
        </is>
      </c>
      <c r="B329" s="15" t="n">
        <v>1265.62777777778</v>
      </c>
      <c r="C329" s="15">
        <f>IF(AND(B329&lt;&gt;"",B328&lt;&gt;""),LN(B329/B328)*100,"")</f>
        <v/>
      </c>
      <c r="D329" s="15">
        <f>IF(COUNT(C327:C329)=3,stdev.s(C327:C329),"")</f>
        <v/>
      </c>
      <c r="E329" s="15">
        <f>IF(COUNT(C318:C329)=12,stdev.s(C318:C329),"")</f>
        <v/>
      </c>
    </row>
    <row r="330" ht="15" customHeight="1" s="10">
      <c r="A330" s="15" t="inlineStr">
        <is>
          <t>2017M5</t>
        </is>
      </c>
      <c r="B330" s="15" t="n">
        <v>1245.00476190476</v>
      </c>
      <c r="C330" s="15">
        <f>IF(AND(B330&lt;&gt;"",B329&lt;&gt;""),LN(B330/B329)*100,"")</f>
        <v/>
      </c>
      <c r="D330" s="15">
        <f>IF(COUNT(C328:C330)=3,stdev.s(C328:C330),"")</f>
        <v/>
      </c>
      <c r="E330" s="15">
        <f>IF(COUNT(C319:C330)=12,stdev.s(C319:C330),"")</f>
        <v/>
      </c>
    </row>
    <row r="331" ht="15" customHeight="1" s="10">
      <c r="A331" s="15" t="inlineStr">
        <is>
          <t>2017M6</t>
        </is>
      </c>
      <c r="B331" s="15" t="n">
        <v>1260.25681818182</v>
      </c>
      <c r="C331" s="15">
        <f>IF(AND(B331&lt;&gt;"",B330&lt;&gt;""),LN(B331/B330)*100,"")</f>
        <v/>
      </c>
      <c r="D331" s="15">
        <f>IF(COUNT(C329:C331)=3,stdev.s(C329:C331),"")</f>
        <v/>
      </c>
      <c r="E331" s="15">
        <f>IF(COUNT(C320:C331)=12,stdev.s(C320:C331),"")</f>
        <v/>
      </c>
    </row>
    <row r="332" ht="15" customHeight="1" s="10">
      <c r="A332" s="15" t="inlineStr">
        <is>
          <t>2017M7</t>
        </is>
      </c>
      <c r="B332" s="15" t="n">
        <v>1236.22142857143</v>
      </c>
      <c r="C332" s="15">
        <f>IF(AND(B332&lt;&gt;"",B331&lt;&gt;""),LN(B332/B331)*100,"")</f>
        <v/>
      </c>
      <c r="D332" s="15">
        <f>IF(COUNT(C330:C332)=3,stdev.s(C330:C332),"")</f>
        <v/>
      </c>
      <c r="E332" s="15">
        <f>IF(COUNT(C321:C332)=12,stdev.s(C321:C332),"")</f>
        <v/>
      </c>
    </row>
    <row r="333" ht="15" customHeight="1" s="10">
      <c r="A333" s="15" t="inlineStr">
        <is>
          <t>2017M8</t>
        </is>
      </c>
      <c r="B333" s="15" t="n">
        <v>1282.31590909091</v>
      </c>
      <c r="C333" s="15">
        <f>IF(AND(B333&lt;&gt;"",B332&lt;&gt;""),LN(B333/B332)*100,"")</f>
        <v/>
      </c>
      <c r="D333" s="15">
        <f>IF(COUNT(C331:C333)=3,stdev.s(C331:C333),"")</f>
        <v/>
      </c>
      <c r="E333" s="15">
        <f>IF(COUNT(C322:C333)=12,stdev.s(C322:C333),"")</f>
        <v/>
      </c>
    </row>
    <row r="334" ht="15" customHeight="1" s="10">
      <c r="A334" s="15" t="inlineStr">
        <is>
          <t>2017M9</t>
        </is>
      </c>
      <c r="B334" s="15" t="n">
        <v>1314.97857142857</v>
      </c>
      <c r="C334" s="15">
        <f>IF(AND(B334&lt;&gt;"",B333&lt;&gt;""),LN(B334/B333)*100,"")</f>
        <v/>
      </c>
      <c r="D334" s="15">
        <f>IF(COUNT(C332:C334)=3,stdev.s(C332:C334),"")</f>
        <v/>
      </c>
      <c r="E334" s="15">
        <f>IF(COUNT(C323:C334)=12,stdev.s(C323:C334),"")</f>
        <v/>
      </c>
    </row>
    <row r="335" ht="15" customHeight="1" s="10">
      <c r="A335" s="15" t="inlineStr">
        <is>
          <t>2017M10</t>
        </is>
      </c>
      <c r="B335" s="15" t="n">
        <v>1279.51363636364</v>
      </c>
      <c r="C335" s="15">
        <f>IF(AND(B335&lt;&gt;"",B334&lt;&gt;""),LN(B335/B334)*100,"")</f>
        <v/>
      </c>
      <c r="D335" s="15">
        <f>IF(COUNT(C333:C335)=3,stdev.s(C333:C335),"")</f>
        <v/>
      </c>
      <c r="E335" s="15">
        <f>IF(COUNT(C324:C335)=12,stdev.s(C324:C335),"")</f>
        <v/>
      </c>
    </row>
    <row r="336" ht="15" customHeight="1" s="10">
      <c r="A336" s="15" t="inlineStr">
        <is>
          <t>2017M11</t>
        </is>
      </c>
      <c r="B336" s="15" t="n">
        <v>1282.28409090909</v>
      </c>
      <c r="C336" s="15">
        <f>IF(AND(B336&lt;&gt;"",B335&lt;&gt;""),LN(B336/B335)*100,"")</f>
        <v/>
      </c>
      <c r="D336" s="15">
        <f>IF(COUNT(C334:C336)=3,stdev.s(C334:C336),"")</f>
        <v/>
      </c>
      <c r="E336" s="15">
        <f>IF(COUNT(C325:C336)=12,stdev.s(C325:C336),"")</f>
        <v/>
      </c>
    </row>
    <row r="337" ht="15" customHeight="1" s="10">
      <c r="A337" s="15" t="inlineStr">
        <is>
          <t>2017M12</t>
        </is>
      </c>
      <c r="B337" s="15" t="n">
        <v>1261.25588235294</v>
      </c>
      <c r="C337" s="15">
        <f>IF(AND(B337&lt;&gt;"",B336&lt;&gt;""),LN(B337/B336)*100,"")</f>
        <v/>
      </c>
      <c r="D337" s="15">
        <f>IF(COUNT(C335:C337)=3,stdev.s(C335:C337),"")</f>
        <v/>
      </c>
      <c r="E337" s="15">
        <f>IF(COUNT(C326:C337)=12,stdev.s(C326:C337),"")</f>
        <v/>
      </c>
    </row>
    <row r="338" ht="15" customHeight="1" s="10">
      <c r="A338" s="15" t="inlineStr">
        <is>
          <t>2018M1</t>
        </is>
      </c>
      <c r="B338" s="15" t="n">
        <v>1331.66590909091</v>
      </c>
      <c r="C338" s="15">
        <f>IF(AND(B338&lt;&gt;"",B337&lt;&gt;""),LN(B338/B337)*100,"")</f>
        <v/>
      </c>
      <c r="D338" s="15">
        <f>IF(COUNT(C336:C338)=3,stdev.s(C336:C338),"")</f>
        <v/>
      </c>
      <c r="E338" s="15">
        <f>IF(COUNT(C327:C338)=12,stdev.s(C327:C338),"")</f>
        <v/>
      </c>
    </row>
    <row r="339" ht="15" customHeight="1" s="10">
      <c r="A339" s="15" t="inlineStr">
        <is>
          <t>2018M2</t>
        </is>
      </c>
      <c r="B339" s="15" t="n">
        <v>1331.525</v>
      </c>
      <c r="C339" s="15">
        <f>IF(AND(B339&lt;&gt;"",B338&lt;&gt;""),LN(B339/B338)*100,"")</f>
        <v/>
      </c>
      <c r="D339" s="15">
        <f>IF(COUNT(C337:C339)=3,stdev.s(C337:C339),"")</f>
        <v/>
      </c>
      <c r="E339" s="15">
        <f>IF(COUNT(C328:C339)=12,stdev.s(C328:C339),"")</f>
        <v/>
      </c>
    </row>
    <row r="340" ht="15" customHeight="1" s="10">
      <c r="A340" s="15" t="inlineStr">
        <is>
          <t>2018M3</t>
        </is>
      </c>
      <c r="B340" s="15" t="n">
        <v>1324.65714285714</v>
      </c>
      <c r="C340" s="15">
        <f>IF(AND(B340&lt;&gt;"",B339&lt;&gt;""),LN(B340/B339)*100,"")</f>
        <v/>
      </c>
      <c r="D340" s="15">
        <f>IF(COUNT(C338:C340)=3,stdev.s(C338:C340),"")</f>
        <v/>
      </c>
      <c r="E340" s="15">
        <f>IF(COUNT(C329:C340)=12,stdev.s(C329:C340),"")</f>
        <v/>
      </c>
    </row>
    <row r="341" ht="15" customHeight="1" s="10">
      <c r="A341" s="15" t="inlineStr">
        <is>
          <t>2018M4</t>
        </is>
      </c>
      <c r="B341" s="15" t="n">
        <v>1334.74</v>
      </c>
      <c r="C341" s="15">
        <f>IF(AND(B341&lt;&gt;"",B340&lt;&gt;""),LN(B341/B340)*100,"")</f>
        <v/>
      </c>
      <c r="D341" s="15">
        <f>IF(COUNT(C339:C341)=3,stdev.s(C339:C341),"")</f>
        <v/>
      </c>
      <c r="E341" s="15">
        <f>IF(COUNT(C330:C341)=12,stdev.s(C330:C341),"")</f>
        <v/>
      </c>
    </row>
    <row r="342" ht="15" customHeight="1" s="10">
      <c r="A342" s="15" t="inlineStr">
        <is>
          <t>2018M5</t>
        </is>
      </c>
      <c r="B342" s="15" t="n">
        <v>1303.02619047619</v>
      </c>
      <c r="C342" s="15">
        <f>IF(AND(B342&lt;&gt;"",B341&lt;&gt;""),LN(B342/B341)*100,"")</f>
        <v/>
      </c>
      <c r="D342" s="15">
        <f>IF(COUNT(C340:C342)=3,stdev.s(C340:C342),"")</f>
        <v/>
      </c>
      <c r="E342" s="15">
        <f>IF(COUNT(C331:C342)=12,stdev.s(C331:C342),"")</f>
        <v/>
      </c>
    </row>
    <row r="343" ht="15" customHeight="1" s="10">
      <c r="A343" s="15" t="inlineStr">
        <is>
          <t>2018M6</t>
        </is>
      </c>
      <c r="B343" s="15" t="n">
        <v>1281.56666666667</v>
      </c>
      <c r="C343" s="15">
        <f>IF(AND(B343&lt;&gt;"",B342&lt;&gt;""),LN(B343/B342)*100,"")</f>
        <v/>
      </c>
      <c r="D343" s="15">
        <f>IF(COUNT(C341:C343)=3,stdev.s(C341:C343),"")</f>
        <v/>
      </c>
      <c r="E343" s="15">
        <f>IF(COUNT(C332:C343)=12,stdev.s(C332:C343),"")</f>
        <v/>
      </c>
    </row>
    <row r="344" ht="15" customHeight="1" s="10">
      <c r="A344" s="15" t="inlineStr">
        <is>
          <t>2018M7</t>
        </is>
      </c>
      <c r="B344" s="15" t="n">
        <v>1238.525</v>
      </c>
      <c r="C344" s="15">
        <f>IF(AND(B344&lt;&gt;"",B343&lt;&gt;""),LN(B344/B343)*100,"")</f>
        <v/>
      </c>
      <c r="D344" s="15">
        <f>IF(COUNT(C342:C344)=3,stdev.s(C342:C344),"")</f>
        <v/>
      </c>
      <c r="E344" s="15">
        <f>IF(COUNT(C333:C344)=12,stdev.s(C333:C344),"")</f>
        <v/>
      </c>
    </row>
    <row r="345" ht="15" customHeight="1" s="10">
      <c r="A345" s="15" t="inlineStr">
        <is>
          <t>2018M8</t>
        </is>
      </c>
      <c r="B345" s="15" t="n">
        <v>1201.24545454546</v>
      </c>
      <c r="C345" s="15">
        <f>IF(AND(B345&lt;&gt;"",B344&lt;&gt;""),LN(B345/B344)*100,"")</f>
        <v/>
      </c>
      <c r="D345" s="15">
        <f>IF(COUNT(C343:C345)=3,stdev.s(C343:C345),"")</f>
        <v/>
      </c>
      <c r="E345" s="15">
        <f>IF(COUNT(C334:C345)=12,stdev.s(C334:C345),"")</f>
        <v/>
      </c>
    </row>
    <row r="346" ht="15" customHeight="1" s="10">
      <c r="A346" s="15" t="inlineStr">
        <is>
          <t>2018M9</t>
        </is>
      </c>
      <c r="B346" s="15" t="n">
        <v>1198.4725</v>
      </c>
      <c r="C346" s="15">
        <f>IF(AND(B346&lt;&gt;"",B345&lt;&gt;""),LN(B346/B345)*100,"")</f>
        <v/>
      </c>
      <c r="D346" s="15">
        <f>IF(COUNT(C344:C346)=3,stdev.s(C344:C346),"")</f>
        <v/>
      </c>
      <c r="E346" s="15">
        <f>IF(COUNT(C335:C346)=12,stdev.s(C335:C346),"")</f>
        <v/>
      </c>
    </row>
    <row r="347" ht="15" customHeight="1" s="10">
      <c r="A347" s="15" t="inlineStr">
        <is>
          <t>2018M10</t>
        </is>
      </c>
      <c r="B347" s="15" t="n">
        <v>1215.39347826087</v>
      </c>
      <c r="C347" s="15">
        <f>IF(AND(B347&lt;&gt;"",B346&lt;&gt;""),LN(B347/B346)*100,"")</f>
        <v/>
      </c>
      <c r="D347" s="15">
        <f>IF(COUNT(C345:C347)=3,stdev.s(C345:C347),"")</f>
        <v/>
      </c>
      <c r="E347" s="15">
        <f>IF(COUNT(C336:C347)=12,stdev.s(C336:C347),"")</f>
        <v/>
      </c>
    </row>
    <row r="348" ht="15" customHeight="1" s="10">
      <c r="A348" s="15" t="inlineStr">
        <is>
          <t>2018M11</t>
        </is>
      </c>
      <c r="B348" s="15" t="n">
        <v>1220.94545454546</v>
      </c>
      <c r="C348" s="15">
        <f>IF(AND(B348&lt;&gt;"",B347&lt;&gt;""),LN(B348/B347)*100,"")</f>
        <v/>
      </c>
      <c r="D348" s="15">
        <f>IF(COUNT(C346:C348)=3,stdev.s(C346:C348),"")</f>
        <v/>
      </c>
      <c r="E348" s="15">
        <f>IF(COUNT(C337:C348)=12,stdev.s(C337:C348),"")</f>
        <v/>
      </c>
    </row>
    <row r="349" ht="15" customHeight="1" s="10">
      <c r="A349" s="15" t="inlineStr">
        <is>
          <t>2018M12</t>
        </is>
      </c>
      <c r="B349" s="15" t="n">
        <v>1247.92352941177</v>
      </c>
      <c r="C349" s="15">
        <f>IF(AND(B349&lt;&gt;"",B348&lt;&gt;""),LN(B349/B348)*100,"")</f>
        <v/>
      </c>
      <c r="D349" s="15">
        <f>IF(COUNT(C347:C349)=3,stdev.s(C347:C349),"")</f>
        <v/>
      </c>
      <c r="E349" s="15">
        <f>IF(COUNT(C338:C349)=12,stdev.s(C338:C349),"")</f>
        <v/>
      </c>
    </row>
    <row r="350" ht="15" customHeight="1" s="10">
      <c r="A350" s="15" t="inlineStr">
        <is>
          <t>2019M1</t>
        </is>
      </c>
      <c r="B350" s="15" t="n">
        <v>1291.74545454546</v>
      </c>
      <c r="C350" s="15">
        <f>IF(AND(B350&lt;&gt;"",B349&lt;&gt;""),LN(B350/B349)*100,"")</f>
        <v/>
      </c>
      <c r="D350" s="15">
        <f>IF(COUNT(C348:C350)=3,stdev.s(C348:C350),"")</f>
        <v/>
      </c>
      <c r="E350" s="15">
        <f>IF(COUNT(C339:C350)=12,stdev.s(C339:C350),"")</f>
        <v/>
      </c>
    </row>
    <row r="351" ht="15" customHeight="1" s="10">
      <c r="A351" s="15" t="inlineStr">
        <is>
          <t>2019M2</t>
        </is>
      </c>
      <c r="B351" s="15" t="n">
        <v>1320.065</v>
      </c>
      <c r="C351" s="15">
        <f>IF(AND(B351&lt;&gt;"",B350&lt;&gt;""),LN(B351/B350)*100,"")</f>
        <v/>
      </c>
      <c r="D351" s="15">
        <f>IF(COUNT(C349:C351)=3,stdev.s(C349:C351),"")</f>
        <v/>
      </c>
      <c r="E351" s="15">
        <f>IF(COUNT(C340:C351)=12,stdev.s(C340:C351),"")</f>
        <v/>
      </c>
    </row>
    <row r="352" ht="15" customHeight="1" s="10">
      <c r="A352" s="15" t="inlineStr">
        <is>
          <t>2019M3</t>
        </is>
      </c>
      <c r="B352" s="15" t="n">
        <v>1300.89761904762</v>
      </c>
      <c r="C352" s="15">
        <f>IF(AND(B352&lt;&gt;"",B351&lt;&gt;""),LN(B352/B351)*100,"")</f>
        <v/>
      </c>
      <c r="D352" s="15">
        <f>IF(COUNT(C350:C352)=3,stdev.s(C350:C352),"")</f>
        <v/>
      </c>
      <c r="E352" s="15">
        <f>IF(COUNT(C341:C352)=12,stdev.s(C341:C352),"")</f>
        <v/>
      </c>
    </row>
    <row r="353" ht="15" customHeight="1" s="10">
      <c r="A353" s="15" t="inlineStr">
        <is>
          <t>2019M4</t>
        </is>
      </c>
      <c r="B353" s="15" t="n">
        <v>1286.445</v>
      </c>
      <c r="C353" s="15">
        <f>IF(AND(B353&lt;&gt;"",B352&lt;&gt;""),LN(B353/B352)*100,"")</f>
        <v/>
      </c>
      <c r="D353" s="15">
        <f>IF(COUNT(C351:C353)=3,stdev.s(C351:C353),"")</f>
        <v/>
      </c>
      <c r="E353" s="15">
        <f>IF(COUNT(C342:C353)=12,stdev.s(C342:C353),"")</f>
        <v/>
      </c>
    </row>
    <row r="354" ht="15" customHeight="1" s="10">
      <c r="A354" s="15" t="inlineStr">
        <is>
          <t>2019M5</t>
        </is>
      </c>
      <c r="B354" s="15" t="n">
        <v>1283.94761904762</v>
      </c>
      <c r="C354" s="15">
        <f>IF(AND(B354&lt;&gt;"",B353&lt;&gt;""),LN(B354/B353)*100,"")</f>
        <v/>
      </c>
      <c r="D354" s="15">
        <f>IF(COUNT(C352:C354)=3,stdev.s(C352:C354),"")</f>
        <v/>
      </c>
      <c r="E354" s="15">
        <f>IF(COUNT(C343:C354)=12,stdev.s(C343:C354),"")</f>
        <v/>
      </c>
    </row>
    <row r="355" ht="15" customHeight="1" s="10">
      <c r="A355" s="15" t="inlineStr">
        <is>
          <t>2019M6</t>
        </is>
      </c>
      <c r="B355" s="15" t="n">
        <v>1359.0425</v>
      </c>
      <c r="C355" s="15">
        <f>IF(AND(B355&lt;&gt;"",B354&lt;&gt;""),LN(B355/B354)*100,"")</f>
        <v/>
      </c>
      <c r="D355" s="15">
        <f>IF(COUNT(C353:C355)=3,stdev.s(C353:C355),"")</f>
        <v/>
      </c>
      <c r="E355" s="15">
        <f>IF(COUNT(C344:C355)=12,stdev.s(C344:C355),"")</f>
        <v/>
      </c>
    </row>
    <row r="356" ht="15" customHeight="1" s="10">
      <c r="A356" s="15" t="inlineStr">
        <is>
          <t>2019M7</t>
        </is>
      </c>
      <c r="B356" s="15" t="n">
        <v>1412.97826086957</v>
      </c>
      <c r="C356" s="15">
        <f>IF(AND(B356&lt;&gt;"",B355&lt;&gt;""),LN(B356/B355)*100,"")</f>
        <v/>
      </c>
      <c r="D356" s="15">
        <f>IF(COUNT(C354:C356)=3,stdev.s(C354:C356),"")</f>
        <v/>
      </c>
      <c r="E356" s="15">
        <f>IF(COUNT(C345:C356)=12,stdev.s(C345:C356),"")</f>
        <v/>
      </c>
    </row>
    <row r="357" ht="15" customHeight="1" s="10">
      <c r="A357" s="15" t="inlineStr">
        <is>
          <t>2019M8</t>
        </is>
      </c>
      <c r="B357" s="15" t="n">
        <v>1498.79761904762</v>
      </c>
      <c r="C357" s="15">
        <f>IF(AND(B357&lt;&gt;"",B356&lt;&gt;""),LN(B357/B356)*100,"")</f>
        <v/>
      </c>
      <c r="D357" s="15">
        <f>IF(COUNT(C355:C357)=3,stdev.s(C355:C357),"")</f>
        <v/>
      </c>
      <c r="E357" s="15">
        <f>IF(COUNT(C346:C357)=12,stdev.s(C346:C357),"")</f>
        <v/>
      </c>
    </row>
    <row r="358" ht="15" customHeight="1" s="10">
      <c r="A358" s="15" t="inlineStr">
        <is>
          <t>2019M9</t>
        </is>
      </c>
      <c r="B358" s="15" t="n">
        <v>1511.31428571429</v>
      </c>
      <c r="C358" s="15">
        <f>IF(AND(B358&lt;&gt;"",B357&lt;&gt;""),LN(B358/B357)*100,"")</f>
        <v/>
      </c>
      <c r="D358" s="15">
        <f>IF(COUNT(C356:C358)=3,stdev.s(C356:C358),"")</f>
        <v/>
      </c>
      <c r="E358" s="15">
        <f>IF(COUNT(C347:C358)=12,stdev.s(C347:C358),"")</f>
        <v/>
      </c>
    </row>
    <row r="359" ht="15" customHeight="1" s="10">
      <c r="A359" s="15" t="inlineStr">
        <is>
          <t>2019M10</t>
        </is>
      </c>
      <c r="B359" s="15" t="n">
        <v>1494.8</v>
      </c>
      <c r="C359" s="15">
        <f>IF(AND(B359&lt;&gt;"",B358&lt;&gt;""),LN(B359/B358)*100,"")</f>
        <v/>
      </c>
      <c r="D359" s="15">
        <f>IF(COUNT(C357:C359)=3,stdev.s(C357:C359),"")</f>
        <v/>
      </c>
      <c r="E359" s="15">
        <f>IF(COUNT(C348:C359)=12,stdev.s(C348:C359),"")</f>
        <v/>
      </c>
    </row>
    <row r="360" ht="15" customHeight="1" s="10">
      <c r="A360" s="15" t="inlineStr">
        <is>
          <t>2019M11</t>
        </is>
      </c>
      <c r="B360" s="15" t="n">
        <v>1470.01666666667</v>
      </c>
      <c r="C360" s="15">
        <f>IF(AND(B360&lt;&gt;"",B359&lt;&gt;""),LN(B360/B359)*100,"")</f>
        <v/>
      </c>
      <c r="D360" s="15">
        <f>IF(COUNT(C358:C360)=3,stdev.s(C358:C360),"")</f>
        <v/>
      </c>
      <c r="E360" s="15">
        <f>IF(COUNT(C349:C360)=12,stdev.s(C349:C360),"")</f>
        <v/>
      </c>
    </row>
    <row r="361" ht="15" customHeight="1" s="10">
      <c r="A361" s="15" t="inlineStr">
        <is>
          <t>2019M12</t>
        </is>
      </c>
      <c r="B361" s="15" t="n">
        <v>1476.04444444444</v>
      </c>
      <c r="C361" s="15">
        <f>IF(AND(B361&lt;&gt;"",B360&lt;&gt;""),LN(B361/B360)*100,"")</f>
        <v/>
      </c>
      <c r="D361" s="15">
        <f>IF(COUNT(C359:C361)=3,stdev.s(C359:C361),"")</f>
        <v/>
      </c>
      <c r="E361" s="15">
        <f>IF(COUNT(C350:C361)=12,stdev.s(C350:C361),"")</f>
        <v/>
      </c>
    </row>
    <row r="362" ht="15" customHeight="1" s="10">
      <c r="A362" s="15" t="inlineStr">
        <is>
          <t>2020M1</t>
        </is>
      </c>
      <c r="B362" s="15" t="n">
        <v>1560.67272727273</v>
      </c>
      <c r="C362" s="15">
        <f>IF(AND(B362&lt;&gt;"",B361&lt;&gt;""),LN(B362/B361)*100,"")</f>
        <v/>
      </c>
      <c r="D362" s="15">
        <f>IF(COUNT(C360:C362)=3,stdev.s(C360:C362),"")</f>
        <v/>
      </c>
      <c r="E362" s="15">
        <f>IF(COUNT(C351:C362)=12,stdev.s(C351:C362),"")</f>
        <v/>
      </c>
    </row>
    <row r="363" ht="15" customHeight="1" s="10">
      <c r="A363" s="15" t="inlineStr">
        <is>
          <t>2020M2</t>
        </is>
      </c>
      <c r="B363" s="15" t="n">
        <v>1597.1025</v>
      </c>
      <c r="C363" s="15">
        <f>IF(AND(B363&lt;&gt;"",B362&lt;&gt;""),LN(B363/B362)*100,"")</f>
        <v/>
      </c>
      <c r="D363" s="15">
        <f>IF(COUNT(C361:C363)=3,stdev.s(C361:C363),"")</f>
        <v/>
      </c>
      <c r="E363" s="15">
        <f>IF(COUNT(C352:C363)=12,stdev.s(C352:C363),"")</f>
        <v/>
      </c>
    </row>
    <row r="364" ht="15" customHeight="1" s="10">
      <c r="A364" s="15" t="inlineStr">
        <is>
          <t>2020M3</t>
        </is>
      </c>
      <c r="B364" s="15" t="n">
        <v>1591.92727272727</v>
      </c>
      <c r="C364" s="15">
        <f>IF(AND(B364&lt;&gt;"",B363&lt;&gt;""),LN(B364/B363)*100,"")</f>
        <v/>
      </c>
      <c r="D364" s="15">
        <f>IF(COUNT(C362:C364)=3,stdev.s(C362:C364),"")</f>
        <v/>
      </c>
      <c r="E364" s="15">
        <f>IF(COUNT(C353:C364)=12,stdev.s(C353:C364),"")</f>
        <v/>
      </c>
    </row>
    <row r="365" ht="15" customHeight="1" s="10">
      <c r="A365" s="15" t="inlineStr">
        <is>
          <t>2020M4</t>
        </is>
      </c>
      <c r="B365" s="15" t="n">
        <v>1682.93</v>
      </c>
      <c r="C365" s="15">
        <f>IF(AND(B365&lt;&gt;"",B364&lt;&gt;""),LN(B365/B364)*100,"")</f>
        <v/>
      </c>
      <c r="D365" s="15">
        <f>IF(COUNT(C363:C365)=3,stdev.s(C363:C365),"")</f>
        <v/>
      </c>
      <c r="E365" s="15">
        <f>IF(COUNT(C354:C365)=12,stdev.s(C354:C365),"")</f>
        <v/>
      </c>
    </row>
    <row r="366" ht="15" customHeight="1" s="10">
      <c r="A366" s="15" t="inlineStr">
        <is>
          <t>2020M5</t>
        </is>
      </c>
      <c r="B366" s="15" t="n">
        <v>1716.38157894737</v>
      </c>
      <c r="C366" s="15">
        <f>IF(AND(B366&lt;&gt;"",B365&lt;&gt;""),LN(B366/B365)*100,"")</f>
        <v/>
      </c>
      <c r="D366" s="15">
        <f>IF(COUNT(C364:C366)=3,stdev.s(C364:C366),"")</f>
        <v/>
      </c>
      <c r="E366" s="15">
        <f>IF(COUNT(C355:C366)=12,stdev.s(C355:C366),"")</f>
        <v/>
      </c>
    </row>
    <row r="367" ht="15" customHeight="1" s="10">
      <c r="A367" s="15" t="inlineStr">
        <is>
          <t>2020M6</t>
        </is>
      </c>
      <c r="B367" s="15" t="n">
        <v>1732.21818181818</v>
      </c>
      <c r="C367" s="15">
        <f>IF(AND(B367&lt;&gt;"",B366&lt;&gt;""),LN(B367/B366)*100,"")</f>
        <v/>
      </c>
      <c r="D367" s="15">
        <f>IF(COUNT(C365:C367)=3,stdev.s(C365:C367),"")</f>
        <v/>
      </c>
      <c r="E367" s="15">
        <f>IF(COUNT(C356:C367)=12,stdev.s(C356:C367),"")</f>
        <v/>
      </c>
    </row>
    <row r="368" ht="15" customHeight="1" s="10">
      <c r="A368" s="15" t="inlineStr">
        <is>
          <t>2020M7</t>
        </is>
      </c>
      <c r="B368" s="15" t="n">
        <v>1843.31304347826</v>
      </c>
      <c r="C368" s="15">
        <f>IF(AND(B368&lt;&gt;"",B367&lt;&gt;""),LN(B368/B367)*100,"")</f>
        <v/>
      </c>
      <c r="D368" s="15">
        <f>IF(COUNT(C366:C368)=3,stdev.s(C366:C368),"")</f>
        <v/>
      </c>
      <c r="E368" s="15">
        <f>IF(COUNT(C357:C368)=12,stdev.s(C357:C368),"")</f>
        <v/>
      </c>
    </row>
    <row r="369" ht="15" customHeight="1" s="10">
      <c r="A369" s="15" t="inlineStr">
        <is>
          <t>2020M8</t>
        </is>
      </c>
      <c r="B369" s="15" t="n">
        <v>1968.03095238095</v>
      </c>
      <c r="C369" s="15">
        <f>IF(AND(B369&lt;&gt;"",B368&lt;&gt;""),LN(B369/B368)*100,"")</f>
        <v/>
      </c>
      <c r="D369" s="15">
        <f>IF(COUNT(C367:C369)=3,stdev.s(C367:C369),"")</f>
        <v/>
      </c>
      <c r="E369" s="15">
        <f>IF(COUNT(C358:C369)=12,stdev.s(C358:C369),"")</f>
        <v/>
      </c>
    </row>
    <row r="370" ht="15" customHeight="1" s="10">
      <c r="A370" s="15" t="inlineStr">
        <is>
          <t>2020M9</t>
        </is>
      </c>
      <c r="B370" s="15" t="n">
        <v>1922.21363636364</v>
      </c>
      <c r="C370" s="15">
        <f>IF(AND(B370&lt;&gt;"",B369&lt;&gt;""),LN(B370/B369)*100,"")</f>
        <v/>
      </c>
      <c r="D370" s="15">
        <f>IF(COUNT(C368:C370)=3,stdev.s(C368:C370),"")</f>
        <v/>
      </c>
      <c r="E370" s="15">
        <f>IF(COUNT(C359:C370)=12,stdev.s(C359:C370),"")</f>
        <v/>
      </c>
    </row>
    <row r="371" ht="15" customHeight="1" s="10">
      <c r="A371" s="15" t="inlineStr">
        <is>
          <t>2020M10</t>
        </is>
      </c>
      <c r="B371" s="15" t="n">
        <v>1900.275</v>
      </c>
      <c r="C371" s="15">
        <f>IF(AND(B371&lt;&gt;"",B370&lt;&gt;""),LN(B371/B370)*100,"")</f>
        <v/>
      </c>
      <c r="D371" s="15">
        <f>IF(COUNT(C369:C371)=3,stdev.s(C369:C371),"")</f>
        <v/>
      </c>
      <c r="E371" s="15">
        <f>IF(COUNT(C360:C371)=12,stdev.s(C360:C371),"")</f>
        <v/>
      </c>
    </row>
    <row r="372" ht="15" customHeight="1" s="10">
      <c r="A372" s="15" t="inlineStr">
        <is>
          <t>2020M11</t>
        </is>
      </c>
      <c r="B372" s="15" t="n">
        <v>1863.49285714286</v>
      </c>
      <c r="C372" s="15">
        <f>IF(AND(B372&lt;&gt;"",B371&lt;&gt;""),LN(B372/B371)*100,"")</f>
        <v/>
      </c>
      <c r="D372" s="15">
        <f>IF(COUNT(C370:C372)=3,stdev.s(C370:C372),"")</f>
        <v/>
      </c>
      <c r="E372" s="15">
        <f>IF(COUNT(C361:C372)=12,stdev.s(C361:C372),"")</f>
        <v/>
      </c>
    </row>
    <row r="373" ht="15" customHeight="1" s="10">
      <c r="A373" s="15" t="inlineStr">
        <is>
          <t>2020M12</t>
        </is>
      </c>
      <c r="B373" s="15" t="n">
        <v>1855.9552631579</v>
      </c>
      <c r="C373" s="15">
        <f>IF(AND(B373&lt;&gt;"",B372&lt;&gt;""),LN(B373/B372)*100,"")</f>
        <v/>
      </c>
      <c r="D373" s="15">
        <f>IF(COUNT(C371:C373)=3,stdev.s(C371:C373),"")</f>
        <v/>
      </c>
      <c r="E373" s="15">
        <f>IF(COUNT(C362:C373)=12,stdev.s(C362:C373),"")</f>
        <v/>
      </c>
    </row>
    <row r="374" ht="15" customHeight="1" s="10">
      <c r="A374" s="15" t="inlineStr">
        <is>
          <t>2021M1</t>
        </is>
      </c>
      <c r="B374" s="15" t="n">
        <v>1866.985</v>
      </c>
      <c r="C374" s="15">
        <f>IF(AND(B374&lt;&gt;"",B373&lt;&gt;""),LN(B374/B373)*100,"")</f>
        <v/>
      </c>
      <c r="D374" s="15">
        <f>IF(COUNT(C372:C374)=3,stdev.s(C372:C374),"")</f>
        <v/>
      </c>
      <c r="E374" s="15">
        <f>IF(COUNT(C363:C374)=12,stdev.s(C363:C374),"")</f>
        <v/>
      </c>
    </row>
    <row r="375" ht="15" customHeight="1" s="10">
      <c r="A375" s="15" t="inlineStr">
        <is>
          <t>2021M2</t>
        </is>
      </c>
      <c r="B375" s="15" t="n">
        <v>1808.175</v>
      </c>
      <c r="C375" s="15">
        <f>IF(AND(B375&lt;&gt;"",B374&lt;&gt;""),LN(B375/B374)*100,"")</f>
        <v/>
      </c>
      <c r="D375" s="15">
        <f>IF(COUNT(C373:C375)=3,stdev.s(C373:C375),"")</f>
        <v/>
      </c>
      <c r="E375" s="15">
        <f>IF(COUNT(C364:C375)=12,stdev.s(C364:C375),"")</f>
        <v/>
      </c>
    </row>
    <row r="376" ht="15" customHeight="1" s="10">
      <c r="A376" s="15" t="inlineStr">
        <is>
          <t>2021M3</t>
        </is>
      </c>
      <c r="B376" s="15" t="n">
        <v>1718.22826086957</v>
      </c>
      <c r="C376" s="15">
        <f>IF(AND(B376&lt;&gt;"",B375&lt;&gt;""),LN(B376/B375)*100,"")</f>
        <v/>
      </c>
      <c r="D376" s="15">
        <f>IF(COUNT(C374:C376)=3,stdev.s(C374:C376),"")</f>
        <v/>
      </c>
      <c r="E376" s="15">
        <f>IF(COUNT(C365:C376)=12,stdev.s(C365:C376),"")</f>
        <v/>
      </c>
    </row>
    <row r="377" ht="15" customHeight="1" s="10">
      <c r="A377" s="15" t="inlineStr">
        <is>
          <t>2021M4</t>
        </is>
      </c>
      <c r="B377" s="15" t="n">
        <v>1761.6775</v>
      </c>
      <c r="C377" s="15">
        <f>IF(AND(B377&lt;&gt;"",B376&lt;&gt;""),LN(B377/B376)*100,"")</f>
        <v/>
      </c>
      <c r="D377" s="15">
        <f>IF(COUNT(C375:C377)=3,stdev.s(C375:C377),"")</f>
        <v/>
      </c>
      <c r="E377" s="15">
        <f>IF(COUNT(C366:C377)=12,stdev.s(C366:C377),"")</f>
        <v/>
      </c>
    </row>
    <row r="378" ht="15" customHeight="1" s="10">
      <c r="A378" s="15" t="inlineStr">
        <is>
          <t>2021M5</t>
        </is>
      </c>
      <c r="B378" s="15" t="n">
        <v>1855.56</v>
      </c>
      <c r="C378" s="15">
        <f>IF(AND(B378&lt;&gt;"",B377&lt;&gt;""),LN(B378/B377)*100,"")</f>
        <v/>
      </c>
      <c r="D378" s="15">
        <f>IF(COUNT(C376:C378)=3,stdev.s(C376:C378),"")</f>
        <v/>
      </c>
      <c r="E378" s="15">
        <f>IF(COUNT(C367:C378)=12,stdev.s(C367:C378),"")</f>
        <v/>
      </c>
    </row>
    <row r="379" ht="15" customHeight="1" s="10">
      <c r="A379" s="15" t="inlineStr">
        <is>
          <t>2021M6</t>
        </is>
      </c>
      <c r="B379" s="15" t="n">
        <v>1834.56590909091</v>
      </c>
      <c r="C379" s="15">
        <f>IF(AND(B379&lt;&gt;"",B378&lt;&gt;""),LN(B379/B378)*100,"")</f>
        <v/>
      </c>
      <c r="D379" s="15">
        <f>IF(COUNT(C377:C379)=3,stdev.s(C377:C379),"")</f>
        <v/>
      </c>
      <c r="E379" s="15">
        <f>IF(COUNT(C368:C379)=12,stdev.s(C368:C379),"")</f>
        <v/>
      </c>
    </row>
    <row r="380" ht="15" customHeight="1" s="10">
      <c r="A380" s="15" t="inlineStr">
        <is>
          <t>2021M7</t>
        </is>
      </c>
      <c r="B380" s="15" t="n">
        <v>1807.09318181818</v>
      </c>
      <c r="C380" s="15">
        <f>IF(AND(B380&lt;&gt;"",B379&lt;&gt;""),LN(B380/B379)*100,"")</f>
        <v/>
      </c>
      <c r="D380" s="15">
        <f>IF(COUNT(C378:C380)=3,stdev.s(C378:C380),"")</f>
        <v/>
      </c>
      <c r="E380" s="15">
        <f>IF(COUNT(C369:C380)=12,stdev.s(C369:C380),"")</f>
        <v/>
      </c>
    </row>
    <row r="381" ht="15" customHeight="1" s="10">
      <c r="A381" s="15" t="inlineStr">
        <is>
          <t>2021M8</t>
        </is>
      </c>
      <c r="B381" s="15" t="n">
        <v>1783.96904761905</v>
      </c>
      <c r="C381" s="15">
        <f>IF(AND(B381&lt;&gt;"",B380&lt;&gt;""),LN(B381/B380)*100,"")</f>
        <v/>
      </c>
      <c r="D381" s="15">
        <f>IF(COUNT(C379:C381)=3,stdev.s(C379:C381),"")</f>
        <v/>
      </c>
      <c r="E381" s="15">
        <f>IF(COUNT(C370:C381)=12,stdev.s(C370:C381),"")</f>
        <v/>
      </c>
    </row>
    <row r="382" ht="15" customHeight="1" s="10">
      <c r="A382" s="15" t="inlineStr">
        <is>
          <t>2021M9</t>
        </is>
      </c>
      <c r="B382" s="15" t="n">
        <v>1777.25227272727</v>
      </c>
      <c r="C382" s="15">
        <f>IF(AND(B382&lt;&gt;"",B381&lt;&gt;""),LN(B382/B381)*100,"")</f>
        <v/>
      </c>
      <c r="D382" s="15">
        <f>IF(COUNT(C380:C382)=3,stdev.s(C380:C382),"")</f>
        <v/>
      </c>
      <c r="E382" s="15">
        <f>IF(COUNT(C371:C382)=12,stdev.s(C371:C382),"")</f>
        <v/>
      </c>
    </row>
    <row r="383" ht="15" customHeight="1" s="10">
      <c r="A383" s="15" t="inlineStr">
        <is>
          <t>2021M10</t>
        </is>
      </c>
      <c r="B383" s="15" t="n">
        <v>1776.85476190476</v>
      </c>
      <c r="C383" s="15">
        <f>IF(AND(B383&lt;&gt;"",B382&lt;&gt;""),LN(B383/B382)*100,"")</f>
        <v/>
      </c>
      <c r="D383" s="15">
        <f>IF(COUNT(C381:C383)=3,stdev.s(C381:C383),"")</f>
        <v/>
      </c>
      <c r="E383" s="15">
        <f>IF(COUNT(C372:C383)=12,stdev.s(C372:C383),"")</f>
        <v/>
      </c>
    </row>
    <row r="384" ht="15" customHeight="1" s="10">
      <c r="A384" s="15" t="inlineStr">
        <is>
          <t>2021M11</t>
        </is>
      </c>
      <c r="B384" s="15" t="n">
        <v>1820.23409090909</v>
      </c>
      <c r="C384" s="15">
        <f>IF(AND(B384&lt;&gt;"",B383&lt;&gt;""),LN(B384/B383)*100,"")</f>
        <v/>
      </c>
      <c r="D384" s="15">
        <f>IF(COUNT(C382:C384)=3,stdev.s(C382:C384),"")</f>
        <v/>
      </c>
      <c r="E384" s="15">
        <f>IF(COUNT(C373:C384)=12,stdev.s(C373:C384),"")</f>
        <v/>
      </c>
    </row>
    <row r="385" ht="15" customHeight="1" s="10">
      <c r="A385" s="15" t="inlineStr">
        <is>
          <t>2021M12</t>
        </is>
      </c>
      <c r="B385" s="15" t="n">
        <v>1786.65263157895</v>
      </c>
      <c r="C385" s="15">
        <f>IF(AND(B385&lt;&gt;"",B384&lt;&gt;""),LN(B385/B384)*100,"")</f>
        <v/>
      </c>
      <c r="D385" s="15">
        <f>IF(COUNT(C383:C385)=3,stdev.s(C383:C385),"")</f>
        <v/>
      </c>
      <c r="E385" s="15">
        <f>IF(COUNT(C374:C385)=12,stdev.s(C374:C385),"")</f>
        <v/>
      </c>
    </row>
    <row r="386" ht="15" customHeight="1" s="10">
      <c r="A386" s="15" t="inlineStr">
        <is>
          <t>2022M1</t>
        </is>
      </c>
      <c r="B386" s="15" t="n">
        <v>1816.765</v>
      </c>
      <c r="C386" s="15">
        <f>IF(AND(B386&lt;&gt;"",B385&lt;&gt;""),LN(B386/B385)*100,"")</f>
        <v/>
      </c>
      <c r="D386" s="15">
        <f>IF(COUNT(C384:C386)=3,stdev.s(C384:C386),"")</f>
        <v/>
      </c>
      <c r="E386" s="15">
        <f>IF(COUNT(C375:C386)=12,stdev.s(C375:C386),"")</f>
        <v/>
      </c>
    </row>
    <row r="387" ht="15" customHeight="1" s="10">
      <c r="A387" s="15" t="inlineStr">
        <is>
          <t>2022M2</t>
        </is>
      </c>
      <c r="B387" s="15" t="n">
        <v>1856.295</v>
      </c>
      <c r="C387" s="15">
        <f>IF(AND(B387&lt;&gt;"",B386&lt;&gt;""),LN(B387/B386)*100,"")</f>
        <v/>
      </c>
      <c r="D387" s="15">
        <f>IF(COUNT(C385:C387)=3,stdev.s(C385:C387),"")</f>
        <v/>
      </c>
      <c r="E387" s="15">
        <f>IF(COUNT(C376:C387)=12,stdev.s(C376:C387),"")</f>
        <v/>
      </c>
    </row>
    <row r="388" ht="15" customHeight="1" s="10">
      <c r="A388" s="15" t="inlineStr">
        <is>
          <t>2022M3</t>
        </is>
      </c>
      <c r="B388" s="15" t="n">
        <v>1947.82826086957</v>
      </c>
      <c r="C388" s="15">
        <f>IF(AND(B388&lt;&gt;"",B387&lt;&gt;""),LN(B388/B387)*100,"")</f>
        <v/>
      </c>
      <c r="D388" s="15">
        <f>IF(COUNT(C386:C388)=3,stdev.s(C386:C388),"")</f>
        <v/>
      </c>
      <c r="E388" s="15">
        <f>IF(COUNT(C377:C388)=12,stdev.s(C377:C388),"")</f>
        <v/>
      </c>
    </row>
    <row r="389" ht="15" customHeight="1" s="10">
      <c r="A389" s="15" t="inlineStr">
        <is>
          <t>2022M4</t>
        </is>
      </c>
      <c r="B389" s="15" t="n">
        <v>1933.9</v>
      </c>
      <c r="C389" s="15">
        <f>IF(AND(B389&lt;&gt;"",B388&lt;&gt;""),LN(B389/B388)*100,"")</f>
        <v/>
      </c>
      <c r="D389" s="15">
        <f>IF(COUNT(C387:C389)=3,stdev.s(C387:C389),"")</f>
        <v/>
      </c>
      <c r="E389" s="15">
        <f>IF(COUNT(C378:C389)=12,stdev.s(C378:C389),"")</f>
        <v/>
      </c>
    </row>
    <row r="390" ht="15" customHeight="1" s="10">
      <c r="A390" s="15" t="inlineStr">
        <is>
          <t>2022M5</t>
        </is>
      </c>
      <c r="B390" s="15" t="n">
        <v>1849.83318181818</v>
      </c>
      <c r="C390" s="15">
        <f>IF(AND(B390&lt;&gt;"",B389&lt;&gt;""),LN(B390/B389)*100,"")</f>
        <v/>
      </c>
      <c r="D390" s="15">
        <f>IF(COUNT(C388:C390)=3,stdev.s(C388:C390),"")</f>
        <v/>
      </c>
      <c r="E390" s="15">
        <f>IF(COUNT(C379:C390)=12,stdev.s(C379:C390),"")</f>
        <v/>
      </c>
    </row>
    <row r="391" ht="15" customHeight="1" s="10">
      <c r="A391" s="15" t="inlineStr">
        <is>
          <t>2022M6</t>
        </is>
      </c>
      <c r="B391" s="15" t="n">
        <v>1837.06409090909</v>
      </c>
      <c r="C391" s="15">
        <f>IF(AND(B391&lt;&gt;"",B390&lt;&gt;""),LN(B391/B390)*100,"")</f>
        <v/>
      </c>
      <c r="D391" s="15">
        <f>IF(COUNT(C389:C391)=3,stdev.s(C389:C391),"")</f>
        <v/>
      </c>
      <c r="E391" s="15">
        <f>IF(COUNT(C380:C391)=12,stdev.s(C380:C391),"")</f>
        <v/>
      </c>
    </row>
    <row r="392" ht="15" customHeight="1" s="10">
      <c r="A392" s="15" t="inlineStr">
        <is>
          <t>2022M7</t>
        </is>
      </c>
      <c r="B392" s="15" t="n">
        <v>1737.38047619048</v>
      </c>
      <c r="C392" s="15">
        <f>IF(AND(B392&lt;&gt;"",B391&lt;&gt;""),LN(B392/B391)*100,"")</f>
        <v/>
      </c>
      <c r="D392" s="15">
        <f>IF(COUNT(C390:C392)=3,stdev.s(C390:C392),"")</f>
        <v/>
      </c>
      <c r="E392" s="15">
        <f>IF(COUNT(C381:C392)=12,stdev.s(C381:C392),"")</f>
        <v/>
      </c>
    </row>
    <row r="393" ht="15" customHeight="1" s="10">
      <c r="A393" s="15" t="inlineStr">
        <is>
          <t>2022M8</t>
        </is>
      </c>
      <c r="B393" s="15" t="n">
        <v>1764.13260869565</v>
      </c>
      <c r="C393" s="15">
        <f>IF(AND(B393&lt;&gt;"",B392&lt;&gt;""),LN(B393/B392)*100,"")</f>
        <v/>
      </c>
      <c r="D393" s="15">
        <f>IF(COUNT(C391:C393)=3,stdev.s(C391:C393),"")</f>
        <v/>
      </c>
      <c r="E393" s="15">
        <f>IF(COUNT(C382:C393)=12,stdev.s(C382:C393),"")</f>
        <v/>
      </c>
    </row>
    <row r="394" ht="15" customHeight="1" s="10">
      <c r="A394" s="15" t="inlineStr">
        <is>
          <t>2022M9</t>
        </is>
      </c>
      <c r="B394" s="15" t="n">
        <v>1683.20818181818</v>
      </c>
      <c r="C394" s="15">
        <f>IF(AND(B394&lt;&gt;"",B393&lt;&gt;""),LN(B394/B393)*100,"")</f>
        <v/>
      </c>
      <c r="D394" s="15">
        <f>IF(COUNT(C392:C394)=3,stdev.s(C392:C394),"")</f>
        <v/>
      </c>
      <c r="E394" s="15">
        <f>IF(COUNT(C383:C394)=12,stdev.s(C383:C394),"")</f>
        <v/>
      </c>
    </row>
    <row r="395" ht="15" customHeight="1" s="10">
      <c r="A395" s="15" t="inlineStr">
        <is>
          <t>2022M10</t>
        </is>
      </c>
      <c r="B395" s="15" t="n">
        <v>1666.62666666667</v>
      </c>
      <c r="C395" s="15">
        <f>IF(AND(B395&lt;&gt;"",B394&lt;&gt;""),LN(B395/B394)*100,"")</f>
        <v/>
      </c>
      <c r="D395" s="15">
        <f>IF(COUNT(C393:C395)=3,stdev.s(C393:C395),"")</f>
        <v/>
      </c>
      <c r="E395" s="15">
        <f>IF(COUNT(C384:C395)=12,stdev.s(C384:C395),"")</f>
        <v/>
      </c>
    </row>
    <row r="396" ht="15" customHeight="1" s="10">
      <c r="A396" s="15" t="inlineStr">
        <is>
          <t>2022M11</t>
        </is>
      </c>
      <c r="B396" s="15" t="n">
        <v>1727.89863636364</v>
      </c>
      <c r="C396" s="15">
        <f>IF(AND(B396&lt;&gt;"",B395&lt;&gt;""),LN(B396/B395)*100,"")</f>
        <v/>
      </c>
      <c r="D396" s="15">
        <f>IF(COUNT(C394:C396)=3,stdev.s(C394:C396),"")</f>
        <v/>
      </c>
      <c r="E396" s="15">
        <f>IF(COUNT(C385:C396)=12,stdev.s(C385:C396),"")</f>
        <v/>
      </c>
    </row>
    <row r="397" ht="15" customHeight="1" s="10">
      <c r="A397" s="15" t="inlineStr">
        <is>
          <t>2022M12</t>
        </is>
      </c>
      <c r="B397" s="15" t="n">
        <v>1797.40818181818</v>
      </c>
      <c r="C397" s="15">
        <f>IF(AND(B397&lt;&gt;"",B396&lt;&gt;""),LN(B397/B396)*100,"")</f>
        <v/>
      </c>
      <c r="D397" s="15">
        <f>IF(COUNT(C395:C397)=3,stdev.s(C395:C397),"")</f>
        <v/>
      </c>
      <c r="E397" s="15">
        <f>IF(COUNT(C386:C397)=12,stdev.s(C386:C397),"")</f>
        <v/>
      </c>
    </row>
    <row r="398" ht="15" customHeight="1" s="10">
      <c r="A398" s="15" t="inlineStr">
        <is>
          <t>2023M1</t>
        </is>
      </c>
      <c r="B398" s="15" t="n">
        <v>1896.05954545455</v>
      </c>
      <c r="C398" s="15">
        <f>IF(AND(B398&lt;&gt;"",B397&lt;&gt;""),LN(B398/B397)*100,"")</f>
        <v/>
      </c>
      <c r="D398" s="15">
        <f>IF(COUNT(C396:C398)=3,stdev.s(C396:C398),"")</f>
        <v/>
      </c>
      <c r="E398" s="15">
        <f>IF(COUNT(C387:C398)=12,stdev.s(C387:C398),"")</f>
        <v/>
      </c>
    </row>
    <row r="399" ht="15" customHeight="1" s="10">
      <c r="A399" s="15" t="inlineStr">
        <is>
          <t>2023M2</t>
        </is>
      </c>
      <c r="B399" s="15" t="n">
        <v>1853.409</v>
      </c>
      <c r="C399" s="15">
        <f>IF(AND(B399&lt;&gt;"",B398&lt;&gt;""),LN(B399/B398)*100,"")</f>
        <v/>
      </c>
      <c r="D399" s="15">
        <f>IF(COUNT(C397:C399)=3,stdev.s(C397:C399),"")</f>
        <v/>
      </c>
      <c r="E399" s="15">
        <f>IF(COUNT(C388:C399)=12,stdev.s(C388:C399),"")</f>
        <v/>
      </c>
    </row>
    <row r="400" ht="15" customHeight="1" s="10">
      <c r="A400" s="15" t="inlineStr">
        <is>
          <t>2023M3</t>
        </is>
      </c>
      <c r="B400" s="15" t="n">
        <v>1913.64826086957</v>
      </c>
      <c r="C400" s="15">
        <f>IF(AND(B400&lt;&gt;"",B399&lt;&gt;""),LN(B400/B399)*100,"")</f>
        <v/>
      </c>
      <c r="D400" s="15">
        <f>IF(COUNT(C398:C400)=3,stdev.s(C398:C400),"")</f>
        <v/>
      </c>
      <c r="E400" s="15">
        <f>IF(COUNT(C389:C400)=12,stdev.s(C389:C400),"")</f>
        <v/>
      </c>
    </row>
    <row r="401" ht="15" customHeight="1" s="10">
      <c r="A401" s="15" t="inlineStr">
        <is>
          <t>2023M4</t>
        </is>
      </c>
      <c r="B401" s="15" t="n">
        <v>1999.6685</v>
      </c>
      <c r="C401" s="15">
        <f>IF(AND(B401&lt;&gt;"",B400&lt;&gt;""),LN(B401/B400)*100,"")</f>
        <v/>
      </c>
      <c r="D401" s="15">
        <f>IF(COUNT(C399:C401)=3,stdev.s(C399:C401),"")</f>
        <v/>
      </c>
      <c r="E401" s="15">
        <f>IF(COUNT(C390:C401)=12,stdev.s(C390:C401),"")</f>
        <v/>
      </c>
    </row>
    <row r="402" ht="15" customHeight="1" s="10">
      <c r="A402" s="15" t="inlineStr">
        <is>
          <t>2023M5</t>
        </is>
      </c>
      <c r="B402" s="15" t="n">
        <v>1989.82695652174</v>
      </c>
      <c r="C402" s="15">
        <f>IF(AND(B402&lt;&gt;"",B401&lt;&gt;""),LN(B402/B401)*100,"")</f>
        <v/>
      </c>
      <c r="D402" s="15">
        <f>IF(COUNT(C400:C402)=3,stdev.s(C400:C402),"")</f>
        <v/>
      </c>
      <c r="E402" s="15">
        <f>IF(COUNT(C391:C402)=12,stdev.s(C391:C402),"")</f>
        <v/>
      </c>
    </row>
    <row r="403" ht="15" customHeight="1" s="10">
      <c r="A403" s="15" t="inlineStr">
        <is>
          <t>2023M6</t>
        </is>
      </c>
      <c r="B403" s="15" t="n">
        <v>1944.72863636364</v>
      </c>
      <c r="C403" s="15">
        <f>IF(AND(B403&lt;&gt;"",B402&lt;&gt;""),LN(B403/B402)*100,"")</f>
        <v/>
      </c>
      <c r="D403" s="15">
        <f>IF(COUNT(C401:C403)=3,stdev.s(C401:C403),"")</f>
        <v/>
      </c>
      <c r="E403" s="15">
        <f>IF(COUNT(C392:C403)=12,stdev.s(C392:C403),"")</f>
        <v/>
      </c>
    </row>
    <row r="404" ht="15" customHeight="1" s="10">
      <c r="A404" s="15" t="inlineStr">
        <is>
          <t>2023M7</t>
        </is>
      </c>
      <c r="B404" s="15" t="n">
        <v>1950.27</v>
      </c>
      <c r="C404" s="15">
        <f>IF(AND(B404&lt;&gt;"",B403&lt;&gt;""),LN(B404/B403)*100,"")</f>
        <v/>
      </c>
      <c r="D404" s="15">
        <f>IF(COUNT(C402:C404)=3,stdev.s(C402:C404),"")</f>
        <v/>
      </c>
      <c r="E404" s="15">
        <f>IF(COUNT(C393:C404)=12,stdev.s(C393:C404),"")</f>
        <v/>
      </c>
    </row>
    <row r="405" ht="15" customHeight="1" s="10">
      <c r="A405" s="15" t="inlineStr">
        <is>
          <t>2023M8</t>
        </is>
      </c>
      <c r="B405" s="15" t="n">
        <v>1919.30217391304</v>
      </c>
      <c r="C405" s="15">
        <f>IF(AND(B405&lt;&gt;"",B404&lt;&gt;""),LN(B405/B404)*100,"")</f>
        <v/>
      </c>
      <c r="D405" s="15">
        <f>IF(COUNT(C403:C405)=3,stdev.s(C403:C405),"")</f>
        <v/>
      </c>
      <c r="E405" s="15">
        <f>IF(COUNT(C394:C405)=12,stdev.s(C394:C405),"")</f>
        <v/>
      </c>
    </row>
    <row r="406" ht="15" customHeight="1" s="10">
      <c r="A406" s="15" t="inlineStr">
        <is>
          <t>2023M9</t>
        </is>
      </c>
      <c r="B406" s="15" t="n">
        <v>1915.43476190476</v>
      </c>
      <c r="C406" s="15">
        <f>IF(AND(B406&lt;&gt;"",B405&lt;&gt;""),LN(B406/B405)*100,"")</f>
        <v/>
      </c>
      <c r="D406" s="15">
        <f>IF(COUNT(C404:C406)=3,stdev.s(C404:C406),"")</f>
        <v/>
      </c>
      <c r="E406" s="15">
        <f>IF(COUNT(C395:C406)=12,stdev.s(C395:C406),"")</f>
        <v/>
      </c>
    </row>
    <row r="407" ht="15" customHeight="1" s="10">
      <c r="A407" s="15" t="inlineStr">
        <is>
          <t>2023M10</t>
        </is>
      </c>
      <c r="B407" s="15" t="n">
        <v>1913.98454545455</v>
      </c>
      <c r="C407" s="15">
        <f>IF(AND(B407&lt;&gt;"",B406&lt;&gt;""),LN(B407/B406)*100,"")</f>
        <v/>
      </c>
      <c r="D407" s="15">
        <f>IF(COUNT(C405:C407)=3,stdev.s(C405:C407),"")</f>
        <v/>
      </c>
      <c r="E407" s="15">
        <f>IF(COUNT(C396:C407)=12,stdev.s(C396:C407),"")</f>
        <v/>
      </c>
    </row>
    <row r="408" ht="15" customHeight="1" s="10">
      <c r="A408" s="15" t="inlineStr">
        <is>
          <t>2023M11</t>
        </is>
      </c>
      <c r="B408" s="15" t="n">
        <v>1985.77772727273</v>
      </c>
      <c r="C408" s="15">
        <f>IF(AND(B408&lt;&gt;"",B407&lt;&gt;""),LN(B408/B407)*100,"")</f>
        <v/>
      </c>
      <c r="D408" s="15">
        <f>IF(COUNT(C406:C408)=3,stdev.s(C406:C408),"")</f>
        <v/>
      </c>
      <c r="E408" s="15">
        <f>IF(COUNT(C397:C408)=12,stdev.s(C397:C408),"")</f>
        <v/>
      </c>
    </row>
    <row r="409" ht="15" customHeight="1" s="10">
      <c r="A409" s="15" t="inlineStr">
        <is>
          <t>2023M12</t>
        </is>
      </c>
      <c r="B409" s="15" t="n">
        <v>2034.70428571429</v>
      </c>
      <c r="C409" s="15">
        <f>IF(AND(B409&lt;&gt;"",B408&lt;&gt;""),LN(B409/B408)*100,"")</f>
        <v/>
      </c>
      <c r="D409" s="15">
        <f>IF(COUNT(C407:C409)=3,stdev.s(C407:C409),"")</f>
        <v/>
      </c>
      <c r="E409" s="15">
        <f>IF(COUNT(C398:C409)=12,stdev.s(C398:C409),"")</f>
        <v/>
      </c>
    </row>
    <row r="410" ht="15" customHeight="1" s="10">
      <c r="A410" s="15" t="inlineStr">
        <is>
          <t>2024M1</t>
        </is>
      </c>
      <c r="B410" s="15" t="n">
        <v>2034.00608695652</v>
      </c>
      <c r="C410" s="15">
        <f>IF(AND(B410&lt;&gt;"",B409&lt;&gt;""),LN(B410/B409)*100,"")</f>
        <v/>
      </c>
      <c r="D410" s="15">
        <f>IF(COUNT(C408:C410)=3,stdev.s(C408:C410),"")</f>
        <v/>
      </c>
      <c r="E410" s="15">
        <f>IF(COUNT(C399:C410)=12,stdev.s(C399:C410),"")</f>
        <v/>
      </c>
    </row>
    <row r="411" ht="15" customHeight="1" s="10">
      <c r="A411" s="15" t="inlineStr">
        <is>
          <t>2024M2</t>
        </is>
      </c>
      <c r="B411" s="15" t="n">
        <v>2024.44619047619</v>
      </c>
      <c r="C411" s="15">
        <f>IF(AND(B411&lt;&gt;"",B410&lt;&gt;""),LN(B411/B410)*100,"")</f>
        <v/>
      </c>
      <c r="D411" s="15">
        <f>IF(COUNT(C409:C411)=3,stdev.s(C409:C411),"")</f>
        <v/>
      </c>
      <c r="E411" s="15">
        <f>IF(COUNT(C400:C411)=12,stdev.s(C400:C411),"")</f>
        <v/>
      </c>
    </row>
    <row r="412" ht="15" customHeight="1" s="10">
      <c r="A412" s="15" t="inlineStr">
        <is>
          <t>2024M3</t>
        </is>
      </c>
      <c r="B412" s="15" t="n">
        <v>2162.34619047619</v>
      </c>
      <c r="C412" s="15">
        <f>IF(AND(B412&lt;&gt;"",B411&lt;&gt;""),LN(B412/B411)*100,"")</f>
        <v/>
      </c>
      <c r="D412" s="15">
        <f>IF(COUNT(C410:C412)=3,stdev.s(C410:C412),"")</f>
        <v/>
      </c>
      <c r="E412" s="15">
        <f>IF(COUNT(C401:C412)=12,stdev.s(C401:C412),"")</f>
        <v/>
      </c>
    </row>
    <row r="413" ht="15" customHeight="1" s="10">
      <c r="A413" s="15" t="inlineStr">
        <is>
          <t>2024M4</t>
        </is>
      </c>
      <c r="B413" s="15" t="n">
        <v>2333.55045454545</v>
      </c>
      <c r="C413" s="15">
        <f>IF(AND(B413&lt;&gt;"",B412&lt;&gt;""),LN(B413/B412)*100,"")</f>
        <v/>
      </c>
      <c r="D413" s="15">
        <f>IF(COUNT(C411:C413)=3,stdev.s(C411:C413),"")</f>
        <v/>
      </c>
      <c r="E413" s="15">
        <f>IF(COUNT(C402:C413)=12,stdev.s(C402:C413),"")</f>
        <v/>
      </c>
    </row>
    <row r="414" ht="15" customHeight="1" s="10">
      <c r="A414" s="15" t="inlineStr">
        <is>
          <t>2024M5</t>
        </is>
      </c>
      <c r="B414" s="15" t="n">
        <v>2350.59652173913</v>
      </c>
      <c r="C414" s="15">
        <f>IF(AND(B414&lt;&gt;"",B413&lt;&gt;""),LN(B414/B413)*100,"")</f>
        <v/>
      </c>
      <c r="D414" s="15">
        <f>IF(COUNT(C412:C414)=3,stdev.s(C412:C414),"")</f>
        <v/>
      </c>
      <c r="E414" s="15">
        <f>IF(COUNT(C403:C414)=12,stdev.s(C403:C414),"")</f>
        <v/>
      </c>
    </row>
    <row r="415" ht="15" customHeight="1" s="10">
      <c r="A415" s="15" t="inlineStr">
        <is>
          <t>2024M6</t>
        </is>
      </c>
      <c r="B415" s="15" t="n">
        <v>2328.2625</v>
      </c>
      <c r="C415" s="15">
        <f>IF(AND(B415&lt;&gt;"",B414&lt;&gt;""),LN(B415/B414)*100,"")</f>
        <v/>
      </c>
      <c r="D415" s="15">
        <f>IF(COUNT(C413:C415)=3,stdev.s(C413:C415),"")</f>
        <v/>
      </c>
      <c r="E415" s="15">
        <f>IF(COUNT(C404:C415)=12,stdev.s(C404:C415),"")</f>
        <v/>
      </c>
    </row>
    <row r="416" ht="15" customHeight="1" s="10">
      <c r="A416" s="15" t="inlineStr">
        <is>
          <t>2024M7</t>
        </is>
      </c>
      <c r="B416" s="15" t="n">
        <v>2393.96217391304</v>
      </c>
      <c r="C416" s="15">
        <f>IF(AND(B416&lt;&gt;"",B415&lt;&gt;""),LN(B416/B415)*100,"")</f>
        <v/>
      </c>
      <c r="D416" s="15">
        <f>IF(COUNT(C414:C416)=3,stdev.s(C414:C416),"")</f>
        <v/>
      </c>
      <c r="E416" s="15">
        <f>IF(COUNT(C405:C416)=12,stdev.s(C405:C416),"")</f>
        <v/>
      </c>
    </row>
    <row r="417" ht="15" customHeight="1" s="10">
      <c r="A417" s="15" t="inlineStr">
        <is>
          <t>2024M8</t>
        </is>
      </c>
      <c r="B417" s="15" t="n">
        <v>2468.32863636364</v>
      </c>
      <c r="C417" s="15">
        <f>IF(AND(B417&lt;&gt;"",B416&lt;&gt;""),LN(B417/B416)*100,"")</f>
        <v/>
      </c>
      <c r="D417" s="15">
        <f>IF(COUNT(C415:C417)=3,stdev.s(C415:C417),"")</f>
        <v/>
      </c>
      <c r="E417" s="15">
        <f>IF(COUNT(C406:C417)=12,stdev.s(C406:C417),"")</f>
        <v/>
      </c>
    </row>
    <row r="418" ht="15" customHeight="1" s="10">
      <c r="A418" s="15" t="inlineStr">
        <is>
          <t>2024M9</t>
        </is>
      </c>
      <c r="B418" s="15" t="n">
        <v>2569.04904761905</v>
      </c>
      <c r="C418" s="15">
        <f>IF(AND(B418&lt;&gt;"",B417&lt;&gt;""),LN(B418/B417)*100,"")</f>
        <v/>
      </c>
      <c r="D418" s="15">
        <f>IF(COUNT(C416:C418)=3,stdev.s(C416:C418),"")</f>
        <v/>
      </c>
      <c r="E418" s="15">
        <f>IF(COUNT(C407:C418)=12,stdev.s(C407:C418),"")</f>
        <v/>
      </c>
    </row>
    <row r="419" ht="15" customHeight="1" s="10">
      <c r="A419" s="15" t="inlineStr">
        <is>
          <t>2024M10</t>
        </is>
      </c>
      <c r="B419" s="15" t="n">
        <v>2689.12869565217</v>
      </c>
      <c r="C419" s="15">
        <f>IF(AND(B419&lt;&gt;"",B418&lt;&gt;""),LN(B419/B418)*100,"")</f>
        <v/>
      </c>
      <c r="D419" s="15">
        <f>IF(COUNT(C417:C419)=3,stdev.s(C417:C419),"")</f>
        <v/>
      </c>
      <c r="E419" s="15">
        <f>IF(COUNT(C408:C419)=12,stdev.s(C408:C419),"")</f>
        <v/>
      </c>
    </row>
    <row r="420" ht="15" customHeight="1" s="10">
      <c r="A420" s="15" t="inlineStr">
        <is>
          <t>2024M11</t>
        </is>
      </c>
      <c r="B420" s="15" t="n">
        <v>2652.19952380952</v>
      </c>
      <c r="C420" s="15">
        <f>IF(AND(B420&lt;&gt;"",B419&lt;&gt;""),LN(B420/B419)*100,"")</f>
        <v/>
      </c>
      <c r="D420" s="15">
        <f>IF(COUNT(C418:C420)=3,stdev.s(C418:C420),"")</f>
        <v/>
      </c>
      <c r="E420" s="15">
        <f>IF(COUNT(C409:C420)=12,stdev.s(C409:C420),"")</f>
        <v/>
      </c>
    </row>
    <row r="421" ht="15" customHeight="1" s="10">
      <c r="A421" s="15" t="inlineStr">
        <is>
          <t>2024M12</t>
        </is>
      </c>
      <c r="B421" s="15" t="n">
        <v>2640.60545454546</v>
      </c>
      <c r="C421" s="15">
        <f>IF(AND(B421&lt;&gt;"",B420&lt;&gt;""),LN(B421/B420)*100,"")</f>
        <v/>
      </c>
      <c r="D421" s="15">
        <f>IF(COUNT(C419:C421)=3,stdev.s(C419:C421),"")</f>
        <v/>
      </c>
      <c r="E421" s="15">
        <f>IF(COUNT(C410:C421)=12,stdev.s(C410:C421),"")</f>
        <v/>
      </c>
    </row>
    <row r="422" ht="15" customHeight="1" s="10">
      <c r="A422" s="15" t="inlineStr">
        <is>
          <t>2025M1</t>
        </is>
      </c>
      <c r="B422" s="15" t="n">
        <v>2707.46739130435</v>
      </c>
      <c r="C422" s="15">
        <f>IF(AND(B422&lt;&gt;"",B421&lt;&gt;""),LN(B422/B421)*100,"")</f>
        <v/>
      </c>
      <c r="D422" s="15">
        <f>IF(COUNT(C420:C422)=3,stdev.s(C420:C422),"")</f>
        <v/>
      </c>
      <c r="E422" s="15">
        <f>IF(COUNT(C411:C422)=12,stdev.s(C411:C422),"")</f>
        <v/>
      </c>
    </row>
    <row r="423" ht="15" customHeight="1" s="10">
      <c r="A423" s="15" t="inlineStr">
        <is>
          <t>2025M2</t>
        </is>
      </c>
      <c r="B423" s="15" t="n">
        <v>2894.38</v>
      </c>
      <c r="C423" s="15">
        <f>IF(AND(B423&lt;&gt;"",B422&lt;&gt;""),LN(B423/B422)*100,"")</f>
        <v/>
      </c>
      <c r="D423" s="15">
        <f>IF(COUNT(C421:C423)=3,stdev.s(C421:C423),"")</f>
        <v/>
      </c>
      <c r="E423" s="15">
        <f>IF(COUNT(C412:C423)=12,stdev.s(C412:C423),"")</f>
        <v/>
      </c>
    </row>
    <row r="424" ht="15" customHeight="1" s="10">
      <c r="A424" s="15" t="inlineStr">
        <is>
          <t>2025M3</t>
        </is>
      </c>
      <c r="B424" s="15" t="n">
        <v>2986.25619047619</v>
      </c>
      <c r="C424" s="15">
        <f>IF(AND(B424&lt;&gt;"",B423&lt;&gt;""),LN(B424/B423)*100,"")</f>
        <v/>
      </c>
      <c r="D424" s="15">
        <f>IF(COUNT(C422:C424)=3,stdev.s(C422:C424),"")</f>
        <v/>
      </c>
      <c r="E424" s="15">
        <f>IF(COUNT(C413:C424)=12,stdev.s(C413:C424),"")</f>
        <v/>
      </c>
    </row>
    <row r="425" ht="15" customHeight="1" s="10">
      <c r="A425" s="15" t="inlineStr">
        <is>
          <t>2025M4</t>
        </is>
      </c>
      <c r="B425" s="15" t="n">
        <v>3222.01181818182</v>
      </c>
      <c r="C425" s="15">
        <f>IF(AND(B425&lt;&gt;"",B424&lt;&gt;""),LN(B425/B424)*100,"")</f>
        <v/>
      </c>
      <c r="D425" s="15">
        <f>IF(COUNT(C423:C425)=3,stdev.s(C423:C425),"")</f>
        <v/>
      </c>
      <c r="E425" s="15">
        <f>IF(COUNT(C414:C425)=12,stdev.s(C414:C425),"")</f>
        <v/>
      </c>
    </row>
    <row r="426" ht="15" customHeight="1" s="10">
      <c r="A426" s="15" t="inlineStr">
        <is>
          <t>2025M5</t>
        </is>
      </c>
      <c r="B426" s="15" t="n">
        <v>3288.00954545455</v>
      </c>
      <c r="C426" s="15">
        <f>IF(AND(B426&lt;&gt;"",B425&lt;&gt;""),LN(B426/B425)*100,"")</f>
        <v/>
      </c>
      <c r="D426" s="15">
        <f>IF(COUNT(C424:C426)=3,stdev.s(C424:C426),"")</f>
        <v/>
      </c>
      <c r="E426" s="15">
        <f>IF(COUNT(C415:C426)=12,stdev.s(C415:C426),"")</f>
        <v/>
      </c>
    </row>
    <row r="427" ht="15" customHeight="1" s="10">
      <c r="A427" s="15" t="inlineStr">
        <is>
          <t>2025M6</t>
        </is>
      </c>
      <c r="B427" s="15" t="n">
        <v>3351.85857142857</v>
      </c>
      <c r="C427" s="15">
        <f>IF(AND(B427&lt;&gt;"",B426&lt;&gt;""),LN(B427/B426)*100,"")</f>
        <v/>
      </c>
      <c r="D427" s="15">
        <f>IF(COUNT(C425:C427)=3,stdev.s(C425:C427),"")</f>
        <v/>
      </c>
      <c r="E427" s="15">
        <f>IF(COUNT(C416:C427)=12,stdev.s(C416:C427),"")</f>
        <v/>
      </c>
    </row>
    <row r="428" ht="15" customHeight="1" s="10">
      <c r="A428" s="15" t="inlineStr">
        <is>
          <t>2025M7</t>
        </is>
      </c>
      <c r="B428" s="15" t="n">
        <v>3341.64913043478</v>
      </c>
      <c r="C428" s="15">
        <f>IF(AND(B428&lt;&gt;"",B427&lt;&gt;""),LN(B428/B427)*100,"")</f>
        <v/>
      </c>
      <c r="D428" s="15">
        <f>IF(COUNT(C426:C428)=3,stdev.s(C426:C428),"")</f>
        <v/>
      </c>
      <c r="E428" s="15">
        <f>IF(COUNT(C417:C428)=12,stdev.s(C417:C428),"")</f>
        <v/>
      </c>
    </row>
    <row r="429" ht="15" customHeight="1" s="10">
      <c r="A429" s="15" t="inlineStr">
        <is>
          <t>2025M8</t>
        </is>
      </c>
      <c r="B429" s="15" t="n">
        <v>3367.25619047619</v>
      </c>
      <c r="C429" s="15">
        <f>IF(AND(B429&lt;&gt;"",B428&lt;&gt;""),LN(B429/B428)*100,"")</f>
        <v/>
      </c>
      <c r="D429" s="15">
        <f>IF(COUNT(C427:C429)=3,stdev.s(C427:C429),"")</f>
        <v/>
      </c>
      <c r="E429" s="15">
        <f>IF(COUNT(C418:C429)=12,stdev.s(C418:C429),"")</f>
        <v/>
      </c>
    </row>
    <row r="430" ht="15" customHeight="1" s="10">
      <c r="A430" s="15" t="inlineStr">
        <is>
          <t>2025M9</t>
        </is>
      </c>
      <c r="B430" s="15" t="n">
        <v>3666.52363636364</v>
      </c>
      <c r="C430" s="15">
        <f>IF(AND(B430&lt;&gt;"",B429&lt;&gt;""),LN(B430/B429)*100,"")</f>
        <v/>
      </c>
      <c r="D430" s="15">
        <f>IF(COUNT(C428:C430)=3,stdev.s(C428:C430),"")</f>
        <v/>
      </c>
      <c r="E430" s="15">
        <f>IF(COUNT(C419:C430)=12,stdev.s(C419:C430),"")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4" activeCellId="0" sqref="F14"/>
    </sheetView>
  </sheetViews>
  <sheetFormatPr baseColWidth="8" defaultColWidth="8.83203125" defaultRowHeight="12.75" zeroHeight="0" outlineLevelRow="0"/>
  <sheetData>
    <row r="1" ht="12.75" customHeight="1" s="10">
      <c r="A1" s="9" t="inlineStr">
        <is>
          <t>.DESC</t>
        </is>
      </c>
      <c r="C1" s="9" t="inlineStr">
        <is>
          <t>Armenia: Gross International Reserves (EOP, NSA, Mil.US$)</t>
        </is>
      </c>
      <c r="D1" s="9" t="inlineStr">
        <is>
          <t>Belarus: International Reserves: Total Reserves (NSA, EOP, Mil.US$)</t>
        </is>
      </c>
      <c r="E1" s="9" t="inlineStr">
        <is>
          <t>Georgia: Official Reserve Assets (EOP, Mil.US$)</t>
        </is>
      </c>
      <c r="F1" s="9" t="inlineStr">
        <is>
          <t>Kazakhstan: Gross International Reserves (NSA, EOP, Mil.US$)</t>
        </is>
      </c>
      <c r="G1" s="9" t="inlineStr">
        <is>
          <t>Kyrgyz Republic: Gross International Reserves (EOP, NSA, Mil.US$)</t>
        </is>
      </c>
      <c r="H1" s="9" t="inlineStr">
        <is>
          <t>Moldova: Official Reserve Assets (EOP, NSA, Mil.US$)</t>
        </is>
      </c>
      <c r="I1" s="9" t="inlineStr">
        <is>
          <t>Uzbekistan: Official Reserve Assets (EOP, NSA, Mil.US$)</t>
        </is>
      </c>
      <c r="J1" s="9" t="inlineStr">
        <is>
          <t>Czechia International Reserves (EOP, NSA, Mil.US$)</t>
        </is>
      </c>
      <c r="K1" s="9" t="inlineStr">
        <is>
          <t>Latvia: Official Foreign Reserves (EOP, NSA, Mil.US$)</t>
        </is>
      </c>
      <c r="L1" s="9" t="inlineStr">
        <is>
          <t>Serbia: Official Reserve Assets (EOP, NSA, Mil.EUR)</t>
        </is>
      </c>
      <c r="M1" s="9" t="inlineStr">
        <is>
          <t>Montenegro: Official Reserve Assets (EOP, NSA, Mil.US$)</t>
        </is>
      </c>
      <c r="N1" s="9" t="inlineStr">
        <is>
          <t>Lithuania: Foreign Reserves (EOP, NSA, Mil.US$)</t>
        </is>
      </c>
      <c r="O1" s="9" t="inlineStr">
        <is>
          <t>Croatia: Official Reserve Assets DISC(EOP, NSA, Mil.US$)</t>
        </is>
      </c>
      <c r="P1" s="9" t="inlineStr">
        <is>
          <t>Poland: Official Reserve Assets (EOP, NSA, Mil.PLN)</t>
        </is>
      </c>
    </row>
    <row r="2" ht="12.75" customHeight="1" s="10">
      <c r="A2" s="9" t="inlineStr">
        <is>
          <t>.T1</t>
        </is>
      </c>
      <c r="C2" s="9" t="inlineStr">
        <is>
          <t>2003 &lt;- Jan-2003</t>
        </is>
      </c>
      <c r="D2" s="9" t="inlineStr">
        <is>
          <t>2002 &lt;- Dec-2002</t>
        </is>
      </c>
      <c r="E2" s="9" t="inlineStr">
        <is>
          <t>1995 &lt;- Oct-1995</t>
        </is>
      </c>
      <c r="F2" s="9" t="inlineStr">
        <is>
          <t>1993 &lt;- Dec-1993</t>
        </is>
      </c>
      <c r="G2" s="9" t="inlineStr">
        <is>
          <t>2002 &lt;- Jan-2002</t>
        </is>
      </c>
      <c r="H2" s="9" t="inlineStr">
        <is>
          <t>2000 &lt;- Jan-2000</t>
        </is>
      </c>
      <c r="I2" s="9" t="inlineStr">
        <is>
          <t>2013 &lt;- Jan-2013</t>
        </is>
      </c>
      <c r="J2" s="9" t="inlineStr">
        <is>
          <t>1993 &lt;- Jan-1993</t>
        </is>
      </c>
      <c r="K2" s="9" t="inlineStr">
        <is>
          <t>1996 &lt;- Dec-1996</t>
        </is>
      </c>
      <c r="L2" s="9" t="inlineStr">
        <is>
          <t>2004 &lt;- Jan-2004</t>
        </is>
      </c>
      <c r="M2" s="9" t="inlineStr">
        <is>
          <t>2010 &lt;- Jan-2010</t>
        </is>
      </c>
      <c r="N2" s="9" t="inlineStr">
        <is>
          <t>1992 &lt;- Dec-1992</t>
        </is>
      </c>
      <c r="O2" s="9" t="inlineStr">
        <is>
          <t>1999 &lt;- Dec-1999</t>
        </is>
      </c>
      <c r="P2" s="9" t="inlineStr">
        <is>
          <t>2003 &lt;- Jan-2003</t>
        </is>
      </c>
    </row>
    <row r="3" ht="12.75" customHeight="1" s="10">
      <c r="A3" s="9" t="inlineStr">
        <is>
          <t>.TN</t>
        </is>
      </c>
      <c r="C3" s="9" t="inlineStr">
        <is>
          <t>2025 &lt;- Dec-2025</t>
        </is>
      </c>
      <c r="D3" s="9" t="inlineStr">
        <is>
          <t>2025 &lt;- Dec-2025</t>
        </is>
      </c>
      <c r="E3" s="9" t="inlineStr">
        <is>
          <t>2025 &lt;- Dec-2025</t>
        </is>
      </c>
      <c r="F3" s="9" t="inlineStr">
        <is>
          <t>2025 &lt;- Dec-2025</t>
        </is>
      </c>
      <c r="G3" s="9" t="inlineStr">
        <is>
          <t>2024 &lt;- Nov-2025</t>
        </is>
      </c>
      <c r="H3" s="9" t="inlineStr">
        <is>
          <t>2025 &lt;- Dec-2025</t>
        </is>
      </c>
      <c r="I3" s="9" t="inlineStr">
        <is>
          <t>2025 &lt;- Dec-2025</t>
        </is>
      </c>
      <c r="J3" s="9" t="inlineStr">
        <is>
          <t>2025 &lt;- Dec-2025</t>
        </is>
      </c>
      <c r="K3" s="9" t="inlineStr">
        <is>
          <t>2025 &lt;- Dec-2025</t>
        </is>
      </c>
      <c r="L3" s="9" t="inlineStr">
        <is>
          <t>2024 &lt;- Nov-2025</t>
        </is>
      </c>
      <c r="M3" s="9" t="inlineStr">
        <is>
          <t>2024 &lt;- Nov-2025</t>
        </is>
      </c>
      <c r="N3" s="9" t="inlineStr">
        <is>
          <t>2025 &lt;- Dec-2025</t>
        </is>
      </c>
      <c r="O3" s="9" t="inlineStr">
        <is>
          <t>2022 &lt;- Dec-2022</t>
        </is>
      </c>
      <c r="P3" s="9" t="inlineStr">
        <is>
          <t>2024 &lt;- Nov-2025</t>
        </is>
      </c>
    </row>
    <row r="4" ht="12.75" customHeight="1" s="10">
      <c r="A4" s="9" t="inlineStr">
        <is>
          <t>.LSOURCE</t>
        </is>
      </c>
      <c r="C4" s="9" t="inlineStr">
        <is>
          <t>Central Bank of Armenia</t>
        </is>
      </c>
      <c r="D4" s="9" t="inlineStr">
        <is>
          <t>National Bank of the Republic of Belarus</t>
        </is>
      </c>
      <c r="E4" s="9" t="inlineStr">
        <is>
          <t>National Bank of Georgia</t>
        </is>
      </c>
      <c r="F4" s="9" t="inlineStr">
        <is>
          <t>National Bank of Kazakhstan</t>
        </is>
      </c>
      <c r="G4" s="9" t="inlineStr">
        <is>
          <t>National Bank of the Kyrgyz Republic</t>
        </is>
      </c>
      <c r="H4" s="9" t="inlineStr">
        <is>
          <t>National Bank of Moldova</t>
        </is>
      </c>
      <c r="I4" s="9" t="inlineStr">
        <is>
          <t>Central Bank of Uzbekistan/Haver Analytics</t>
        </is>
      </c>
      <c r="J4" s="9" t="inlineStr">
        <is>
          <t>Czech National Bank</t>
        </is>
      </c>
      <c r="K4" s="9" t="inlineStr">
        <is>
          <t>Bank of Latvia</t>
        </is>
      </c>
      <c r="L4" s="9" t="inlineStr">
        <is>
          <t>National Bank of Serbia</t>
        </is>
      </c>
      <c r="M4" s="9" t="inlineStr">
        <is>
          <t>Central Bank of Montenegro</t>
        </is>
      </c>
      <c r="N4" s="9" t="inlineStr">
        <is>
          <t>Bank of Lithuania</t>
        </is>
      </c>
      <c r="O4" s="9" t="inlineStr">
        <is>
          <t>Discontinued</t>
        </is>
      </c>
      <c r="P4" s="9" t="inlineStr">
        <is>
          <t>National Bank of Poland</t>
        </is>
      </c>
    </row>
    <row r="5" ht="12.75" customHeight="1" s="10">
      <c r="A5" s="9" t="inlineStr">
        <is>
          <t>.AGG</t>
        </is>
      </c>
      <c r="C5" s="9" t="inlineStr">
        <is>
          <t>End of Period</t>
        </is>
      </c>
      <c r="D5" s="9" t="inlineStr">
        <is>
          <t>End of Period</t>
        </is>
      </c>
      <c r="E5" s="9" t="inlineStr">
        <is>
          <t>End of Period</t>
        </is>
      </c>
      <c r="F5" s="9" t="inlineStr">
        <is>
          <t>End of Period</t>
        </is>
      </c>
      <c r="G5" s="9" t="inlineStr">
        <is>
          <t>End of Period</t>
        </is>
      </c>
      <c r="H5" s="9" t="inlineStr">
        <is>
          <t>End of Period</t>
        </is>
      </c>
      <c r="I5" s="9" t="inlineStr">
        <is>
          <t>End of Period</t>
        </is>
      </c>
      <c r="J5" s="9" t="inlineStr">
        <is>
          <t>End of Period</t>
        </is>
      </c>
      <c r="K5" s="9" t="inlineStr">
        <is>
          <t>End of Period</t>
        </is>
      </c>
      <c r="L5" s="9" t="inlineStr">
        <is>
          <t>End of Period</t>
        </is>
      </c>
      <c r="M5" s="9" t="inlineStr">
        <is>
          <t>End of Period</t>
        </is>
      </c>
      <c r="N5" s="9" t="inlineStr">
        <is>
          <t>End of Period</t>
        </is>
      </c>
      <c r="O5" s="9" t="inlineStr">
        <is>
          <t>End of Period</t>
        </is>
      </c>
      <c r="P5" s="9" t="inlineStr">
        <is>
          <t>End of Period</t>
        </is>
      </c>
    </row>
    <row r="6" ht="12.75" customHeight="1" s="10">
      <c r="A6" s="9" t="inlineStr">
        <is>
          <t>.DTLM</t>
        </is>
      </c>
      <c r="C6" s="9" t="inlineStr">
        <is>
          <t>Jan-12-2026 11:19</t>
        </is>
      </c>
      <c r="D6" s="9" t="inlineStr">
        <is>
          <t>Jan-06-2026 01:32</t>
        </is>
      </c>
      <c r="E6" s="9" t="inlineStr">
        <is>
          <t>Jan-06-2026 07:37</t>
        </is>
      </c>
      <c r="F6" s="9" t="inlineStr">
        <is>
          <t>Jan-14-2026 02:19</t>
        </is>
      </c>
      <c r="G6" s="9" t="inlineStr">
        <is>
          <t>Dec-08-2025 07:29</t>
        </is>
      </c>
      <c r="H6" s="9" t="inlineStr">
        <is>
          <t>Jan-07-2026 08:45</t>
        </is>
      </c>
      <c r="I6" s="9" t="inlineStr">
        <is>
          <t>Jan-07-2026 09:41</t>
        </is>
      </c>
      <c r="J6" s="9" t="inlineStr">
        <is>
          <t>Jan-07-2026 04:18</t>
        </is>
      </c>
      <c r="K6" s="9" t="inlineStr">
        <is>
          <t>Jan-07-2026 04:55</t>
        </is>
      </c>
      <c r="L6" s="9" t="inlineStr">
        <is>
          <t>Dec-30-2025 11:14</t>
        </is>
      </c>
      <c r="M6" s="9" t="inlineStr">
        <is>
          <t>Dec-23-2025 11:52</t>
        </is>
      </c>
      <c r="N6" s="9" t="inlineStr">
        <is>
          <t>Jan-09-2026 12:08</t>
        </is>
      </c>
      <c r="O6" s="9" t="inlineStr">
        <is>
          <t>Feb-20-2023 04:47</t>
        </is>
      </c>
      <c r="P6" s="9" t="inlineStr">
        <is>
          <t>Dec-19-2025 08:02</t>
        </is>
      </c>
    </row>
    <row r="7" ht="12.75" customHeight="1" s="10">
      <c r="A7" s="9" t="inlineStr">
        <is>
          <t>.DATA_TYPE</t>
        </is>
      </c>
      <c r="C7" s="9" t="inlineStr">
        <is>
          <t>US$</t>
        </is>
      </c>
      <c r="D7" s="9" t="inlineStr">
        <is>
          <t>US$</t>
        </is>
      </c>
      <c r="E7" s="9" t="inlineStr">
        <is>
          <t>US$</t>
        </is>
      </c>
      <c r="F7" s="9" t="inlineStr">
        <is>
          <t>US$</t>
        </is>
      </c>
      <c r="G7" s="9" t="inlineStr">
        <is>
          <t>US$</t>
        </is>
      </c>
      <c r="H7" s="9" t="inlineStr">
        <is>
          <t>US$</t>
        </is>
      </c>
      <c r="I7" s="9" t="inlineStr">
        <is>
          <t>US$</t>
        </is>
      </c>
      <c r="J7" s="9" t="inlineStr">
        <is>
          <t>US$</t>
        </is>
      </c>
      <c r="K7" s="9" t="inlineStr">
        <is>
          <t>US$</t>
        </is>
      </c>
      <c r="L7" s="9" t="inlineStr">
        <is>
          <t>?</t>
        </is>
      </c>
      <c r="M7" s="9" t="inlineStr">
        <is>
          <t>US$</t>
        </is>
      </c>
      <c r="N7" s="9" t="inlineStr">
        <is>
          <t>US$</t>
        </is>
      </c>
      <c r="O7" s="9" t="inlineStr">
        <is>
          <t>US$</t>
        </is>
      </c>
      <c r="P7" s="9" t="inlineStr">
        <is>
          <t>LocCur</t>
        </is>
      </c>
    </row>
    <row r="8" ht="12.75" customHeight="1" s="10">
      <c r="A8" s="9" t="inlineStr">
        <is>
          <t>.GRPDESC</t>
        </is>
      </c>
      <c r="C8" s="9" t="inlineStr">
        <is>
          <t>Armenia: International Reserves, Monthly</t>
        </is>
      </c>
      <c r="D8" s="9" t="inlineStr">
        <is>
          <t>Belarus: Foreign Reserves, NBB, Monthly</t>
        </is>
      </c>
      <c r="E8" s="9" t="inlineStr">
        <is>
          <t>Georgia: International Reserves, NBG, Monthly</t>
        </is>
      </c>
      <c r="F8" s="9" t="inlineStr">
        <is>
          <t>Kazakhstan: International Reserves, NBK, Monthly</t>
        </is>
      </c>
      <c r="G8" s="9" t="inlineStr">
        <is>
          <t>Kyrgyz Republic: Gross International Reserves, NBKR, Monthly</t>
        </is>
      </c>
      <c r="H8" s="9" t="inlineStr">
        <is>
          <t>Moldova: International Reserves, NBM, Monthly</t>
        </is>
      </c>
      <c r="I8" s="9" t="inlineStr">
        <is>
          <t>Uzbekistan: Economic Indicators, CBU/H, Monthly</t>
        </is>
      </c>
      <c r="J8" s="9" t="inlineStr">
        <is>
          <t>Czech Republic: International Reserves, CNB, Monthly</t>
        </is>
      </c>
      <c r="K8" s="9" t="inlineStr">
        <is>
          <t>Latvia: International Reserves, Bank of Latvia, Monthly</t>
        </is>
      </c>
      <c r="L8" s="9" t="inlineStr">
        <is>
          <t>Serbia: International Reserves and Foreign Liquidity, NBS, Monthly</t>
        </is>
      </c>
      <c r="M8" s="9" t="inlineStr">
        <is>
          <t>Montenegro: Offical Reserves, CBM, Monthly</t>
        </is>
      </c>
      <c r="N8" s="9" t="inlineStr">
        <is>
          <t>Lithuania: Foreign Reserves, BoL, Monthly</t>
        </is>
      </c>
      <c r="O8" s="9" t="inlineStr">
        <is>
          <t>Central/Eastern Europe: Discontinued Series, Monthly</t>
        </is>
      </c>
      <c r="P8" s="9" t="inlineStr">
        <is>
          <t>Poland: Foreign Currency Liquidity, Monthly, National Bank of Poland</t>
        </is>
      </c>
    </row>
    <row r="9" ht="12.75" customHeight="1" s="10">
      <c r="A9" s="9" t="inlineStr">
        <is>
          <t>.GEO</t>
        </is>
      </c>
      <c r="C9" s="9" t="inlineStr">
        <is>
          <t>911</t>
        </is>
      </c>
      <c r="D9" s="9" t="inlineStr">
        <is>
          <t>913</t>
        </is>
      </c>
      <c r="E9" s="9" t="inlineStr">
        <is>
          <t>915</t>
        </is>
      </c>
      <c r="F9" s="9" t="inlineStr">
        <is>
          <t>916</t>
        </is>
      </c>
      <c r="G9" s="9" t="inlineStr">
        <is>
          <t>917</t>
        </is>
      </c>
      <c r="H9" s="9" t="inlineStr">
        <is>
          <t>921</t>
        </is>
      </c>
      <c r="I9" s="9" t="inlineStr">
        <is>
          <t>927</t>
        </is>
      </c>
      <c r="J9" s="9" t="inlineStr">
        <is>
          <t>935</t>
        </is>
      </c>
      <c r="K9" s="9" t="inlineStr">
        <is>
          <t>941</t>
        </is>
      </c>
      <c r="L9" s="9" t="inlineStr">
        <is>
          <t>942</t>
        </is>
      </c>
      <c r="M9" s="9" t="inlineStr">
        <is>
          <t>943</t>
        </is>
      </c>
      <c r="N9" s="9" t="inlineStr">
        <is>
          <t>946</t>
        </is>
      </c>
      <c r="O9" s="9" t="inlineStr">
        <is>
          <t>960</t>
        </is>
      </c>
      <c r="P9" s="9" t="inlineStr">
        <is>
          <t>964</t>
        </is>
      </c>
    </row>
    <row r="10" ht="12.75" customHeight="1" s="10">
      <c r="A10" s="9" t="inlineStr">
        <is>
          <t>2017</t>
        </is>
      </c>
      <c r="B10" s="16" t="n">
        <v>43100</v>
      </c>
      <c r="C10" s="12" t="n">
        <v>2314.1</v>
      </c>
      <c r="D10" s="12" t="n">
        <v>7315.3</v>
      </c>
      <c r="E10" s="14" t="n">
        <v>3039.26</v>
      </c>
      <c r="F10" s="13" t="n">
        <v>30997</v>
      </c>
      <c r="G10" s="14" t="n">
        <v>2176.49</v>
      </c>
      <c r="H10" s="14" t="n">
        <v>2803.26</v>
      </c>
      <c r="I10" s="14" t="n">
        <v>28076.87</v>
      </c>
      <c r="J10" s="14" t="n">
        <v>147973.78</v>
      </c>
      <c r="K10" s="14" t="n">
        <v>4629.67</v>
      </c>
      <c r="L10" s="14" t="n">
        <v>9961.9</v>
      </c>
      <c r="M10" s="14" t="n">
        <v>1015.84</v>
      </c>
      <c r="N10" s="12" t="n">
        <v>4461.7</v>
      </c>
      <c r="O10" s="14" t="n">
        <v>18822.26</v>
      </c>
      <c r="P10" s="13" t="n">
        <v>394358</v>
      </c>
    </row>
    <row r="11" ht="12.75" customHeight="1" s="10">
      <c r="A11" s="9" t="inlineStr">
        <is>
          <t>2018</t>
        </is>
      </c>
      <c r="B11" s="16" t="n">
        <v>43465</v>
      </c>
      <c r="C11" s="12" t="n">
        <v>2259.3</v>
      </c>
      <c r="D11" s="12" t="n">
        <v>7157.6</v>
      </c>
      <c r="E11" s="14" t="n">
        <v>3288.83</v>
      </c>
      <c r="F11" s="13" t="n">
        <v>30927</v>
      </c>
      <c r="G11" s="14" t="n">
        <v>2155.46</v>
      </c>
      <c r="H11" s="14" t="n">
        <v>2995.18</v>
      </c>
      <c r="I11" s="14" t="n">
        <v>27081.41</v>
      </c>
      <c r="J11" s="14" t="n">
        <v>142512.29</v>
      </c>
      <c r="K11" s="14" t="n">
        <v>4372.76</v>
      </c>
      <c r="L11" s="14" t="n">
        <v>11261.85</v>
      </c>
      <c r="M11" s="14" t="n">
        <v>1202.38</v>
      </c>
      <c r="N11" s="12" t="n">
        <v>5774.6</v>
      </c>
      <c r="O11" s="14" t="n">
        <v>19995.66</v>
      </c>
      <c r="P11" s="13" t="n">
        <v>439752</v>
      </c>
    </row>
    <row r="12" ht="12.75" customHeight="1" s="10">
      <c r="A12" s="9" t="inlineStr">
        <is>
          <t>2019</t>
        </is>
      </c>
      <c r="B12" s="16" t="n">
        <v>43830</v>
      </c>
      <c r="C12" s="12" t="n">
        <v>2849.7</v>
      </c>
      <c r="D12" s="12" t="n">
        <v>9393.5</v>
      </c>
      <c r="E12" s="14" t="n">
        <v>3505.85</v>
      </c>
      <c r="F12" s="13" t="n">
        <v>28958</v>
      </c>
      <c r="G12" s="14" t="n">
        <v>2424.11</v>
      </c>
      <c r="H12" s="14" t="n">
        <v>3059.63</v>
      </c>
      <c r="I12" s="14" t="n">
        <v>29172.14</v>
      </c>
      <c r="J12" s="14" t="n">
        <v>149855.13</v>
      </c>
      <c r="K12" s="14" t="n">
        <v>4478.45</v>
      </c>
      <c r="L12" s="14" t="n">
        <v>13378.48</v>
      </c>
      <c r="M12" s="14" t="n">
        <v>1529.22</v>
      </c>
      <c r="N12" s="12" t="n">
        <v>5082.4</v>
      </c>
      <c r="O12" s="14" t="n">
        <v>20775.42</v>
      </c>
      <c r="P12" s="13" t="n">
        <v>487644</v>
      </c>
    </row>
    <row r="13" ht="12.75" customHeight="1" s="10">
      <c r="A13" s="9" t="inlineStr">
        <is>
          <t>2020</t>
        </is>
      </c>
      <c r="B13" s="16" t="n">
        <v>44196</v>
      </c>
      <c r="C13" s="12" t="n">
        <v>2615.5</v>
      </c>
      <c r="D13" s="12" t="n">
        <v>7468.5</v>
      </c>
      <c r="E13" s="14" t="n">
        <v>3910.75</v>
      </c>
      <c r="F13" s="13" t="n">
        <v>35638</v>
      </c>
      <c r="G13" s="14" t="n">
        <v>2808.11</v>
      </c>
      <c r="H13" s="14" t="n">
        <v>3783.54</v>
      </c>
      <c r="I13" s="14" t="n">
        <v>34903.99</v>
      </c>
      <c r="J13" s="14" t="n">
        <v>166121.4</v>
      </c>
      <c r="K13" s="14" t="n">
        <v>5273.58</v>
      </c>
      <c r="L13" s="14" t="n">
        <v>13491.66</v>
      </c>
      <c r="M13" s="14" t="n">
        <v>2135.02</v>
      </c>
      <c r="N13" s="12" t="n">
        <v>4832.4</v>
      </c>
      <c r="O13" s="14" t="n">
        <v>23258.55</v>
      </c>
      <c r="P13" s="13" t="n">
        <v>579719</v>
      </c>
    </row>
    <row r="14" ht="12.75" customHeight="1" s="10">
      <c r="A14" s="9" t="inlineStr">
        <is>
          <t>2021</t>
        </is>
      </c>
      <c r="B14" s="16" t="n">
        <v>44561</v>
      </c>
      <c r="C14" s="12" t="n">
        <v>3229.9</v>
      </c>
      <c r="D14" s="12" t="n">
        <v>8425</v>
      </c>
      <c r="E14" s="14" t="n">
        <v>4272.55</v>
      </c>
      <c r="F14" s="13" t="n">
        <v>34378</v>
      </c>
      <c r="G14" s="14" t="n">
        <v>2977.56</v>
      </c>
      <c r="H14" s="14" t="n">
        <v>3901.88</v>
      </c>
      <c r="I14" s="14" t="n">
        <v>35139.18</v>
      </c>
      <c r="J14" s="14" t="n">
        <v>173613.03</v>
      </c>
      <c r="K14" s="14" t="n">
        <v>5486.97</v>
      </c>
      <c r="L14" s="14" t="n">
        <v>16454.51</v>
      </c>
      <c r="M14" s="14" t="n">
        <v>1982.13</v>
      </c>
      <c r="N14" s="12" t="n">
        <v>5576.8</v>
      </c>
      <c r="O14" s="14" t="n">
        <v>28311.94</v>
      </c>
      <c r="P14" s="13" t="n">
        <v>674162</v>
      </c>
    </row>
    <row r="15" ht="12.75" customHeight="1" s="10">
      <c r="A15" s="9" t="inlineStr">
        <is>
          <t>2022</t>
        </is>
      </c>
      <c r="B15" s="16" t="n">
        <v>44926</v>
      </c>
      <c r="C15" s="12" t="n">
        <v>4111.8</v>
      </c>
      <c r="D15" s="12" t="n">
        <v>7929.5</v>
      </c>
      <c r="E15" s="14" t="n">
        <v>4901.53</v>
      </c>
      <c r="F15" s="13" t="n">
        <v>35076</v>
      </c>
      <c r="G15" s="14" t="n">
        <v>2798.09</v>
      </c>
      <c r="H15" s="14" t="n">
        <v>4474.17</v>
      </c>
      <c r="I15" s="14" t="n">
        <v>35767.5</v>
      </c>
      <c r="J15" s="14" t="n">
        <v>139982.33</v>
      </c>
      <c r="K15" s="14" t="n">
        <v>4476.04</v>
      </c>
      <c r="L15" s="14" t="n">
        <v>19415.65</v>
      </c>
      <c r="M15" s="14" t="n">
        <v>2042.13</v>
      </c>
      <c r="N15" s="12" t="n">
        <v>5385.8</v>
      </c>
      <c r="O15" s="14" t="n">
        <v>29733.46</v>
      </c>
      <c r="P15" s="13" t="n">
        <v>733758</v>
      </c>
    </row>
    <row r="16" ht="12.75" customHeight="1" s="10">
      <c r="A16" s="9" t="inlineStr">
        <is>
          <t>2023</t>
        </is>
      </c>
      <c r="B16" s="16" t="n">
        <v>45291</v>
      </c>
      <c r="C16" s="12" t="n">
        <v>3607.6</v>
      </c>
      <c r="D16" s="12" t="n">
        <v>8127.4</v>
      </c>
      <c r="E16" s="14" t="n">
        <v>5009.6</v>
      </c>
      <c r="F16" s="13" t="n">
        <v>35944</v>
      </c>
      <c r="G16" s="14" t="n">
        <v>3236.48</v>
      </c>
      <c r="H16" s="14" t="n">
        <v>5453.14</v>
      </c>
      <c r="I16" s="14" t="n">
        <v>34564.65</v>
      </c>
      <c r="J16" s="14" t="n">
        <v>148378.86</v>
      </c>
      <c r="K16" s="14" t="n">
        <v>4963.52</v>
      </c>
      <c r="L16" s="14" t="n">
        <v>24909.1</v>
      </c>
      <c r="M16" s="14" t="n">
        <v>1574.6</v>
      </c>
      <c r="N16" s="12" t="n">
        <v>6197.5</v>
      </c>
      <c r="P16" s="13" t="n">
        <v>762651</v>
      </c>
    </row>
    <row r="17" ht="12.75" customHeight="1" s="10">
      <c r="A17" s="9" t="inlineStr">
        <is>
          <t>2024</t>
        </is>
      </c>
      <c r="B17" s="16" t="n">
        <v>45657</v>
      </c>
      <c r="C17" s="12" t="n">
        <v>3685.3</v>
      </c>
      <c r="D17" s="12" t="n">
        <v>8922.6</v>
      </c>
      <c r="E17" s="14" t="n">
        <v>4448.55</v>
      </c>
      <c r="F17" s="13" t="n">
        <v>45823</v>
      </c>
      <c r="G17" s="14" t="n">
        <v>5088.08</v>
      </c>
      <c r="H17" s="14" t="n">
        <v>5483.57</v>
      </c>
      <c r="I17" s="14" t="n">
        <v>41181.64</v>
      </c>
      <c r="J17" s="14" t="n">
        <v>146285.64</v>
      </c>
      <c r="K17" s="14" t="n">
        <v>5121.67</v>
      </c>
      <c r="L17" s="14" t="n">
        <v>29294.57</v>
      </c>
      <c r="M17" s="14" t="n">
        <v>1742.94</v>
      </c>
      <c r="N17" s="12" t="n">
        <v>7404.1</v>
      </c>
      <c r="P17" s="13" t="n">
        <v>915250</v>
      </c>
    </row>
    <row r="18" ht="12.75" customHeight="1" s="10">
      <c r="A18" s="9" t="inlineStr">
        <is>
          <t>2025</t>
        </is>
      </c>
      <c r="B18" s="16" t="n">
        <v>46022</v>
      </c>
      <c r="C18" s="12" t="n">
        <v>5086.3</v>
      </c>
      <c r="D18" s="12" t="n">
        <v>14425.9</v>
      </c>
      <c r="E18" s="14" t="n">
        <v>6158.7</v>
      </c>
      <c r="F18" s="13" t="n">
        <v>65727</v>
      </c>
      <c r="H18" s="14" t="n">
        <v>5999.34</v>
      </c>
      <c r="I18" s="14" t="n">
        <v>66311.75</v>
      </c>
      <c r="J18" s="14" t="n">
        <v>175830.49</v>
      </c>
      <c r="K18" s="14" t="n">
        <v>6076.9</v>
      </c>
      <c r="N18" s="12" t="n">
        <v>7082.7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R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2" activeCellId="0" sqref="E22"/>
    </sheetView>
  </sheetViews>
  <sheetFormatPr baseColWidth="8" defaultColWidth="8.83203125" defaultRowHeight="12.75" zeroHeight="0" outlineLevelRow="0"/>
  <sheetData>
    <row r="1" ht="12.75" customHeight="1" s="10">
      <c r="A1" s="9" t="inlineStr">
        <is>
          <t>.DESC</t>
        </is>
      </c>
      <c r="C1" s="9" t="inlineStr">
        <is>
          <t>Armenia: International Reserves: Gold (EOP, NSA, Mil.US$)</t>
        </is>
      </c>
      <c r="D1" s="9" t="inlineStr">
        <is>
          <t>Belarus: International Reserves: Gold (NSA, EOP, Mil.US$)</t>
        </is>
      </c>
      <c r="E1" s="9" t="inlineStr">
        <is>
          <t>Albania: Reserve Assets: Monetary Gold (EOP, NSA, Mil.US$)</t>
        </is>
      </c>
      <c r="F1" s="9" t="inlineStr">
        <is>
          <t>Georgia: Official Reserve Assets: Gold (EOP, Mil.US$)</t>
        </is>
      </c>
      <c r="G1" s="9" t="inlineStr">
        <is>
          <t>Kazakhstan: Gold Reserves (NSA, EOP, Mil.US$)</t>
        </is>
      </c>
      <c r="H1" s="9" t="inlineStr">
        <is>
          <t>Kyrgyz Rep: Official Reserve Assets: Gold Including Gold Deposits (EOP, Mil.US$)</t>
        </is>
      </c>
      <c r="I1" s="9" t="inlineStr">
        <is>
          <t>Bulgaria: Off Res Assets: Gold [incl Gold Dep &amp; Gold Swapped] (NSA,EOP,Mil.US$)</t>
        </is>
      </c>
      <c r="J1" s="9" t="inlineStr">
        <is>
          <t>Moldova: International Reserves: Gold (EOP, NSA, Mil.US$)</t>
        </is>
      </c>
      <c r="K1" s="9" t="inlineStr">
        <is>
          <t>Russia:Official Res Assets:Gold [Valued at Curr Quots of CBR] (EOP,Mil.US$)</t>
        </is>
      </c>
      <c r="L1" s="9" t="inlineStr">
        <is>
          <t>Ukraine: Foreign Reserves: Gold (EOP, Mil.USD)</t>
        </is>
      </c>
      <c r="M1" s="9" t="inlineStr">
        <is>
          <t>Uzbekistan: International Reserves: Gold (EOP, NSA, Mil.US$)</t>
        </is>
      </c>
      <c r="N1" s="9" t="inlineStr">
        <is>
          <t>Czechia International Reserves: Gold (EOP, NSA, Mil.US$)</t>
        </is>
      </c>
      <c r="O1" s="9" t="inlineStr">
        <is>
          <t>Latvia: Official Foreign Reserves: Gold (EOP, NSA, Mil.US$)</t>
        </is>
      </c>
      <c r="P1" s="9" t="inlineStr">
        <is>
          <t>Serbia: Official Reserve Assets: Gold [Incl Deposits &amp; Swaps](EOP, NSA, Mil.EUR)</t>
        </is>
      </c>
      <c r="Q1" s="9" t="inlineStr">
        <is>
          <t>Lithuania: Foreign Reserves: Gold incl Gold Deps &amp; Swapped (EOP, Mil.US$)</t>
        </is>
      </c>
      <c r="R1" s="9" t="inlineStr">
        <is>
          <t>Poland: Official Reserve Assets: Gold [Incl Deposits &amp; Swaps](EOP, NSA, Mil.PLN)</t>
        </is>
      </c>
    </row>
    <row r="2" ht="12.75" customHeight="1" s="10">
      <c r="A2" s="9" t="inlineStr">
        <is>
          <t>.T1</t>
        </is>
      </c>
      <c r="C2" s="9" t="inlineStr">
        <is>
          <t>2003 &lt;- Jan-2003</t>
        </is>
      </c>
      <c r="D2" s="9" t="inlineStr">
        <is>
          <t>2002 &lt;- Dec-2002</t>
        </is>
      </c>
      <c r="E2" s="9" t="inlineStr">
        <is>
          <t>2003 &lt;- Dec-2003</t>
        </is>
      </c>
      <c r="F2" s="9" t="inlineStr">
        <is>
          <t>1995 &lt;- Oct-1995</t>
        </is>
      </c>
      <c r="G2" s="9" t="inlineStr">
        <is>
          <t>1993 &lt;- Dec-1993</t>
        </is>
      </c>
      <c r="H2" s="9" t="inlineStr">
        <is>
          <t>2009 &lt;- Jan-2009</t>
        </is>
      </c>
      <c r="I2" s="9" t="inlineStr">
        <is>
          <t>2003 &lt;- Sep-2003</t>
        </is>
      </c>
      <c r="J2" s="9" t="inlineStr">
        <is>
          <t>2000 &lt;- Jan-2000</t>
        </is>
      </c>
      <c r="K2" s="9" t="inlineStr">
        <is>
          <t>1992 &lt;- Dec-1992</t>
        </is>
      </c>
      <c r="L2" s="9" t="inlineStr">
        <is>
          <t>2003 &lt;- Jan-2003</t>
        </is>
      </c>
      <c r="M2" s="9" t="inlineStr">
        <is>
          <t>2013 &lt;- Jan-2013</t>
        </is>
      </c>
      <c r="N2" s="9" t="inlineStr">
        <is>
          <t>1993 &lt;- Jan-1993</t>
        </is>
      </c>
      <c r="O2" s="9" t="inlineStr">
        <is>
          <t>1996 &lt;- Dec-1996</t>
        </is>
      </c>
      <c r="P2" s="9" t="inlineStr">
        <is>
          <t>2016 &lt;- Jan-2016</t>
        </is>
      </c>
      <c r="Q2" s="9" t="inlineStr">
        <is>
          <t>2000 &lt;- Apr-2000</t>
        </is>
      </c>
      <c r="R2" s="9" t="inlineStr">
        <is>
          <t>2003 &lt;- Jan-2003</t>
        </is>
      </c>
    </row>
    <row r="3" ht="12.75" customHeight="1" s="10">
      <c r="A3" s="9" t="inlineStr">
        <is>
          <t>.TN</t>
        </is>
      </c>
      <c r="C3" s="9" t="inlineStr">
        <is>
          <t>2024 &lt;- Nov-2025</t>
        </is>
      </c>
      <c r="D3" s="9" t="inlineStr">
        <is>
          <t>2025 &lt;- Dec-2025</t>
        </is>
      </c>
      <c r="E3" s="9" t="inlineStr">
        <is>
          <t>2024 &lt;- Nov-2025</t>
        </is>
      </c>
      <c r="F3" s="9" t="inlineStr">
        <is>
          <t>2025 &lt;- Dec-2025</t>
        </is>
      </c>
      <c r="G3" s="9" t="inlineStr">
        <is>
          <t>2024 &lt;- Nov-2025</t>
        </is>
      </c>
      <c r="H3" s="9" t="inlineStr">
        <is>
          <t>2024 &lt;- Nov-2025</t>
        </is>
      </c>
      <c r="I3" s="9" t="inlineStr">
        <is>
          <t>2024 &lt;- Nov-2025</t>
        </is>
      </c>
      <c r="J3" s="9" t="inlineStr">
        <is>
          <t>2025 &lt;- Dec-2025</t>
        </is>
      </c>
      <c r="K3" s="9" t="inlineStr">
        <is>
          <t>2024 &lt;- Nov-2025</t>
        </is>
      </c>
      <c r="L3" s="9" t="inlineStr">
        <is>
          <t>2025 &lt;- Dec-2025</t>
        </is>
      </c>
      <c r="M3" s="9" t="inlineStr">
        <is>
          <t>2025 &lt;- Dec-2025</t>
        </is>
      </c>
      <c r="N3" s="9" t="inlineStr">
        <is>
          <t>2025 &lt;- Dec-2025</t>
        </is>
      </c>
      <c r="O3" s="9" t="inlineStr">
        <is>
          <t>2025 &lt;- Dec-2025</t>
        </is>
      </c>
      <c r="P3" s="9" t="inlineStr">
        <is>
          <t>2024 &lt;- Nov-2025</t>
        </is>
      </c>
      <c r="Q3" s="9" t="inlineStr">
        <is>
          <t>2025 &lt;- Dec-2025</t>
        </is>
      </c>
      <c r="R3" s="9" t="inlineStr">
        <is>
          <t>2024 &lt;- Nov-2025</t>
        </is>
      </c>
    </row>
    <row r="4" ht="12.75" customHeight="1" s="10">
      <c r="A4" s="9" t="inlineStr">
        <is>
          <t>.LSOURCE</t>
        </is>
      </c>
      <c r="C4" s="9" t="inlineStr">
        <is>
          <t>Central Bank of Armenia</t>
        </is>
      </c>
      <c r="D4" s="9" t="inlineStr">
        <is>
          <t>National Bank of the Republic of Belarus</t>
        </is>
      </c>
      <c r="E4" s="9" t="inlineStr">
        <is>
          <t>Bank of Albania/Haver Analytics</t>
        </is>
      </c>
      <c r="F4" s="9" t="inlineStr">
        <is>
          <t>National Bank of Georgia</t>
        </is>
      </c>
      <c r="G4" s="9" t="inlineStr">
        <is>
          <t>National Bank of Kazakhstan</t>
        </is>
      </c>
      <c r="H4" s="9" t="inlineStr">
        <is>
          <t>National Bank of the Kyrgyz Republic</t>
        </is>
      </c>
      <c r="I4" s="9" t="inlineStr">
        <is>
          <t>Bulgarian National Bank</t>
        </is>
      </c>
      <c r="J4" s="9" t="inlineStr">
        <is>
          <t>National Bank of Moldova</t>
        </is>
      </c>
      <c r="K4" s="9" t="inlineStr">
        <is>
          <t>Central Bank of the Russian Federation</t>
        </is>
      </c>
      <c r="L4" s="9" t="inlineStr">
        <is>
          <t>National Bank of Ukraine</t>
        </is>
      </c>
      <c r="M4" s="9" t="inlineStr">
        <is>
          <t>Central Bank of Uzbekistan/Haver Analytics</t>
        </is>
      </c>
      <c r="N4" s="9" t="inlineStr">
        <is>
          <t>Czech National Bank</t>
        </is>
      </c>
      <c r="O4" s="9" t="inlineStr">
        <is>
          <t>Bank of Latvia</t>
        </is>
      </c>
      <c r="P4" s="9" t="inlineStr">
        <is>
          <t>National Bank of Serbia</t>
        </is>
      </c>
      <c r="Q4" s="9" t="inlineStr">
        <is>
          <t>Bank of Lithuania</t>
        </is>
      </c>
      <c r="R4" s="9" t="inlineStr">
        <is>
          <t>National Bank of Poland</t>
        </is>
      </c>
    </row>
    <row r="5" ht="12.75" customHeight="1" s="10">
      <c r="A5" s="9" t="inlineStr">
        <is>
          <t>.AGG</t>
        </is>
      </c>
      <c r="C5" s="9" t="inlineStr">
        <is>
          <t>End of Period</t>
        </is>
      </c>
      <c r="D5" s="9" t="inlineStr">
        <is>
          <t>End of Period</t>
        </is>
      </c>
      <c r="E5" s="9" t="inlineStr">
        <is>
          <t>End of Period</t>
        </is>
      </c>
      <c r="F5" s="9" t="inlineStr">
        <is>
          <t>End of Period</t>
        </is>
      </c>
      <c r="G5" s="9" t="inlineStr">
        <is>
          <t>End of Period</t>
        </is>
      </c>
      <c r="H5" s="9" t="inlineStr">
        <is>
          <t>End of Period</t>
        </is>
      </c>
      <c r="I5" s="9" t="inlineStr">
        <is>
          <t>End of Period</t>
        </is>
      </c>
      <c r="J5" s="9" t="inlineStr">
        <is>
          <t>End of Period</t>
        </is>
      </c>
      <c r="K5" s="9" t="inlineStr">
        <is>
          <t>End of Period</t>
        </is>
      </c>
      <c r="L5" s="9" t="inlineStr">
        <is>
          <t>End of Period</t>
        </is>
      </c>
      <c r="M5" s="9" t="inlineStr">
        <is>
          <t>End of Period</t>
        </is>
      </c>
      <c r="N5" s="9" t="inlineStr">
        <is>
          <t>End of Period</t>
        </is>
      </c>
      <c r="O5" s="9" t="inlineStr">
        <is>
          <t>End of Period</t>
        </is>
      </c>
      <c r="P5" s="9" t="inlineStr">
        <is>
          <t>End of Period</t>
        </is>
      </c>
      <c r="Q5" s="9" t="inlineStr">
        <is>
          <t>End of Period</t>
        </is>
      </c>
      <c r="R5" s="9" t="inlineStr">
        <is>
          <t>End of Period</t>
        </is>
      </c>
    </row>
    <row r="6" ht="12.75" customHeight="1" s="10">
      <c r="A6" s="9" t="inlineStr">
        <is>
          <t>.DTLM</t>
        </is>
      </c>
      <c r="C6" s="9" t="inlineStr">
        <is>
          <t>Dec-05-2025 07:14</t>
        </is>
      </c>
      <c r="D6" s="9" t="inlineStr">
        <is>
          <t>Jan-06-2026 01:32</t>
        </is>
      </c>
      <c r="E6" s="9" t="inlineStr">
        <is>
          <t>Dec-31-2025 05:29</t>
        </is>
      </c>
      <c r="F6" s="9" t="inlineStr">
        <is>
          <t>Jan-06-2026 07:37</t>
        </is>
      </c>
      <c r="G6" s="9" t="inlineStr">
        <is>
          <t>Dec-09-2025 03:47</t>
        </is>
      </c>
      <c r="H6" s="9" t="inlineStr">
        <is>
          <t>Dec-08-2025 06:03</t>
        </is>
      </c>
      <c r="I6" s="9" t="inlineStr">
        <is>
          <t>Dec-15-2025 05:21</t>
        </is>
      </c>
      <c r="J6" s="9" t="inlineStr">
        <is>
          <t>Jan-07-2026 08:45</t>
        </is>
      </c>
      <c r="K6" s="9" t="inlineStr">
        <is>
          <t>Dec-19-2025 08:04</t>
        </is>
      </c>
      <c r="L6" s="9" t="inlineStr">
        <is>
          <t>Jan-07-2026 10:00</t>
        </is>
      </c>
      <c r="M6" s="9" t="inlineStr">
        <is>
          <t>Jan-07-2026 09:41</t>
        </is>
      </c>
      <c r="N6" s="9" t="inlineStr">
        <is>
          <t>Jan-07-2026 04:18</t>
        </is>
      </c>
      <c r="O6" s="9" t="inlineStr">
        <is>
          <t>Jan-07-2026 04:55</t>
        </is>
      </c>
      <c r="P6" s="9" t="inlineStr">
        <is>
          <t>Dec-30-2025 11:14</t>
        </is>
      </c>
      <c r="Q6" s="9" t="inlineStr">
        <is>
          <t>Jan-09-2026 12:08</t>
        </is>
      </c>
      <c r="R6" s="9" t="inlineStr">
        <is>
          <t>Dec-19-2025 08:02</t>
        </is>
      </c>
    </row>
    <row r="7" ht="12.75" customHeight="1" s="10">
      <c r="A7" s="9" t="inlineStr">
        <is>
          <t>.DATA_TYPE</t>
        </is>
      </c>
      <c r="C7" s="9" t="inlineStr">
        <is>
          <t>US$</t>
        </is>
      </c>
      <c r="D7" s="9" t="inlineStr">
        <is>
          <t>US$</t>
        </is>
      </c>
      <c r="E7" s="9" t="inlineStr">
        <is>
          <t>US$</t>
        </is>
      </c>
      <c r="F7" s="9" t="inlineStr">
        <is>
          <t>US$</t>
        </is>
      </c>
      <c r="G7" s="9" t="inlineStr">
        <is>
          <t>US$</t>
        </is>
      </c>
      <c r="H7" s="9" t="inlineStr">
        <is>
          <t>US$</t>
        </is>
      </c>
      <c r="I7" s="9" t="inlineStr">
        <is>
          <t>US$</t>
        </is>
      </c>
      <c r="J7" s="9" t="inlineStr">
        <is>
          <t>US$</t>
        </is>
      </c>
      <c r="K7" s="9" t="inlineStr">
        <is>
          <t>US$</t>
        </is>
      </c>
      <c r="L7" s="9" t="inlineStr">
        <is>
          <t>US$</t>
        </is>
      </c>
      <c r="M7" s="9" t="inlineStr">
        <is>
          <t>US$</t>
        </is>
      </c>
      <c r="N7" s="9" t="inlineStr">
        <is>
          <t>US$</t>
        </is>
      </c>
      <c r="O7" s="9" t="inlineStr">
        <is>
          <t>US$</t>
        </is>
      </c>
      <c r="P7" s="9" t="inlineStr">
        <is>
          <t>?</t>
        </is>
      </c>
      <c r="Q7" s="9" t="inlineStr">
        <is>
          <t>US$</t>
        </is>
      </c>
      <c r="R7" s="9" t="inlineStr">
        <is>
          <t>LocCur</t>
        </is>
      </c>
    </row>
    <row r="8" ht="12.75" customHeight="1" s="10">
      <c r="A8" s="9" t="inlineStr">
        <is>
          <t>.GRPDESC</t>
        </is>
      </c>
      <c r="C8" s="9" t="inlineStr">
        <is>
          <t>Armenia: International Reserves, Monthly</t>
        </is>
      </c>
      <c r="D8" s="9" t="inlineStr">
        <is>
          <t>Belarus: Foreign Reserves, NBB, Monthly</t>
        </is>
      </c>
      <c r="E8" s="9" t="inlineStr">
        <is>
          <t>Albania: Foreign Reserves, BOA/Haver, Monthly</t>
        </is>
      </c>
      <c r="F8" s="9" t="inlineStr">
        <is>
          <t>Georgia: International Reserves, NBG, Monthly</t>
        </is>
      </c>
      <c r="G8" s="9" t="inlineStr">
        <is>
          <t>Kazakhstan: International Reserves, NBK, Monthly</t>
        </is>
      </c>
      <c r="H8" s="9" t="inlineStr">
        <is>
          <t>Kyrgyz Republic: International Reserves, NBKR, Monthly</t>
        </is>
      </c>
      <c r="I8" s="9" t="inlineStr">
        <is>
          <t>Bulgaria: Foreign Reserves, BNB, Monthly</t>
        </is>
      </c>
      <c r="J8" s="9" t="inlineStr">
        <is>
          <t>Moldova: International Reserves, NBM, Monthly</t>
        </is>
      </c>
      <c r="K8" s="9" t="inlineStr">
        <is>
          <t>Russia: Foreign Reserves, CBRF, Monthly</t>
        </is>
      </c>
      <c r="L8" s="9" t="inlineStr">
        <is>
          <t>Ukraine: Foreign Reserves, NBU, Monthly</t>
        </is>
      </c>
      <c r="M8" s="9" t="inlineStr">
        <is>
          <t>Uzbekistan: Economic Indicators, CBU/H, Monthly</t>
        </is>
      </c>
      <c r="N8" s="9" t="inlineStr">
        <is>
          <t>Czech Republic: International Reserves, CNB, Monthly</t>
        </is>
      </c>
      <c r="O8" s="9" t="inlineStr">
        <is>
          <t>Latvia: International Reserves, Bank of Latvia, Monthly</t>
        </is>
      </c>
      <c r="P8" s="9" t="inlineStr">
        <is>
          <t>Serbia: International Reserves and Foreign Liquidity, NBS, Monthly</t>
        </is>
      </c>
      <c r="Q8" s="9" t="inlineStr">
        <is>
          <t>Lithuania: Foreign Reserves, BoL, Monthly</t>
        </is>
      </c>
      <c r="R8" s="9" t="inlineStr">
        <is>
          <t>Poland: Foreign Currency Liquidity, Monthly, National Bank of Poland</t>
        </is>
      </c>
    </row>
    <row r="9" ht="12.75" customHeight="1" s="10">
      <c r="A9" s="9" t="inlineStr">
        <is>
          <t>.GEO</t>
        </is>
      </c>
      <c r="C9" s="9" t="inlineStr">
        <is>
          <t>911</t>
        </is>
      </c>
      <c r="D9" s="9" t="inlineStr">
        <is>
          <t>913</t>
        </is>
      </c>
      <c r="E9" s="9" t="inlineStr">
        <is>
          <t>914</t>
        </is>
      </c>
      <c r="F9" s="9" t="inlineStr">
        <is>
          <t>915</t>
        </is>
      </c>
      <c r="G9" s="9" t="inlineStr">
        <is>
          <t>916</t>
        </is>
      </c>
      <c r="H9" s="9" t="inlineStr">
        <is>
          <t>917</t>
        </is>
      </c>
      <c r="I9" s="9" t="inlineStr">
        <is>
          <t>918</t>
        </is>
      </c>
      <c r="J9" s="9" t="inlineStr">
        <is>
          <t>921</t>
        </is>
      </c>
      <c r="K9" s="9" t="inlineStr">
        <is>
          <t>922</t>
        </is>
      </c>
      <c r="L9" s="9" t="inlineStr">
        <is>
          <t>926</t>
        </is>
      </c>
      <c r="M9" s="9" t="inlineStr">
        <is>
          <t>927</t>
        </is>
      </c>
      <c r="N9" s="9" t="inlineStr">
        <is>
          <t>935</t>
        </is>
      </c>
      <c r="O9" s="9" t="inlineStr">
        <is>
          <t>941</t>
        </is>
      </c>
      <c r="P9" s="9" t="inlineStr">
        <is>
          <t>942</t>
        </is>
      </c>
      <c r="Q9" s="9" t="inlineStr">
        <is>
          <t>946</t>
        </is>
      </c>
      <c r="R9" s="9" t="inlineStr">
        <is>
          <t>964</t>
        </is>
      </c>
    </row>
    <row r="10" ht="12.75" customHeight="1" s="10">
      <c r="A10" s="9" t="inlineStr">
        <is>
          <t>2017</t>
        </is>
      </c>
      <c r="B10" s="16" t="n">
        <v>43100</v>
      </c>
      <c r="C10" s="12" t="n">
        <v>0</v>
      </c>
      <c r="D10" s="12" t="n">
        <v>1939.9</v>
      </c>
      <c r="E10" s="14" t="n">
        <v>65.8</v>
      </c>
      <c r="F10" s="13" t="n">
        <v>0</v>
      </c>
      <c r="G10" s="13" t="n">
        <v>12498</v>
      </c>
      <c r="H10" s="14" t="n">
        <v>289.61</v>
      </c>
      <c r="I10" s="14" t="n">
        <v>1689.71</v>
      </c>
      <c r="J10" s="14" t="n">
        <v>3.08</v>
      </c>
      <c r="K10" s="12" t="n">
        <v>76647</v>
      </c>
      <c r="L10" s="14" t="n">
        <v>1060.65</v>
      </c>
      <c r="M10" s="14" t="n">
        <v>14034.06</v>
      </c>
      <c r="N10" s="14" t="n">
        <v>393.44</v>
      </c>
      <c r="O10" s="14" t="n">
        <v>277.54</v>
      </c>
      <c r="P10" s="14" t="n">
        <v>675.1</v>
      </c>
      <c r="Q10" s="12" t="n">
        <v>243.4</v>
      </c>
      <c r="R10" s="13" t="n">
        <v>14942</v>
      </c>
    </row>
    <row r="11" ht="12.75" customHeight="1" s="10">
      <c r="A11" s="9" t="inlineStr">
        <is>
          <t>2018</t>
        </is>
      </c>
      <c r="B11" s="16" t="n">
        <v>43465</v>
      </c>
      <c r="C11" s="12" t="n">
        <v>0</v>
      </c>
      <c r="D11" s="12" t="n">
        <v>1934.7</v>
      </c>
      <c r="E11" s="14" t="n">
        <v>64.87</v>
      </c>
      <c r="F11" s="13" t="n">
        <v>0</v>
      </c>
      <c r="G11" s="13" t="n">
        <v>14391</v>
      </c>
      <c r="H11" s="14" t="n">
        <v>460.3</v>
      </c>
      <c r="I11" s="14" t="n">
        <v>1668.23</v>
      </c>
      <c r="J11" s="14" t="n">
        <v>3.01</v>
      </c>
      <c r="K11" s="12" t="n">
        <v>86902.8</v>
      </c>
      <c r="L11" s="14" t="n">
        <v>1002.22</v>
      </c>
      <c r="M11" s="14" t="n">
        <v>14640.75</v>
      </c>
      <c r="N11" s="14" t="n">
        <v>361.31</v>
      </c>
      <c r="O11" s="14" t="n">
        <v>274.02</v>
      </c>
      <c r="P11" s="14" t="n">
        <v>736.16</v>
      </c>
      <c r="Q11" s="12" t="n">
        <v>240.3</v>
      </c>
      <c r="R11" s="13" t="n">
        <v>19928</v>
      </c>
    </row>
    <row r="12" ht="12.75" customHeight="1" s="10">
      <c r="A12" s="9" t="inlineStr">
        <is>
          <t>2019</t>
        </is>
      </c>
      <c r="B12" s="16" t="n">
        <v>43830</v>
      </c>
      <c r="C12" s="12" t="n">
        <v>0</v>
      </c>
      <c r="D12" s="12" t="n">
        <v>2387.2</v>
      </c>
      <c r="E12" s="14" t="n">
        <v>133.56</v>
      </c>
      <c r="F12" s="13" t="n">
        <v>0</v>
      </c>
      <c r="G12" s="13" t="n">
        <v>18875</v>
      </c>
      <c r="H12" s="14" t="n">
        <v>701.1900000000001</v>
      </c>
      <c r="I12" s="14" t="n">
        <v>1984.51</v>
      </c>
      <c r="J12" s="14" t="n">
        <v>3.6</v>
      </c>
      <c r="K12" s="12" t="n">
        <v>110376</v>
      </c>
      <c r="L12" s="14" t="n">
        <v>1218.79</v>
      </c>
      <c r="M12" s="14" t="n">
        <v>16329.21</v>
      </c>
      <c r="N12" s="14" t="n">
        <v>390.82</v>
      </c>
      <c r="O12" s="14" t="n">
        <v>324.46</v>
      </c>
      <c r="P12" s="14" t="n">
        <v>1336.76</v>
      </c>
      <c r="Q12" s="12" t="n">
        <v>284.6</v>
      </c>
      <c r="R12" s="13" t="n">
        <v>42519</v>
      </c>
    </row>
    <row r="13" ht="12.75" customHeight="1" s="10">
      <c r="A13" s="9" t="inlineStr">
        <is>
          <t>2020</t>
        </is>
      </c>
      <c r="B13" s="16" t="n">
        <v>44196</v>
      </c>
      <c r="C13" s="12" t="n">
        <v>0</v>
      </c>
      <c r="D13" s="12" t="n">
        <v>3041.5</v>
      </c>
      <c r="E13" s="14" t="n">
        <v>167.09</v>
      </c>
      <c r="F13" s="13" t="n">
        <v>0</v>
      </c>
      <c r="G13" s="13" t="n">
        <v>23582</v>
      </c>
      <c r="H13" s="14" t="n">
        <v>1017.91</v>
      </c>
      <c r="I13" s="14" t="n">
        <v>2472.06</v>
      </c>
      <c r="J13" s="14" t="n">
        <v>4.47</v>
      </c>
      <c r="K13" s="12" t="n">
        <v>138754.4</v>
      </c>
      <c r="L13" s="14" t="n">
        <v>1583.87</v>
      </c>
      <c r="M13" s="14" t="n">
        <v>20216.74</v>
      </c>
      <c r="N13" s="14" t="n">
        <v>572.64</v>
      </c>
      <c r="O13" s="14" t="n">
        <v>403.59</v>
      </c>
      <c r="P13" s="14" t="n">
        <v>1760.15</v>
      </c>
      <c r="Q13" s="12" t="n">
        <v>353.4</v>
      </c>
      <c r="R13" s="13" t="n">
        <v>52253</v>
      </c>
    </row>
    <row r="14" ht="12.75" customHeight="1" s="10">
      <c r="A14" s="9" t="inlineStr">
        <is>
          <t>2021</t>
        </is>
      </c>
      <c r="B14" s="16" t="n">
        <v>44561</v>
      </c>
      <c r="C14" s="12" t="n">
        <v>0</v>
      </c>
      <c r="D14" s="12" t="n">
        <v>3123</v>
      </c>
      <c r="E14" s="14" t="n">
        <v>160.66</v>
      </c>
      <c r="F14" s="13" t="n">
        <v>0</v>
      </c>
      <c r="G14" s="13" t="n">
        <v>23546</v>
      </c>
      <c r="H14" s="14" t="n">
        <v>591.79</v>
      </c>
      <c r="I14" s="14" t="n">
        <v>2386.53</v>
      </c>
      <c r="J14" s="14" t="n">
        <v>4.28</v>
      </c>
      <c r="K14" s="12" t="n">
        <v>133069.8</v>
      </c>
      <c r="L14" s="14" t="n">
        <v>1557.76</v>
      </c>
      <c r="M14" s="14" t="n">
        <v>20949.71</v>
      </c>
      <c r="N14" s="14" t="n">
        <v>614.21</v>
      </c>
      <c r="O14" s="14" t="n">
        <v>389.34</v>
      </c>
      <c r="P14" s="14" t="n">
        <v>1931.4</v>
      </c>
      <c r="Q14" s="12" t="n">
        <v>341.4</v>
      </c>
      <c r="R14" s="13" t="n">
        <v>54844</v>
      </c>
    </row>
    <row r="15" ht="12.75" customHeight="1" s="10">
      <c r="A15" s="9" t="inlineStr">
        <is>
          <t>2022</t>
        </is>
      </c>
      <c r="B15" s="16" t="n">
        <v>44926</v>
      </c>
      <c r="C15" s="12" t="n">
        <v>0</v>
      </c>
      <c r="D15" s="12" t="n">
        <v>3141.4</v>
      </c>
      <c r="E15" s="14" t="n">
        <v>176.12</v>
      </c>
      <c r="F15" s="13" t="n">
        <v>0</v>
      </c>
      <c r="G15" s="13" t="n">
        <v>20491</v>
      </c>
      <c r="H15" s="14" t="n">
        <v>955.11</v>
      </c>
      <c r="I15" s="14" t="n">
        <v>2386.82</v>
      </c>
      <c r="J15" s="14" t="n">
        <v>4.3</v>
      </c>
      <c r="K15" s="12" t="n">
        <v>136077</v>
      </c>
      <c r="L15" s="14" t="n">
        <v>1565.27</v>
      </c>
      <c r="M15" s="14" t="n">
        <v>23064.77</v>
      </c>
      <c r="N15" s="14" t="n">
        <v>697.96</v>
      </c>
      <c r="O15" s="14" t="n">
        <v>390.48</v>
      </c>
      <c r="P15" s="14" t="n">
        <v>2104.6</v>
      </c>
      <c r="Q15" s="12" t="n">
        <v>342.1</v>
      </c>
      <c r="R15" s="13" t="n">
        <v>58650</v>
      </c>
    </row>
    <row r="16" ht="12.75" customHeight="1" s="10">
      <c r="A16" s="9" t="inlineStr">
        <is>
          <t>2023</t>
        </is>
      </c>
      <c r="B16" s="16" t="n">
        <v>45291</v>
      </c>
      <c r="C16" s="12" t="n">
        <v>0</v>
      </c>
      <c r="D16" s="12" t="n">
        <v>3582.2</v>
      </c>
      <c r="E16" s="14" t="n">
        <v>223.92</v>
      </c>
      <c r="F16" s="13" t="n">
        <v>0</v>
      </c>
      <c r="G16" s="13" t="n">
        <v>19510</v>
      </c>
      <c r="H16" s="14" t="n">
        <v>1430.24</v>
      </c>
      <c r="I16" s="14" t="n">
        <v>2711.06</v>
      </c>
      <c r="J16" s="14" t="n">
        <v>4.91</v>
      </c>
      <c r="K16" s="12" t="n">
        <v>155857.7</v>
      </c>
      <c r="L16" s="14" t="n">
        <v>1798.62</v>
      </c>
      <c r="M16" s="14" t="n">
        <v>24632.16</v>
      </c>
      <c r="N16" s="14" t="n">
        <v>2033.88</v>
      </c>
      <c r="O16" s="14" t="n">
        <v>441.37</v>
      </c>
      <c r="P16" s="14" t="n">
        <v>2393.24</v>
      </c>
      <c r="Q16" s="12" t="n">
        <v>387.3</v>
      </c>
      <c r="R16" s="13" t="n">
        <v>93591</v>
      </c>
    </row>
    <row r="17" ht="12.75" customHeight="1" s="10">
      <c r="A17" s="9" t="inlineStr">
        <is>
          <t>2024</t>
        </is>
      </c>
      <c r="B17" s="16" t="n">
        <v>45657</v>
      </c>
      <c r="C17" s="12" t="n">
        <v>0</v>
      </c>
      <c r="D17" s="12" t="n">
        <v>4522.9</v>
      </c>
      <c r="E17" s="14" t="n">
        <v>286</v>
      </c>
      <c r="F17" s="13" t="n">
        <v>599</v>
      </c>
      <c r="G17" s="13" t="n">
        <v>23844</v>
      </c>
      <c r="H17" s="14" t="n">
        <v>3198.41</v>
      </c>
      <c r="I17" s="14" t="n">
        <v>3411.66</v>
      </c>
      <c r="J17" s="14" t="n">
        <v>6.26</v>
      </c>
      <c r="K17" s="12" t="n">
        <v>195707.3</v>
      </c>
      <c r="L17" s="14" t="n">
        <v>2310.81</v>
      </c>
      <c r="M17" s="14" t="n">
        <v>32036.68</v>
      </c>
      <c r="N17" s="14" t="n">
        <v>4297.24</v>
      </c>
      <c r="O17" s="14" t="n">
        <v>555.85</v>
      </c>
      <c r="P17" s="14" t="n">
        <v>3883.65</v>
      </c>
      <c r="Q17" s="12" t="n">
        <v>487.1</v>
      </c>
      <c r="R17" s="13" t="n">
        <v>154308</v>
      </c>
    </row>
    <row r="18" ht="12.75" customHeight="1" s="10">
      <c r="A18" s="9" t="inlineStr">
        <is>
          <t>2025</t>
        </is>
      </c>
      <c r="B18" s="16" t="n">
        <v>46022</v>
      </c>
      <c r="D18" s="12" t="n">
        <v>7471</v>
      </c>
      <c r="F18" s="13" t="n">
        <v>1002</v>
      </c>
      <c r="J18" s="14" t="n">
        <v>10.71</v>
      </c>
      <c r="L18" s="14" t="n">
        <v>3877.64</v>
      </c>
      <c r="M18" s="14" t="n">
        <v>55092.42</v>
      </c>
      <c r="N18" s="14" t="n">
        <v>10121.89</v>
      </c>
      <c r="O18" s="14" t="n">
        <v>921.28</v>
      </c>
      <c r="Q18" s="12" t="n">
        <v>807.1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4" activeCellId="0" sqref="F24"/>
    </sheetView>
  </sheetViews>
  <sheetFormatPr baseColWidth="8" defaultColWidth="8.83203125" defaultRowHeight="12.75" zeroHeight="0" outlineLevelRow="0"/>
  <sheetData>
    <row r="1" ht="12.75" customHeight="1" s="10">
      <c r="A1" s="9" t="inlineStr">
        <is>
          <t>.DESC</t>
        </is>
      </c>
      <c r="C1" s="9" t="inlineStr">
        <is>
          <t>Albania: Gold: Volume In Millions of Fine Troy Ounces (EOP,NSA, Mil.US$)</t>
        </is>
      </c>
      <c r="D1" s="9" t="inlineStr">
        <is>
          <t>Kyrgyz Republic: Official Reserve Assets: Gold Volume (EOP, Thous.Troy Ounce)</t>
        </is>
      </c>
      <c r="E1" s="9" t="inlineStr">
        <is>
          <t>Russia: Official Reserve Assets: Gold [Volume] (EOP, Mil.Troy Ounce)</t>
        </is>
      </c>
      <c r="F1" s="9" t="inlineStr">
        <is>
          <t>Uzbekistan: Intl Reserves: Gold [Volume] (EOP, NSA, Mil.Fine Troy Ounces)</t>
        </is>
      </c>
      <c r="G1" s="9" t="inlineStr">
        <is>
          <t>Czechia Intl Reserves: Gold Volume (EOP, NSA, Mil.Troy.Oz)</t>
        </is>
      </c>
      <c r="H1" s="9" t="inlineStr">
        <is>
          <t>Slovakia: Official Reserve Assets: Volume of Gold (EOP,NSA,Mil.Fine Troy Ounces)</t>
        </is>
      </c>
      <c r="I1" s="9" t="inlineStr">
        <is>
          <t>Latvia: Foreign Reserves: Gold Bullion (EOP, NSA, Mil.Troy.Oz)</t>
        </is>
      </c>
      <c r="J1" s="9" t="inlineStr">
        <is>
          <t>Serbia: Official Reserve Assets: Volume of Gold (EOP, NSA, Mil.Fine Troy Ounces)</t>
        </is>
      </c>
      <c r="K1" s="9" t="inlineStr">
        <is>
          <t>Poland: Official Reserve Assets: Volume of Gold (EOP, NSA, Mil.Fine Troy Ounces)</t>
        </is>
      </c>
      <c r="L1" s="9" t="inlineStr">
        <is>
          <t>Romania: Foreign Reserves: Gold (EOP, Mil.Fine Troy Ounces)</t>
        </is>
      </c>
    </row>
    <row r="2" ht="12.75" customHeight="1" s="10">
      <c r="A2" s="9" t="inlineStr">
        <is>
          <t>.T1</t>
        </is>
      </c>
      <c r="C2" s="9" t="inlineStr">
        <is>
          <t>2014 &lt;- Jan-2014</t>
        </is>
      </c>
      <c r="D2" s="9" t="inlineStr">
        <is>
          <t>2009 &lt;- Jan-2009</t>
        </is>
      </c>
      <c r="E2" s="9" t="inlineStr">
        <is>
          <t>2004 &lt;- Dec-2004</t>
        </is>
      </c>
      <c r="F2" s="9" t="inlineStr">
        <is>
          <t>2013 &lt;- Jan-2013</t>
        </is>
      </c>
      <c r="G2" s="9" t="inlineStr">
        <is>
          <t>2000 &lt;- Mar-2000</t>
        </is>
      </c>
      <c r="H2" s="9" t="inlineStr">
        <is>
          <t>2009 &lt;- Jan-2009</t>
        </is>
      </c>
      <c r="I2" s="9" t="inlineStr">
        <is>
          <t>2007 &lt;- Jan-2007</t>
        </is>
      </c>
      <c r="J2" s="9" t="inlineStr">
        <is>
          <t>2016 &lt;- Jan-2016</t>
        </is>
      </c>
      <c r="K2" s="9" t="inlineStr">
        <is>
          <t>2003 &lt;- Jan-2003</t>
        </is>
      </c>
      <c r="L2" s="9" t="inlineStr">
        <is>
          <t>1979 &lt;- Jan-1979</t>
        </is>
      </c>
    </row>
    <row r="3" ht="12.75" customHeight="1" s="10">
      <c r="A3" s="9" t="inlineStr">
        <is>
          <t>.TN</t>
        </is>
      </c>
      <c r="C3" s="9" t="inlineStr">
        <is>
          <t>2024 &lt;- Nov-2025</t>
        </is>
      </c>
      <c r="D3" s="9" t="inlineStr">
        <is>
          <t>2024 &lt;- Nov-2025</t>
        </is>
      </c>
      <c r="E3" s="9" t="inlineStr">
        <is>
          <t>2024 &lt;- Nov-2025</t>
        </is>
      </c>
      <c r="F3" s="9" t="inlineStr">
        <is>
          <t>2025 &lt;- Dec-2025</t>
        </is>
      </c>
      <c r="G3" s="9" t="inlineStr">
        <is>
          <t>2025 &lt;- Dec-2025</t>
        </is>
      </c>
      <c r="H3" s="9" t="inlineStr">
        <is>
          <t>2025 &lt;- Dec-2025</t>
        </is>
      </c>
      <c r="I3" s="9" t="inlineStr">
        <is>
          <t>2025 &lt;- Dec-2025</t>
        </is>
      </c>
      <c r="J3" s="9" t="inlineStr">
        <is>
          <t>2024 &lt;- Nov-2025</t>
        </is>
      </c>
      <c r="K3" s="9" t="inlineStr">
        <is>
          <t>2024 &lt;- Nov-2025</t>
        </is>
      </c>
      <c r="L3" s="9" t="inlineStr">
        <is>
          <t>2024 &lt;- Nov-2025</t>
        </is>
      </c>
    </row>
    <row r="4" ht="12.75" customHeight="1" s="10">
      <c r="A4" s="9" t="inlineStr">
        <is>
          <t>.LSOURCE</t>
        </is>
      </c>
      <c r="C4" s="9" t="inlineStr">
        <is>
          <t>Bank of Albania/Haver Analytics</t>
        </is>
      </c>
      <c r="D4" s="9" t="inlineStr">
        <is>
          <t>National Bank of the Kyrgyz Republic</t>
        </is>
      </c>
      <c r="E4" s="9" t="inlineStr">
        <is>
          <t>Central Bank of the Russian Federation</t>
        </is>
      </c>
      <c r="F4" s="9" t="inlineStr">
        <is>
          <t>Central Bank of Uzbekistan/Haver Analytics</t>
        </is>
      </c>
      <c r="G4" s="9" t="inlineStr">
        <is>
          <t>Czech National Bank</t>
        </is>
      </c>
      <c r="H4" s="9" t="inlineStr">
        <is>
          <t>National Bank of Slovakia</t>
        </is>
      </c>
      <c r="I4" s="9" t="inlineStr">
        <is>
          <t>Bank of Latvia</t>
        </is>
      </c>
      <c r="J4" s="9" t="inlineStr">
        <is>
          <t>National Bank of Serbia</t>
        </is>
      </c>
      <c r="K4" s="9" t="inlineStr">
        <is>
          <t>National Bank of Poland</t>
        </is>
      </c>
      <c r="L4" s="9" t="inlineStr">
        <is>
          <t>Banca Nationala a Romaniei</t>
        </is>
      </c>
    </row>
    <row r="5" ht="12.75" customHeight="1" s="10">
      <c r="A5" s="9" t="inlineStr">
        <is>
          <t>.AGG</t>
        </is>
      </c>
      <c r="C5" s="9" t="inlineStr">
        <is>
          <t>End of Period</t>
        </is>
      </c>
      <c r="D5" s="9" t="inlineStr">
        <is>
          <t>End of Period</t>
        </is>
      </c>
      <c r="E5" s="9" t="inlineStr">
        <is>
          <t>End of Period</t>
        </is>
      </c>
      <c r="F5" s="9" t="inlineStr">
        <is>
          <t>End of Period</t>
        </is>
      </c>
      <c r="G5" s="9" t="inlineStr">
        <is>
          <t>End of Period</t>
        </is>
      </c>
      <c r="H5" s="9" t="inlineStr">
        <is>
          <t>End of Period</t>
        </is>
      </c>
      <c r="I5" s="9" t="inlineStr">
        <is>
          <t>End of Period</t>
        </is>
      </c>
      <c r="J5" s="9" t="inlineStr">
        <is>
          <t>End of Period</t>
        </is>
      </c>
      <c r="K5" s="9" t="inlineStr">
        <is>
          <t>End of Period</t>
        </is>
      </c>
      <c r="L5" s="9" t="inlineStr">
        <is>
          <t>End of Period</t>
        </is>
      </c>
    </row>
    <row r="6" ht="12.75" customHeight="1" s="10">
      <c r="A6" s="9" t="inlineStr">
        <is>
          <t>.DTLM</t>
        </is>
      </c>
      <c r="C6" s="9" t="inlineStr">
        <is>
          <t>Dec-31-2025 05:29</t>
        </is>
      </c>
      <c r="D6" s="9" t="inlineStr">
        <is>
          <t>Jan-06-2026 17:13</t>
        </is>
      </c>
      <c r="E6" s="9" t="inlineStr">
        <is>
          <t>Dec-19-2025 08:04</t>
        </is>
      </c>
      <c r="F6" s="9" t="inlineStr">
        <is>
          <t>Jan-07-2026 09:41</t>
        </is>
      </c>
      <c r="G6" s="9" t="inlineStr">
        <is>
          <t>Jan-07-2026 04:18</t>
        </is>
      </c>
      <c r="H6" s="9" t="inlineStr">
        <is>
          <t>Jan-05-2026 08:22</t>
        </is>
      </c>
      <c r="I6" s="9" t="inlineStr">
        <is>
          <t>Jan-07-2026 04:54</t>
        </is>
      </c>
      <c r="J6" s="9" t="inlineStr">
        <is>
          <t>Dec-30-2025 11:14</t>
        </is>
      </c>
      <c r="K6" s="9" t="inlineStr">
        <is>
          <t>Dec-19-2025 08:02</t>
        </is>
      </c>
      <c r="L6" s="9" t="inlineStr">
        <is>
          <t>Dec-11-2025 03:15</t>
        </is>
      </c>
    </row>
    <row r="7" ht="12.75" customHeight="1" s="10">
      <c r="A7" s="9" t="inlineStr">
        <is>
          <t>.DATA_TYPE</t>
        </is>
      </c>
      <c r="C7" s="9" t="inlineStr">
        <is>
          <t>US$</t>
        </is>
      </c>
      <c r="D7" s="9" t="inlineStr">
        <is>
          <t>Units</t>
        </is>
      </c>
      <c r="E7" s="9" t="inlineStr">
        <is>
          <t>Units</t>
        </is>
      </c>
      <c r="F7" s="9" t="inlineStr">
        <is>
          <t>Units</t>
        </is>
      </c>
      <c r="G7" s="9" t="inlineStr">
        <is>
          <t>Units</t>
        </is>
      </c>
      <c r="H7" s="9" t="inlineStr">
        <is>
          <t>Units</t>
        </is>
      </c>
      <c r="I7" s="9" t="inlineStr">
        <is>
          <t>LocCur</t>
        </is>
      </c>
      <c r="J7" s="9" t="inlineStr">
        <is>
          <t>Units</t>
        </is>
      </c>
      <c r="K7" s="9" t="inlineStr">
        <is>
          <t>Units</t>
        </is>
      </c>
      <c r="L7" s="9" t="inlineStr">
        <is>
          <t>Units</t>
        </is>
      </c>
    </row>
    <row r="8" ht="12.75" customHeight="1" s="10">
      <c r="A8" s="9" t="inlineStr">
        <is>
          <t>.GRPDESC</t>
        </is>
      </c>
      <c r="C8" s="9" t="inlineStr">
        <is>
          <t>Albania: Foreign Reserves, BOA/Haver, Monthly</t>
        </is>
      </c>
      <c r="D8" s="9" t="inlineStr">
        <is>
          <t>Kyrgyz Republic: International Reserves, NBKR, Monthly</t>
        </is>
      </c>
      <c r="E8" s="9" t="inlineStr">
        <is>
          <t>Russia: Foreign Reserves, CBRF, Monthly</t>
        </is>
      </c>
      <c r="F8" s="9" t="inlineStr">
        <is>
          <t>Uzbekistan: Economic Indicators, CBU/H, Monthly</t>
        </is>
      </c>
      <c r="G8" s="9" t="inlineStr">
        <is>
          <t>Czech Republic: International Reserves, CNB, Monthly</t>
        </is>
      </c>
      <c r="H8" s="9" t="inlineStr">
        <is>
          <t>Slovakia: Foreign Reserves, NBS, Monthly</t>
        </is>
      </c>
      <c r="I8" s="9" t="inlineStr">
        <is>
          <t>Latvia: International Reserves, Bank of Latvia, Monthly</t>
        </is>
      </c>
      <c r="J8" s="9" t="inlineStr">
        <is>
          <t>Serbia: International Reserves and Foreign Liquidity, NBS, Monthly</t>
        </is>
      </c>
      <c r="K8" s="9" t="inlineStr">
        <is>
          <t>Poland: Foreign Currency Liquidity, Monthly, National Bank of Poland</t>
        </is>
      </c>
      <c r="L8" s="9" t="inlineStr">
        <is>
          <t>Romania: Foreign Reserves, BNR, Monthly</t>
        </is>
      </c>
    </row>
    <row r="9" ht="12.75" customHeight="1" s="10">
      <c r="A9" s="9" t="inlineStr">
        <is>
          <t>.GEO</t>
        </is>
      </c>
      <c r="C9" s="9" t="inlineStr">
        <is>
          <t>914</t>
        </is>
      </c>
      <c r="D9" s="9" t="inlineStr">
        <is>
          <t>917</t>
        </is>
      </c>
      <c r="E9" s="9" t="inlineStr">
        <is>
          <t>922</t>
        </is>
      </c>
      <c r="F9" s="9" t="inlineStr">
        <is>
          <t>927</t>
        </is>
      </c>
      <c r="G9" s="9" t="inlineStr">
        <is>
          <t>935</t>
        </is>
      </c>
      <c r="H9" s="9" t="inlineStr">
        <is>
          <t>936</t>
        </is>
      </c>
      <c r="I9" s="9" t="inlineStr">
        <is>
          <t>941</t>
        </is>
      </c>
      <c r="J9" s="9" t="inlineStr">
        <is>
          <t>942</t>
        </is>
      </c>
      <c r="K9" s="9" t="inlineStr">
        <is>
          <t>964</t>
        </is>
      </c>
      <c r="L9" s="9" t="inlineStr">
        <is>
          <t>968</t>
        </is>
      </c>
    </row>
    <row r="10" ht="12.75" customHeight="1" s="10">
      <c r="A10" s="9" t="inlineStr">
        <is>
          <t>2017</t>
        </is>
      </c>
      <c r="B10" s="16" t="n">
        <v>43100</v>
      </c>
      <c r="C10" s="14" t="n">
        <v>0.05</v>
      </c>
      <c r="D10" s="14" t="n">
        <v>223.38</v>
      </c>
      <c r="E10" s="12" t="n">
        <v>59.1</v>
      </c>
      <c r="F10" s="14" t="n">
        <v>10.82</v>
      </c>
      <c r="G10" s="14" t="n">
        <v>0.3</v>
      </c>
      <c r="H10" s="17" t="n">
        <v>1.019</v>
      </c>
      <c r="I10" s="14" t="n">
        <v>0.21</v>
      </c>
      <c r="J10" s="14" t="n">
        <v>0.62</v>
      </c>
      <c r="K10" s="17" t="n">
        <v>3.311</v>
      </c>
      <c r="L10" s="17" t="n">
        <v>3.334</v>
      </c>
    </row>
    <row r="11" ht="12.75" customHeight="1" s="10">
      <c r="A11" s="9" t="inlineStr">
        <is>
          <t>2018</t>
        </is>
      </c>
      <c r="B11" s="16" t="n">
        <v>43465</v>
      </c>
      <c r="C11" s="14" t="n">
        <v>0.05</v>
      </c>
      <c r="D11" s="14" t="n">
        <v>359.89</v>
      </c>
      <c r="E11" s="12" t="n">
        <v>67.90000000000001</v>
      </c>
      <c r="F11" s="14" t="n">
        <v>11.42</v>
      </c>
      <c r="G11" s="14" t="n">
        <v>0.28</v>
      </c>
      <c r="H11" s="17" t="n">
        <v>1.019</v>
      </c>
      <c r="I11" s="14" t="n">
        <v>0.21</v>
      </c>
      <c r="J11" s="14" t="n">
        <v>0.66</v>
      </c>
      <c r="K11" s="17" t="n">
        <v>4.136</v>
      </c>
      <c r="L11" s="17" t="n">
        <v>3.334</v>
      </c>
    </row>
    <row r="12" ht="12.75" customHeight="1" s="10">
      <c r="A12" s="9" t="inlineStr">
        <is>
          <t>2019</t>
        </is>
      </c>
      <c r="B12" s="16" t="n">
        <v>43830</v>
      </c>
      <c r="C12" s="14" t="n">
        <v>0.09</v>
      </c>
      <c r="D12" s="14" t="n">
        <v>462.91</v>
      </c>
      <c r="E12" s="12" t="n">
        <v>73</v>
      </c>
      <c r="F12" s="14" t="n">
        <v>10.8</v>
      </c>
      <c r="G12" s="14" t="n">
        <v>0.26</v>
      </c>
      <c r="H12" s="17" t="n">
        <v>1.019</v>
      </c>
      <c r="I12" s="14" t="n">
        <v>0.21</v>
      </c>
      <c r="J12" s="14" t="n">
        <v>0.98</v>
      </c>
      <c r="K12" s="17" t="n">
        <v>7.351</v>
      </c>
      <c r="L12" s="17" t="n">
        <v>3.33</v>
      </c>
    </row>
    <row r="13" ht="12.75" customHeight="1" s="10">
      <c r="A13" s="9" t="inlineStr">
        <is>
          <t>2020</t>
        </is>
      </c>
      <c r="B13" s="16" t="n">
        <v>44196</v>
      </c>
      <c r="C13" s="14" t="n">
        <v>0.09</v>
      </c>
      <c r="D13" s="14" t="n">
        <v>539.26</v>
      </c>
      <c r="E13" s="12" t="n">
        <v>73.90000000000001</v>
      </c>
      <c r="F13" s="14" t="n">
        <v>10.69</v>
      </c>
      <c r="G13" s="14" t="n">
        <v>0.3</v>
      </c>
      <c r="H13" s="17" t="n">
        <v>1.019</v>
      </c>
      <c r="I13" s="14" t="n">
        <v>0.21</v>
      </c>
      <c r="J13" s="14" t="n">
        <v>1.15</v>
      </c>
      <c r="K13" s="17" t="n">
        <v>7.352</v>
      </c>
      <c r="L13" s="17" t="n">
        <v>3.332</v>
      </c>
    </row>
    <row r="14" ht="12.75" customHeight="1" s="10">
      <c r="A14" s="9" t="inlineStr">
        <is>
          <t>2021</t>
        </is>
      </c>
      <c r="B14" s="16" t="n">
        <v>44561</v>
      </c>
      <c r="C14" s="14" t="n">
        <v>0.09</v>
      </c>
      <c r="D14" s="14" t="n">
        <v>327.71</v>
      </c>
      <c r="E14" s="12" t="n">
        <v>74</v>
      </c>
      <c r="F14" s="14" t="n">
        <v>11.64</v>
      </c>
      <c r="G14" s="14" t="n">
        <v>0.34</v>
      </c>
      <c r="H14" s="17" t="n">
        <v>1.019</v>
      </c>
      <c r="I14" s="14" t="n">
        <v>0.21</v>
      </c>
      <c r="J14" s="14" t="n">
        <v>1.2</v>
      </c>
      <c r="K14" s="17" t="n">
        <v>7.422</v>
      </c>
      <c r="L14" s="17" t="n">
        <v>3.332</v>
      </c>
    </row>
    <row r="15" ht="12.75" customHeight="1" s="10">
      <c r="A15" s="9" t="inlineStr">
        <is>
          <t>2022</t>
        </is>
      </c>
      <c r="B15" s="16" t="n">
        <v>44926</v>
      </c>
      <c r="C15" s="14" t="n">
        <v>0.1</v>
      </c>
      <c r="D15" s="14" t="n">
        <v>527</v>
      </c>
      <c r="E15" s="12">
        <f>#N/A</f>
        <v/>
      </c>
      <c r="F15" s="14" t="n">
        <v>12.73</v>
      </c>
      <c r="G15" s="14" t="n">
        <v>0.38</v>
      </c>
      <c r="H15" s="17" t="n">
        <v>1.019</v>
      </c>
      <c r="I15" s="14" t="n">
        <v>0.21</v>
      </c>
      <c r="J15" s="14" t="n">
        <v>1.24</v>
      </c>
      <c r="K15" s="17" t="n">
        <v>7.352</v>
      </c>
      <c r="L15" s="17" t="n">
        <v>3.332</v>
      </c>
    </row>
    <row r="16" ht="12.75" customHeight="1" s="10">
      <c r="A16" s="9" t="inlineStr">
        <is>
          <t>2023</t>
        </is>
      </c>
      <c r="B16" s="16" t="n">
        <v>45291</v>
      </c>
      <c r="C16" s="14" t="n">
        <v>0.11</v>
      </c>
      <c r="D16" s="14" t="n">
        <v>693.49</v>
      </c>
      <c r="E16" s="12" t="n">
        <v>75</v>
      </c>
      <c r="F16" s="14" t="n">
        <v>11.94</v>
      </c>
      <c r="G16" s="14" t="n">
        <v>0.99</v>
      </c>
      <c r="H16" s="17" t="n">
        <v>1.019</v>
      </c>
      <c r="I16" s="14" t="n">
        <v>0.21</v>
      </c>
      <c r="J16" s="14" t="n">
        <v>1.28</v>
      </c>
      <c r="K16" s="17" t="n">
        <v>11.532</v>
      </c>
      <c r="L16" s="17" t="n">
        <v>3.332</v>
      </c>
    </row>
    <row r="17" ht="12.75" customHeight="1" s="10">
      <c r="A17" s="9" t="inlineStr">
        <is>
          <t>2024</t>
        </is>
      </c>
      <c r="B17" s="16" t="n">
        <v>45657</v>
      </c>
      <c r="C17" s="14" t="n">
        <v>0.11</v>
      </c>
      <c r="D17" s="14" t="n">
        <v>1225.87</v>
      </c>
      <c r="E17" s="12" t="n">
        <v>75</v>
      </c>
      <c r="F17" s="14" t="n">
        <v>12.3</v>
      </c>
      <c r="G17" s="14" t="n">
        <v>1.65</v>
      </c>
      <c r="H17" s="17" t="n">
        <v>1.019</v>
      </c>
      <c r="I17" s="14" t="n">
        <v>0.21</v>
      </c>
      <c r="J17" s="14" t="n">
        <v>1.55</v>
      </c>
      <c r="K17" s="17" t="n">
        <v>14.411</v>
      </c>
      <c r="L17" s="17" t="n">
        <v>3.332</v>
      </c>
    </row>
    <row r="18" ht="12.75" customHeight="1" s="10">
      <c r="A18" s="9" t="inlineStr">
        <is>
          <t>2025</t>
        </is>
      </c>
      <c r="B18" s="16" t="n">
        <v>46022</v>
      </c>
      <c r="F18" s="14" t="n">
        <v>12.55</v>
      </c>
      <c r="G18" s="14" t="n">
        <v>2.3</v>
      </c>
      <c r="H18" s="17" t="n">
        <v>1.019</v>
      </c>
      <c r="I18" s="14" t="n">
        <v>0.21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:language>en-US</dc:language>
  <dcterms:created xsi:type="dcterms:W3CDTF">2026-01-10T02:12:20Z</dcterms:created>
  <dcterms:modified xsi:type="dcterms:W3CDTF">2026-01-26T11:17:04Z</dcterms:modified>
  <cp:lastModifiedBy>Wang, Shuyi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ActionId" fmtid="{D5CDD505-2E9C-101B-9397-08002B2CF9AE}" pid="2">
    <vt:lpwstr>ab89b2e5-d89f-44c6-8e7d-cc245484291e</vt:lpwstr>
  </property>
  <property name="MSIP_Label_0c07ed86-5dc5-4593-ad03-a8684b843815_ContentBits" fmtid="{D5CDD505-2E9C-101B-9397-08002B2CF9AE}" pid="3">
    <vt:lpwstr>0</vt:lpwstr>
  </property>
  <property name="MSIP_Label_0c07ed86-5dc5-4593-ad03-a8684b843815_Enabled" fmtid="{D5CDD505-2E9C-101B-9397-08002B2CF9AE}" pid="4">
    <vt:lpwstr>true</vt:lpwstr>
  </property>
  <property name="MSIP_Label_0c07ed86-5dc5-4593-ad03-a8684b843815_Method" fmtid="{D5CDD505-2E9C-101B-9397-08002B2CF9AE}" pid="5">
    <vt:lpwstr>Standard</vt:lpwstr>
  </property>
  <property name="MSIP_Label_0c07ed86-5dc5-4593-ad03-a8684b843815_Name" fmtid="{D5CDD505-2E9C-101B-9397-08002B2CF9AE}" pid="6">
    <vt:lpwstr>0c07ed86-5dc5-4593-ad03-a8684b843815</vt:lpwstr>
  </property>
  <property name="MSIP_Label_0c07ed86-5dc5-4593-ad03-a8684b843815_SetDate" fmtid="{D5CDD505-2E9C-101B-9397-08002B2CF9AE}" pid="7">
    <vt:lpwstr>2026-01-10T02:12:23Z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Tag" fmtid="{D5CDD505-2E9C-101B-9397-08002B2CF9AE}" pid="9">
    <vt:lpwstr>10, 3, 0, 1</vt:lpwstr>
  </property>
</Properties>
</file>