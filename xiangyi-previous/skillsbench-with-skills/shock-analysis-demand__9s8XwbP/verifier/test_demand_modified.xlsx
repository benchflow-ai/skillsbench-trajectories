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  <sheet name="Scenario 2" sheetId="6" state="visible" r:id="rId6"/>
    <sheet name="Scenario 3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1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Year</t>
        </is>
      </c>
      <c r="B1" t="inlineStr">
        <is>
          <t>Real GDP (WEO)</t>
        </is>
      </c>
      <c r="C1" t="inlineStr">
        <is>
          <t>Deflator (WEO)</t>
        </is>
      </c>
      <c r="D1" t="inlineStr">
        <is>
          <t>Inv Shock (USD)</t>
        </is>
      </c>
      <c r="E1" t="inlineStr">
        <is>
          <t>Inv Shock (Lari)</t>
        </is>
      </c>
      <c r="F1" t="inlineStr">
        <is>
          <t>Real Inv Shock</t>
        </is>
      </c>
      <c r="G1" t="inlineStr">
        <is>
          <t>Import Leakage</t>
        </is>
      </c>
      <c r="H1" t="inlineStr">
        <is>
          <t>Domestic Demand Shock</t>
        </is>
      </c>
      <c r="I1" t="inlineStr">
        <is>
          <t>Real GDP Impact</t>
        </is>
      </c>
      <c r="J1" t="inlineStr">
        <is>
          <t>Nominal GDP Impact</t>
        </is>
      </c>
    </row>
    <row r="2">
      <c r="A2" t="n">
        <v>2026</v>
      </c>
      <c r="B2">
        <f>'WEO_Data'!B8</f>
        <v/>
      </c>
      <c r="C2">
        <f>'WEO_Data'!C8</f>
        <v/>
      </c>
      <c r="D2">
        <f>$D$33 * 0.05</f>
        <v/>
      </c>
      <c r="E2">
        <f>D2 * $D$30</f>
        <v/>
      </c>
      <c r="F2">
        <f>E2 / (C2/100)</f>
        <v/>
      </c>
      <c r="G2">
        <f>F2 * $D$32</f>
        <v/>
      </c>
      <c r="H2">
        <f>F2 - G2</f>
        <v/>
      </c>
      <c r="I2">
        <f>H2 * $D$31</f>
        <v/>
      </c>
      <c r="J2">
        <f>I2 * (C2/100)</f>
        <v/>
      </c>
    </row>
    <row r="3">
      <c r="A3" t="n">
        <v>2027</v>
      </c>
      <c r="B3">
        <f>'WEO_Data'!B9</f>
        <v/>
      </c>
      <c r="C3">
        <f>'WEO_Data'!C9</f>
        <v/>
      </c>
      <c r="D3">
        <f>$D$33 * 0.1</f>
        <v/>
      </c>
      <c r="E3">
        <f>D3 * $D$30</f>
        <v/>
      </c>
      <c r="F3">
        <f>E3 / (C3/100)</f>
        <v/>
      </c>
      <c r="G3">
        <f>F3 * $D$32</f>
        <v/>
      </c>
      <c r="H3">
        <f>F3 - G3</f>
        <v/>
      </c>
      <c r="I3">
        <f>H3 * $D$31</f>
        <v/>
      </c>
      <c r="J3">
        <f>I3 * (C3/100)</f>
        <v/>
      </c>
    </row>
    <row r="4">
      <c r="A4" t="n">
        <v>2028</v>
      </c>
      <c r="B4">
        <f>'WEO_Data'!B10</f>
        <v/>
      </c>
      <c r="C4">
        <f>'WEO_Data'!C10</f>
        <v/>
      </c>
      <c r="D4">
        <f>$D$33 * 0.15</f>
        <v/>
      </c>
      <c r="E4">
        <f>D4 * $D$30</f>
        <v/>
      </c>
      <c r="F4">
        <f>E4 / (C4/100)</f>
        <v/>
      </c>
      <c r="G4">
        <f>F4 * $D$32</f>
        <v/>
      </c>
      <c r="H4">
        <f>F4 - G4</f>
        <v/>
      </c>
      <c r="I4">
        <f>H4 * $D$31</f>
        <v/>
      </c>
      <c r="J4">
        <f>I4 * (C4/100)</f>
        <v/>
      </c>
    </row>
    <row r="5">
      <c r="A5" t="n">
        <v>2029</v>
      </c>
      <c r="B5">
        <f>'WEO_Data'!B11</f>
        <v/>
      </c>
      <c r="C5">
        <f>'WEO_Data'!C11</f>
        <v/>
      </c>
      <c r="D5">
        <f>$D$33 * 0.2</f>
        <v/>
      </c>
      <c r="E5">
        <f>D5 * $D$30</f>
        <v/>
      </c>
      <c r="F5">
        <f>E5 / (C5/100)</f>
        <v/>
      </c>
      <c r="G5">
        <f>F5 * $D$32</f>
        <v/>
      </c>
      <c r="H5">
        <f>F5 - G5</f>
        <v/>
      </c>
      <c r="I5">
        <f>H5 * $D$31</f>
        <v/>
      </c>
      <c r="J5">
        <f>I5 * (C5/100)</f>
        <v/>
      </c>
    </row>
    <row r="6">
      <c r="A6" t="n">
        <v>2030</v>
      </c>
      <c r="B6">
        <f>'WEO_Data'!B12</f>
        <v/>
      </c>
      <c r="C6">
        <f>'WEO_Data'!C12</f>
        <v/>
      </c>
      <c r="D6">
        <f>$D$33 * 0.2</f>
        <v/>
      </c>
      <c r="E6">
        <f>D6 * $D$30</f>
        <v/>
      </c>
      <c r="F6">
        <f>E6 / (C6/100)</f>
        <v/>
      </c>
      <c r="G6">
        <f>F6 * $D$32</f>
        <v/>
      </c>
      <c r="H6">
        <f>F6 - G6</f>
        <v/>
      </c>
      <c r="I6">
        <f>H6 * $D$31</f>
        <v/>
      </c>
      <c r="J6">
        <f>I6 * (C6/100)</f>
        <v/>
      </c>
    </row>
    <row r="7">
      <c r="A7" t="n">
        <v>2031</v>
      </c>
      <c r="B7">
        <f>'WEO_Data'!B13</f>
        <v/>
      </c>
      <c r="C7">
        <f>'WEO_Data'!C13</f>
        <v/>
      </c>
      <c r="D7">
        <f>$D$33 * 0.15</f>
        <v/>
      </c>
      <c r="E7">
        <f>D7 * $D$30</f>
        <v/>
      </c>
      <c r="F7">
        <f>E7 / (C7/100)</f>
        <v/>
      </c>
      <c r="G7">
        <f>F7 * $D$32</f>
        <v/>
      </c>
      <c r="H7">
        <f>F7 - G7</f>
        <v/>
      </c>
      <c r="I7">
        <f>H7 * $D$31</f>
        <v/>
      </c>
      <c r="J7">
        <f>I7 * (C7/100)</f>
        <v/>
      </c>
    </row>
    <row r="8">
      <c r="A8" t="n">
        <v>2032</v>
      </c>
      <c r="B8">
        <f>'WEO_Data'!B14</f>
        <v/>
      </c>
      <c r="C8">
        <f>'WEO_Data'!C14</f>
        <v/>
      </c>
      <c r="D8">
        <f>$D$33 * 0.1</f>
        <v/>
      </c>
      <c r="E8">
        <f>D8 * $D$30</f>
        <v/>
      </c>
      <c r="F8">
        <f>E8 / (C8/100)</f>
        <v/>
      </c>
      <c r="G8">
        <f>F8 * $D$32</f>
        <v/>
      </c>
      <c r="H8">
        <f>F8 - G8</f>
        <v/>
      </c>
      <c r="I8">
        <f>H8 * $D$31</f>
        <v/>
      </c>
      <c r="J8">
        <f>I8 * (C8/100)</f>
        <v/>
      </c>
    </row>
    <row r="9">
      <c r="A9" t="n">
        <v>2033</v>
      </c>
      <c r="B9">
        <f>'WEO_Data'!B15</f>
        <v/>
      </c>
      <c r="C9">
        <f>'WEO_Data'!C15</f>
        <v/>
      </c>
      <c r="D9">
        <f>$D$33 * 0.05</f>
        <v/>
      </c>
      <c r="E9">
        <f>D9 * $D$30</f>
        <v/>
      </c>
      <c r="F9">
        <f>E9 / (C9/100)</f>
        <v/>
      </c>
      <c r="G9">
        <f>F9 * $D$32</f>
        <v/>
      </c>
      <c r="H9">
        <f>F9 - G9</f>
        <v/>
      </c>
      <c r="I9">
        <f>H9 * $D$31</f>
        <v/>
      </c>
      <c r="J9">
        <f>I9 * (C9/100)</f>
        <v/>
      </c>
    </row>
    <row r="30">
      <c r="C30" t="inlineStr">
        <is>
          <t>Exchange Rate</t>
        </is>
      </c>
      <c r="D30" t="n">
        <v>2.746</v>
      </c>
    </row>
    <row r="31">
      <c r="C31" t="inlineStr">
        <is>
          <t>Multiplier</t>
        </is>
      </c>
      <c r="D31" t="n">
        <v>0.8</v>
      </c>
    </row>
    <row r="32">
      <c r="C32" t="inlineStr">
        <is>
          <t>Import Share</t>
        </is>
      </c>
      <c r="D32">
        <f>'SUT Calc'!C46</f>
        <v/>
      </c>
    </row>
    <row r="33">
      <c r="C33" t="inlineStr">
        <is>
          <t>Total Inv (Bn USD)</t>
        </is>
      </c>
      <c r="D33" t="n">
        <v>6.5</v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Index</t>
        </is>
      </c>
      <c r="D1" t="inlineStr">
        <is>
          <t>Deflator Growth (%)</t>
        </is>
      </c>
      <c r="F1" t="inlineStr">
        <is>
          <t>Avg Deflator Growth (2021-2024)</t>
        </is>
      </c>
      <c r="G1" t="inlineStr">
        <is>
          <t>(Fixed Anchor)</t>
        </is>
      </c>
    </row>
    <row r="2">
      <c r="A2" t="n">
        <v>2020</v>
      </c>
      <c r="B2" t="n">
        <v>-6.3</v>
      </c>
      <c r="C2" t="n">
        <v>100</v>
      </c>
      <c r="G2">
        <f>AVERAGE(D3:D6)</f>
        <v/>
      </c>
    </row>
    <row r="3">
      <c r="A3" t="n">
        <v>2021</v>
      </c>
      <c r="B3" t="n">
        <v>10.6</v>
      </c>
      <c r="C3" t="n">
        <v>105</v>
      </c>
      <c r="D3">
        <f>C3/C2-1</f>
        <v/>
      </c>
    </row>
    <row r="4">
      <c r="A4" t="n">
        <v>2022</v>
      </c>
      <c r="B4" t="n">
        <v>11</v>
      </c>
      <c r="C4" t="n">
        <v>110.25</v>
      </c>
      <c r="D4">
        <f>C4/C3-1</f>
        <v/>
      </c>
    </row>
    <row r="5">
      <c r="A5" t="n">
        <v>2023</v>
      </c>
      <c r="B5" t="n">
        <v>7.8</v>
      </c>
      <c r="C5" t="n">
        <v>115.7625</v>
      </c>
      <c r="D5">
        <f>C5/C4-1</f>
        <v/>
      </c>
    </row>
    <row r="6">
      <c r="A6" t="n">
        <v>2024</v>
      </c>
      <c r="B6" t="n">
        <v>9.4</v>
      </c>
      <c r="C6" t="n">
        <v>121.550625</v>
      </c>
      <c r="D6">
        <f>C6/C5-1</f>
        <v/>
      </c>
    </row>
    <row r="7">
      <c r="A7" t="n">
        <v>2025</v>
      </c>
      <c r="B7" t="n">
        <v>7.2</v>
      </c>
      <c r="C7">
        <f>C6*(1+$G$2)</f>
        <v/>
      </c>
      <c r="D7">
        <f>C7/C6-1</f>
        <v/>
      </c>
    </row>
    <row r="8">
      <c r="A8" t="n">
        <v>2026</v>
      </c>
      <c r="B8" t="n">
        <v>5.3</v>
      </c>
      <c r="C8">
        <f>C7*(1+$G$2)</f>
        <v/>
      </c>
      <c r="D8">
        <f>C8/C7-1</f>
        <v/>
      </c>
    </row>
    <row r="9">
      <c r="A9" t="n">
        <v>2027</v>
      </c>
      <c r="B9" t="n">
        <v>5</v>
      </c>
      <c r="C9">
        <f>C8*(1+$G$2)</f>
        <v/>
      </c>
      <c r="D9">
        <f>C9/C8-1</f>
        <v/>
      </c>
    </row>
    <row r="10">
      <c r="A10" t="n">
        <v>2028</v>
      </c>
      <c r="B10" t="n">
        <v>5</v>
      </c>
      <c r="C10">
        <f>C9*(1+$G$2)</f>
        <v/>
      </c>
      <c r="D10">
        <f>C10/C9-1</f>
        <v/>
      </c>
    </row>
    <row r="11">
      <c r="A11" t="n">
        <v>2029</v>
      </c>
      <c r="B11" t="n">
        <v>5</v>
      </c>
      <c r="C11">
        <f>C10*(1+$G$2)</f>
        <v/>
      </c>
      <c r="D11">
        <f>C11/C10-1</f>
        <v/>
      </c>
    </row>
    <row r="12">
      <c r="A12" t="n">
        <v>2030</v>
      </c>
      <c r="B12" t="n">
        <v>5</v>
      </c>
      <c r="C12">
        <f>C11*(1+$G$2)</f>
        <v/>
      </c>
      <c r="D12">
        <f>C12/C11-1</f>
        <v/>
      </c>
    </row>
    <row r="13">
      <c r="A13" t="n">
        <v>2031</v>
      </c>
      <c r="B13">
        <f>B9</f>
        <v/>
      </c>
      <c r="C13">
        <f>C12*(1+$G$2)</f>
        <v/>
      </c>
      <c r="D13">
        <f>C13/C12-1</f>
        <v/>
      </c>
    </row>
    <row r="14">
      <c r="A14" t="n">
        <v>2032</v>
      </c>
      <c r="B14">
        <f>B9</f>
        <v/>
      </c>
      <c r="C14">
        <f>C13*(1+$G$2)</f>
        <v/>
      </c>
      <c r="D14">
        <f>C14/C13-1</f>
        <v/>
      </c>
    </row>
    <row r="15">
      <c r="A15" t="n">
        <v>2033</v>
      </c>
      <c r="B15">
        <f>B9</f>
        <v/>
      </c>
      <c r="C15">
        <f>C14*(1+$G$2)</f>
        <v/>
      </c>
      <c r="D15">
        <f>C15/C14-1</f>
        <v/>
      </c>
    </row>
    <row r="16">
      <c r="A16" t="n">
        <v>2034</v>
      </c>
      <c r="B16">
        <f>B9</f>
        <v/>
      </c>
      <c r="C16">
        <f>C15*(1+$G$2)</f>
        <v/>
      </c>
      <c r="D16">
        <f>C16/C15-1</f>
        <v/>
      </c>
    </row>
    <row r="17">
      <c r="A17" t="n">
        <v>2035</v>
      </c>
      <c r="B17">
        <f>B9</f>
        <v/>
      </c>
      <c r="C17">
        <f>C16*(1+$G$2)</f>
        <v/>
      </c>
      <c r="D17">
        <f>C17/C16-1</f>
        <v/>
      </c>
    </row>
    <row r="18">
      <c r="A18" t="n">
        <v>2036</v>
      </c>
      <c r="B18">
        <f>B9</f>
        <v/>
      </c>
      <c r="C18">
        <f>C17*(1+$G$2)</f>
        <v/>
      </c>
      <c r="D18">
        <f>C18/C17-1</f>
        <v/>
      </c>
    </row>
    <row r="19">
      <c r="A19" t="n">
        <v>2037</v>
      </c>
      <c r="B19">
        <f>B9</f>
        <v/>
      </c>
      <c r="C19">
        <f>C18*(1+$G$2)</f>
        <v/>
      </c>
      <c r="D19">
        <f>C19/C18-1</f>
        <v/>
      </c>
    </row>
    <row r="20">
      <c r="A20" t="n">
        <v>2038</v>
      </c>
      <c r="B20">
        <f>B9</f>
        <v/>
      </c>
      <c r="C20">
        <f>C19*(1+$G$2)</f>
        <v/>
      </c>
      <c r="D20">
        <f>C20/C19-1</f>
        <v/>
      </c>
    </row>
    <row r="21">
      <c r="A21" t="n">
        <v>2039</v>
      </c>
      <c r="B21">
        <f>B9</f>
        <v/>
      </c>
      <c r="C21">
        <f>C20*(1+$G$2)</f>
        <v/>
      </c>
      <c r="D21">
        <f>C21/C20-1</f>
        <v/>
      </c>
    </row>
    <row r="22">
      <c r="A22" t="n">
        <v>2040</v>
      </c>
      <c r="B22">
        <f>B9</f>
        <v/>
      </c>
      <c r="C22">
        <f>C21*(1+$G$2)</f>
        <v/>
      </c>
      <c r="D22">
        <f>C22/C21-1</f>
        <v/>
      </c>
    </row>
    <row r="23">
      <c r="A23" t="n">
        <v>2041</v>
      </c>
      <c r="B23">
        <f>B9</f>
        <v/>
      </c>
      <c r="C23">
        <f>C22*(1+$G$2)</f>
        <v/>
      </c>
      <c r="D23">
        <f>C23/C22-1</f>
        <v/>
      </c>
    </row>
    <row r="24">
      <c r="A24" t="n">
        <v>2042</v>
      </c>
      <c r="B24">
        <f>B9</f>
        <v/>
      </c>
      <c r="C24">
        <f>C23*(1+$G$2)</f>
        <v/>
      </c>
      <c r="D24">
        <f>C24/C23-1</f>
        <v/>
      </c>
    </row>
    <row r="25">
      <c r="A25" t="n">
        <v>2043</v>
      </c>
      <c r="B25">
        <f>B9</f>
        <v/>
      </c>
      <c r="C25">
        <f>C24*(1+$G$2)</f>
        <v/>
      </c>
      <c r="D25">
        <f>C25/C24-1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Supply/Use</t>
        </is>
      </c>
      <c r="C1" t="inlineStr">
        <is>
          <t>Imports</t>
        </is>
      </c>
      <c r="D1" t="inlineStr">
        <is>
          <t>Exports</t>
        </is>
      </c>
    </row>
    <row r="2">
      <c r="A2" t="inlineStr">
        <is>
          <t>Goods</t>
        </is>
      </c>
      <c r="B2" t="n">
        <v>1000</v>
      </c>
      <c r="C2" t="n">
        <v>400</v>
      </c>
      <c r="D2" t="n">
        <v>200</v>
      </c>
    </row>
    <row r="3">
      <c r="A3" t="inlineStr">
        <is>
          <t>Services</t>
        </is>
      </c>
      <c r="B3" t="n">
        <v>2000</v>
      </c>
      <c r="C3" t="n">
        <v>100</v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Supply/Use</t>
        </is>
      </c>
      <c r="C1" t="inlineStr">
        <is>
          <t>Imports</t>
        </is>
      </c>
      <c r="D1" t="inlineStr">
        <is>
          <t>Exports</t>
        </is>
      </c>
    </row>
    <row r="2">
      <c r="A2" t="inlineStr">
        <is>
          <t>Goods</t>
        </is>
      </c>
      <c r="B2" t="n">
        <v>1000</v>
      </c>
      <c r="C2" t="n">
        <v>400</v>
      </c>
      <c r="D2" t="n">
        <v>200</v>
      </c>
    </row>
    <row r="3">
      <c r="A3" t="inlineStr">
        <is>
          <t>Services</t>
        </is>
      </c>
      <c r="B3" t="n">
        <v>2000</v>
      </c>
      <c r="C3" t="n">
        <v>100</v>
      </c>
      <c r="D3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Calculation</t>
        </is>
      </c>
    </row>
    <row r="46">
      <c r="C46">
        <f>SUM(SUPPLY!C2:C3)/SUM(SUPPLY!B2:B3)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Year</t>
        </is>
      </c>
      <c r="B1" t="inlineStr">
        <is>
          <t>Real GDP (WEO)</t>
        </is>
      </c>
      <c r="C1" t="inlineStr">
        <is>
          <t>Deflator (WEO)</t>
        </is>
      </c>
      <c r="D1" t="inlineStr">
        <is>
          <t>Inv Shock (USD)</t>
        </is>
      </c>
      <c r="E1" t="inlineStr">
        <is>
          <t>Inv Shock (Lari)</t>
        </is>
      </c>
      <c r="F1" t="inlineStr">
        <is>
          <t>Real Inv Shock</t>
        </is>
      </c>
      <c r="G1" t="inlineStr">
        <is>
          <t>Import Leakage</t>
        </is>
      </c>
      <c r="H1" t="inlineStr">
        <is>
          <t>Domestic Demand Shock</t>
        </is>
      </c>
      <c r="I1" t="inlineStr">
        <is>
          <t>Real GDP Impact</t>
        </is>
      </c>
      <c r="J1" t="inlineStr">
        <is>
          <t>Nominal GDP Impact</t>
        </is>
      </c>
    </row>
    <row r="2">
      <c r="A2" t="n">
        <v>2026</v>
      </c>
      <c r="B2">
        <f>'WEO_Data'!B8</f>
        <v/>
      </c>
      <c r="C2">
        <f>'WEO_Data'!C8</f>
        <v/>
      </c>
      <c r="D2">
        <f>$D$33 * 0.05</f>
        <v/>
      </c>
      <c r="E2">
        <f>D2 * $D$30</f>
        <v/>
      </c>
      <c r="F2">
        <f>E2 / (C2/100)</f>
        <v/>
      </c>
      <c r="G2">
        <f>F2 * $D$32</f>
        <v/>
      </c>
      <c r="H2">
        <f>F2 - G2</f>
        <v/>
      </c>
      <c r="I2">
        <f>H2 * $D$31</f>
        <v/>
      </c>
      <c r="J2">
        <f>I2 * (C2/100)</f>
        <v/>
      </c>
    </row>
    <row r="3">
      <c r="A3" t="n">
        <v>2027</v>
      </c>
      <c r="B3">
        <f>'WEO_Data'!B9</f>
        <v/>
      </c>
      <c r="C3">
        <f>'WEO_Data'!C9</f>
        <v/>
      </c>
      <c r="D3">
        <f>$D$33 * 0.1</f>
        <v/>
      </c>
      <c r="E3">
        <f>D3 * $D$30</f>
        <v/>
      </c>
      <c r="F3">
        <f>E3 / (C3/100)</f>
        <v/>
      </c>
      <c r="G3">
        <f>F3 * $D$32</f>
        <v/>
      </c>
      <c r="H3">
        <f>F3 - G3</f>
        <v/>
      </c>
      <c r="I3">
        <f>H3 * $D$31</f>
        <v/>
      </c>
      <c r="J3">
        <f>I3 * (C3/100)</f>
        <v/>
      </c>
    </row>
    <row r="4">
      <c r="A4" t="n">
        <v>2028</v>
      </c>
      <c r="B4">
        <f>'WEO_Data'!B10</f>
        <v/>
      </c>
      <c r="C4">
        <f>'WEO_Data'!C10</f>
        <v/>
      </c>
      <c r="D4">
        <f>$D$33 * 0.15</f>
        <v/>
      </c>
      <c r="E4">
        <f>D4 * $D$30</f>
        <v/>
      </c>
      <c r="F4">
        <f>E4 / (C4/100)</f>
        <v/>
      </c>
      <c r="G4">
        <f>F4 * $D$32</f>
        <v/>
      </c>
      <c r="H4">
        <f>F4 - G4</f>
        <v/>
      </c>
      <c r="I4">
        <f>H4 * $D$31</f>
        <v/>
      </c>
      <c r="J4">
        <f>I4 * (C4/100)</f>
        <v/>
      </c>
    </row>
    <row r="5">
      <c r="A5" t="n">
        <v>2029</v>
      </c>
      <c r="B5">
        <f>'WEO_Data'!B11</f>
        <v/>
      </c>
      <c r="C5">
        <f>'WEO_Data'!C11</f>
        <v/>
      </c>
      <c r="D5">
        <f>$D$33 * 0.2</f>
        <v/>
      </c>
      <c r="E5">
        <f>D5 * $D$30</f>
        <v/>
      </c>
      <c r="F5">
        <f>E5 / (C5/100)</f>
        <v/>
      </c>
      <c r="G5">
        <f>F5 * $D$32</f>
        <v/>
      </c>
      <c r="H5">
        <f>F5 - G5</f>
        <v/>
      </c>
      <c r="I5">
        <f>H5 * $D$31</f>
        <v/>
      </c>
      <c r="J5">
        <f>I5 * (C5/100)</f>
        <v/>
      </c>
    </row>
    <row r="6">
      <c r="A6" t="n">
        <v>2030</v>
      </c>
      <c r="B6">
        <f>'WEO_Data'!B12</f>
        <v/>
      </c>
      <c r="C6">
        <f>'WEO_Data'!C12</f>
        <v/>
      </c>
      <c r="D6">
        <f>$D$33 * 0.2</f>
        <v/>
      </c>
      <c r="E6">
        <f>D6 * $D$30</f>
        <v/>
      </c>
      <c r="F6">
        <f>E6 / (C6/100)</f>
        <v/>
      </c>
      <c r="G6">
        <f>F6 * $D$32</f>
        <v/>
      </c>
      <c r="H6">
        <f>F6 - G6</f>
        <v/>
      </c>
      <c r="I6">
        <f>H6 * $D$31</f>
        <v/>
      </c>
      <c r="J6">
        <f>I6 * (C6/100)</f>
        <v/>
      </c>
    </row>
    <row r="7">
      <c r="A7" t="n">
        <v>2031</v>
      </c>
      <c r="B7">
        <f>'WEO_Data'!B13</f>
        <v/>
      </c>
      <c r="C7">
        <f>'WEO_Data'!C13</f>
        <v/>
      </c>
      <c r="D7">
        <f>$D$33 * 0.15</f>
        <v/>
      </c>
      <c r="E7">
        <f>D7 * $D$30</f>
        <v/>
      </c>
      <c r="F7">
        <f>E7 / (C7/100)</f>
        <v/>
      </c>
      <c r="G7">
        <f>F7 * $D$32</f>
        <v/>
      </c>
      <c r="H7">
        <f>F7 - G7</f>
        <v/>
      </c>
      <c r="I7">
        <f>H7 * $D$31</f>
        <v/>
      </c>
      <c r="J7">
        <f>I7 * (C7/100)</f>
        <v/>
      </c>
    </row>
    <row r="8">
      <c r="A8" t="n">
        <v>2032</v>
      </c>
      <c r="B8">
        <f>'WEO_Data'!B14</f>
        <v/>
      </c>
      <c r="C8">
        <f>'WEO_Data'!C14</f>
        <v/>
      </c>
      <c r="D8">
        <f>$D$33 * 0.1</f>
        <v/>
      </c>
      <c r="E8">
        <f>D8 * $D$30</f>
        <v/>
      </c>
      <c r="F8">
        <f>E8 / (C8/100)</f>
        <v/>
      </c>
      <c r="G8">
        <f>F8 * $D$32</f>
        <v/>
      </c>
      <c r="H8">
        <f>F8 - G8</f>
        <v/>
      </c>
      <c r="I8">
        <f>H8 * $D$31</f>
        <v/>
      </c>
      <c r="J8">
        <f>I8 * (C8/100)</f>
        <v/>
      </c>
    </row>
    <row r="9">
      <c r="A9" t="n">
        <v>2033</v>
      </c>
      <c r="B9">
        <f>'WEO_Data'!B15</f>
        <v/>
      </c>
      <c r="C9">
        <f>'WEO_Data'!C15</f>
        <v/>
      </c>
      <c r="D9">
        <f>$D$33 * 0.05</f>
        <v/>
      </c>
      <c r="E9">
        <f>D9 * $D$30</f>
        <v/>
      </c>
      <c r="F9">
        <f>E9 / (C9/100)</f>
        <v/>
      </c>
      <c r="G9">
        <f>F9 * $D$32</f>
        <v/>
      </c>
      <c r="H9">
        <f>F9 - G9</f>
        <v/>
      </c>
      <c r="I9">
        <f>H9 * $D$31</f>
        <v/>
      </c>
      <c r="J9">
        <f>I9 * (C9/100)</f>
        <v/>
      </c>
    </row>
    <row r="30">
      <c r="C30" t="inlineStr">
        <is>
          <t>Exchange Rate</t>
        </is>
      </c>
      <c r="D30" t="n">
        <v>2.746</v>
      </c>
    </row>
    <row r="31">
      <c r="C31" t="inlineStr">
        <is>
          <t>Multiplier</t>
        </is>
      </c>
      <c r="D31" t="n">
        <v>1</v>
      </c>
    </row>
    <row r="32">
      <c r="C32" t="inlineStr">
        <is>
          <t>Import Share</t>
        </is>
      </c>
      <c r="D32">
        <f>'SUT Calc'!C46</f>
        <v/>
      </c>
    </row>
    <row r="33">
      <c r="C33" t="inlineStr">
        <is>
          <t>Total Inv (Bn USD)</t>
        </is>
      </c>
      <c r="D33" t="n">
        <v>6.5</v>
      </c>
    </row>
  </sheetData>
  <mergeCells count="1"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Year</t>
        </is>
      </c>
      <c r="B1" t="inlineStr">
        <is>
          <t>Real GDP (WEO)</t>
        </is>
      </c>
      <c r="C1" t="inlineStr">
        <is>
          <t>Deflator (WEO)</t>
        </is>
      </c>
      <c r="D1" t="inlineStr">
        <is>
          <t>Inv Shock (USD)</t>
        </is>
      </c>
      <c r="E1" t="inlineStr">
        <is>
          <t>Inv Shock (Lari)</t>
        </is>
      </c>
      <c r="F1" t="inlineStr">
        <is>
          <t>Real Inv Shock</t>
        </is>
      </c>
      <c r="G1" t="inlineStr">
        <is>
          <t>Import Leakage</t>
        </is>
      </c>
      <c r="H1" t="inlineStr">
        <is>
          <t>Domestic Demand Shock</t>
        </is>
      </c>
      <c r="I1" t="inlineStr">
        <is>
          <t>Real GDP Impact</t>
        </is>
      </c>
      <c r="J1" t="inlineStr">
        <is>
          <t>Nominal GDP Impact</t>
        </is>
      </c>
    </row>
    <row r="2">
      <c r="A2" t="n">
        <v>2026</v>
      </c>
      <c r="B2">
        <f>'WEO_Data'!B8</f>
        <v/>
      </c>
      <c r="C2">
        <f>'WEO_Data'!C8</f>
        <v/>
      </c>
      <c r="D2">
        <f>$D$33 * 0.05</f>
        <v/>
      </c>
      <c r="E2">
        <f>D2 * $D$30</f>
        <v/>
      </c>
      <c r="F2">
        <f>E2 / (C2/100)</f>
        <v/>
      </c>
      <c r="G2">
        <f>F2 * $D$32</f>
        <v/>
      </c>
      <c r="H2">
        <f>F2 - G2</f>
        <v/>
      </c>
      <c r="I2">
        <f>H2 * $D$31</f>
        <v/>
      </c>
      <c r="J2">
        <f>I2 * (C2/100)</f>
        <v/>
      </c>
    </row>
    <row r="3">
      <c r="A3" t="n">
        <v>2027</v>
      </c>
      <c r="B3">
        <f>'WEO_Data'!B9</f>
        <v/>
      </c>
      <c r="C3">
        <f>'WEO_Data'!C9</f>
        <v/>
      </c>
      <c r="D3">
        <f>$D$33 * 0.1</f>
        <v/>
      </c>
      <c r="E3">
        <f>D3 * $D$30</f>
        <v/>
      </c>
      <c r="F3">
        <f>E3 / (C3/100)</f>
        <v/>
      </c>
      <c r="G3">
        <f>F3 * $D$32</f>
        <v/>
      </c>
      <c r="H3">
        <f>F3 - G3</f>
        <v/>
      </c>
      <c r="I3">
        <f>H3 * $D$31</f>
        <v/>
      </c>
      <c r="J3">
        <f>I3 * (C3/100)</f>
        <v/>
      </c>
    </row>
    <row r="4">
      <c r="A4" t="n">
        <v>2028</v>
      </c>
      <c r="B4">
        <f>'WEO_Data'!B10</f>
        <v/>
      </c>
      <c r="C4">
        <f>'WEO_Data'!C10</f>
        <v/>
      </c>
      <c r="D4">
        <f>$D$33 * 0.15</f>
        <v/>
      </c>
      <c r="E4">
        <f>D4 * $D$30</f>
        <v/>
      </c>
      <c r="F4">
        <f>E4 / (C4/100)</f>
        <v/>
      </c>
      <c r="G4">
        <f>F4 * $D$32</f>
        <v/>
      </c>
      <c r="H4">
        <f>F4 - G4</f>
        <v/>
      </c>
      <c r="I4">
        <f>H4 * $D$31</f>
        <v/>
      </c>
      <c r="J4">
        <f>I4 * (C4/100)</f>
        <v/>
      </c>
    </row>
    <row r="5">
      <c r="A5" t="n">
        <v>2029</v>
      </c>
      <c r="B5">
        <f>'WEO_Data'!B11</f>
        <v/>
      </c>
      <c r="C5">
        <f>'WEO_Data'!C11</f>
        <v/>
      </c>
      <c r="D5">
        <f>$D$33 * 0.2</f>
        <v/>
      </c>
      <c r="E5">
        <f>D5 * $D$30</f>
        <v/>
      </c>
      <c r="F5">
        <f>E5 / (C5/100)</f>
        <v/>
      </c>
      <c r="G5">
        <f>F5 * $D$32</f>
        <v/>
      </c>
      <c r="H5">
        <f>F5 - G5</f>
        <v/>
      </c>
      <c r="I5">
        <f>H5 * $D$31</f>
        <v/>
      </c>
      <c r="J5">
        <f>I5 * (C5/100)</f>
        <v/>
      </c>
    </row>
    <row r="6">
      <c r="A6" t="n">
        <v>2030</v>
      </c>
      <c r="B6">
        <f>'WEO_Data'!B12</f>
        <v/>
      </c>
      <c r="C6">
        <f>'WEO_Data'!C12</f>
        <v/>
      </c>
      <c r="D6">
        <f>$D$33 * 0.2</f>
        <v/>
      </c>
      <c r="E6">
        <f>D6 * $D$30</f>
        <v/>
      </c>
      <c r="F6">
        <f>E6 / (C6/100)</f>
        <v/>
      </c>
      <c r="G6">
        <f>F6 * $D$32</f>
        <v/>
      </c>
      <c r="H6">
        <f>F6 - G6</f>
        <v/>
      </c>
      <c r="I6">
        <f>H6 * $D$31</f>
        <v/>
      </c>
      <c r="J6">
        <f>I6 * (C6/100)</f>
        <v/>
      </c>
    </row>
    <row r="7">
      <c r="A7" t="n">
        <v>2031</v>
      </c>
      <c r="B7">
        <f>'WEO_Data'!B13</f>
        <v/>
      </c>
      <c r="C7">
        <f>'WEO_Data'!C13</f>
        <v/>
      </c>
      <c r="D7">
        <f>$D$33 * 0.15</f>
        <v/>
      </c>
      <c r="E7">
        <f>D7 * $D$30</f>
        <v/>
      </c>
      <c r="F7">
        <f>E7 / (C7/100)</f>
        <v/>
      </c>
      <c r="G7">
        <f>F7 * $D$32</f>
        <v/>
      </c>
      <c r="H7">
        <f>F7 - G7</f>
        <v/>
      </c>
      <c r="I7">
        <f>H7 * $D$31</f>
        <v/>
      </c>
      <c r="J7">
        <f>I7 * (C7/100)</f>
        <v/>
      </c>
    </row>
    <row r="8">
      <c r="A8" t="n">
        <v>2032</v>
      </c>
      <c r="B8">
        <f>'WEO_Data'!B14</f>
        <v/>
      </c>
      <c r="C8">
        <f>'WEO_Data'!C14</f>
        <v/>
      </c>
      <c r="D8">
        <f>$D$33 * 0.1</f>
        <v/>
      </c>
      <c r="E8">
        <f>D8 * $D$30</f>
        <v/>
      </c>
      <c r="F8">
        <f>E8 / (C8/100)</f>
        <v/>
      </c>
      <c r="G8">
        <f>F8 * $D$32</f>
        <v/>
      </c>
      <c r="H8">
        <f>F8 - G8</f>
        <v/>
      </c>
      <c r="I8">
        <f>H8 * $D$31</f>
        <v/>
      </c>
      <c r="J8">
        <f>I8 * (C8/100)</f>
        <v/>
      </c>
    </row>
    <row r="9">
      <c r="A9" t="n">
        <v>2033</v>
      </c>
      <c r="B9">
        <f>'WEO_Data'!B15</f>
        <v/>
      </c>
      <c r="C9">
        <f>'WEO_Data'!C15</f>
        <v/>
      </c>
      <c r="D9">
        <f>$D$33 * 0.05</f>
        <v/>
      </c>
      <c r="E9">
        <f>D9 * $D$30</f>
        <v/>
      </c>
      <c r="F9">
        <f>E9 / (C9/100)</f>
        <v/>
      </c>
      <c r="G9">
        <f>F9 * $D$32</f>
        <v/>
      </c>
      <c r="H9">
        <f>F9 - G9</f>
        <v/>
      </c>
      <c r="I9">
        <f>H9 * $D$31</f>
        <v/>
      </c>
      <c r="J9">
        <f>I9 * (C9/100)</f>
        <v/>
      </c>
    </row>
    <row r="30">
      <c r="C30" t="inlineStr">
        <is>
          <t>Exchange Rate</t>
        </is>
      </c>
      <c r="D30" t="n">
        <v>2.746</v>
      </c>
    </row>
    <row r="31">
      <c r="C31" t="inlineStr">
        <is>
          <t>Multiplier</t>
        </is>
      </c>
      <c r="D31" t="n">
        <v>0.8</v>
      </c>
    </row>
    <row r="32">
      <c r="C32" t="inlineStr">
        <is>
          <t>Import Share</t>
        </is>
      </c>
      <c r="D32" t="n">
        <v>0.5</v>
      </c>
    </row>
    <row r="33">
      <c r="C33" t="inlineStr">
        <is>
          <t>Total Inv (Bn USD)</t>
        </is>
      </c>
      <c r="D33" t="n">
        <v>6.5</v>
      </c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2026-01-26T12:43:21Z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