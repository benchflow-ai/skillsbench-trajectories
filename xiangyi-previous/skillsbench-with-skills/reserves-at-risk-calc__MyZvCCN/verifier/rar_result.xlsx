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>
        <f>C21*$C$3*$C$5/100</f>
        <v/>
      </c>
      <c r="D22">
        <f>D21*$C$3*$C$5/100</f>
        <v/>
      </c>
      <c r="E22">
        <f>E21*$C$3*$C$5/100</f>
        <v/>
      </c>
      <c r="F22">
        <f>F21*$C$3*$C$5/100</f>
        <v/>
      </c>
      <c r="G22">
        <f>G21*$C$3*$C$5/100</f>
        <v/>
      </c>
      <c r="H22">
        <f>H21*$C$3*$C$5/100</f>
        <v/>
      </c>
      <c r="I22">
        <f>I21*$C$3*$C$5/100</f>
        <v/>
      </c>
    </row>
    <row r="23">
      <c r="B23" t="inlineStr">
        <is>
          <t>Total Reserve</t>
        </is>
      </c>
      <c r="C23">
        <f>XLOOKUP("*"&amp;C20&amp;"*",'Total Reserves'!$C$1:$P$1,'Total Reserves'!$C$18:$P$18,,2)</f>
        <v/>
      </c>
      <c r="D23">
        <f>XLOOKUP("*"&amp;D20&amp;"*",'Total Reserves'!$C$1:$P$1,'Total Reserves'!$C$18:$P$18,,2)</f>
        <v/>
      </c>
      <c r="E23">
        <f>XLOOKUP("*"&amp;E20&amp;"*",'Total Reserves'!$C$1:$P$1,'Total Reserves'!$C$18:$P$18,,2)</f>
        <v/>
      </c>
      <c r="F23">
        <f>XLOOKUP("*"&amp;F20&amp;"*",'Total Reserves'!$C$1:$P$1,'Total Reserves'!$C$18:$P$18,,2)</f>
        <v/>
      </c>
      <c r="G23">
        <f>XLOOKUP("*"&amp;G20&amp;"*",'Total Reserves'!$C$1:$P$1,'Total Reserves'!$C$18:$P$18,,2)</f>
        <v/>
      </c>
      <c r="H23">
        <f>XLOOKUP("*"&amp;H20&amp;"*",'Total Reserves'!$C$1:$P$1,'Total Reserves'!$C$18:$P$18,,2)</f>
        <v/>
      </c>
      <c r="I23">
        <f>XLOOKUP("*"&amp;I20&amp;"*",'Total Reserves'!$C$1:$P$1,'Total Reserves'!$C$18:$P$18,,2)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2026-01-26T11:13:11Z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