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<sst xmlns="http://schemas.openxmlformats.org/spreadsheetml/2006/main" count="362" uniqueCount="110">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</sst>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9" topLeftCell="H26" activePane="bottomRight" state="frozen"/>
      <selection pane="topLeft" activeCell="A1" activeCellId="0" sqref="A1"/>
      <selection pane="topRight" activeCell="H1" activeCellId="0" sqref="H1"/>
      <selection pane="bottomLeft" activeCell="A26" activeCellId="0" sqref="A26"/>
      <selection pane="bottomRigh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INDEX(Data!$I:$M,MATCH("466BXGS_BP6.A",Data!$B:$B,0),COLUMN()-7)</f>
        <v>404.046289993193</v>
      </c>
      <c r="I12" s="9" t="n">
        <f aca="false">INDEX(Data!$I:$M,MATCH("466BXGS_BP6.A",Data!$B:$B,0),COLUMN()-7)</f>
        <v>350.279101429544</v>
      </c>
      <c r="J12" s="9" t="n">
        <f aca="false">INDEX(Data!$I:$M,MATCH("466BXGS_BP6.A",Data!$B:$B,0),COLUMN()-7)</f>
        <v>425.132743362831</v>
      </c>
      <c r="K12" s="9" t="n">
        <f aca="false">INDEX(Data!$I:$M,MATCH("466BXGS_BP6.A",Data!$B:$B,0),COLUMN()-7)</f>
        <v>515.279008716232</v>
      </c>
      <c r="L12" s="10" t="n">
        <f aca="false">INDEX(Data!$I:$M,MATCH("466BXGS_BP6.A",Data!$B:$B,0),COLUMN()-7)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INDEX(Data!$I:$M,MATCH("419BXGS_BP6.A",Data!$B:$B,0),COLUMN()-7)</f>
        <v>29.5643617021277</v>
      </c>
      <c r="I13" s="14" t="n">
        <f aca="false">INDEX(Data!$I:$M,MATCH("419BXGS_BP6.A",Data!$B:$B,0),COLUMN()-7)</f>
        <v>25.2492021276596</v>
      </c>
      <c r="J13" s="14" t="n">
        <f aca="false">INDEX(Data!$I:$M,MATCH("419BXGS_BP6.A",Data!$B:$B,0),COLUMN()-7)</f>
        <v>35.2345744680852</v>
      </c>
      <c r="K13" s="14" t="n">
        <f aca="false">INDEX(Data!$I:$M,MATCH("419BXGS_BP6.A",Data!$B:$B,0),COLUMN()-7)</f>
        <v>44.5819148936171</v>
      </c>
      <c r="L13" s="15" t="n">
        <f aca="false">INDEX(Data!$I:$M,MATCH("419BXGS_BP6.A",Data!$B:$B,0),COLUMN()-7)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INDEX(Data!$I:$M,MATCH("443BXGS_BP6.A",Data!$B:$B,0),COLUMN()-7)</f>
        <v>73.3299115928385</v>
      </c>
      <c r="I14" s="14" t="n">
        <f aca="false">INDEX(Data!$I:$M,MATCH("443BXGS_BP6.A",Data!$B:$B,0),COLUMN()-7)</f>
        <v>48.5460037554086</v>
      </c>
      <c r="J14" s="14" t="n">
        <f aca="false">INDEX(Data!$I:$M,MATCH("443BXGS_BP6.A",Data!$B:$B,0),COLUMN()-7)</f>
        <v>76.7375173351161</v>
      </c>
      <c r="K14" s="14" t="n">
        <f aca="false">INDEX(Data!$I:$M,MATCH("443BXGS_BP6.A",Data!$B:$B,0),COLUMN()-7)</f>
        <v>110.951320810177</v>
      </c>
      <c r="L14" s="15" t="n">
        <f aca="false">INDEX(Data!$I:$M,MATCH("443BXGS_BP6.A",Data!$B:$B,0),COLUMN()-7)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INDEX(Data!$I:$M,MATCH("453BXGS_BP6.A",Data!$B:$B,0),COLUMN()-7)</f>
        <v>92.0461538461538</v>
      </c>
      <c r="I15" s="14" t="n">
        <f aca="false">INDEX(Data!$I:$M,MATCH("453BXGS_BP6.A",Data!$B:$B,0),COLUMN()-7)</f>
        <v>70.9332417582417</v>
      </c>
      <c r="J15" s="14" t="n">
        <f aca="false">INDEX(Data!$I:$M,MATCH("453BXGS_BP6.A",Data!$B:$B,0),COLUMN()-7)</f>
        <v>105.54945054945</v>
      </c>
      <c r="K15" s="14" t="n">
        <f aca="false">INDEX(Data!$I:$M,MATCH("453BXGS_BP6.A",Data!$B:$B,0),COLUMN()-7)</f>
        <v>161.692857142857</v>
      </c>
      <c r="L15" s="15" t="n">
        <f aca="false">INDEX(Data!$I:$M,MATCH("453BXGS_BP6.A",Data!$B:$B,0),COLUMN()-7)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INDEX(Data!$I:$M,MATCH("449BXGS_BP6.A",Data!$B:$B,0),COLUMN()-7)</f>
        <v>43.5465965960978</v>
      </c>
      <c r="I16" s="14" t="n">
        <f aca="false">INDEX(Data!$I:$M,MATCH("449BXGS_BP6.A",Data!$B:$B,0),COLUMN()-7)</f>
        <v>35.6913528845155</v>
      </c>
      <c r="J16" s="14" t="n">
        <f aca="false">INDEX(Data!$I:$M,MATCH("449BXGS_BP6.A",Data!$B:$B,0),COLUMN()-7)</f>
        <v>46.5723129604928</v>
      </c>
      <c r="K16" s="14" t="n">
        <f aca="false">INDEX(Data!$I:$M,MATCH("449BXGS_BP6.A",Data!$B:$B,0),COLUMN()-7)</f>
        <v>69.7011796527145</v>
      </c>
      <c r="L16" s="15" t="n">
        <f aca="false">INDEX(Data!$I:$M,MATCH("449BXGS_BP6.A",Data!$B:$B,0),COLUMN()-7)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INDEX(Data!$I:$M,MATCH("456BXGS_BP6.A",Data!$B:$B,0),COLUMN()-7)</f>
        <v>285.8599</v>
      </c>
      <c r="I17" s="17" t="n">
        <f aca="false">INDEX(Data!$I:$M,MATCH("456BXGS_BP6.A",Data!$B:$B,0),COLUMN()-7)</f>
        <v>182.8481</v>
      </c>
      <c r="J17" s="17" t="n">
        <f aca="false">INDEX(Data!$I:$M,MATCH("456BXGS_BP6.A",Data!$B:$B,0),COLUMN()-7)</f>
        <v>286.5016</v>
      </c>
      <c r="K17" s="17" t="n">
        <f aca="false">INDEX(Data!$I:$M,MATCH("456BXGS_BP6.A",Data!$B:$B,0),COLUMN()-7)</f>
        <v>445.8812</v>
      </c>
      <c r="L17" s="18" t="n">
        <f aca="false">INDEX(Data!$I:$M,MATCH("456BXGS_BP6.A",Data!$B:$B,0),COLUMN()-7)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INDEX(Data!$I:$M,MATCH("466BMGS_BP6.A",Data!$B:$B,0),COLUMN()-7)</f>
        <v>321.524846834582</v>
      </c>
      <c r="I19" s="9" t="n">
        <f aca="false">INDEX(Data!$I:$M,MATCH("466BMGS_BP6.A",Data!$B:$B,0),COLUMN()-7)</f>
        <v>273.682777399592</v>
      </c>
      <c r="J19" s="9" t="n">
        <f aca="false">INDEX(Data!$I:$M,MATCH("466BMGS_BP6.A",Data!$B:$B,0),COLUMN()-7)</f>
        <v>320.408441116406</v>
      </c>
      <c r="K19" s="9" t="n">
        <f aca="false">INDEX(Data!$I:$M,MATCH("466BMGS_BP6.A",Data!$B:$B,0),COLUMN()-7)</f>
        <v>389.652076242342</v>
      </c>
      <c r="L19" s="10" t="n">
        <f aca="false">INDEX(Data!$I:$M,MATCH("466BMGS_BP6.A",Data!$B:$B,0),COLUMN()-7)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INDEX(Data!$I:$M,MATCH("419BMGS_BP6.A",Data!$B:$B,0),COLUMN()-7)</f>
        <v>25.2077127659575</v>
      </c>
      <c r="I20" s="14" t="n">
        <f aca="false">INDEX(Data!$I:$M,MATCH("419BMGS_BP6.A",Data!$B:$B,0),COLUMN()-7)</f>
        <v>23.2968085106383</v>
      </c>
      <c r="J20" s="14" t="n">
        <f aca="false">INDEX(Data!$I:$M,MATCH("419BMGS_BP6.A",Data!$B:$B,0),COLUMN()-7)</f>
        <v>27.5773936170213</v>
      </c>
      <c r="K20" s="14" t="n">
        <f aca="false">INDEX(Data!$I:$M,MATCH("419BMGS_BP6.A",Data!$B:$B,0),COLUMN()-7)</f>
        <v>33.0688829787234</v>
      </c>
      <c r="L20" s="15" t="n">
        <f aca="false">INDEX(Data!$I:$M,MATCH("419BMGS_BP6.A",Data!$B:$B,0),COLUMN()-7)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INDEX(Data!$I:$M,MATCH("443BMGS_BP6.A",Data!$B:$B,0),COLUMN()-7)</f>
        <v>55.8175535287385</v>
      </c>
      <c r="I21" s="14" t="n">
        <f aca="false">INDEX(Data!$I:$M,MATCH("443BMGS_BP6.A",Data!$B:$B,0),COLUMN()-7)</f>
        <v>42.5308188423545</v>
      </c>
      <c r="J21" s="14" t="n">
        <f aca="false">INDEX(Data!$I:$M,MATCH("443BMGS_BP6.A",Data!$B:$B,0),COLUMN()-7)</f>
        <v>44.9160455492262</v>
      </c>
      <c r="K21" s="14" t="n">
        <f aca="false">INDEX(Data!$I:$M,MATCH("443BMGS_BP6.A",Data!$B:$B,0),COLUMN()-7)</f>
        <v>55.9230974400287</v>
      </c>
      <c r="L21" s="15" t="n">
        <f aca="false">INDEX(Data!$I:$M,MATCH("443BMGS_BP6.A",Data!$B:$B,0),COLUMN()-7)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INDEX(Data!$I:$M,MATCH("453BMGS_BP6.A",Data!$B:$B,0),COLUMN()-7)</f>
        <v>66.7697802197803</v>
      </c>
      <c r="I22" s="14" t="n">
        <f aca="false">INDEX(Data!$I:$M,MATCH("453BMGS_BP6.A",Data!$B:$B,0),COLUMN()-7)</f>
        <v>59.0645604395604</v>
      </c>
      <c r="J22" s="14" t="n">
        <f aca="false">INDEX(Data!$I:$M,MATCH("453BMGS_BP6.A",Data!$B:$B,0),COLUMN()-7)</f>
        <v>61.2043956043956</v>
      </c>
      <c r="K22" s="14" t="n">
        <f aca="false">INDEX(Data!$I:$M,MATCH("453BMGS_BP6.A",Data!$B:$B,0),COLUMN()-7)</f>
        <v>74.5200549450549</v>
      </c>
      <c r="L22" s="15" t="n">
        <f aca="false">INDEX(Data!$I:$M,MATCH("453BMGS_BP6.A",Data!$B:$B,0),COLUMN()-7)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INDEX(Data!$I:$M,MATCH("449BMGS_BP6.A",Data!$B:$B,0),COLUMN()-7)</f>
        <v>32.5685552505517</v>
      </c>
      <c r="I23" s="14" t="n">
        <f aca="false">INDEX(Data!$I:$M,MATCH("449BMGS_BP6.A",Data!$B:$B,0),COLUMN()-7)</f>
        <v>33.8270953409951</v>
      </c>
      <c r="J23" s="14" t="n">
        <f aca="false">INDEX(Data!$I:$M,MATCH("449BMGS_BP6.A",Data!$B:$B,0),COLUMN()-7)</f>
        <v>37.2157374510285</v>
      </c>
      <c r="K23" s="14" t="n">
        <f aca="false">INDEX(Data!$I:$M,MATCH("449BMGS_BP6.A",Data!$B:$B,0),COLUMN()-7)</f>
        <v>46.3258913295439</v>
      </c>
      <c r="L23" s="15" t="n">
        <f aca="false">INDEX(Data!$I:$M,MATCH("449BMGS_BP6.A",Data!$B:$B,0),COLUMN()-7)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INDEX(Data!$I:$M,MATCH("456BMGS_BP6.A",Data!$B:$B,0),COLUMN()-7)</f>
        <v>218.9747</v>
      </c>
      <c r="I24" s="17" t="n">
        <f aca="false">INDEX(Data!$I:$M,MATCH("456BMGS_BP6.A",Data!$B:$B,0),COLUMN()-7)</f>
        <v>182.1837</v>
      </c>
      <c r="J24" s="17" t="n">
        <f aca="false">INDEX(Data!$I:$M,MATCH("456BMGS_BP6.A",Data!$B:$B,0),COLUMN()-7)</f>
        <v>213.5156</v>
      </c>
      <c r="K24" s="17" t="n">
        <f aca="false">INDEX(Data!$I:$M,MATCH("456BMGS_BP6.A",Data!$B:$B,0),COLUMN()-7)</f>
        <v>258.2128</v>
      </c>
      <c r="L24" s="18" t="n">
        <f aca="false">INDEX(Data!$I:$M,MATCH("456BMGS_BP6.A",Data!$B:$B,0),COLUMN()-7)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INDEX(Data!$I:$M,MATCH("466NGDPD.A",Data!$B:$B,0),COLUMN()-7)</f>
        <v>417.989652825051</v>
      </c>
      <c r="I26" s="9" t="n">
        <f aca="false">INDEX(Data!$I:$M,MATCH("466NGDPD.A",Data!$B:$B,0),COLUMN()-7)</f>
        <v>349.473110959837</v>
      </c>
      <c r="J26" s="9" t="n">
        <f aca="false">INDEX(Data!$I:$M,MATCH("466NGDPD.A",Data!$B:$B,0),COLUMN()-7)</f>
        <v>415.178761061947</v>
      </c>
      <c r="K26" s="9" t="n">
        <f aca="false">INDEX(Data!$I:$M,MATCH("466NGDPD.A",Data!$B:$B,0),COLUMN()-7)</f>
        <v>507.063852961198</v>
      </c>
      <c r="L26" s="10" t="n">
        <f aca="false">INDEX(Data!$I:$M,MATCH("466NGDPD.A",Data!$B:$B,0),COLUMN()-7)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INDEX(Data!$I:$M,MATCH("419NGDPD.A",Data!$B:$B,0),COLUMN()-7)</f>
        <v>38.6537765957447</v>
      </c>
      <c r="I27" s="14" t="n">
        <f aca="false">INDEX(Data!$I:$M,MATCH("419NGDPD.A",Data!$B:$B,0),COLUMN()-7)</f>
        <v>34.6217287234043</v>
      </c>
      <c r="J27" s="14" t="n">
        <f aca="false">INDEX(Data!$I:$M,MATCH("419NGDPD.A",Data!$B:$B,0),COLUMN()-7)</f>
        <v>39.2886968085106</v>
      </c>
      <c r="K27" s="14" t="n">
        <f aca="false">INDEX(Data!$I:$M,MATCH("419NGDPD.A",Data!$B:$B,0),COLUMN()-7)</f>
        <v>44.3832978723404</v>
      </c>
      <c r="L27" s="15" t="n">
        <f aca="false">INDEX(Data!$I:$M,MATCH("419NGDPD.A",Data!$B:$B,0),COLUMN()-7)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INDEX(Data!$I:$M,MATCH("443NGDPD.A",Data!$B:$B,0),COLUMN()-7)</f>
        <v>138.694779832957</v>
      </c>
      <c r="I28" s="14" t="n">
        <f aca="false">INDEX(Data!$I:$M,MATCH("443NGDPD.A",Data!$B:$B,0),COLUMN()-7)</f>
        <v>107.515715568618</v>
      </c>
      <c r="J28" s="14" t="n">
        <f aca="false">INDEX(Data!$I:$M,MATCH("443NGDPD.A",Data!$B:$B,0),COLUMN()-7)</f>
        <v>141.773126840561</v>
      </c>
      <c r="K28" s="14" t="n">
        <f aca="false">INDEX(Data!$I:$M,MATCH("443NGDPD.A",Data!$B:$B,0),COLUMN()-7)</f>
        <v>182.846287415698</v>
      </c>
      <c r="L28" s="15" t="n">
        <f aca="false">INDEX(Data!$I:$M,MATCH("443NGDPD.A",Data!$B:$B,0),COLUMN()-7)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INDEX(Data!$I:$M,MATCH("453NGDPD.A",Data!$B:$B,0),COLUMN()-7)</f>
        <v>176.371267689082</v>
      </c>
      <c r="I29" s="14" t="n">
        <f aca="false">INDEX(Data!$I:$M,MATCH("453NGDPD.A",Data!$B:$B,0),COLUMN()-7)</f>
        <v>144.41136334527</v>
      </c>
      <c r="J29" s="14" t="n">
        <f aca="false">INDEX(Data!$I:$M,MATCH("453NGDPD.A",Data!$B:$B,0),COLUMN()-7)</f>
        <v>179.732142857143</v>
      </c>
      <c r="K29" s="14" t="n">
        <f aca="false">INDEX(Data!$I:$M,MATCH("453NGDPD.A",Data!$B:$B,0),COLUMN()-7)</f>
        <v>236.258241758242</v>
      </c>
      <c r="L29" s="15" t="n">
        <f aca="false">INDEX(Data!$I:$M,MATCH("453NGDPD.A",Data!$B:$B,0),COLUMN()-7)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INDEX(Data!$I:$M,MATCH("449NGDPD.A",Data!$B:$B,0),COLUMN()-7)</f>
        <v>88.0606849980307</v>
      </c>
      <c r="I30" s="14" t="n">
        <f aca="false">INDEX(Data!$I:$M,MATCH("449NGDPD.A",Data!$B:$B,0),COLUMN()-7)</f>
        <v>75.9087126137841</v>
      </c>
      <c r="J30" s="14" t="n">
        <f aca="false">INDEX(Data!$I:$M,MATCH("449NGDPD.A",Data!$B:$B,0),COLUMN()-7)</f>
        <v>88.1919375812744</v>
      </c>
      <c r="K30" s="14" t="n">
        <f aca="false">INDEX(Data!$I:$M,MATCH("449NGDPD.A",Data!$B:$B,0),COLUMN()-7)</f>
        <v>114.666840052016</v>
      </c>
      <c r="L30" s="15" t="n">
        <f aca="false">INDEX(Data!$I:$M,MATCH("449NGDPD.A",Data!$B:$B,0),COLUMN()-7)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INDEX(Data!$I:$M,MATCH("456NGDPD.A",Data!$B:$B,0),COLUMN()-7)</f>
        <v>838.563733333333</v>
      </c>
      <c r="I31" s="17" t="n">
        <f aca="false">INDEX(Data!$I:$M,MATCH("456NGDPD.A",Data!$B:$B,0),COLUMN()-7)</f>
        <v>734.2712</v>
      </c>
      <c r="J31" s="17" t="n">
        <f aca="false">INDEX(Data!$I:$M,MATCH("456NGDPD.A",Data!$B:$B,0),COLUMN()-7)</f>
        <v>874.156</v>
      </c>
      <c r="K31" s="17" t="n">
        <f aca="false">INDEX(Data!$I:$M,MATCH("456NGDPD.A",Data!$B:$B,0),COLUMN()-7)</f>
        <v>1108.572</v>
      </c>
      <c r="L31" s="18" t="n">
        <f aca="false">INDEX(Data!$I:$M,MATCH("456NGDPD.A",Data!$B:$B,0),COLUMN()-7)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 t="n">
        <f aca="false">SUMPRODUCT(H35:L40,H26:L31)/SUM(H26:L31)</f>
        <v>15.0358786204874</v>
      </c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2026-01-26T13:20:03Z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