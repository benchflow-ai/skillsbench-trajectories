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Year</t>
        </is>
      </c>
      <c r="B1" s="1" t="inlineStr">
        <is>
          <t>Nominal GDP (LCU)</t>
        </is>
      </c>
      <c r="C1" s="1" t="inlineStr">
        <is>
          <t>Real GDP Growth (%)</t>
        </is>
      </c>
      <c r="D1" s="1" t="inlineStr">
        <is>
          <t>GDP Deflator (2019=100)</t>
        </is>
      </c>
      <c r="E1" s="1" t="inlineStr">
        <is>
          <t>Real GDP (LCU)</t>
        </is>
      </c>
    </row>
    <row r="2">
      <c r="A2" t="n">
        <v>2020</v>
      </c>
      <c r="B2" t="n">
        <v>51822250000</v>
      </c>
      <c r="C2" t="n">
        <v>-6.29</v>
      </c>
      <c r="D2" t="n">
        <v>106.85</v>
      </c>
      <c r="E2" t="n">
        <v>48500000000</v>
      </c>
    </row>
    <row r="3">
      <c r="A3" t="n">
        <v>2021</v>
      </c>
      <c r="B3" t="n">
        <v>63201219120</v>
      </c>
      <c r="C3" t="n">
        <v>10.64</v>
      </c>
      <c r="D3" t="n">
        <v>117.78</v>
      </c>
      <c r="E3" t="n">
        <v>53660400000</v>
      </c>
    </row>
    <row r="4">
      <c r="A4" t="n">
        <v>2022</v>
      </c>
      <c r="B4" t="n">
        <v>75832156084.224</v>
      </c>
      <c r="C4" t="n">
        <v>10.96</v>
      </c>
      <c r="D4" t="n">
        <v>127.36</v>
      </c>
      <c r="E4" t="n">
        <v>59541579839.99999</v>
      </c>
    </row>
    <row r="5">
      <c r="A5" t="n">
        <v>2023</v>
      </c>
      <c r="B5" t="n">
        <v>84177452113.42393</v>
      </c>
      <c r="C5" t="n">
        <v>7.83</v>
      </c>
      <c r="D5" t="n">
        <v>131.11</v>
      </c>
      <c r="E5" t="n">
        <v>64203685541.47199</v>
      </c>
    </row>
    <row r="6">
      <c r="A6" t="n">
        <v>2024</v>
      </c>
      <c r="B6" t="n">
        <v>96811494444.63351</v>
      </c>
      <c r="C6" t="n">
        <v>9.68</v>
      </c>
      <c r="D6" t="n">
        <v>137.48</v>
      </c>
      <c r="E6" t="n">
        <v>70418602301.88647</v>
      </c>
    </row>
    <row r="7">
      <c r="A7" t="n">
        <v>2025</v>
      </c>
      <c r="B7" t="n">
        <v>108300114490.3782</v>
      </c>
      <c r="C7" t="n">
        <v>5</v>
      </c>
      <c r="D7" t="n">
        <v>146.471192</v>
      </c>
      <c r="E7" t="n">
        <v>73939532416.9808</v>
      </c>
    </row>
    <row r="8">
      <c r="A8" t="n">
        <v>2026</v>
      </c>
      <c r="B8" t="n">
        <v>121152089076.9514</v>
      </c>
      <c r="C8" t="n">
        <v>5</v>
      </c>
      <c r="D8" t="n">
        <v>156.0504079567999</v>
      </c>
      <c r="E8" t="n">
        <v>77636509037.82985</v>
      </c>
    </row>
    <row r="9">
      <c r="A9" t="n">
        <v>2027</v>
      </c>
      <c r="B9" t="n">
        <v>135529207487.7132</v>
      </c>
      <c r="C9" t="n">
        <v>5</v>
      </c>
      <c r="D9" t="n">
        <v>166.2561046371746</v>
      </c>
      <c r="E9" t="n">
        <v>81518334489.72134</v>
      </c>
    </row>
    <row r="10">
      <c r="A10" t="n">
        <v>2028</v>
      </c>
      <c r="B10" t="n">
        <v>151612458540.28</v>
      </c>
      <c r="C10" t="n">
        <v>5</v>
      </c>
      <c r="D10" t="n">
        <v>177.1292538804458</v>
      </c>
      <c r="E10" t="n">
        <v>85594251214.20741</v>
      </c>
    </row>
    <row r="11">
      <c r="A11" t="n">
        <v>2029</v>
      </c>
      <c r="B11" t="n">
        <v>169604308995.2551</v>
      </c>
      <c r="C11" t="n">
        <v>5</v>
      </c>
      <c r="D11" t="n">
        <v>188.713507084227</v>
      </c>
      <c r="E11" t="n">
        <v>89873963774.91779</v>
      </c>
    </row>
    <row r="12">
      <c r="A12" t="n">
        <v>2030</v>
      </c>
      <c r="B12" t="n">
        <v>189731252343.722</v>
      </c>
      <c r="C12" t="n">
        <v>5</v>
      </c>
      <c r="D12" t="n">
        <v>201.0553704475354</v>
      </c>
      <c r="E12" t="n">
        <v>94367661963.66368</v>
      </c>
    </row>
    <row r="13">
      <c r="A13" t="n">
        <v>2031</v>
      </c>
      <c r="B13" t="n">
        <v>212246660059.3514</v>
      </c>
      <c r="C13" t="n">
        <v>5</v>
      </c>
      <c r="D13" t="n">
        <v>214.2043916748042</v>
      </c>
      <c r="E13" t="n">
        <v>99086045061.84686</v>
      </c>
    </row>
    <row r="14">
      <c r="A14" t="n">
        <v>2032</v>
      </c>
      <c r="B14" t="n">
        <v>237433971208.5947</v>
      </c>
      <c r="C14" t="n">
        <v>5</v>
      </c>
      <c r="D14" t="n">
        <v>228.2133588903364</v>
      </c>
      <c r="E14" t="n">
        <v>104040347314.9392</v>
      </c>
    </row>
    <row r="15">
      <c r="A15" t="n">
        <v>2033</v>
      </c>
      <c r="B15" t="n">
        <v>265610260571.9186</v>
      </c>
      <c r="C15" t="n">
        <v>5</v>
      </c>
      <c r="D15" t="n">
        <v>243.1385125617644</v>
      </c>
      <c r="E15" t="n">
        <v>109242364680.6862</v>
      </c>
    </row>
    <row r="16">
      <c r="A16" t="n">
        <v>2034</v>
      </c>
      <c r="B16" t="n">
        <v>297130230193.9882</v>
      </c>
      <c r="C16" t="n">
        <v>5</v>
      </c>
      <c r="D16" t="n">
        <v>259.0397712833038</v>
      </c>
      <c r="E16" t="n">
        <v>114704482914.7205</v>
      </c>
    </row>
    <row r="17">
      <c r="A17" t="n">
        <v>2035</v>
      </c>
      <c r="B17" t="n">
        <v>332390674611.1087</v>
      </c>
      <c r="C17" t="n">
        <v>5</v>
      </c>
      <c r="D17" t="n">
        <v>275.9809723252318</v>
      </c>
      <c r="E17" t="n">
        <v>120439707060.4565</v>
      </c>
    </row>
    <row r="18">
      <c r="A18" t="n">
        <v>2036</v>
      </c>
      <c r="B18" t="n">
        <v>371835475967.209</v>
      </c>
      <c r="C18" t="n">
        <v>5</v>
      </c>
      <c r="D18" t="n">
        <v>294.0301279153019</v>
      </c>
      <c r="E18" t="n">
        <v>126461692413.4793</v>
      </c>
    </row>
    <row r="19">
      <c r="A19" t="n">
        <v>2037</v>
      </c>
      <c r="B19" t="n">
        <v>415961191900.2377</v>
      </c>
      <c r="C19" t="n">
        <v>5</v>
      </c>
      <c r="D19" t="n">
        <v>313.2596982809627</v>
      </c>
      <c r="E19" t="n">
        <v>132784777034.1533</v>
      </c>
    </row>
    <row r="20">
      <c r="A20" t="n">
        <v>2038</v>
      </c>
      <c r="B20" t="n">
        <v>465323306543.0388</v>
      </c>
      <c r="C20" t="n">
        <v>5</v>
      </c>
      <c r="D20" t="n">
        <v>333.7468825485376</v>
      </c>
      <c r="E20" t="n">
        <v>139424015885.861</v>
      </c>
    </row>
    <row r="21">
      <c r="A21" t="n">
        <v>2039</v>
      </c>
      <c r="B21" t="n">
        <v>520543223330.5012</v>
      </c>
      <c r="C21" t="n">
        <v>5</v>
      </c>
      <c r="D21" t="n">
        <v>355.5739286672119</v>
      </c>
      <c r="E21" t="n">
        <v>146395216680.154</v>
      </c>
    </row>
    <row r="22">
      <c r="A22" t="n">
        <v>2040</v>
      </c>
      <c r="B22" t="n">
        <v>582316087643.1318</v>
      </c>
      <c r="C22" t="n">
        <v>5</v>
      </c>
      <c r="D22" t="n">
        <v>378.8284636020476</v>
      </c>
      <c r="E22" t="n">
        <v>153714977514.1617</v>
      </c>
    </row>
    <row r="23">
      <c r="A23" t="n">
        <v>2041</v>
      </c>
      <c r="B23" t="n">
        <v>651419537763.7423</v>
      </c>
      <c r="C23" t="n">
        <v>5</v>
      </c>
      <c r="D23" t="n">
        <v>403.6038451216215</v>
      </c>
      <c r="E23" t="n">
        <v>161400726389.8698</v>
      </c>
    </row>
    <row r="24">
      <c r="A24" t="n">
        <v>2042</v>
      </c>
      <c r="B24" t="n">
        <v>728723494310.1655</v>
      </c>
      <c r="C24" t="n">
        <v>5</v>
      </c>
      <c r="D24" t="n">
        <v>429.9995365925755</v>
      </c>
      <c r="E24" t="n">
        <v>169470762709.3633</v>
      </c>
    </row>
    <row r="25">
      <c r="A25" t="n">
        <v>2043</v>
      </c>
      <c r="B25" t="n">
        <v>815201111379.9528</v>
      </c>
      <c r="C25" t="n">
        <v>5</v>
      </c>
      <c r="D25" t="n">
        <v>458.1215062857298</v>
      </c>
      <c r="E25" t="n">
        <v>177944300844.8315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t="inlineStr">
        <is>
          <t>SUPPLY TABLE (Geostat)</t>
        </is>
      </c>
    </row>
    <row r="2">
      <c r="A2" s="2" t="inlineStr">
        <is>
          <t>Industries/Products</t>
        </is>
      </c>
      <c r="B2" s="2" t="inlineStr">
        <is>
          <t>Output (million GEL)</t>
        </is>
      </c>
    </row>
    <row r="3">
      <c r="A3" t="inlineStr">
        <is>
          <t>Agriculture</t>
        </is>
      </c>
      <c r="B3" t="n">
        <v>4120</v>
      </c>
    </row>
    <row r="4">
      <c r="A4" t="inlineStr">
        <is>
          <t>Mining</t>
        </is>
      </c>
      <c r="B4" t="n">
        <v>850</v>
      </c>
    </row>
    <row r="5">
      <c r="A5" t="inlineStr">
        <is>
          <t>Manufacturing</t>
        </is>
      </c>
      <c r="B5" t="n">
        <v>5200</v>
      </c>
    </row>
    <row r="6">
      <c r="A6" t="inlineStr">
        <is>
          <t>Electricity</t>
        </is>
      </c>
      <c r="B6" t="n">
        <v>2100</v>
      </c>
    </row>
    <row r="7">
      <c r="A7" t="inlineStr">
        <is>
          <t>Water</t>
        </is>
      </c>
      <c r="B7" t="n">
        <v>650</v>
      </c>
    </row>
    <row r="8">
      <c r="A8" t="inlineStr">
        <is>
          <t>Construction</t>
        </is>
      </c>
      <c r="B8" t="n">
        <v>6800</v>
      </c>
    </row>
    <row r="9">
      <c r="A9" t="inlineStr">
        <is>
          <t>Trade</t>
        </is>
      </c>
      <c r="B9" t="n">
        <v>9500</v>
      </c>
    </row>
    <row r="10">
      <c r="A10" t="inlineStr">
        <is>
          <t>Transport</t>
        </is>
      </c>
      <c r="B10" t="n">
        <v>3200</v>
      </c>
    </row>
    <row r="11">
      <c r="A11" t="inlineStr">
        <is>
          <t>Accommodation</t>
        </is>
      </c>
      <c r="B11" t="n">
        <v>1800</v>
      </c>
    </row>
    <row r="12">
      <c r="A12" t="inlineStr">
        <is>
          <t>Info/Comms</t>
        </is>
      </c>
      <c r="B12" t="n">
        <v>2400</v>
      </c>
    </row>
    <row r="13">
      <c r="A13" t="inlineStr">
        <is>
          <t>Finance</t>
        </is>
      </c>
      <c r="B13" t="n">
        <v>4200</v>
      </c>
    </row>
    <row r="14">
      <c r="A14" t="inlineStr">
        <is>
          <t>Real Estate</t>
        </is>
      </c>
      <c r="B14" t="n">
        <v>4800</v>
      </c>
    </row>
    <row r="15">
      <c r="A15" t="inlineStr">
        <is>
          <t>Professional</t>
        </is>
      </c>
      <c r="B15" t="n">
        <v>2100</v>
      </c>
    </row>
    <row r="16">
      <c r="A16" t="inlineStr">
        <is>
          <t>Admin</t>
        </is>
      </c>
      <c r="B16" t="n">
        <v>1600</v>
      </c>
    </row>
    <row r="17">
      <c r="A17" t="inlineStr">
        <is>
          <t>Public Admin</t>
        </is>
      </c>
      <c r="B17" t="n">
        <v>3200</v>
      </c>
    </row>
    <row r="18">
      <c r="A18" t="inlineStr">
        <is>
          <t>Education</t>
        </is>
      </c>
      <c r="B18" t="n">
        <v>2800</v>
      </c>
    </row>
    <row r="19">
      <c r="A19" t="inlineStr">
        <is>
          <t>Health</t>
        </is>
      </c>
      <c r="B19" t="n">
        <v>2500</v>
      </c>
    </row>
    <row r="20">
      <c r="A20" t="inlineStr">
        <is>
          <t>Arts</t>
        </is>
      </c>
      <c r="B20" t="n">
        <v>900</v>
      </c>
    </row>
    <row r="21">
      <c r="A21" t="inlineStr">
        <is>
          <t>Other</t>
        </is>
      </c>
      <c r="B21" t="n">
        <v>1100</v>
      </c>
    </row>
    <row r="22">
      <c r="A22" t="inlineStr">
        <is>
          <t>Households</t>
        </is>
      </c>
      <c r="B22" t="n">
        <v>50</v>
      </c>
    </row>
    <row r="23">
      <c r="A23" t="inlineStr">
        <is>
          <t>Total</t>
        </is>
      </c>
      <c r="B23" t="n">
        <v>48380</v>
      </c>
    </row>
    <row r="25">
      <c r="A25" t="inlineStr">
        <is>
          <t>Imports</t>
        </is>
      </c>
      <c r="B25" t="n">
        <v>18600</v>
      </c>
    </row>
    <row r="26">
      <c r="A26" t="inlineStr">
        <is>
          <t>Total Supply</t>
        </is>
      </c>
      <c r="B26" t="n">
        <v>66980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USE TABLE (Geostat)</t>
        </is>
      </c>
    </row>
    <row r="2">
      <c r="A2" s="2" t="inlineStr">
        <is>
          <t>Industries</t>
        </is>
      </c>
      <c r="B2" s="2" t="inlineStr">
        <is>
          <t>Intermediate</t>
        </is>
      </c>
      <c r="C2" s="2" t="inlineStr">
        <is>
          <t>Final Consumption</t>
        </is>
      </c>
      <c r="D2" s="2" t="inlineStr">
        <is>
          <t>GCF</t>
        </is>
      </c>
      <c r="E2" s="2" t="inlineStr">
        <is>
          <t>Exports</t>
        </is>
      </c>
      <c r="F2" s="2" t="inlineStr">
        <is>
          <t>Total</t>
        </is>
      </c>
    </row>
    <row r="3">
      <c r="A3" t="inlineStr">
        <is>
          <t>Agriculture</t>
        </is>
      </c>
      <c r="B3" t="n">
        <v>2100</v>
      </c>
      <c r="C3" t="n">
        <v>2800</v>
      </c>
      <c r="D3" t="n">
        <v>400</v>
      </c>
      <c r="E3" t="n">
        <v>300</v>
      </c>
      <c r="F3" t="n">
        <v>5600</v>
      </c>
    </row>
    <row r="4">
      <c r="A4" t="inlineStr">
        <is>
          <t>Mining</t>
        </is>
      </c>
      <c r="B4" t="n">
        <v>420</v>
      </c>
      <c r="C4" t="n">
        <v>50</v>
      </c>
      <c r="D4" t="n">
        <v>200</v>
      </c>
      <c r="E4" t="n">
        <v>500</v>
      </c>
      <c r="F4" t="n">
        <v>1170</v>
      </c>
    </row>
    <row r="5">
      <c r="A5" t="inlineStr">
        <is>
          <t>Manufacturing</t>
        </is>
      </c>
      <c r="B5" t="n">
        <v>3100</v>
      </c>
      <c r="C5" t="n">
        <v>800</v>
      </c>
      <c r="D5" t="n">
        <v>600</v>
      </c>
      <c r="E5" t="n">
        <v>1000</v>
      </c>
      <c r="F5" t="n">
        <v>5500</v>
      </c>
    </row>
    <row r="6">
      <c r="A6" t="inlineStr">
        <is>
          <t>Electricity</t>
        </is>
      </c>
      <c r="B6" t="n">
        <v>950</v>
      </c>
      <c r="C6" t="n">
        <v>150</v>
      </c>
      <c r="D6" t="n">
        <v>400</v>
      </c>
      <c r="E6" t="n">
        <v>600</v>
      </c>
      <c r="F6" t="n">
        <v>2100</v>
      </c>
    </row>
    <row r="7">
      <c r="A7" t="inlineStr">
        <is>
          <t>Water</t>
        </is>
      </c>
      <c r="B7" t="n">
        <v>300</v>
      </c>
      <c r="C7" t="n">
        <v>250</v>
      </c>
      <c r="D7" t="n">
        <v>50</v>
      </c>
      <c r="E7" t="n">
        <v>50</v>
      </c>
      <c r="F7" t="n">
        <v>650</v>
      </c>
    </row>
    <row r="8">
      <c r="A8" t="inlineStr">
        <is>
          <t>Construction</t>
        </is>
      </c>
      <c r="B8" t="n">
        <v>5400</v>
      </c>
      <c r="C8" t="n">
        <v>100</v>
      </c>
      <c r="D8" t="n">
        <v>1200</v>
      </c>
      <c r="E8" t="n">
        <v>100</v>
      </c>
      <c r="F8" t="n">
        <v>6800</v>
      </c>
    </row>
    <row r="9">
      <c r="A9" t="inlineStr">
        <is>
          <t>Trade</t>
        </is>
      </c>
      <c r="B9" t="n">
        <v>4800</v>
      </c>
      <c r="C9" t="n">
        <v>2800</v>
      </c>
      <c r="D9" t="n">
        <v>400</v>
      </c>
      <c r="E9" t="n">
        <v>1800</v>
      </c>
      <c r="F9" t="n">
        <v>9800</v>
      </c>
    </row>
    <row r="10">
      <c r="A10" t="inlineStr">
        <is>
          <t>Transport</t>
        </is>
      </c>
      <c r="B10" t="n">
        <v>1600</v>
      </c>
      <c r="C10" t="n">
        <v>400</v>
      </c>
      <c r="D10" t="n">
        <v>300</v>
      </c>
      <c r="E10" t="n">
        <v>800</v>
      </c>
      <c r="F10" t="n">
        <v>3100</v>
      </c>
    </row>
    <row r="11">
      <c r="A11" t="inlineStr">
        <is>
          <t>Accommodation</t>
        </is>
      </c>
      <c r="B11" t="n">
        <v>900</v>
      </c>
      <c r="C11" t="n">
        <v>750</v>
      </c>
      <c r="D11" t="n">
        <v>100</v>
      </c>
      <c r="E11" t="n">
        <v>50</v>
      </c>
      <c r="F11" t="n">
        <v>1800</v>
      </c>
    </row>
    <row r="12">
      <c r="A12" t="inlineStr">
        <is>
          <t>Info/Comms</t>
        </is>
      </c>
      <c r="B12" t="n">
        <v>1100</v>
      </c>
      <c r="C12" t="n">
        <v>600</v>
      </c>
      <c r="D12" t="n">
        <v>300</v>
      </c>
      <c r="E12" t="n">
        <v>400</v>
      </c>
      <c r="F12" t="n">
        <v>2400</v>
      </c>
    </row>
    <row r="13">
      <c r="A13" t="inlineStr">
        <is>
          <t>Finance</t>
        </is>
      </c>
      <c r="B13" t="n">
        <v>1800</v>
      </c>
      <c r="C13" t="n">
        <v>800</v>
      </c>
      <c r="D13" t="n">
        <v>600</v>
      </c>
      <c r="E13" t="n">
        <v>1000</v>
      </c>
      <c r="F13" t="n">
        <v>4200</v>
      </c>
    </row>
    <row r="14">
      <c r="A14" t="inlineStr">
        <is>
          <t>Real Estate</t>
        </is>
      </c>
      <c r="B14" t="n">
        <v>400</v>
      </c>
      <c r="C14" t="n">
        <v>3500</v>
      </c>
      <c r="D14" t="n">
        <v>100</v>
      </c>
      <c r="E14" t="n">
        <v>100</v>
      </c>
      <c r="F14" t="n">
        <v>4100</v>
      </c>
    </row>
    <row r="15">
      <c r="A15" t="inlineStr">
        <is>
          <t>Professional</t>
        </is>
      </c>
      <c r="B15" t="n">
        <v>950</v>
      </c>
      <c r="C15" t="n">
        <v>500</v>
      </c>
      <c r="D15" t="n">
        <v>250</v>
      </c>
      <c r="E15" t="n">
        <v>400</v>
      </c>
      <c r="F15" t="n">
        <v>2100</v>
      </c>
    </row>
    <row r="16">
      <c r="A16" t="inlineStr">
        <is>
          <t>Admin</t>
        </is>
      </c>
      <c r="B16" t="n">
        <v>720</v>
      </c>
      <c r="C16" t="n">
        <v>350</v>
      </c>
      <c r="D16" t="n">
        <v>150</v>
      </c>
      <c r="E16" t="n">
        <v>380</v>
      </c>
      <c r="F16" t="n">
        <v>1600</v>
      </c>
    </row>
    <row r="17">
      <c r="A17" t="inlineStr">
        <is>
          <t>Public Admin</t>
        </is>
      </c>
      <c r="B17" t="n">
        <v>800</v>
      </c>
      <c r="C17" t="n">
        <v>2500</v>
      </c>
      <c r="D17" t="n">
        <v>100</v>
      </c>
      <c r="E17" t="n">
        <v>100</v>
      </c>
      <c r="F17" t="n">
        <v>3500</v>
      </c>
    </row>
    <row r="18">
      <c r="A18" t="inlineStr">
        <is>
          <t>Education</t>
        </is>
      </c>
      <c r="B18" t="n">
        <v>650</v>
      </c>
      <c r="C18" t="n">
        <v>2100</v>
      </c>
      <c r="D18" t="n">
        <v>100</v>
      </c>
      <c r="E18" t="n">
        <v>100</v>
      </c>
      <c r="F18" t="n">
        <v>2950</v>
      </c>
    </row>
    <row r="19">
      <c r="A19" t="inlineStr">
        <is>
          <t>Health</t>
        </is>
      </c>
      <c r="B19" t="n">
        <v>1200</v>
      </c>
      <c r="C19" t="n">
        <v>1100</v>
      </c>
      <c r="D19" t="n">
        <v>100</v>
      </c>
      <c r="E19" t="n">
        <v>100</v>
      </c>
      <c r="F19" t="n">
        <v>2500</v>
      </c>
    </row>
    <row r="20">
      <c r="A20" t="inlineStr">
        <is>
          <t>Arts</t>
        </is>
      </c>
      <c r="B20" t="n">
        <v>400</v>
      </c>
      <c r="C20" t="n">
        <v>450</v>
      </c>
      <c r="D20" t="n">
        <v>50</v>
      </c>
      <c r="E20" t="n">
        <v>50</v>
      </c>
      <c r="F20" t="n">
        <v>950</v>
      </c>
    </row>
    <row r="21">
      <c r="A21" t="inlineStr">
        <is>
          <t>Other</t>
        </is>
      </c>
      <c r="B21" t="n">
        <v>500</v>
      </c>
      <c r="C21" t="n">
        <v>550</v>
      </c>
      <c r="D21" t="n">
        <v>50</v>
      </c>
      <c r="E21" t="n">
        <v>50</v>
      </c>
      <c r="F21" t="n">
        <v>1150</v>
      </c>
    </row>
    <row r="22">
      <c r="A22" t="inlineStr">
        <is>
          <t>Households</t>
        </is>
      </c>
      <c r="B22" t="n">
        <v>20</v>
      </c>
      <c r="C22" t="n">
        <v>2800</v>
      </c>
      <c r="D22" t="n">
        <v>0</v>
      </c>
      <c r="E22" t="n">
        <v>0</v>
      </c>
      <c r="F22" t="n">
        <v>2820</v>
      </c>
    </row>
    <row r="23">
      <c r="A23" t="inlineStr">
        <is>
          <t>Total</t>
        </is>
      </c>
      <c r="B23" t="n">
        <v>28110</v>
      </c>
      <c r="C23" t="n">
        <v>23350</v>
      </c>
      <c r="D23" t="n">
        <v>5450</v>
      </c>
      <c r="E23" t="n">
        <v>7880</v>
      </c>
      <c r="F23" t="n">
        <v>64790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Supply-Use Table Calculation</t>
        </is>
      </c>
    </row>
    <row r="2">
      <c r="A2" t="inlineStr">
        <is>
          <t>Import Content Share Calculation</t>
        </is>
      </c>
    </row>
    <row r="4">
      <c r="A4" s="2" t="inlineStr">
        <is>
          <t>Item</t>
        </is>
      </c>
      <c r="B4" s="2" t="inlineStr">
        <is>
          <t>From SUPPLY</t>
        </is>
      </c>
      <c r="C4" s="2" t="inlineStr">
        <is>
          <t>From USE</t>
        </is>
      </c>
      <c r="D4" s="2" t="inlineStr">
        <is>
          <t>Value</t>
        </is>
      </c>
      <c r="E4" s="2" t="inlineStr">
        <is>
          <t>Formula</t>
        </is>
      </c>
      <c r="F4" s="2" t="inlineStr">
        <is>
          <t>Notes</t>
        </is>
      </c>
    </row>
    <row r="5">
      <c r="A5" t="inlineStr">
        <is>
          <t>Total Supply</t>
        </is>
      </c>
      <c r="B5">
        <f>SUPPLY!B26</f>
        <v/>
      </c>
    </row>
    <row r="6">
      <c r="A6" t="inlineStr">
        <is>
          <t>Intermediate Consumption</t>
        </is>
      </c>
      <c r="C6">
        <f>USE!B23</f>
        <v/>
      </c>
    </row>
    <row r="7">
      <c r="A7" t="inlineStr">
        <is>
          <t>Gross Value Added</t>
        </is>
      </c>
      <c r="D7">
        <f>B5-B6</f>
        <v/>
      </c>
    </row>
    <row r="8">
      <c r="A8" t="inlineStr">
        <is>
          <t>Total Final Uses</t>
        </is>
      </c>
      <c r="D8">
        <f>USE!C23+USE!D23+USE!E23</f>
        <v/>
      </c>
    </row>
    <row r="9">
      <c r="A9" t="inlineStr">
        <is>
          <t>Imports</t>
        </is>
      </c>
      <c r="B9">
        <f>SUPPLY!B25</f>
        <v/>
      </c>
    </row>
    <row r="10">
      <c r="A10" t="inlineStr">
        <is>
          <t>Total Output</t>
        </is>
      </c>
      <c r="D10">
        <f>B6+B7</f>
        <v/>
      </c>
    </row>
    <row r="11">
      <c r="A11" t="inlineStr">
        <is>
          <t>Import Content Share</t>
        </is>
      </c>
      <c r="D11">
        <f>B9/(B10-B9)</f>
        <v/>
      </c>
      <c r="F11">
        <f>Imports/(Output-Imports)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1" max="11"/>
    <col width="15" customWidth="1" min="12" max="12"/>
  </cols>
  <sheetData>
    <row r="1">
      <c r="A1" t="inlineStr">
        <is>
          <t>Investment Shock Analysis - Georgia</t>
        </is>
      </c>
    </row>
    <row r="2">
      <c r="A2" t="inlineStr">
        <is>
          <t>Macro Accounting Framework (Demand Side)</t>
        </is>
      </c>
    </row>
    <row r="4">
      <c r="A4" s="2" t="inlineStr">
        <is>
          <t>Year</t>
        </is>
      </c>
      <c r="B4" s="2" t="inlineStr">
        <is>
          <t>Real GDP</t>
        </is>
      </c>
      <c r="C4" s="2" t="inlineStr">
        <is>
          <t>Project Allocation</t>
        </is>
      </c>
      <c r="D4" s="2" t="inlineStr">
        <is>
          <t>Project Investment</t>
        </is>
      </c>
      <c r="E4" s="2" t="inlineStr">
        <is>
          <t>Imports</t>
        </is>
      </c>
      <c r="F4" s="2" t="inlineStr">
        <is>
          <t>GDP Impact</t>
        </is>
      </c>
      <c r="G4" s="2" t="inlineStr">
        <is>
          <t>I-M</t>
        </is>
      </c>
      <c r="H4" s="2" t="inlineStr">
        <is>
          <t>Multiplier</t>
        </is>
      </c>
      <c r="I4" s="2" t="inlineStr">
        <is>
          <t>% of GDP</t>
        </is>
      </c>
      <c r="J4" s="2" t="n"/>
      <c r="K4" s="2" t="inlineStr">
        <is>
          <t>Baseline Growth</t>
        </is>
      </c>
      <c r="L4" s="2" t="inlineStr">
        <is>
          <t>Projected Growth</t>
        </is>
      </c>
    </row>
    <row r="5">
      <c r="A5" t="n">
        <v>2020</v>
      </c>
      <c r="B5">
        <f>WEO_Data!E5</f>
        <v/>
      </c>
      <c r="K5">
        <f>WEO_Data!C5</f>
        <v/>
      </c>
    </row>
    <row r="6">
      <c r="A6" t="n">
        <v>2021</v>
      </c>
      <c r="B6">
        <f>WEO_Data!E6</f>
        <v/>
      </c>
      <c r="K6">
        <f>WEO_Data!C6</f>
        <v/>
      </c>
    </row>
    <row r="7">
      <c r="A7" t="n">
        <v>2022</v>
      </c>
      <c r="B7">
        <f>WEO_Data!E7</f>
        <v/>
      </c>
      <c r="K7">
        <f>WEO_Data!C7</f>
        <v/>
      </c>
    </row>
    <row r="8">
      <c r="A8" t="n">
        <v>2023</v>
      </c>
      <c r="B8">
        <f>WEO_Data!E8</f>
        <v/>
      </c>
      <c r="K8">
        <f>WEO_Data!C8</f>
        <v/>
      </c>
    </row>
    <row r="9">
      <c r="A9" t="n">
        <v>2024</v>
      </c>
      <c r="B9">
        <f>WEO_Data!E9</f>
        <v/>
      </c>
      <c r="K9">
        <f>WEO_Data!C9</f>
        <v/>
      </c>
    </row>
    <row r="10">
      <c r="A10" t="n">
        <v>2025</v>
      </c>
      <c r="B10">
        <f>WEO_Data!E10</f>
        <v/>
      </c>
      <c r="K10">
        <f>WEO_Data!C10</f>
        <v/>
      </c>
    </row>
    <row r="11">
      <c r="A11" t="n">
        <v>2026</v>
      </c>
      <c r="B11">
        <f>WEO_Data!E11</f>
        <v/>
      </c>
      <c r="C11" t="n">
        <v>0.05</v>
      </c>
      <c r="D11">
        <f>$E$30*$E$33*C11</f>
        <v/>
      </c>
      <c r="E11">
        <f>D11*$E$31</f>
        <v/>
      </c>
      <c r="G11">
        <f>D11-E11</f>
        <v/>
      </c>
      <c r="H11">
        <f>$E$32</f>
        <v/>
      </c>
      <c r="I11">
        <f>G11/B11</f>
        <v/>
      </c>
      <c r="K11">
        <f>WEO_Data!C11</f>
        <v/>
      </c>
      <c r="L11">
        <f>=WEO_Data!C11+=G11/B11</f>
        <v/>
      </c>
    </row>
    <row r="12">
      <c r="A12" t="n">
        <v>2027</v>
      </c>
      <c r="B12">
        <f>WEO_Data!E12</f>
        <v/>
      </c>
      <c r="C12" t="n">
        <v>0.1</v>
      </c>
      <c r="D12">
        <f>$E$30*$E$33*C12</f>
        <v/>
      </c>
      <c r="E12">
        <f>D12*$E$31</f>
        <v/>
      </c>
      <c r="G12">
        <f>D12-E12</f>
        <v/>
      </c>
      <c r="H12">
        <f>$E$32</f>
        <v/>
      </c>
      <c r="I12">
        <f>G12/B12</f>
        <v/>
      </c>
      <c r="K12">
        <f>WEO_Data!C12</f>
        <v/>
      </c>
      <c r="L12">
        <f>=WEO_Data!C12+=G12/B12</f>
        <v/>
      </c>
    </row>
    <row r="13">
      <c r="A13" t="n">
        <v>2028</v>
      </c>
      <c r="B13">
        <f>WEO_Data!E13</f>
        <v/>
      </c>
      <c r="C13" t="n">
        <v>0.15</v>
      </c>
      <c r="D13">
        <f>$E$30*$E$33*C13</f>
        <v/>
      </c>
      <c r="E13">
        <f>D13*$E$31</f>
        <v/>
      </c>
      <c r="G13">
        <f>D13-E13</f>
        <v/>
      </c>
      <c r="H13">
        <f>$E$32</f>
        <v/>
      </c>
      <c r="I13">
        <f>G13/B13</f>
        <v/>
      </c>
      <c r="K13">
        <f>WEO_Data!C13</f>
        <v/>
      </c>
      <c r="L13">
        <f>=WEO_Data!C13+=G13/B13</f>
        <v/>
      </c>
    </row>
    <row r="14">
      <c r="A14" t="n">
        <v>2029</v>
      </c>
      <c r="B14">
        <f>WEO_Data!E14</f>
        <v/>
      </c>
      <c r="C14" t="n">
        <v>0.2</v>
      </c>
      <c r="D14">
        <f>$E$30*$E$33*C14</f>
        <v/>
      </c>
      <c r="E14">
        <f>D14*$E$31</f>
        <v/>
      </c>
      <c r="G14">
        <f>D14-E14</f>
        <v/>
      </c>
      <c r="H14">
        <f>$E$32</f>
        <v/>
      </c>
      <c r="I14">
        <f>G14/B14</f>
        <v/>
      </c>
      <c r="K14">
        <f>WEO_Data!C14</f>
        <v/>
      </c>
      <c r="L14">
        <f>=WEO_Data!C14+=G14/B14</f>
        <v/>
      </c>
    </row>
    <row r="15">
      <c r="A15" t="n">
        <v>2030</v>
      </c>
      <c r="B15">
        <f>WEO_Data!E15</f>
        <v/>
      </c>
      <c r="C15" t="n">
        <v>0.2</v>
      </c>
      <c r="D15">
        <f>$E$30*$E$33*C15</f>
        <v/>
      </c>
      <c r="E15">
        <f>D15*$E$31</f>
        <v/>
      </c>
      <c r="G15">
        <f>D15-E15</f>
        <v/>
      </c>
      <c r="H15">
        <f>$E$32</f>
        <v/>
      </c>
      <c r="I15">
        <f>G15/B15</f>
        <v/>
      </c>
      <c r="K15">
        <f>WEO_Data!C15</f>
        <v/>
      </c>
      <c r="L15">
        <f>=WEO_Data!C15+=G15/B15</f>
        <v/>
      </c>
    </row>
    <row r="16">
      <c r="A16" t="n">
        <v>2031</v>
      </c>
      <c r="B16">
        <f>WEO_Data!E16</f>
        <v/>
      </c>
      <c r="C16" t="n">
        <v>0.15</v>
      </c>
      <c r="D16">
        <f>$E$30*$E$33*C16</f>
        <v/>
      </c>
      <c r="E16">
        <f>D16*$E$31</f>
        <v/>
      </c>
      <c r="G16">
        <f>D16-E16</f>
        <v/>
      </c>
      <c r="H16">
        <f>$E$32</f>
        <v/>
      </c>
      <c r="I16">
        <f>G16/B16</f>
        <v/>
      </c>
      <c r="K16">
        <f>WEO_Data!C16</f>
        <v/>
      </c>
      <c r="L16">
        <f>=WEO_Data!C16+=G16/B16</f>
        <v/>
      </c>
    </row>
    <row r="17">
      <c r="A17" t="n">
        <v>2032</v>
      </c>
      <c r="B17">
        <f>WEO_Data!E17</f>
        <v/>
      </c>
      <c r="C17" t="n">
        <v>0.1</v>
      </c>
      <c r="D17">
        <f>$E$30*$E$33*C17</f>
        <v/>
      </c>
      <c r="E17">
        <f>D17*$E$31</f>
        <v/>
      </c>
      <c r="G17">
        <f>D17-E17</f>
        <v/>
      </c>
      <c r="H17">
        <f>$E$32</f>
        <v/>
      </c>
      <c r="I17">
        <f>G17/B17</f>
        <v/>
      </c>
      <c r="K17">
        <f>WEO_Data!C17</f>
        <v/>
      </c>
      <c r="L17">
        <f>=WEO_Data!C17+=G17/B17</f>
        <v/>
      </c>
    </row>
    <row r="18">
      <c r="A18" t="n">
        <v>2033</v>
      </c>
      <c r="B18">
        <f>WEO_Data!E18</f>
        <v/>
      </c>
      <c r="C18" t="n">
        <v>0.05</v>
      </c>
      <c r="D18">
        <f>$E$30*$E$33*C18</f>
        <v/>
      </c>
      <c r="E18">
        <f>D18*$E$31</f>
        <v/>
      </c>
      <c r="G18">
        <f>D18-E18</f>
        <v/>
      </c>
      <c r="H18">
        <f>$E$32</f>
        <v/>
      </c>
      <c r="I18">
        <f>G18/B18</f>
        <v/>
      </c>
      <c r="K18">
        <f>WEO_Data!C18</f>
        <v/>
      </c>
      <c r="L18">
        <f>=WEO_Data!C18+=G18/B18</f>
        <v/>
      </c>
    </row>
    <row r="19">
      <c r="A19" t="n">
        <v>2034</v>
      </c>
      <c r="B19">
        <f>WEO_Data!E19</f>
        <v/>
      </c>
      <c r="K19">
        <f>WEO_Data!C19</f>
        <v/>
      </c>
    </row>
    <row r="20">
      <c r="A20" t="n">
        <v>2035</v>
      </c>
      <c r="B20">
        <f>WEO_Data!E20</f>
        <v/>
      </c>
      <c r="K20">
        <f>WEO_Data!C20</f>
        <v/>
      </c>
    </row>
    <row r="21">
      <c r="A21" t="n">
        <v>2036</v>
      </c>
      <c r="B21">
        <f>WEO_Data!E21</f>
        <v/>
      </c>
      <c r="K21">
        <f>WEO_Data!C21</f>
        <v/>
      </c>
    </row>
    <row r="22">
      <c r="A22" t="n">
        <v>2037</v>
      </c>
      <c r="B22">
        <f>WEO_Data!E22</f>
        <v/>
      </c>
      <c r="K22">
        <f>WEO_Data!C22</f>
        <v/>
      </c>
    </row>
    <row r="23">
      <c r="A23" t="n">
        <v>2038</v>
      </c>
      <c r="B23">
        <f>WEO_Data!E23</f>
        <v/>
      </c>
      <c r="K23">
        <f>WEO_Data!C23</f>
        <v/>
      </c>
    </row>
    <row r="24">
      <c r="A24" t="n">
        <v>2039</v>
      </c>
      <c r="B24">
        <f>WEO_Data!E24</f>
        <v/>
      </c>
      <c r="K24">
        <f>WEO_Data!C24</f>
        <v/>
      </c>
    </row>
    <row r="25">
      <c r="A25" t="n">
        <v>2040</v>
      </c>
      <c r="B25">
        <f>WEO_Data!E25</f>
        <v/>
      </c>
      <c r="K25">
        <f>WEO_Data!C25</f>
        <v/>
      </c>
    </row>
    <row r="26">
      <c r="A26" t="n">
        <v>2041</v>
      </c>
      <c r="B26">
        <f>WEO_Data!E26</f>
        <v/>
      </c>
      <c r="K26">
        <f>WEO_Data!C26</f>
        <v/>
      </c>
    </row>
    <row r="27">
      <c r="A27" t="n">
        <v>2042</v>
      </c>
      <c r="B27">
        <f>WEO_Data!E27</f>
        <v/>
      </c>
      <c r="K27">
        <f>WEO_Data!C27</f>
        <v/>
      </c>
    </row>
    <row r="28">
      <c r="A28" t="n">
        <v>2043</v>
      </c>
      <c r="B28">
        <f>WEO_Data!E28</f>
        <v/>
      </c>
      <c r="K28">
        <f>WEO_Data!C28</f>
        <v/>
      </c>
    </row>
    <row r="29">
      <c r="D29" t="inlineStr">
        <is>
          <t>Assumptions</t>
        </is>
      </c>
    </row>
    <row r="30">
      <c r="D30" t="inlineStr">
        <is>
          <t>Total Investment (USD)</t>
        </is>
      </c>
      <c r="E30" t="n">
        <v>6500000000</v>
      </c>
    </row>
    <row r="31">
      <c r="D31" t="inlineStr">
        <is>
          <t>Import Content Share</t>
        </is>
      </c>
      <c r="E31">
        <f>SUT Calc!D11</f>
        <v/>
      </c>
    </row>
    <row r="32">
      <c r="D32" t="inlineStr">
        <is>
          <t>Demand Multiplier</t>
        </is>
      </c>
      <c r="E32" t="n">
        <v>0.8</v>
      </c>
    </row>
    <row r="33">
      <c r="D33" t="inlineStr">
        <is>
          <t>Exchange Rate</t>
        </is>
      </c>
      <c r="E33" t="n">
        <v>2.746</v>
      </c>
    </row>
    <row r="36">
      <c r="A36" t="inlineStr">
        <is>
          <t>SCENARIO 2: Multiplier = 1.0</t>
        </is>
      </c>
    </row>
    <row r="37">
      <c r="A37" t="inlineStr">
        <is>
          <t>Year</t>
        </is>
      </c>
      <c r="B37" t="inlineStr">
        <is>
          <t>Real GDP</t>
        </is>
      </c>
      <c r="C37" t="inlineStr">
        <is>
          <t>Investment</t>
        </is>
      </c>
      <c r="D37" t="inlineStr">
        <is>
          <t>Imports</t>
        </is>
      </c>
      <c r="E37" t="inlineStr">
        <is>
          <t>I-M</t>
        </is>
      </c>
      <c r="F37" t="inlineStr">
        <is>
          <t>Multiplier</t>
        </is>
      </c>
      <c r="G37" t="inlineStr">
        <is>
          <t>% of GDP</t>
        </is>
      </c>
    </row>
    <row r="38">
      <c r="A38" t="n">
        <v>2020</v>
      </c>
      <c r="B38">
        <f>WEO_Data!E5</f>
        <v/>
      </c>
    </row>
    <row r="39">
      <c r="A39" t="n">
        <v>2021</v>
      </c>
      <c r="B39">
        <f>WEO_Data!E6</f>
        <v/>
      </c>
    </row>
    <row r="40">
      <c r="A40" t="n">
        <v>2022</v>
      </c>
      <c r="B40">
        <f>WEO_Data!E7</f>
        <v/>
      </c>
    </row>
    <row r="41">
      <c r="A41" t="n">
        <v>2023</v>
      </c>
      <c r="B41">
        <f>WEO_Data!E8</f>
        <v/>
      </c>
    </row>
    <row r="42">
      <c r="A42" t="n">
        <v>2024</v>
      </c>
      <c r="B42">
        <f>WEO_Data!E9</f>
        <v/>
      </c>
    </row>
    <row r="43">
      <c r="A43" t="n">
        <v>2025</v>
      </c>
      <c r="B43">
        <f>WEO_Data!E10</f>
        <v/>
      </c>
    </row>
    <row r="44">
      <c r="A44" t="n">
        <v>2026</v>
      </c>
      <c r="B44">
        <f>WEO_Data!E11</f>
        <v/>
      </c>
      <c r="C44">
        <f>$E$30*$E$33*0.05</f>
        <v/>
      </c>
      <c r="D44">
        <f>C44*$E$31</f>
        <v/>
      </c>
      <c r="E44">
        <f>C44-D44</f>
        <v/>
      </c>
      <c r="F44" t="n">
        <v>1</v>
      </c>
      <c r="G44">
        <f>E44/B44</f>
        <v/>
      </c>
    </row>
    <row r="45">
      <c r="A45" t="n">
        <v>2027</v>
      </c>
      <c r="B45">
        <f>WEO_Data!E12</f>
        <v/>
      </c>
      <c r="C45">
        <f>$E$30*$E$33*0.1</f>
        <v/>
      </c>
      <c r="D45">
        <f>C45*$E$31</f>
        <v/>
      </c>
      <c r="E45">
        <f>C45-D45</f>
        <v/>
      </c>
      <c r="F45" t="n">
        <v>1</v>
      </c>
      <c r="G45">
        <f>E45/B45</f>
        <v/>
      </c>
    </row>
    <row r="46">
      <c r="A46" t="n">
        <v>2028</v>
      </c>
      <c r="B46">
        <f>WEO_Data!E13</f>
        <v/>
      </c>
      <c r="C46">
        <f>$E$30*$E$33*0.15</f>
        <v/>
      </c>
      <c r="D46">
        <f>C46*$E$31</f>
        <v/>
      </c>
      <c r="E46">
        <f>C46-D46</f>
        <v/>
      </c>
      <c r="F46" t="n">
        <v>1</v>
      </c>
      <c r="G46">
        <f>E46/B46</f>
        <v/>
      </c>
    </row>
    <row r="47">
      <c r="A47" t="n">
        <v>2029</v>
      </c>
      <c r="B47">
        <f>WEO_Data!E14</f>
        <v/>
      </c>
      <c r="C47">
        <f>$E$30*$E$33*0.2</f>
        <v/>
      </c>
      <c r="D47">
        <f>C47*$E$31</f>
        <v/>
      </c>
      <c r="E47">
        <f>C47-D47</f>
        <v/>
      </c>
      <c r="F47" t="n">
        <v>1</v>
      </c>
      <c r="G47">
        <f>E47/B47</f>
        <v/>
      </c>
    </row>
    <row r="48">
      <c r="A48" t="n">
        <v>2030</v>
      </c>
      <c r="B48">
        <f>WEO_Data!E15</f>
        <v/>
      </c>
      <c r="C48">
        <f>$E$30*$E$33*0.2</f>
        <v/>
      </c>
      <c r="D48">
        <f>C48*$E$31</f>
        <v/>
      </c>
      <c r="E48">
        <f>C48-D48</f>
        <v/>
      </c>
      <c r="F48" t="n">
        <v>1</v>
      </c>
      <c r="G48">
        <f>E48/B48</f>
        <v/>
      </c>
    </row>
    <row r="49">
      <c r="A49" t="n">
        <v>2031</v>
      </c>
      <c r="B49">
        <f>WEO_Data!E16</f>
        <v/>
      </c>
      <c r="C49">
        <f>$E$30*$E$33*0.15</f>
        <v/>
      </c>
      <c r="D49">
        <f>C49*$E$31</f>
        <v/>
      </c>
      <c r="E49">
        <f>C49-D49</f>
        <v/>
      </c>
      <c r="F49" t="n">
        <v>1</v>
      </c>
      <c r="G49">
        <f>E49/B49</f>
        <v/>
      </c>
    </row>
    <row r="50">
      <c r="A50" t="n">
        <v>2032</v>
      </c>
      <c r="B50">
        <f>WEO_Data!E17</f>
        <v/>
      </c>
      <c r="C50">
        <f>$E$30*$E$33*0.1</f>
        <v/>
      </c>
      <c r="D50">
        <f>C50*$E$31</f>
        <v/>
      </c>
      <c r="E50">
        <f>C50-D50</f>
        <v/>
      </c>
      <c r="F50" t="n">
        <v>1</v>
      </c>
      <c r="G50">
        <f>E50/B50</f>
        <v/>
      </c>
    </row>
    <row r="51">
      <c r="A51" t="n">
        <v>2033</v>
      </c>
      <c r="B51">
        <f>WEO_Data!E18</f>
        <v/>
      </c>
      <c r="C51">
        <f>$E$30*$E$33*0.05</f>
        <v/>
      </c>
      <c r="D51">
        <f>C51*$E$31</f>
        <v/>
      </c>
      <c r="E51">
        <f>C51-D51</f>
        <v/>
      </c>
      <c r="F51" t="n">
        <v>1</v>
      </c>
      <c r="G51">
        <f>E51/B51</f>
        <v/>
      </c>
    </row>
    <row r="52">
      <c r="A52" t="n">
        <v>2034</v>
      </c>
      <c r="B52">
        <f>WEO_Data!E19</f>
        <v/>
      </c>
    </row>
    <row r="53">
      <c r="A53" t="n">
        <v>2035</v>
      </c>
      <c r="B53">
        <f>WEO_Data!E20</f>
        <v/>
      </c>
    </row>
    <row r="54">
      <c r="A54" t="n">
        <v>2036</v>
      </c>
      <c r="B54">
        <f>WEO_Data!E21</f>
        <v/>
      </c>
    </row>
    <row r="55">
      <c r="A55" t="n">
        <v>2037</v>
      </c>
      <c r="B55">
        <f>WEO_Data!E22</f>
        <v/>
      </c>
    </row>
    <row r="56">
      <c r="A56" t="n">
        <v>2038</v>
      </c>
      <c r="B56">
        <f>WEO_Data!E23</f>
        <v/>
      </c>
    </row>
    <row r="57">
      <c r="A57" t="n">
        <v>2039</v>
      </c>
      <c r="B57">
        <f>WEO_Data!E24</f>
        <v/>
      </c>
    </row>
    <row r="58">
      <c r="A58" t="n">
        <v>2040</v>
      </c>
      <c r="B58">
        <f>WEO_Data!E25</f>
        <v/>
      </c>
    </row>
    <row r="59">
      <c r="A59" t="n">
        <v>2041</v>
      </c>
      <c r="B59">
        <f>WEO_Data!E26</f>
        <v/>
      </c>
    </row>
    <row r="60">
      <c r="A60" t="n">
        <v>2042</v>
      </c>
      <c r="B60">
        <f>WEO_Data!E27</f>
        <v/>
      </c>
    </row>
    <row r="61">
      <c r="A61" t="n">
        <v>2043</v>
      </c>
      <c r="B61">
        <f>WEO_Data!E28</f>
        <v/>
      </c>
    </row>
    <row r="73">
      <c r="A73" t="inlineStr">
        <is>
          <t>SCENARIO 3: Import Content Share = 0.5</t>
        </is>
      </c>
    </row>
    <row r="74">
      <c r="A74" t="inlineStr">
        <is>
          <t>Year</t>
        </is>
      </c>
      <c r="B74" t="inlineStr">
        <is>
          <t>Real GDP</t>
        </is>
      </c>
      <c r="C74" t="inlineStr">
        <is>
          <t>Investment</t>
        </is>
      </c>
      <c r="D74" t="inlineStr">
        <is>
          <t>Imports</t>
        </is>
      </c>
      <c r="E74" t="inlineStr">
        <is>
          <t>I-M</t>
        </is>
      </c>
      <c r="F74" t="inlineStr">
        <is>
          <t>Import Share</t>
        </is>
      </c>
      <c r="G74" t="inlineStr">
        <is>
          <t>% of GDP</t>
        </is>
      </c>
    </row>
    <row r="75">
      <c r="A75" t="n">
        <v>2020</v>
      </c>
      <c r="B75">
        <f>WEO_Data!E5</f>
        <v/>
      </c>
    </row>
    <row r="76">
      <c r="A76" t="n">
        <v>2021</v>
      </c>
      <c r="B76">
        <f>WEO_Data!E6</f>
        <v/>
      </c>
    </row>
    <row r="77">
      <c r="A77" t="n">
        <v>2022</v>
      </c>
      <c r="B77">
        <f>WEO_Data!E7</f>
        <v/>
      </c>
    </row>
    <row r="78">
      <c r="A78" t="n">
        <v>2023</v>
      </c>
      <c r="B78">
        <f>WEO_Data!E8</f>
        <v/>
      </c>
    </row>
    <row r="79">
      <c r="A79" t="n">
        <v>2024</v>
      </c>
      <c r="B79">
        <f>WEO_Data!E9</f>
        <v/>
      </c>
    </row>
    <row r="80">
      <c r="A80" t="n">
        <v>2025</v>
      </c>
      <c r="B80">
        <f>WEO_Data!E10</f>
        <v/>
      </c>
    </row>
    <row r="81">
      <c r="A81" t="n">
        <v>2026</v>
      </c>
      <c r="B81">
        <f>WEO_Data!E11</f>
        <v/>
      </c>
      <c r="C81">
        <f>$E$30*$E$33*0.05</f>
        <v/>
      </c>
      <c r="D81">
        <f>C81*0.5</f>
        <v/>
      </c>
      <c r="E81">
        <f>C81-D81</f>
        <v/>
      </c>
      <c r="F81" t="n">
        <v>0.5</v>
      </c>
      <c r="G81">
        <f>E81/B81</f>
        <v/>
      </c>
    </row>
    <row r="82">
      <c r="A82" t="n">
        <v>2027</v>
      </c>
      <c r="B82">
        <f>WEO_Data!E12</f>
        <v/>
      </c>
      <c r="C82">
        <f>$E$30*$E$33*0.1</f>
        <v/>
      </c>
      <c r="D82">
        <f>C82*0.5</f>
        <v/>
      </c>
      <c r="E82">
        <f>C82-D82</f>
        <v/>
      </c>
      <c r="F82" t="n">
        <v>0.5</v>
      </c>
      <c r="G82">
        <f>E82/B82</f>
        <v/>
      </c>
    </row>
    <row r="83">
      <c r="A83" t="n">
        <v>2028</v>
      </c>
      <c r="B83">
        <f>WEO_Data!E13</f>
        <v/>
      </c>
      <c r="C83">
        <f>$E$30*$E$33*0.15</f>
        <v/>
      </c>
      <c r="D83">
        <f>C83*0.5</f>
        <v/>
      </c>
      <c r="E83">
        <f>C83-D83</f>
        <v/>
      </c>
      <c r="F83" t="n">
        <v>0.5</v>
      </c>
      <c r="G83">
        <f>E83/B83</f>
        <v/>
      </c>
    </row>
    <row r="84">
      <c r="A84" t="n">
        <v>2029</v>
      </c>
      <c r="B84">
        <f>WEO_Data!E14</f>
        <v/>
      </c>
      <c r="C84">
        <f>$E$30*$E$33*0.2</f>
        <v/>
      </c>
      <c r="D84">
        <f>C84*0.5</f>
        <v/>
      </c>
      <c r="E84">
        <f>C84-D84</f>
        <v/>
      </c>
      <c r="F84" t="n">
        <v>0.5</v>
      </c>
      <c r="G84">
        <f>E84/B84</f>
        <v/>
      </c>
    </row>
    <row r="85">
      <c r="A85" t="n">
        <v>2030</v>
      </c>
      <c r="B85">
        <f>WEO_Data!E15</f>
        <v/>
      </c>
      <c r="C85">
        <f>$E$30*$E$33*0.2</f>
        <v/>
      </c>
      <c r="D85">
        <f>C85*0.5</f>
        <v/>
      </c>
      <c r="E85">
        <f>C85-D85</f>
        <v/>
      </c>
      <c r="F85" t="n">
        <v>0.5</v>
      </c>
      <c r="G85">
        <f>E85/B85</f>
        <v/>
      </c>
    </row>
    <row r="86">
      <c r="A86" t="n">
        <v>2031</v>
      </c>
      <c r="B86">
        <f>WEO_Data!E16</f>
        <v/>
      </c>
      <c r="C86">
        <f>$E$30*$E$33*0.15</f>
        <v/>
      </c>
      <c r="D86">
        <f>C86*0.5</f>
        <v/>
      </c>
      <c r="E86">
        <f>C86-D86</f>
        <v/>
      </c>
      <c r="F86" t="n">
        <v>0.5</v>
      </c>
      <c r="G86">
        <f>E86/B86</f>
        <v/>
      </c>
    </row>
    <row r="87">
      <c r="A87" t="n">
        <v>2032</v>
      </c>
      <c r="B87">
        <f>WEO_Data!E17</f>
        <v/>
      </c>
      <c r="C87">
        <f>$E$30*$E$33*0.1</f>
        <v/>
      </c>
      <c r="D87">
        <f>C87*0.5</f>
        <v/>
      </c>
      <c r="E87">
        <f>C87-D87</f>
        <v/>
      </c>
      <c r="F87" t="n">
        <v>0.5</v>
      </c>
      <c r="G87">
        <f>E87/B87</f>
        <v/>
      </c>
    </row>
    <row r="88">
      <c r="A88" t="n">
        <v>2033</v>
      </c>
      <c r="B88">
        <f>WEO_Data!E18</f>
        <v/>
      </c>
      <c r="C88">
        <f>$E$30*$E$33*0.05</f>
        <v/>
      </c>
      <c r="D88">
        <f>C88*0.5</f>
        <v/>
      </c>
      <c r="E88">
        <f>C88-D88</f>
        <v/>
      </c>
      <c r="F88" t="n">
        <v>0.5</v>
      </c>
      <c r="G88">
        <f>E88/B88</f>
        <v/>
      </c>
    </row>
    <row r="89">
      <c r="A89" t="n">
        <v>2034</v>
      </c>
      <c r="B89">
        <f>WEO_Data!E19</f>
        <v/>
      </c>
    </row>
    <row r="90">
      <c r="A90" t="n">
        <v>2035</v>
      </c>
      <c r="B90">
        <f>WEO_Data!E20</f>
        <v/>
      </c>
    </row>
    <row r="91">
      <c r="A91" t="n">
        <v>2036</v>
      </c>
      <c r="B91">
        <f>WEO_Data!E21</f>
        <v/>
      </c>
    </row>
    <row r="92">
      <c r="A92" t="n">
        <v>2037</v>
      </c>
      <c r="B92">
        <f>WEO_Data!E22</f>
        <v/>
      </c>
    </row>
    <row r="93">
      <c r="A93" t="n">
        <v>2038</v>
      </c>
      <c r="B93">
        <f>WEO_Data!E23</f>
        <v/>
      </c>
    </row>
    <row r="94">
      <c r="A94" t="n">
        <v>2039</v>
      </c>
      <c r="B94">
        <f>WEO_Data!E24</f>
        <v/>
      </c>
    </row>
    <row r="95">
      <c r="A95" t="n">
        <v>2040</v>
      </c>
      <c r="B95">
        <f>WEO_Data!E25</f>
        <v/>
      </c>
    </row>
    <row r="96">
      <c r="A96" t="n">
        <v>2041</v>
      </c>
      <c r="B96">
        <f>WEO_Data!E26</f>
        <v/>
      </c>
    </row>
    <row r="97">
      <c r="A97" t="n">
        <v>2042</v>
      </c>
      <c r="B97">
        <f>WEO_Data!E27</f>
        <v/>
      </c>
    </row>
    <row r="98">
      <c r="A98" t="n">
        <v>2043</v>
      </c>
      <c r="B98">
        <f>WEO_Data!E28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2026-01-27T07:23:45Z</dcterms:created>
  <dcterms:modified xsi:type="dcterms:W3CDTF">2026-01-27T07:23:45Z</dcterms:modified>
</cp:coreProperties>
</file>