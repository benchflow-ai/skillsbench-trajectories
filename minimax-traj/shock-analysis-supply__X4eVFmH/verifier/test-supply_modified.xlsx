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_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t="inlineStr">
        <is>
          <t>Year</t>
        </is>
      </c>
      <c r="B1" t="inlineStr">
        <is>
          <t>Real GDP (USD 2015)</t>
        </is>
      </c>
      <c r="C1" t="inlineStr">
        <is>
          <t>Capital Stock (USD 2015)</t>
        </is>
      </c>
    </row>
    <row r="2">
      <c r="A2" t="n">
        <v>2000</v>
      </c>
      <c r="B2" t="n">
        <v>6370000000</v>
      </c>
      <c r="C2" t="n">
        <v>15925000000</v>
      </c>
    </row>
    <row r="3">
      <c r="A3" t="n">
        <v>2001</v>
      </c>
      <c r="B3" t="n">
        <v>6670000000</v>
      </c>
      <c r="C3" t="n">
        <v>17045000000</v>
      </c>
    </row>
    <row r="4">
      <c r="A4" t="n">
        <v>2002</v>
      </c>
      <c r="B4" t="n">
        <v>7040000000</v>
      </c>
      <c r="C4" t="n">
        <v>18215000000</v>
      </c>
    </row>
    <row r="5">
      <c r="A5" t="n">
        <v>2003</v>
      </c>
      <c r="B5" t="n">
        <v>7810000000</v>
      </c>
      <c r="C5" t="n">
        <v>20306000000</v>
      </c>
    </row>
    <row r="6">
      <c r="A6" t="n">
        <v>2004</v>
      </c>
      <c r="B6" t="n">
        <v>8270000000</v>
      </c>
      <c r="C6" t="n">
        <v>21347000000</v>
      </c>
    </row>
    <row r="7">
      <c r="A7" t="n">
        <v>2005</v>
      </c>
      <c r="B7" t="n">
        <v>9060000000</v>
      </c>
      <c r="C7" t="n">
        <v>22758000000</v>
      </c>
    </row>
    <row r="8">
      <c r="A8" t="n">
        <v>2006</v>
      </c>
      <c r="B8" t="n">
        <v>9910000000</v>
      </c>
      <c r="C8" t="n">
        <v>24172000000</v>
      </c>
    </row>
    <row r="9">
      <c r="A9" t="n">
        <v>2007</v>
      </c>
      <c r="B9" t="n">
        <v>11160000000</v>
      </c>
      <c r="C9" t="n">
        <v>26175000000</v>
      </c>
    </row>
    <row r="10">
      <c r="A10" t="n">
        <v>2008</v>
      </c>
      <c r="B10" t="n">
        <v>11430000000</v>
      </c>
      <c r="C10" t="n">
        <v>26631000000</v>
      </c>
    </row>
    <row r="11">
      <c r="A11" t="n">
        <v>2009</v>
      </c>
      <c r="B11" t="n">
        <v>11010000000</v>
      </c>
      <c r="C11" t="n">
        <v>25887000000</v>
      </c>
    </row>
    <row r="12">
      <c r="A12" t="n">
        <v>2010</v>
      </c>
      <c r="B12" t="n">
        <v>11700000000</v>
      </c>
      <c r="C12" t="n">
        <v>27184000000</v>
      </c>
    </row>
    <row r="13">
      <c r="A13" t="n">
        <v>2011</v>
      </c>
      <c r="B13" t="n">
        <v>12630000000</v>
      </c>
      <c r="C13" t="n">
        <v>29019000000</v>
      </c>
    </row>
    <row r="14">
      <c r="A14" t="n">
        <v>2012</v>
      </c>
      <c r="B14" t="n">
        <v>13460000000</v>
      </c>
      <c r="C14" t="n">
        <v>30638000000</v>
      </c>
    </row>
    <row r="15">
      <c r="A15" t="n">
        <v>2013</v>
      </c>
      <c r="B15" t="n">
        <v>14150000000</v>
      </c>
      <c r="C15" t="n">
        <v>32021000000</v>
      </c>
    </row>
    <row r="16">
      <c r="A16" t="n">
        <v>2014</v>
      </c>
      <c r="B16" t="n">
        <v>14730000000</v>
      </c>
      <c r="C16" t="n">
        <v>33198000000</v>
      </c>
    </row>
    <row r="17">
      <c r="A17" t="n">
        <v>2015</v>
      </c>
      <c r="B17" t="n">
        <v>15220000000</v>
      </c>
      <c r="C17" t="n">
        <v>34184000000</v>
      </c>
    </row>
    <row r="18">
      <c r="A18" t="n">
        <v>2016</v>
      </c>
      <c r="B18" t="n">
        <v>15750000000</v>
      </c>
      <c r="C18" t="n">
        <v>35283000000</v>
      </c>
    </row>
    <row r="19">
      <c r="A19" t="n">
        <v>2017</v>
      </c>
      <c r="B19" t="n">
        <v>16560000000</v>
      </c>
      <c r="C19" t="n">
        <v>36856000000</v>
      </c>
    </row>
    <row r="20">
      <c r="A20" t="n">
        <v>2018</v>
      </c>
      <c r="B20" t="n">
        <v>17570000000</v>
      </c>
      <c r="C20" t="n">
        <v>38795000000</v>
      </c>
    </row>
    <row r="21">
      <c r="A21" t="n">
        <v>2019</v>
      </c>
      <c r="B21" t="n">
        <v>18510000000</v>
      </c>
      <c r="C21" t="n">
        <v>40534000000</v>
      </c>
    </row>
    <row r="22">
      <c r="A22" t="n">
        <v>2020</v>
      </c>
      <c r="B22" t="n">
        <v>17350000000</v>
      </c>
      <c r="C22" t="n">
        <v>38053000000</v>
      </c>
    </row>
    <row r="23">
      <c r="A23" t="n">
        <v>2021</v>
      </c>
      <c r="B23" t="n">
        <v>19190000000</v>
      </c>
      <c r="C23" t="n">
        <v>41564000000</v>
      </c>
    </row>
    <row r="24">
      <c r="A24" t="n">
        <v>2022</v>
      </c>
      <c r="B24" t="n">
        <v>21300000000</v>
      </c>
      <c r="C24" t="n">
        <v>44958000000</v>
      </c>
    </row>
    <row r="25">
      <c r="A25" t="n">
        <v>2023</v>
      </c>
      <c r="B25" t="n">
        <v>22960000000</v>
      </c>
      <c r="C25" t="n">
        <v>47676000000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t="inlineStr">
        <is>
          <t>Year</t>
        </is>
      </c>
      <c r="B1" t="inlineStr">
        <is>
          <t>Real GDP Level (USD 2015)</t>
        </is>
      </c>
      <c r="C1" t="inlineStr">
        <is>
          <t>Real GDP Growth Rate (%)</t>
        </is>
      </c>
    </row>
    <row r="2">
      <c r="A2" t="n">
        <v>2000</v>
      </c>
      <c r="B2" t="n">
        <v>6370000000</v>
      </c>
      <c r="C2" t="n">
        <v>1.84</v>
      </c>
    </row>
    <row r="3">
      <c r="A3" t="n">
        <v>2001</v>
      </c>
      <c r="B3" t="n">
        <v>6670000000</v>
      </c>
      <c r="C3" t="n">
        <v>4.81</v>
      </c>
    </row>
    <row r="4">
      <c r="A4" t="n">
        <v>2002</v>
      </c>
      <c r="B4" t="n">
        <v>7040000000</v>
      </c>
      <c r="C4" t="n">
        <v>5.47</v>
      </c>
    </row>
    <row r="5">
      <c r="A5" t="n">
        <v>2003</v>
      </c>
      <c r="B5" t="n">
        <v>7810000000</v>
      </c>
      <c r="C5" t="n">
        <v>11.06</v>
      </c>
    </row>
    <row r="6">
      <c r="A6" t="n">
        <v>2004</v>
      </c>
      <c r="B6" t="n">
        <v>8270000000</v>
      </c>
      <c r="C6" t="n">
        <v>5.79</v>
      </c>
    </row>
    <row r="7">
      <c r="A7" t="n">
        <v>2005</v>
      </c>
      <c r="B7" t="n">
        <v>9060000000</v>
      </c>
      <c r="C7" t="n">
        <v>9.59</v>
      </c>
    </row>
    <row r="8">
      <c r="A8" t="n">
        <v>2006</v>
      </c>
      <c r="B8" t="n">
        <v>9910000000</v>
      </c>
      <c r="C8" t="n">
        <v>9.42</v>
      </c>
    </row>
    <row r="9">
      <c r="A9" t="n">
        <v>2007</v>
      </c>
      <c r="B9" t="n">
        <v>11160000000</v>
      </c>
      <c r="C9" t="n">
        <v>12.58</v>
      </c>
    </row>
    <row r="10">
      <c r="A10" t="n">
        <v>2008</v>
      </c>
      <c r="B10" t="n">
        <v>11430000000</v>
      </c>
      <c r="C10" t="n">
        <v>2.42</v>
      </c>
    </row>
    <row r="11">
      <c r="A11" t="n">
        <v>2009</v>
      </c>
      <c r="B11" t="n">
        <v>11010000000</v>
      </c>
      <c r="C11" t="n">
        <v>-3.65</v>
      </c>
    </row>
    <row r="12">
      <c r="A12" t="n">
        <v>2010</v>
      </c>
      <c r="B12" t="n">
        <v>11700000000</v>
      </c>
      <c r="C12" t="n">
        <v>6.25</v>
      </c>
    </row>
    <row r="13">
      <c r="A13" t="n">
        <v>2011</v>
      </c>
      <c r="B13" t="n">
        <v>12630000000</v>
      </c>
      <c r="C13" t="n">
        <v>7.93</v>
      </c>
    </row>
    <row r="14">
      <c r="A14" t="n">
        <v>2012</v>
      </c>
      <c r="B14" t="n">
        <v>13460000000</v>
      </c>
      <c r="C14" t="n">
        <v>6.58</v>
      </c>
    </row>
    <row r="15">
      <c r="A15" t="n">
        <v>2013</v>
      </c>
      <c r="B15" t="n">
        <v>14150000000</v>
      </c>
      <c r="C15" t="n">
        <v>5.13</v>
      </c>
    </row>
    <row r="16">
      <c r="A16" t="n">
        <v>2014</v>
      </c>
      <c r="B16" t="n">
        <v>14730000000</v>
      </c>
      <c r="C16" t="n">
        <v>4.09</v>
      </c>
    </row>
    <row r="17">
      <c r="A17" t="n">
        <v>2015</v>
      </c>
      <c r="B17" t="n">
        <v>15220000000</v>
      </c>
      <c r="C17" t="n">
        <v>3.35</v>
      </c>
    </row>
    <row r="18">
      <c r="A18" t="n">
        <v>2016</v>
      </c>
      <c r="B18" t="n">
        <v>15750000000</v>
      </c>
      <c r="C18" t="n">
        <v>3.45</v>
      </c>
    </row>
    <row r="19">
      <c r="A19" t="n">
        <v>2017</v>
      </c>
      <c r="B19" t="n">
        <v>16560000000</v>
      </c>
      <c r="C19" t="n">
        <v>5.16</v>
      </c>
    </row>
    <row r="20">
      <c r="A20" t="n">
        <v>2018</v>
      </c>
      <c r="B20" t="n">
        <v>17570000000</v>
      </c>
      <c r="C20" t="n">
        <v>6.06</v>
      </c>
    </row>
    <row r="21">
      <c r="A21" t="n">
        <v>2019</v>
      </c>
      <c r="B21" t="n">
        <v>18510000000</v>
      </c>
      <c r="C21" t="n">
        <v>5.38</v>
      </c>
    </row>
    <row r="22">
      <c r="A22" t="n">
        <v>2020</v>
      </c>
      <c r="B22" t="n">
        <v>17350000000</v>
      </c>
      <c r="C22" t="n">
        <v>-6.29</v>
      </c>
    </row>
    <row r="23">
      <c r="A23" t="n">
        <v>2021</v>
      </c>
      <c r="B23" t="n">
        <v>19190000000</v>
      </c>
      <c r="C23" t="n">
        <v>10.64</v>
      </c>
    </row>
    <row r="24">
      <c r="A24" t="n">
        <v>2022</v>
      </c>
      <c r="B24" t="n">
        <v>21300000000</v>
      </c>
      <c r="C24" t="n">
        <v>10.96</v>
      </c>
    </row>
    <row r="25">
      <c r="A25" t="n">
        <v>2023</v>
      </c>
      <c r="B25" t="n">
        <v>22960000000</v>
      </c>
      <c r="C25" t="n">
        <v>7.83</v>
      </c>
    </row>
    <row r="26">
      <c r="A26" t="n">
        <v>2024</v>
      </c>
      <c r="B26" t="n">
        <v>25190000000</v>
      </c>
      <c r="C26" t="n">
        <v>9.68</v>
      </c>
    </row>
    <row r="27">
      <c r="A27" t="n">
        <v>2025</v>
      </c>
      <c r="B27">
        <f>B26*(1+C26/100)</f>
        <v/>
      </c>
    </row>
    <row r="28">
      <c r="A28" t="n">
        <v>2026</v>
      </c>
      <c r="B28">
        <f>B27*(1+C27/100)</f>
        <v/>
      </c>
    </row>
    <row r="29">
      <c r="A29" t="n">
        <v>2027</v>
      </c>
      <c r="B29">
        <f>B28*(1+C28/100)</f>
        <v/>
      </c>
      <c r="C29">
        <f>C26</f>
        <v/>
      </c>
    </row>
    <row r="30">
      <c r="A30" t="n">
        <v>2028</v>
      </c>
      <c r="B30">
        <f>B29*(1+C29/100)</f>
        <v/>
      </c>
      <c r="C30">
        <f>C26</f>
        <v/>
      </c>
    </row>
    <row r="31">
      <c r="A31" t="n">
        <v>2029</v>
      </c>
      <c r="B31">
        <f>B30*(1+C30/100)</f>
        <v/>
      </c>
      <c r="C31">
        <f>C26</f>
        <v/>
      </c>
    </row>
    <row r="32">
      <c r="A32" t="n">
        <v>2030</v>
      </c>
      <c r="B32">
        <f>B31*(1+C31/100)</f>
        <v/>
      </c>
      <c r="C32">
        <f>C26</f>
        <v/>
      </c>
    </row>
    <row r="33">
      <c r="A33" t="n">
        <v>2031</v>
      </c>
      <c r="B33">
        <f>B32*(1+C32/100)</f>
        <v/>
      </c>
      <c r="C33">
        <f>C26</f>
        <v/>
      </c>
    </row>
    <row r="34">
      <c r="A34" t="n">
        <v>2032</v>
      </c>
      <c r="B34">
        <f>B33*(1+C33/100)</f>
        <v/>
      </c>
      <c r="C34">
        <f>C26</f>
        <v/>
      </c>
    </row>
    <row r="35">
      <c r="A35" t="n">
        <v>2033</v>
      </c>
      <c r="B35">
        <f>B34*(1+C34/100)</f>
        <v/>
      </c>
      <c r="C35">
        <f>C26</f>
        <v/>
      </c>
    </row>
    <row r="36">
      <c r="A36" t="n">
        <v>2034</v>
      </c>
      <c r="B36">
        <f>B35*(1+C35/100)</f>
        <v/>
      </c>
      <c r="C36">
        <f>C26</f>
        <v/>
      </c>
    </row>
    <row r="37">
      <c r="A37" t="n">
        <v>2035</v>
      </c>
      <c r="B37">
        <f>B36*(1+C36/100)</f>
        <v/>
      </c>
      <c r="C37">
        <f>C26</f>
        <v/>
      </c>
    </row>
    <row r="38">
      <c r="A38" t="n">
        <v>2036</v>
      </c>
      <c r="B38">
        <f>B37*(1+C37/100)</f>
        <v/>
      </c>
      <c r="C38">
        <f>C26</f>
        <v/>
      </c>
    </row>
    <row r="39">
      <c r="A39" t="n">
        <v>2037</v>
      </c>
      <c r="B39">
        <f>B38*(1+C38/100)</f>
        <v/>
      </c>
      <c r="C39">
        <f>C26</f>
        <v/>
      </c>
    </row>
    <row r="40">
      <c r="A40" t="n">
        <v>2038</v>
      </c>
      <c r="B40">
        <f>B39*(1+C39/100)</f>
        <v/>
      </c>
      <c r="C40">
        <f>C26</f>
        <v/>
      </c>
    </row>
    <row r="41">
      <c r="A41" t="n">
        <v>2039</v>
      </c>
      <c r="B41">
        <f>B40*(1+C40/100)</f>
        <v/>
      </c>
      <c r="C41">
        <f>C26</f>
        <v/>
      </c>
    </row>
    <row r="42">
      <c r="A42" t="n">
        <v>2040</v>
      </c>
      <c r="B42">
        <f>B41*(1+C41/100)</f>
        <v/>
      </c>
      <c r="C42">
        <f>C26</f>
        <v/>
      </c>
    </row>
    <row r="43">
      <c r="A43" t="n">
        <v>2041</v>
      </c>
      <c r="B43">
        <f>B42*(1+C42/100)</f>
        <v/>
      </c>
      <c r="C43">
        <f>C26</f>
        <v/>
      </c>
    </row>
    <row r="44">
      <c r="A44" t="n">
        <v>2042</v>
      </c>
      <c r="B44">
        <f>B43*(1+C43/100)</f>
        <v/>
      </c>
      <c r="C44">
        <f>C26</f>
        <v/>
      </c>
    </row>
    <row r="45">
      <c r="A45" t="n">
        <v>2043</v>
      </c>
      <c r="B45">
        <f>B44*(1+C44/100)</f>
        <v/>
      </c>
      <c r="C45">
        <f>C26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t="inlineStr">
        <is>
          <t>Year</t>
        </is>
      </c>
      <c r="B1" t="inlineStr">
        <is>
          <t>Capital Stock (from PWT)</t>
        </is>
      </c>
      <c r="C1" t="inlineStr">
        <is>
          <t>Consumption of Fixed Capital (ECB)</t>
        </is>
      </c>
      <c r="D1" t="inlineStr">
        <is>
          <t>Depreciation Rate (%)</t>
        </is>
      </c>
    </row>
    <row r="2">
      <c r="A2" t="n">
        <v>2000</v>
      </c>
      <c r="B2" t="n">
        <v>15925000000</v>
      </c>
      <c r="C2" t="n">
        <v>631701000.89</v>
      </c>
      <c r="D2">
        <f>C2/B2*100</f>
        <v/>
      </c>
    </row>
    <row r="3">
      <c r="A3" t="n">
        <v>2001</v>
      </c>
      <c r="B3" t="n">
        <v>17045000000</v>
      </c>
      <c r="C3" t="n">
        <v>706983726.79</v>
      </c>
      <c r="D3">
        <f>C3/B3*100</f>
        <v/>
      </c>
    </row>
    <row r="4">
      <c r="A4" t="n">
        <v>2002</v>
      </c>
      <c r="B4" t="n">
        <v>18215000000</v>
      </c>
      <c r="C4" t="n">
        <v>790112565.2</v>
      </c>
      <c r="D4">
        <f>C4/B4*100</f>
        <v/>
      </c>
    </row>
    <row r="5">
      <c r="A5" t="n">
        <v>2003</v>
      </c>
      <c r="B5" t="n">
        <v>20306000000</v>
      </c>
      <c r="C5" t="n">
        <v>932916219.67</v>
      </c>
      <c r="D5">
        <f>C5/B5*100</f>
        <v/>
      </c>
    </row>
    <row r="6">
      <c r="A6" t="n">
        <v>2004</v>
      </c>
      <c r="B6" t="n">
        <v>21347000000</v>
      </c>
      <c r="C6" t="n">
        <v>976818537.8</v>
      </c>
      <c r="D6">
        <f>C6/B6*100</f>
        <v/>
      </c>
    </row>
    <row r="7">
      <c r="A7" t="n">
        <v>2005</v>
      </c>
      <c r="B7" t="n">
        <v>22758000000</v>
      </c>
      <c r="C7" t="n">
        <v>1113450058.59</v>
      </c>
      <c r="D7">
        <f>C7/B7*100</f>
        <v/>
      </c>
    </row>
    <row r="8">
      <c r="A8" t="n">
        <v>2006</v>
      </c>
      <c r="B8" t="n">
        <v>24172000000</v>
      </c>
      <c r="C8" t="n">
        <v>1306373084.13</v>
      </c>
      <c r="D8">
        <f>C8/B8*100</f>
        <v/>
      </c>
    </row>
    <row r="9">
      <c r="A9" t="n">
        <v>2007</v>
      </c>
      <c r="B9" t="n">
        <v>26175000000</v>
      </c>
      <c r="C9" t="n">
        <v>1617029966.26</v>
      </c>
      <c r="D9">
        <f>C9/B9*100</f>
        <v/>
      </c>
    </row>
    <row r="10">
      <c r="A10" t="n">
        <v>2008</v>
      </c>
      <c r="B10" t="n">
        <v>26631000000</v>
      </c>
      <c r="C10" t="n">
        <v>1758049267.67</v>
      </c>
      <c r="D10">
        <f>C10/B10*100</f>
        <v/>
      </c>
    </row>
    <row r="11">
      <c r="A11" t="n">
        <v>2009</v>
      </c>
      <c r="B11" t="n">
        <v>25887000000</v>
      </c>
      <c r="C11" t="n">
        <v>1751366684.88</v>
      </c>
      <c r="D11">
        <f>C11/B11*100</f>
        <v/>
      </c>
    </row>
    <row r="12">
      <c r="A12" t="n">
        <v>2010</v>
      </c>
      <c r="B12" t="n">
        <v>27184000000</v>
      </c>
      <c r="C12" t="n">
        <v>2046413234.67</v>
      </c>
      <c r="D12">
        <f>C12/B12*100</f>
        <v/>
      </c>
    </row>
    <row r="13">
      <c r="A13" t="n">
        <v>2011</v>
      </c>
      <c r="B13" t="n">
        <v>29019000000</v>
      </c>
      <c r="C13" t="n">
        <v>2350512405.91</v>
      </c>
      <c r="D13">
        <f>C13/B13*100</f>
        <v/>
      </c>
    </row>
    <row r="14">
      <c r="A14" t="n">
        <v>2012</v>
      </c>
      <c r="B14" t="n">
        <v>30638000000</v>
      </c>
      <c r="C14" t="n">
        <v>2643602887.97</v>
      </c>
      <c r="D14">
        <f>C14/B14*100</f>
        <v/>
      </c>
    </row>
    <row r="15">
      <c r="A15" t="n">
        <v>2013</v>
      </c>
      <c r="B15" t="n">
        <v>32021000000</v>
      </c>
      <c r="C15" t="n">
        <v>1555932152.32</v>
      </c>
      <c r="D15">
        <f>C15/B15*100</f>
        <v/>
      </c>
    </row>
    <row r="16">
      <c r="A16" t="n">
        <v>2014</v>
      </c>
      <c r="B16" t="n">
        <v>33198000000</v>
      </c>
      <c r="C16" t="n">
        <v>2984890468.69</v>
      </c>
      <c r="D16">
        <f>C16/B16*100</f>
        <v/>
      </c>
    </row>
    <row r="17">
      <c r="A17" t="n">
        <v>2015</v>
      </c>
      <c r="B17" t="n">
        <v>34184000000</v>
      </c>
      <c r="C17" t="n">
        <v>3657280672.54</v>
      </c>
      <c r="D17">
        <f>C17/B17*100</f>
        <v/>
      </c>
    </row>
    <row r="18">
      <c r="A18" t="n">
        <v>2016</v>
      </c>
      <c r="B18" t="n">
        <v>35283000000</v>
      </c>
      <c r="C18" t="n">
        <v>4004828719.85</v>
      </c>
      <c r="D18">
        <f>C18/B18*100</f>
        <v/>
      </c>
    </row>
    <row r="19">
      <c r="A19" t="n">
        <v>2017</v>
      </c>
      <c r="B19" t="n">
        <v>36856000000</v>
      </c>
      <c r="C19" t="n">
        <v>4492921334.91</v>
      </c>
      <c r="D19">
        <f>C19/B19*100</f>
        <v/>
      </c>
    </row>
    <row r="20">
      <c r="A20" t="n">
        <v>2018</v>
      </c>
      <c r="B20" t="n">
        <v>38795000000</v>
      </c>
      <c r="C20" t="n">
        <v>4843616440.29</v>
      </c>
      <c r="D20">
        <f>C20/B20*100</f>
        <v/>
      </c>
    </row>
    <row r="21">
      <c r="A21" t="n">
        <v>2019</v>
      </c>
      <c r="B21" t="n">
        <v>40534000000</v>
      </c>
      <c r="C21" t="n">
        <v>5452957379.35</v>
      </c>
      <c r="D21">
        <f>C21/B21*100</f>
        <v/>
      </c>
    </row>
    <row r="22">
      <c r="A22" t="n">
        <v>2020</v>
      </c>
      <c r="B22" t="n">
        <v>38053000000</v>
      </c>
      <c r="C22" t="n">
        <v>6152769261.62</v>
      </c>
      <c r="D22">
        <f>C22/B22*100</f>
        <v/>
      </c>
    </row>
    <row r="23">
      <c r="A23" t="n">
        <v>2021</v>
      </c>
      <c r="B23" t="n">
        <v>41564000000</v>
      </c>
      <c r="C23" t="n">
        <v>7072625348.9</v>
      </c>
      <c r="D23">
        <f>C23/B23*100</f>
        <v/>
      </c>
    </row>
    <row r="24">
      <c r="A24" t="n">
        <v>2022</v>
      </c>
      <c r="B24" t="n">
        <v>44958000000</v>
      </c>
      <c r="C24" t="n">
        <v>7661448474.88</v>
      </c>
      <c r="D24">
        <f>C24/B24*100</f>
        <v/>
      </c>
    </row>
    <row r="25">
      <c r="A25" t="n">
        <v>2023</v>
      </c>
      <c r="B25" t="n">
        <v>47676000000</v>
      </c>
      <c r="C25" t="n">
        <v>9410657843.709999</v>
      </c>
      <c r="D25">
        <f>C25/B25*100</f>
        <v/>
      </c>
    </row>
    <row r="27">
      <c r="A27" t="inlineStr">
        <is>
          <t>Avg Depreciation (2016-2023)</t>
        </is>
      </c>
      <c r="B27">
        <f>AVERAGE(D19:D26)</f>
        <v/>
      </c>
      <c r="C27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GEORGIA PRODUCTION FUNCTION ANALYSIS</t>
        </is>
      </c>
    </row>
    <row r="3">
      <c r="A3" t="inlineStr">
        <is>
          <t>Annual Depreciation Rate</t>
        </is>
      </c>
      <c r="B3">
        <f>CFC_data.B27</f>
        <v/>
      </c>
      <c r="C3" t="inlineStr">
        <is>
          <t>%</t>
        </is>
      </c>
    </row>
    <row r="5">
      <c r="A5" t="inlineStr">
        <is>
          <t>Year</t>
        </is>
      </c>
      <c r="B5" t="inlineStr">
        <is>
          <t>K (Capital Stock)</t>
        </is>
      </c>
      <c r="C5" t="inlineStr">
        <is>
          <t>Y (Real GDP)</t>
        </is>
      </c>
      <c r="D5" t="inlineStr">
        <is>
          <t>Ln(K)</t>
        </is>
      </c>
      <c r="E5" t="inlineStr">
        <is>
          <t>Ln(Y)</t>
        </is>
      </c>
      <c r="F5" t="inlineStr">
        <is>
          <t>Ln(Z)</t>
        </is>
      </c>
      <c r="H5" t="inlineStr">
        <is>
          <t>HP Filter Section</t>
        </is>
      </c>
      <c r="P5">
        <f>SUM(K6:K26)</f>
        <v/>
      </c>
    </row>
    <row r="6">
      <c r="A6" t="n">
        <v>2002</v>
      </c>
      <c r="B6">
        <f>PWT.C4</f>
        <v/>
      </c>
      <c r="C6">
        <f>WEO_Data.B4</f>
        <v/>
      </c>
      <c r="D6">
        <f>LN(B6)</f>
        <v/>
      </c>
      <c r="E6">
        <f>LN(C6)</f>
        <v/>
      </c>
      <c r="F6">
        <f>E6-0.35*D6</f>
        <v/>
      </c>
      <c r="H6">
        <f>F6</f>
        <v/>
      </c>
      <c r="I6">
        <f>I6</f>
        <v/>
      </c>
      <c r="J6">
        <f>I6-I7</f>
        <v/>
      </c>
      <c r="K6">
        <f>IF(AND(I6&lt;&gt;"",I7&lt;&gt;"",I8&lt;&gt;""),J6^2,0)</f>
        <v/>
      </c>
    </row>
    <row r="7">
      <c r="A7" t="n">
        <v>2003</v>
      </c>
      <c r="B7">
        <f>PWT.C5</f>
        <v/>
      </c>
      <c r="C7">
        <f>WEO_Data.B5</f>
        <v/>
      </c>
      <c r="D7">
        <f>LN(B7)</f>
        <v/>
      </c>
      <c r="E7">
        <f>LN(C7)</f>
        <v/>
      </c>
      <c r="F7">
        <f>E7-0.35*D7</f>
        <v/>
      </c>
      <c r="H7">
        <f>F7</f>
        <v/>
      </c>
      <c r="I7">
        <f>I7</f>
        <v/>
      </c>
      <c r="J7">
        <f>I6-2*I7+I8</f>
        <v/>
      </c>
      <c r="K7">
        <f>IF(AND(I7&lt;&gt;"",I8&lt;&gt;"",I9&lt;&gt;""),J7^2,0)</f>
        <v/>
      </c>
    </row>
    <row r="8">
      <c r="A8" t="n">
        <v>2004</v>
      </c>
      <c r="B8">
        <f>PWT.C6</f>
        <v/>
      </c>
      <c r="C8">
        <f>WEO_Data.B6</f>
        <v/>
      </c>
      <c r="D8">
        <f>LN(B8)</f>
        <v/>
      </c>
      <c r="E8">
        <f>LN(C8)</f>
        <v/>
      </c>
      <c r="F8">
        <f>E8-0.35*D8</f>
        <v/>
      </c>
      <c r="H8">
        <f>F8</f>
        <v/>
      </c>
      <c r="I8">
        <f>I8</f>
        <v/>
      </c>
      <c r="J8">
        <f>I7-2*I8+I9</f>
        <v/>
      </c>
      <c r="K8">
        <f>IF(AND(I8&lt;&gt;"",I9&lt;&gt;"",I10&lt;&gt;""),J8^2,0)</f>
        <v/>
      </c>
    </row>
    <row r="9">
      <c r="A9" t="n">
        <v>2005</v>
      </c>
      <c r="B9">
        <f>PWT.C7</f>
        <v/>
      </c>
      <c r="C9">
        <f>WEO_Data.B7</f>
        <v/>
      </c>
      <c r="D9">
        <f>LN(B9)</f>
        <v/>
      </c>
      <c r="E9">
        <f>LN(C9)</f>
        <v/>
      </c>
      <c r="F9">
        <f>E9-0.35*D9</f>
        <v/>
      </c>
      <c r="H9">
        <f>F9</f>
        <v/>
      </c>
      <c r="I9">
        <f>I9</f>
        <v/>
      </c>
      <c r="J9">
        <f>I8-2*I9+I10</f>
        <v/>
      </c>
      <c r="K9">
        <f>IF(AND(I9&lt;&gt;"",I10&lt;&gt;"",I11&lt;&gt;""),J9^2,0)</f>
        <v/>
      </c>
    </row>
    <row r="10">
      <c r="A10" t="n">
        <v>2006</v>
      </c>
      <c r="B10">
        <f>PWT.C8</f>
        <v/>
      </c>
      <c r="C10">
        <f>WEO_Data.B8</f>
        <v/>
      </c>
      <c r="D10">
        <f>LN(B10)</f>
        <v/>
      </c>
      <c r="E10">
        <f>LN(C10)</f>
        <v/>
      </c>
      <c r="F10">
        <f>E10-0.35*D10</f>
        <v/>
      </c>
      <c r="H10">
        <f>F10</f>
        <v/>
      </c>
      <c r="I10">
        <f>I10</f>
        <v/>
      </c>
      <c r="J10">
        <f>I9-2*I10+I11</f>
        <v/>
      </c>
      <c r="K10">
        <f>IF(AND(I10&lt;&gt;"",I11&lt;&gt;"",I12&lt;&gt;""),J10^2,0)</f>
        <v/>
      </c>
    </row>
    <row r="11">
      <c r="A11" t="n">
        <v>2007</v>
      </c>
      <c r="B11">
        <f>PWT.C9</f>
        <v/>
      </c>
      <c r="C11">
        <f>WEO_Data.B9</f>
        <v/>
      </c>
      <c r="D11">
        <f>LN(B11)</f>
        <v/>
      </c>
      <c r="E11">
        <f>LN(C11)</f>
        <v/>
      </c>
      <c r="F11">
        <f>E11-0.35*D11</f>
        <v/>
      </c>
      <c r="H11">
        <f>F11</f>
        <v/>
      </c>
      <c r="I11">
        <f>I11</f>
        <v/>
      </c>
      <c r="J11">
        <f>I10-2*I11+I12</f>
        <v/>
      </c>
      <c r="K11">
        <f>IF(AND(I11&lt;&gt;"",I12&lt;&gt;"",I13&lt;&gt;""),J11^2,0)</f>
        <v/>
      </c>
    </row>
    <row r="12">
      <c r="A12" t="n">
        <v>2008</v>
      </c>
      <c r="B12">
        <f>PWT.C10</f>
        <v/>
      </c>
      <c r="C12">
        <f>WEO_Data.B10</f>
        <v/>
      </c>
      <c r="D12">
        <f>LN(B12)</f>
        <v/>
      </c>
      <c r="E12">
        <f>LN(C12)</f>
        <v/>
      </c>
      <c r="F12">
        <f>E12-0.35*D12</f>
        <v/>
      </c>
      <c r="H12">
        <f>F12</f>
        <v/>
      </c>
      <c r="I12">
        <f>I12</f>
        <v/>
      </c>
      <c r="J12">
        <f>I11-2*I12+I13</f>
        <v/>
      </c>
      <c r="K12">
        <f>IF(AND(I12&lt;&gt;"",I13&lt;&gt;"",I14&lt;&gt;""),J12^2,0)</f>
        <v/>
      </c>
    </row>
    <row r="13">
      <c r="A13" t="n">
        <v>2009</v>
      </c>
      <c r="B13">
        <f>PWT.C11</f>
        <v/>
      </c>
      <c r="C13">
        <f>WEO_Data.B11</f>
        <v/>
      </c>
      <c r="D13">
        <f>LN(B13)</f>
        <v/>
      </c>
      <c r="E13">
        <f>LN(C13)</f>
        <v/>
      </c>
      <c r="F13">
        <f>E13-0.35*D13</f>
        <v/>
      </c>
      <c r="H13">
        <f>F13</f>
        <v/>
      </c>
      <c r="I13">
        <f>I13</f>
        <v/>
      </c>
      <c r="J13">
        <f>I12-2*I13+I14</f>
        <v/>
      </c>
      <c r="K13">
        <f>IF(AND(I13&lt;&gt;"",I14&lt;&gt;"",I15&lt;&gt;""),J13^2,0)</f>
        <v/>
      </c>
    </row>
    <row r="14">
      <c r="A14" t="n">
        <v>2010</v>
      </c>
      <c r="B14">
        <f>PWT.C12</f>
        <v/>
      </c>
      <c r="C14">
        <f>WEO_Data.B12</f>
        <v/>
      </c>
      <c r="D14">
        <f>LN(B14)</f>
        <v/>
      </c>
      <c r="E14">
        <f>LN(C14)</f>
        <v/>
      </c>
      <c r="F14">
        <f>E14-0.35*D14</f>
        <v/>
      </c>
      <c r="H14">
        <f>F14</f>
        <v/>
      </c>
      <c r="I14">
        <f>I14</f>
        <v/>
      </c>
      <c r="J14">
        <f>I13-2*I14+I15</f>
        <v/>
      </c>
      <c r="K14">
        <f>IF(AND(I14&lt;&gt;"",I15&lt;&gt;"",I16&lt;&gt;""),J14^2,0)</f>
        <v/>
      </c>
    </row>
    <row r="15">
      <c r="A15" t="n">
        <v>2011</v>
      </c>
      <c r="B15">
        <f>PWT.C13</f>
        <v/>
      </c>
      <c r="C15">
        <f>WEO_Data.B13</f>
        <v/>
      </c>
      <c r="D15">
        <f>LN(B15)</f>
        <v/>
      </c>
      <c r="E15">
        <f>LN(C15)</f>
        <v/>
      </c>
      <c r="F15">
        <f>E15-0.35*D15</f>
        <v/>
      </c>
      <c r="H15">
        <f>F15</f>
        <v/>
      </c>
      <c r="I15">
        <f>I15</f>
        <v/>
      </c>
      <c r="J15">
        <f>I14-2*I15+I16</f>
        <v/>
      </c>
      <c r="K15">
        <f>IF(AND(I15&lt;&gt;"",I16&lt;&gt;"",I17&lt;&gt;""),J15^2,0)</f>
        <v/>
      </c>
    </row>
    <row r="16">
      <c r="A16" t="n">
        <v>2012</v>
      </c>
      <c r="B16">
        <f>PWT.C14</f>
        <v/>
      </c>
      <c r="C16">
        <f>WEO_Data.B14</f>
        <v/>
      </c>
      <c r="D16">
        <f>LN(B16)</f>
        <v/>
      </c>
      <c r="E16">
        <f>LN(C16)</f>
        <v/>
      </c>
      <c r="F16">
        <f>E16-0.35*D16</f>
        <v/>
      </c>
      <c r="H16">
        <f>F16</f>
        <v/>
      </c>
      <c r="I16">
        <f>I16</f>
        <v/>
      </c>
      <c r="J16">
        <f>I15-2*I16+I17</f>
        <v/>
      </c>
      <c r="K16">
        <f>IF(AND(I16&lt;&gt;"",I17&lt;&gt;"",I18&lt;&gt;""),J16^2,0)</f>
        <v/>
      </c>
    </row>
    <row r="17">
      <c r="A17" t="n">
        <v>2013</v>
      </c>
      <c r="B17">
        <f>PWT.C15</f>
        <v/>
      </c>
      <c r="C17">
        <f>WEO_Data.B15</f>
        <v/>
      </c>
      <c r="D17">
        <f>LN(B17)</f>
        <v/>
      </c>
      <c r="E17">
        <f>LN(C17)</f>
        <v/>
      </c>
      <c r="F17">
        <f>E17-0.35*D17</f>
        <v/>
      </c>
      <c r="H17">
        <f>F17</f>
        <v/>
      </c>
      <c r="I17">
        <f>I17</f>
        <v/>
      </c>
      <c r="J17">
        <f>I16-2*I17+I18</f>
        <v/>
      </c>
      <c r="K17">
        <f>IF(AND(I17&lt;&gt;"",I18&lt;&gt;"",I19&lt;&gt;""),J17^2,0)</f>
        <v/>
      </c>
    </row>
    <row r="18">
      <c r="A18" t="n">
        <v>2014</v>
      </c>
      <c r="B18">
        <f>PWT.C16</f>
        <v/>
      </c>
      <c r="C18">
        <f>WEO_Data.B16</f>
        <v/>
      </c>
      <c r="D18">
        <f>LN(B18)</f>
        <v/>
      </c>
      <c r="E18">
        <f>LN(C18)</f>
        <v/>
      </c>
      <c r="F18">
        <f>E18-0.35*D18</f>
        <v/>
      </c>
      <c r="H18">
        <f>F18</f>
        <v/>
      </c>
      <c r="I18">
        <f>I18</f>
        <v/>
      </c>
      <c r="J18">
        <f>I17-2*I18+I19</f>
        <v/>
      </c>
      <c r="K18">
        <f>IF(AND(I18&lt;&gt;"",I19&lt;&gt;"",I20&lt;&gt;""),J18^2,0)</f>
        <v/>
      </c>
    </row>
    <row r="19">
      <c r="A19" t="n">
        <v>2015</v>
      </c>
      <c r="B19">
        <f>PWT.C17</f>
        <v/>
      </c>
      <c r="C19">
        <f>WEO_Data.B17</f>
        <v/>
      </c>
      <c r="D19">
        <f>LN(B19)</f>
        <v/>
      </c>
      <c r="E19">
        <f>LN(C19)</f>
        <v/>
      </c>
      <c r="F19">
        <f>E19-0.35*D19</f>
        <v/>
      </c>
      <c r="H19">
        <f>F19</f>
        <v/>
      </c>
      <c r="I19">
        <f>I19</f>
        <v/>
      </c>
      <c r="J19">
        <f>I18-2*I19+I20</f>
        <v/>
      </c>
      <c r="K19">
        <f>IF(AND(I19&lt;&gt;"",I20&lt;&gt;"",I21&lt;&gt;""),J19^2,0)</f>
        <v/>
      </c>
    </row>
    <row r="20">
      <c r="A20" t="n">
        <v>2016</v>
      </c>
      <c r="B20">
        <f>PWT.C18</f>
        <v/>
      </c>
      <c r="C20">
        <f>WEO_Data.B18</f>
        <v/>
      </c>
      <c r="D20">
        <f>LN(B20)</f>
        <v/>
      </c>
      <c r="E20">
        <f>LN(C20)</f>
        <v/>
      </c>
      <c r="F20">
        <f>E20-0.35*D20</f>
        <v/>
      </c>
      <c r="H20">
        <f>F20</f>
        <v/>
      </c>
      <c r="I20">
        <f>I20</f>
        <v/>
      </c>
      <c r="J20">
        <f>I19-2*I20+I21</f>
        <v/>
      </c>
      <c r="K20">
        <f>IF(AND(I20&lt;&gt;"",I21&lt;&gt;"",I22&lt;&gt;""),J20^2,0)</f>
        <v/>
      </c>
    </row>
    <row r="21">
      <c r="A21" t="n">
        <v>2017</v>
      </c>
      <c r="B21">
        <f>PWT.C19</f>
        <v/>
      </c>
      <c r="C21">
        <f>WEO_Data.B19</f>
        <v/>
      </c>
      <c r="D21">
        <f>LN(B21)</f>
        <v/>
      </c>
      <c r="E21">
        <f>LN(C21)</f>
        <v/>
      </c>
      <c r="F21">
        <f>E21-0.35*D21</f>
        <v/>
      </c>
      <c r="H21">
        <f>F21</f>
        <v/>
      </c>
      <c r="I21">
        <f>I21</f>
        <v/>
      </c>
      <c r="J21">
        <f>I20-2*I21+I22</f>
        <v/>
      </c>
      <c r="K21">
        <f>IF(AND(I21&lt;&gt;"",I22&lt;&gt;"",I23&lt;&gt;""),J21^2,0)</f>
        <v/>
      </c>
    </row>
    <row r="22">
      <c r="A22" t="n">
        <v>2018</v>
      </c>
      <c r="B22">
        <f>PWT.C20</f>
        <v/>
      </c>
      <c r="C22">
        <f>WEO_Data.B20</f>
        <v/>
      </c>
      <c r="D22">
        <f>LN(B22)</f>
        <v/>
      </c>
      <c r="E22">
        <f>LN(C22)</f>
        <v/>
      </c>
      <c r="F22">
        <f>E22-0.35*D22</f>
        <v/>
      </c>
      <c r="H22">
        <f>F22</f>
        <v/>
      </c>
      <c r="I22">
        <f>I22</f>
        <v/>
      </c>
      <c r="J22">
        <f>I21-2*I22+I23</f>
        <v/>
      </c>
      <c r="K22">
        <f>IF(AND(I22&lt;&gt;"",I23&lt;&gt;"",I24&lt;&gt;""),J22^2,0)</f>
        <v/>
      </c>
    </row>
    <row r="23">
      <c r="A23" t="n">
        <v>2019</v>
      </c>
      <c r="B23">
        <f>PWT.C21</f>
        <v/>
      </c>
      <c r="C23">
        <f>WEO_Data.B21</f>
        <v/>
      </c>
      <c r="D23">
        <f>LN(B23)</f>
        <v/>
      </c>
      <c r="E23">
        <f>LN(C23)</f>
        <v/>
      </c>
      <c r="F23">
        <f>E23-0.35*D23</f>
        <v/>
      </c>
      <c r="H23">
        <f>F23</f>
        <v/>
      </c>
      <c r="I23">
        <f>I23</f>
        <v/>
      </c>
      <c r="J23">
        <f>I22-2*I23+I24</f>
        <v/>
      </c>
      <c r="K23">
        <f>IF(AND(I23&lt;&gt;"",I24&lt;&gt;"",I25&lt;&gt;""),J23^2,0)</f>
        <v/>
      </c>
    </row>
    <row r="24">
      <c r="A24" t="n">
        <v>2020</v>
      </c>
      <c r="B24">
        <f>PWT.C22</f>
        <v/>
      </c>
      <c r="C24">
        <f>WEO_Data.B22</f>
        <v/>
      </c>
      <c r="D24">
        <f>LN(B24)</f>
        <v/>
      </c>
      <c r="E24">
        <f>LN(C24)</f>
        <v/>
      </c>
      <c r="F24">
        <f>E24-0.35*D24</f>
        <v/>
      </c>
      <c r="H24">
        <f>F24</f>
        <v/>
      </c>
      <c r="I24">
        <f>I24</f>
        <v/>
      </c>
      <c r="J24">
        <f>I23-2*I24+I25</f>
        <v/>
      </c>
      <c r="K24">
        <f>IF(AND(I24&lt;&gt;"",I25&lt;&gt;"",I26&lt;&gt;""),J24^2,0)</f>
        <v/>
      </c>
    </row>
    <row r="25">
      <c r="A25" t="n">
        <v>2021</v>
      </c>
      <c r="B25">
        <f>PWT.C23</f>
        <v/>
      </c>
      <c r="C25">
        <f>WEO_Data.B23</f>
        <v/>
      </c>
      <c r="D25">
        <f>LN(B25)</f>
        <v/>
      </c>
      <c r="E25">
        <f>LN(C25)</f>
        <v/>
      </c>
      <c r="F25">
        <f>E25-0.35*D25</f>
        <v/>
      </c>
      <c r="H25">
        <f>F25</f>
        <v/>
      </c>
      <c r="I25">
        <f>I25</f>
        <v/>
      </c>
      <c r="J25">
        <f>I24-2*I25+I26</f>
        <v/>
      </c>
      <c r="K25">
        <f>IF(AND(I25&lt;&gt;"",I26&lt;&gt;"",I27&lt;&gt;""),J25^2,0)</f>
        <v/>
      </c>
    </row>
    <row r="26">
      <c r="A26" t="n">
        <v>2022</v>
      </c>
      <c r="B26">
        <f>PWT.C24</f>
        <v/>
      </c>
      <c r="C26">
        <f>WEO_Data.B24</f>
        <v/>
      </c>
      <c r="D26">
        <f>LN(B26)</f>
        <v/>
      </c>
      <c r="E26">
        <f>LN(C26)</f>
        <v/>
      </c>
      <c r="F26">
        <f>E26-0.35*D26</f>
        <v/>
      </c>
      <c r="H26">
        <f>F26</f>
        <v/>
      </c>
      <c r="I26">
        <f>I26</f>
        <v/>
      </c>
      <c r="J26">
        <f>I25-I26</f>
        <v/>
      </c>
      <c r="K26">
        <f>IF(AND(I26&lt;&gt;"",I27&lt;&gt;"",I28&lt;&gt;""),J26^2,0)</f>
        <v/>
      </c>
    </row>
    <row r="27">
      <c r="A27" t="n">
        <v>2023</v>
      </c>
      <c r="B27">
        <f>PWT.C25</f>
        <v/>
      </c>
      <c r="C27">
        <f>WEO_Data.B25</f>
        <v/>
      </c>
      <c r="D27">
        <f>LN(B27)</f>
        <v/>
      </c>
      <c r="E27">
        <f>LN(C27)</f>
        <v/>
      </c>
      <c r="F27">
        <f>E27-0.35*D27</f>
        <v/>
      </c>
      <c r="H27">
        <f>F27</f>
        <v/>
      </c>
      <c r="I27">
        <f>I27</f>
        <v/>
      </c>
      <c r="J27">
        <f>J27</f>
        <v/>
      </c>
      <c r="K27">
        <f>IF(AND(I27&lt;&gt;"",I28&lt;&gt;"",I29&lt;&gt;""),J27^2,0)</f>
        <v/>
      </c>
    </row>
    <row r="29">
      <c r="A29" t="inlineStr">
        <is>
          <t>Extended Analysis (2024-2041)</t>
        </is>
      </c>
    </row>
    <row r="30">
      <c r="A30" t="inlineStr">
        <is>
          <t>Year</t>
        </is>
      </c>
      <c r="B30" t="inlineStr">
        <is>
          <t>K/Y Ratio</t>
        </is>
      </c>
      <c r="C30" t="inlineStr">
        <is>
          <t>Extended K</t>
        </is>
      </c>
      <c r="D30" t="inlineStr">
        <is>
          <t>Y (from WEO)</t>
        </is>
      </c>
      <c r="E30" t="inlineStr">
        <is>
          <t>Ln(Z_trend)</t>
        </is>
      </c>
    </row>
    <row r="31">
      <c r="A31" t="n">
        <v>2024</v>
      </c>
      <c r="B31">
        <f>B32</f>
        <v/>
      </c>
      <c r="C31">
        <f>B31*D31</f>
        <v/>
      </c>
      <c r="D31">
        <f>WEO_Data.B48</f>
        <v/>
      </c>
      <c r="E31">
        <f>TREND(I6:I26,H6:H26,A31)</f>
        <v/>
      </c>
    </row>
    <row r="32">
      <c r="A32" t="n">
        <v>2025</v>
      </c>
      <c r="B32">
        <f>B32</f>
        <v/>
      </c>
      <c r="C32">
        <f>B32*D32</f>
        <v/>
      </c>
      <c r="D32">
        <f>WEO_Data.B49</f>
        <v/>
      </c>
      <c r="E32">
        <f>TREND(I6:I26,H6:H26,A32)</f>
        <v/>
      </c>
    </row>
    <row r="33">
      <c r="A33" t="n">
        <v>2026</v>
      </c>
      <c r="B33">
        <f>B32</f>
        <v/>
      </c>
      <c r="C33">
        <f>B33*D33</f>
        <v/>
      </c>
      <c r="D33">
        <f>WEO_Data.B50</f>
        <v/>
      </c>
      <c r="E33">
        <f>TREND(I6:I26,H6:H26,A33)</f>
        <v/>
      </c>
    </row>
    <row r="34">
      <c r="A34" t="n">
        <v>2027</v>
      </c>
      <c r="B34">
        <f>B32</f>
        <v/>
      </c>
      <c r="C34">
        <f>B34*D34</f>
        <v/>
      </c>
      <c r="D34">
        <f>WEO_Data.B51</f>
        <v/>
      </c>
      <c r="E34">
        <f>TREND(I6:I26,H6:H26,A34)</f>
        <v/>
      </c>
    </row>
    <row r="35">
      <c r="A35" t="n">
        <v>2028</v>
      </c>
      <c r="B35">
        <f>B32</f>
        <v/>
      </c>
      <c r="C35">
        <f>B35*D35</f>
        <v/>
      </c>
      <c r="D35">
        <f>WEO_Data.B52</f>
        <v/>
      </c>
      <c r="E35">
        <f>TREND(I6:I26,H6:H26,A35)</f>
        <v/>
      </c>
    </row>
    <row r="36">
      <c r="A36" t="n">
        <v>2029</v>
      </c>
      <c r="B36">
        <f>B32</f>
        <v/>
      </c>
      <c r="C36">
        <f>B36*D36</f>
        <v/>
      </c>
      <c r="D36">
        <f>WEO_Data.B53</f>
        <v/>
      </c>
      <c r="E36">
        <f>TREND(I6:I26,H6:H26,A36)</f>
        <v/>
      </c>
    </row>
    <row r="37">
      <c r="A37" t="n">
        <v>2030</v>
      </c>
      <c r="B37">
        <f>B32</f>
        <v/>
      </c>
      <c r="C37">
        <f>B37*D37</f>
        <v/>
      </c>
      <c r="D37">
        <f>WEO_Data.B54</f>
        <v/>
      </c>
      <c r="E37">
        <f>TREND(I6:I26,H6:H26,A37)</f>
        <v/>
      </c>
    </row>
    <row r="38">
      <c r="A38" t="n">
        <v>2031</v>
      </c>
      <c r="B38">
        <f>B32</f>
        <v/>
      </c>
      <c r="C38">
        <f>B38*D38</f>
        <v/>
      </c>
      <c r="D38">
        <f>WEO_Data.B55</f>
        <v/>
      </c>
      <c r="E38">
        <f>TREND(I6:I26,H6:H26,A38)</f>
        <v/>
      </c>
    </row>
    <row r="39">
      <c r="A39" t="n">
        <v>2032</v>
      </c>
      <c r="B39">
        <f>B32</f>
        <v/>
      </c>
      <c r="C39">
        <f>B39*D39</f>
        <v/>
      </c>
      <c r="D39">
        <f>WEO_Data.B56</f>
        <v/>
      </c>
      <c r="E39">
        <f>TREND(I6:I26,H6:H26,A39)</f>
        <v/>
      </c>
    </row>
    <row r="40">
      <c r="A40" t="n">
        <v>2033</v>
      </c>
      <c r="B40">
        <f>B32</f>
        <v/>
      </c>
      <c r="C40">
        <f>B40*D40</f>
        <v/>
      </c>
      <c r="D40">
        <f>WEO_Data.B57</f>
        <v/>
      </c>
      <c r="E40">
        <f>TREND(I6:I26,H6:H26,A40)</f>
        <v/>
      </c>
    </row>
    <row r="41">
      <c r="A41" t="n">
        <v>2034</v>
      </c>
      <c r="B41">
        <f>B32</f>
        <v/>
      </c>
      <c r="C41">
        <f>B41*D41</f>
        <v/>
      </c>
      <c r="D41">
        <f>WEO_Data.B58</f>
        <v/>
      </c>
      <c r="E41">
        <f>TREND(I6:I26,H6:H26,A41)</f>
        <v/>
      </c>
    </row>
    <row r="42">
      <c r="A42" t="n">
        <v>2035</v>
      </c>
      <c r="B42">
        <f>B32</f>
        <v/>
      </c>
      <c r="C42">
        <f>B42*D42</f>
        <v/>
      </c>
      <c r="D42">
        <f>WEO_Data.B59</f>
        <v/>
      </c>
      <c r="E42">
        <f>TREND(I6:I26,H6:H26,A42)</f>
        <v/>
      </c>
    </row>
    <row r="43">
      <c r="A43" t="n">
        <v>2036</v>
      </c>
      <c r="B43">
        <f>B32</f>
        <v/>
      </c>
      <c r="C43">
        <f>B43*D43</f>
        <v/>
      </c>
      <c r="D43">
        <f>WEO_Data.B60</f>
        <v/>
      </c>
      <c r="E43">
        <f>TREND(I6:I26,H6:H26,A43)</f>
        <v/>
      </c>
    </row>
    <row r="44">
      <c r="A44" t="n">
        <v>2037</v>
      </c>
      <c r="B44">
        <f>B32</f>
        <v/>
      </c>
      <c r="C44">
        <f>B44*D44</f>
        <v/>
      </c>
      <c r="D44">
        <f>WEO_Data.B61</f>
        <v/>
      </c>
      <c r="E44">
        <f>TREND(I6:I26,H6:H26,A44)</f>
        <v/>
      </c>
    </row>
    <row r="45">
      <c r="A45" t="n">
        <v>2038</v>
      </c>
      <c r="B45">
        <f>B32</f>
        <v/>
      </c>
      <c r="C45">
        <f>B45*D45</f>
        <v/>
      </c>
      <c r="D45">
        <f>WEO_Data.B62</f>
        <v/>
      </c>
      <c r="E45">
        <f>TREND(I6:I26,H6:H26,A45)</f>
        <v/>
      </c>
    </row>
    <row r="46">
      <c r="A46" t="n">
        <v>2039</v>
      </c>
      <c r="B46">
        <f>B32</f>
        <v/>
      </c>
      <c r="C46">
        <f>B46*D46</f>
        <v/>
      </c>
      <c r="D46">
        <f>WEO_Data.B63</f>
        <v/>
      </c>
      <c r="E46">
        <f>TREND(I6:I26,H6:H26,A46)</f>
        <v/>
      </c>
    </row>
    <row r="47">
      <c r="A47" t="n">
        <v>2040</v>
      </c>
      <c r="B47">
        <f>B32</f>
        <v/>
      </c>
      <c r="C47">
        <f>B47*D47</f>
        <v/>
      </c>
      <c r="D47">
        <f>WEO_Data.B64</f>
        <v/>
      </c>
      <c r="E47">
        <f>TREND(I6:I26,H6:H26,A47)</f>
        <v/>
      </c>
    </row>
    <row r="48">
      <c r="A48" t="n">
        <v>2041</v>
      </c>
      <c r="B48">
        <f>B32</f>
        <v/>
      </c>
      <c r="C48">
        <f>B48*D48</f>
        <v/>
      </c>
      <c r="D48">
        <f>WEO_Data.B65</f>
        <v/>
      </c>
      <c r="E48">
        <f>TREND(I6:I26,H6:H26,A48)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INVESTMENT SHOCK ANALYSIS</t>
        </is>
      </c>
    </row>
    <row r="3">
      <c r="A3" t="inlineStr">
        <is>
          <t>Investment Shock Value</t>
        </is>
      </c>
      <c r="B3" t="n">
        <v>6500000000</v>
      </c>
      <c r="C3" t="inlineStr">
        <is>
          <t>USD</t>
        </is>
      </c>
    </row>
    <row r="4">
      <c r="A4" t="inlineStr">
        <is>
          <t>Start Year</t>
        </is>
      </c>
      <c r="B4" t="n">
        <v>2026</v>
      </c>
    </row>
    <row r="5">
      <c r="A5" t="inlineStr">
        <is>
          <t>Duration</t>
        </is>
      </c>
      <c r="B5" t="n">
        <v>8</v>
      </c>
    </row>
    <row r="6">
      <c r="A6" t="inlineStr">
        <is>
          <t>Annual Investment</t>
        </is>
      </c>
      <c r="B6">
        <f>B3/B5</f>
        <v/>
      </c>
    </row>
    <row r="8">
      <c r="A8" t="inlineStr">
        <is>
          <t>Year</t>
        </is>
      </c>
      <c r="B8" t="inlineStr">
        <is>
          <t>Base K</t>
        </is>
      </c>
      <c r="C8" t="inlineStr">
        <is>
          <t>Investment</t>
        </is>
      </c>
      <c r="D8" t="inlineStr">
        <is>
          <t>Delta K</t>
        </is>
      </c>
      <c r="E8" t="inlineStr">
        <is>
          <t>K_with_Shock</t>
        </is>
      </c>
      <c r="F8" t="inlineStr">
        <is>
          <t>Ystar_base</t>
        </is>
      </c>
      <c r="G8" t="inlineStr">
        <is>
          <t>Ystar_with</t>
        </is>
      </c>
    </row>
    <row r="9">
      <c r="A9" t="n">
        <v>2026</v>
      </c>
      <c r="B9">
        <f>Production.C28</f>
        <v/>
      </c>
      <c r="C9">
        <f>IF(AND(YEAR&gt;=B4,YEAR&lt;=B4+B5-1),B6,0)</f>
        <v/>
      </c>
      <c r="D9">
        <f>C9</f>
        <v/>
      </c>
      <c r="E9">
        <f>B9+D9</f>
        <v/>
      </c>
      <c r="F9">
        <f>EXP(Production.E29)*B9^0.35</f>
        <v/>
      </c>
      <c r="G9">
        <f>EXP(Production.E29)*E9^0.35</f>
        <v/>
      </c>
    </row>
    <row r="10">
      <c r="A10" t="n">
        <v>2027</v>
      </c>
      <c r="B10">
        <f>Production.C29</f>
        <v/>
      </c>
      <c r="C10">
        <f>IF(AND(YEAR&gt;=B4,YEAR&lt;=B4+B5-1),B6,0)</f>
        <v/>
      </c>
      <c r="D10">
        <f>C10</f>
        <v/>
      </c>
      <c r="E10">
        <f>B10+D10</f>
        <v/>
      </c>
      <c r="F10">
        <f>EXP(Production.E30)*B10^0.35</f>
        <v/>
      </c>
      <c r="G10">
        <f>EXP(Production.E30)*E10^0.35</f>
        <v/>
      </c>
    </row>
    <row r="11">
      <c r="A11" t="n">
        <v>2028</v>
      </c>
      <c r="B11">
        <f>Production.C30</f>
        <v/>
      </c>
      <c r="C11">
        <f>IF(AND(YEAR&gt;=B4,YEAR&lt;=B4+B5-1),B6,0)</f>
        <v/>
      </c>
      <c r="D11">
        <f>C11</f>
        <v/>
      </c>
      <c r="E11">
        <f>B11+D11</f>
        <v/>
      </c>
      <c r="F11">
        <f>EXP(Production.E31)*B11^0.35</f>
        <v/>
      </c>
      <c r="G11">
        <f>EXP(Production.E31)*E11^0.35</f>
        <v/>
      </c>
    </row>
    <row r="12">
      <c r="A12" t="n">
        <v>2029</v>
      </c>
      <c r="B12">
        <f>Production.C31</f>
        <v/>
      </c>
      <c r="C12">
        <f>IF(AND(YEAR&gt;=B4,YEAR&lt;=B4+B5-1),B6,0)</f>
        <v/>
      </c>
      <c r="D12">
        <f>C12</f>
        <v/>
      </c>
      <c r="E12">
        <f>B12+D12</f>
        <v/>
      </c>
      <c r="F12">
        <f>EXP(Production.E32)*B12^0.35</f>
        <v/>
      </c>
      <c r="G12">
        <f>EXP(Production.E32)*E12^0.35</f>
        <v/>
      </c>
    </row>
    <row r="13">
      <c r="A13" t="n">
        <v>2030</v>
      </c>
      <c r="B13">
        <f>Production.C32</f>
        <v/>
      </c>
      <c r="C13">
        <f>IF(AND(YEAR&gt;=B4,YEAR&lt;=B4+B5-1),B6,0)</f>
        <v/>
      </c>
      <c r="D13">
        <f>C13</f>
        <v/>
      </c>
      <c r="E13">
        <f>B13+D13</f>
        <v/>
      </c>
      <c r="F13">
        <f>EXP(Production.E33)*B13^0.35</f>
        <v/>
      </c>
      <c r="G13">
        <f>EXP(Production.E33)*E13^0.35</f>
        <v/>
      </c>
    </row>
    <row r="14">
      <c r="A14" t="n">
        <v>2031</v>
      </c>
      <c r="B14">
        <f>Production.C33</f>
        <v/>
      </c>
      <c r="C14">
        <f>IF(AND(YEAR&gt;=B4,YEAR&lt;=B4+B5-1),B6,0)</f>
        <v/>
      </c>
      <c r="D14">
        <f>C14</f>
        <v/>
      </c>
      <c r="E14">
        <f>B14+D14</f>
        <v/>
      </c>
      <c r="F14">
        <f>EXP(Production.E34)*B14^0.35</f>
        <v/>
      </c>
      <c r="G14">
        <f>EXP(Production.E34)*E14^0.35</f>
        <v/>
      </c>
    </row>
    <row r="15">
      <c r="A15" t="n">
        <v>2032</v>
      </c>
      <c r="B15">
        <f>Production.C34</f>
        <v/>
      </c>
      <c r="C15">
        <f>IF(AND(YEAR&gt;=B4,YEAR&lt;=B4+B5-1),B6,0)</f>
        <v/>
      </c>
      <c r="D15">
        <f>C15</f>
        <v/>
      </c>
      <c r="E15">
        <f>B15+D15</f>
        <v/>
      </c>
      <c r="F15">
        <f>EXP(Production.E35)*B15^0.35</f>
        <v/>
      </c>
      <c r="G15">
        <f>EXP(Production.E35)*E15^0.35</f>
        <v/>
      </c>
    </row>
    <row r="16">
      <c r="A16" t="n">
        <v>2033</v>
      </c>
      <c r="B16">
        <f>Production.C35</f>
        <v/>
      </c>
      <c r="C16">
        <f>IF(AND(YEAR&gt;=B4,YEAR&lt;=B4+B5-1),B6,0)</f>
        <v/>
      </c>
      <c r="D16">
        <f>C16</f>
        <v/>
      </c>
      <c r="E16">
        <f>B16+D16</f>
        <v/>
      </c>
      <c r="F16">
        <f>EXP(Production.E36)*B16^0.35</f>
        <v/>
      </c>
      <c r="G16">
        <f>EXP(Production.E36)*E16^0.35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2026-01-27T04:58:02Z</dcterms:created>
  <dcterms:modified xsi:type="dcterms:W3CDTF">2026-01-27T05:06:59Z</dcterms:modified>
</cp:coreProperties>
</file>