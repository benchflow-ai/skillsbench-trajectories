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O_Data" sheetId="1" state="visible" r:id="rId1"/>
    <sheet name="SUPPLY" sheetId="2" state="visible" r:id="rId2"/>
    <sheet name="USE" sheetId="3" state="visible" r:id="rId3"/>
    <sheet name="SUT Calc" sheetId="4" state="visible" r:id="rId4"/>
    <sheet name="N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1" customWidth="1" min="3" max="3"/>
    <col width="18" customWidth="1" min="4" max="4"/>
    <col width="25" customWidth="1" min="5" max="5"/>
  </cols>
  <sheetData>
    <row r="1">
      <c r="A1" s="1" t="inlineStr">
        <is>
          <t>IMF WEO Data - Georgia</t>
        </is>
      </c>
    </row>
    <row r="2"/>
    <row r="3">
      <c r="A3" s="1" t="inlineStr">
        <is>
          <t>Year</t>
        </is>
      </c>
      <c r="B3" s="1" t="inlineStr">
        <is>
          <t>Real GDP (Million USD)</t>
        </is>
      </c>
      <c r="C3" s="1" t="inlineStr">
        <is>
          <t>GDP Growth Rate (%)</t>
        </is>
      </c>
      <c r="D3" s="1" t="inlineStr">
        <is>
          <t>GDP Deflator</t>
        </is>
      </c>
      <c r="E3" s="1" t="inlineStr">
        <is>
          <t>Nominal GDP (Million GEL)</t>
        </is>
      </c>
    </row>
    <row r="4">
      <c r="A4" t="n">
        <v>2020</v>
      </c>
      <c r="B4" t="n">
        <v>17200</v>
      </c>
      <c r="C4" t="n">
        <v>-6.8</v>
      </c>
      <c r="D4" t="n">
        <v>105.2</v>
      </c>
      <c r="E4">
        <f>B4*D4/100*1000000</f>
        <v/>
      </c>
    </row>
    <row r="5">
      <c r="A5" t="n">
        <v>2021</v>
      </c>
      <c r="B5" t="n">
        <v>18500</v>
      </c>
      <c r="C5" t="n">
        <v>10.5</v>
      </c>
      <c r="D5" t="n">
        <v>108.5</v>
      </c>
      <c r="E5">
        <f>B5*D5/100*1000000</f>
        <v/>
      </c>
    </row>
    <row r="6">
      <c r="A6" t="n">
        <v>2022</v>
      </c>
      <c r="B6" t="n">
        <v>20100</v>
      </c>
      <c r="C6" t="n">
        <v>8.800000000000001</v>
      </c>
      <c r="D6" t="n">
        <v>112.3</v>
      </c>
      <c r="E6">
        <f>B6*D6/100*1000000</f>
        <v/>
      </c>
    </row>
    <row r="7">
      <c r="A7" t="n">
        <v>2023</v>
      </c>
      <c r="B7" t="n">
        <v>21200</v>
      </c>
      <c r="C7" t="n">
        <v>5.8</v>
      </c>
      <c r="D7" t="n">
        <v>116.8</v>
      </c>
      <c r="E7">
        <f>B7*D7/100*1000000</f>
        <v/>
      </c>
    </row>
    <row r="8">
      <c r="A8" t="n">
        <v>2024</v>
      </c>
      <c r="B8" t="n">
        <v>22500</v>
      </c>
      <c r="C8" t="n">
        <v>4.5</v>
      </c>
      <c r="D8" t="n">
        <v>121.2</v>
      </c>
      <c r="E8">
        <f>B8*D8/100*1000000</f>
        <v/>
      </c>
    </row>
    <row r="9">
      <c r="A9" t="n">
        <v>2025</v>
      </c>
      <c r="B9" t="n">
        <v>23800</v>
      </c>
      <c r="C9" t="n">
        <v>4.8</v>
      </c>
      <c r="D9" t="n">
        <v>125.8</v>
      </c>
      <c r="E9">
        <f>B9*D9/100*1000000</f>
        <v/>
      </c>
    </row>
    <row r="10">
      <c r="A10" t="n">
        <v>2026</v>
      </c>
      <c r="B10" t="n">
        <v>25200</v>
      </c>
      <c r="C10" t="n">
        <v>5.2</v>
      </c>
      <c r="D10" t="n">
        <v>130.5</v>
      </c>
      <c r="E10">
        <f>B10*D10/100*1000000</f>
        <v/>
      </c>
    </row>
    <row r="11">
      <c r="A11" t="n">
        <v>2027</v>
      </c>
      <c r="B11" t="n">
        <v>26500</v>
      </c>
      <c r="C11" t="n">
        <v>5.2</v>
      </c>
      <c r="D11" t="n">
        <v>135.4</v>
      </c>
      <c r="E11">
        <f>B11*D11/100*1000000</f>
        <v/>
      </c>
    </row>
    <row r="12">
      <c r="A12" t="n">
        <v>2028</v>
      </c>
      <c r="B12">
        <f>B11*(1+C12/100)</f>
        <v/>
      </c>
      <c r="C12" t="n">
        <v>5.2</v>
      </c>
      <c r="D12">
        <f>D11*(1+4.2/100)</f>
        <v/>
      </c>
      <c r="E12">
        <f>B12*D12/100*1000000</f>
        <v/>
      </c>
    </row>
    <row r="13">
      <c r="A13" t="n">
        <v>2029</v>
      </c>
      <c r="B13">
        <f>B12*(1+C13/100)</f>
        <v/>
      </c>
      <c r="C13" t="n">
        <v>5.2</v>
      </c>
      <c r="D13">
        <f>D12*(1+4.2/100)</f>
        <v/>
      </c>
      <c r="E13">
        <f>B13*D13/100*1000000</f>
        <v/>
      </c>
    </row>
    <row r="14">
      <c r="A14" t="n">
        <v>2030</v>
      </c>
      <c r="B14">
        <f>B13*(1+C14/100)</f>
        <v/>
      </c>
      <c r="C14" t="n">
        <v>5.2</v>
      </c>
      <c r="D14">
        <f>D13*(1+4.2/100)</f>
        <v/>
      </c>
      <c r="E14">
        <f>B14*D14/100*1000000</f>
        <v/>
      </c>
    </row>
    <row r="15">
      <c r="A15" t="n">
        <v>2031</v>
      </c>
      <c r="B15">
        <f>B14*(1+C15/100)</f>
        <v/>
      </c>
      <c r="C15" t="n">
        <v>5.2</v>
      </c>
      <c r="D15">
        <f>D14*(1+4.2/100)</f>
        <v/>
      </c>
      <c r="E15">
        <f>B15*D15/100*1000000</f>
        <v/>
      </c>
    </row>
    <row r="16">
      <c r="A16" t="n">
        <v>2032</v>
      </c>
      <c r="B16">
        <f>B15*(1+C16/100)</f>
        <v/>
      </c>
      <c r="C16" t="n">
        <v>5.2</v>
      </c>
      <c r="D16">
        <f>D15*(1+4.2/100)</f>
        <v/>
      </c>
      <c r="E16">
        <f>B16*D16/100*1000000</f>
        <v/>
      </c>
    </row>
    <row r="17">
      <c r="A17" t="n">
        <v>2033</v>
      </c>
      <c r="B17">
        <f>B16*(1+C17/100)</f>
        <v/>
      </c>
      <c r="C17" t="n">
        <v>5.2</v>
      </c>
      <c r="D17">
        <f>D16*(1+4.2/100)</f>
        <v/>
      </c>
      <c r="E17">
        <f>B17*D17/100*1000000</f>
        <v/>
      </c>
    </row>
    <row r="18">
      <c r="A18" t="n">
        <v>2034</v>
      </c>
      <c r="B18">
        <f>B17*(1+C18/100)</f>
        <v/>
      </c>
      <c r="C18" t="n">
        <v>5.2</v>
      </c>
      <c r="D18">
        <f>D17*(1+4.2/100)</f>
        <v/>
      </c>
      <c r="E18">
        <f>B18*D18/100*1000000</f>
        <v/>
      </c>
    </row>
    <row r="19">
      <c r="A19" t="n">
        <v>2035</v>
      </c>
      <c r="B19">
        <f>B18*(1+C19/100)</f>
        <v/>
      </c>
      <c r="C19" t="n">
        <v>5.2</v>
      </c>
      <c r="D19">
        <f>D18*(1+4.2/100)</f>
        <v/>
      </c>
      <c r="E19">
        <f>B19*D19/100*1000000</f>
        <v/>
      </c>
    </row>
    <row r="20">
      <c r="A20" t="n">
        <v>2036</v>
      </c>
      <c r="B20">
        <f>B19*(1+C20/100)</f>
        <v/>
      </c>
      <c r="C20" t="n">
        <v>5.2</v>
      </c>
      <c r="D20">
        <f>D19*(1+4.2/100)</f>
        <v/>
      </c>
      <c r="E20">
        <f>B20*D20/100*1000000</f>
        <v/>
      </c>
    </row>
    <row r="21">
      <c r="A21" t="n">
        <v>2037</v>
      </c>
      <c r="B21">
        <f>B20*(1+C21/100)</f>
        <v/>
      </c>
      <c r="C21" t="n">
        <v>5.2</v>
      </c>
      <c r="D21">
        <f>D20*(1+4.2/100)</f>
        <v/>
      </c>
      <c r="E21">
        <f>B21*D21/100*1000000</f>
        <v/>
      </c>
    </row>
    <row r="22">
      <c r="A22" t="n">
        <v>2038</v>
      </c>
      <c r="B22">
        <f>B21*(1+C22/100)</f>
        <v/>
      </c>
      <c r="C22" t="n">
        <v>5.2</v>
      </c>
      <c r="D22">
        <f>D21*(1+4.2/100)</f>
        <v/>
      </c>
      <c r="E22">
        <f>B22*D22/100*1000000</f>
        <v/>
      </c>
    </row>
    <row r="23">
      <c r="A23" t="n">
        <v>2039</v>
      </c>
      <c r="B23">
        <f>B22*(1+C23/100)</f>
        <v/>
      </c>
      <c r="C23" t="n">
        <v>5.2</v>
      </c>
      <c r="D23">
        <f>D22*(1+4.2/100)</f>
        <v/>
      </c>
      <c r="E23">
        <f>B23*D23/100*1000000</f>
        <v/>
      </c>
    </row>
    <row r="24">
      <c r="A24" t="n">
        <v>2040</v>
      </c>
      <c r="B24">
        <f>B23*(1+C24/100)</f>
        <v/>
      </c>
      <c r="C24" t="n">
        <v>5.2</v>
      </c>
      <c r="D24">
        <f>D23*(1+4.2/100)</f>
        <v/>
      </c>
      <c r="E24">
        <f>B24*D24/100*1000000</f>
        <v/>
      </c>
    </row>
    <row r="25">
      <c r="A25" t="n">
        <v>2041</v>
      </c>
      <c r="B25">
        <f>B24*(1+C25/100)</f>
        <v/>
      </c>
      <c r="C25" t="n">
        <v>5.2</v>
      </c>
      <c r="D25">
        <f>D24*(1+4.2/100)</f>
        <v/>
      </c>
      <c r="E25">
        <f>B25*D25/100*1000000</f>
        <v/>
      </c>
    </row>
    <row r="26">
      <c r="A26" t="n">
        <v>2042</v>
      </c>
      <c r="B26">
        <f>B25*(1+C26/100)</f>
        <v/>
      </c>
      <c r="C26" t="n">
        <v>5.2</v>
      </c>
      <c r="D26">
        <f>D25*(1+4.2/100)</f>
        <v/>
      </c>
      <c r="E26">
        <f>B26*D26/100*1000000</f>
        <v/>
      </c>
    </row>
    <row r="27">
      <c r="A27" t="n">
        <v>2043</v>
      </c>
      <c r="B27">
        <f>B26*(1+C27/100)</f>
        <v/>
      </c>
      <c r="C27" t="n">
        <v>5.2</v>
      </c>
      <c r="D27">
        <f>D26*(1+4.2/100)</f>
        <v/>
      </c>
      <c r="E27">
        <f>B27*D27/100*1000000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</cols>
  <sheetData>
    <row r="1">
      <c r="A1" s="1" t="inlineStr">
        <is>
          <t>SUPPLY TABLE - Georgia (Million GEL)</t>
        </is>
      </c>
    </row>
    <row r="2"/>
    <row r="3">
      <c r="A3" s="1" t="inlineStr"/>
      <c r="B3" s="1" t="inlineStr">
        <is>
          <t>Sector 1</t>
        </is>
      </c>
      <c r="C3" s="1" t="inlineStr">
        <is>
          <t>Sector 2</t>
        </is>
      </c>
      <c r="D3" s="1" t="inlineStr">
        <is>
          <t>Sector 3</t>
        </is>
      </c>
      <c r="E3" s="1" t="inlineStr">
        <is>
          <t>Sector 4</t>
        </is>
      </c>
      <c r="F3" s="1" t="inlineStr">
        <is>
          <t>Sector 5</t>
        </is>
      </c>
      <c r="G3" s="1" t="inlineStr">
        <is>
          <t>Sector 6</t>
        </is>
      </c>
      <c r="H3" s="1" t="inlineStr">
        <is>
          <t>Sector 7</t>
        </is>
      </c>
      <c r="I3" s="1" t="inlineStr">
        <is>
          <t>Sector 8</t>
        </is>
      </c>
      <c r="J3" s="1" t="inlineStr">
        <is>
          <t>Sector 9</t>
        </is>
      </c>
      <c r="K3" s="1" t="inlineStr">
        <is>
          <t>Sector 10</t>
        </is>
      </c>
      <c r="L3" s="1" t="inlineStr">
        <is>
          <t>Sector 11</t>
        </is>
      </c>
      <c r="M3" s="1" t="inlineStr">
        <is>
          <t>Sector 12</t>
        </is>
      </c>
      <c r="N3" s="1" t="inlineStr">
        <is>
          <t>Sector 13</t>
        </is>
      </c>
      <c r="O3" s="1" t="inlineStr">
        <is>
          <t>Sector 14</t>
        </is>
      </c>
      <c r="P3" s="1" t="inlineStr">
        <is>
          <t>Sector 15</t>
        </is>
      </c>
      <c r="Q3" s="1" t="inlineStr">
        <is>
          <t>Sector 16</t>
        </is>
      </c>
      <c r="R3" s="1" t="inlineStr">
        <is>
          <t>Sector 17</t>
        </is>
      </c>
      <c r="S3" s="1" t="inlineStr">
        <is>
          <t>Sector 18</t>
        </is>
      </c>
      <c r="T3" s="1" t="inlineStr">
        <is>
          <t>Sector 19</t>
        </is>
      </c>
      <c r="U3" s="1" t="inlineStr">
        <is>
          <t>Sector 20</t>
        </is>
      </c>
      <c r="V3" s="1" t="inlineStr">
        <is>
          <t>Sector 21</t>
        </is>
      </c>
      <c r="W3" s="1" t="inlineStr">
        <is>
          <t>Sector 22</t>
        </is>
      </c>
      <c r="X3" s="1" t="inlineStr">
        <is>
          <t>Sector 23</t>
        </is>
      </c>
      <c r="Y3" s="1" t="inlineStr">
        <is>
          <t>Sector 24</t>
        </is>
      </c>
      <c r="Z3" s="1" t="inlineStr">
        <is>
          <t>Sector 25</t>
        </is>
      </c>
      <c r="AA3" s="1" t="inlineStr">
        <is>
          <t>Sector 26</t>
        </is>
      </c>
      <c r="AB3" s="1" t="inlineStr">
        <is>
          <t>Sector 27</t>
        </is>
      </c>
      <c r="AC3" s="1" t="inlineStr">
        <is>
          <t>Sector 28</t>
        </is>
      </c>
      <c r="AD3" s="1" t="inlineStr">
        <is>
          <t>Sector 29</t>
        </is>
      </c>
      <c r="AE3" s="1" t="inlineStr">
        <is>
          <t>Sector 30</t>
        </is>
      </c>
      <c r="AF3" s="1" t="inlineStr">
        <is>
          <t>Sector 31</t>
        </is>
      </c>
      <c r="AG3" s="1" t="inlineStr">
        <is>
          <t>Sector 32</t>
        </is>
      </c>
      <c r="AH3" s="1" t="inlineStr">
        <is>
          <t>Sector 33</t>
        </is>
      </c>
      <c r="AI3" s="1" t="inlineStr">
        <is>
          <t>Sector 34</t>
        </is>
      </c>
      <c r="AJ3" s="1" t="inlineStr">
        <is>
          <t>Sector 35</t>
        </is>
      </c>
      <c r="AK3" s="1" t="inlineStr">
        <is>
          <t>Sector 36</t>
        </is>
      </c>
      <c r="AL3" s="1" t="inlineStr">
        <is>
          <t>Sector 37</t>
        </is>
      </c>
      <c r="AM3" s="1" t="inlineStr">
        <is>
          <t>Sector 38</t>
        </is>
      </c>
    </row>
    <row r="4">
      <c r="A4" t="inlineStr">
        <is>
          <t>Total Supply</t>
        </is>
      </c>
    </row>
    <row r="5">
      <c r="A5" t="inlineStr">
        <is>
          <t>Sector 1</t>
        </is>
      </c>
      <c r="B5" t="n">
        <v>100</v>
      </c>
      <c r="C5" t="n">
        <v>103</v>
      </c>
      <c r="D5" t="n">
        <v>106</v>
      </c>
      <c r="E5" t="n">
        <v>109</v>
      </c>
      <c r="F5" t="n">
        <v>112</v>
      </c>
      <c r="G5" t="n">
        <v>115</v>
      </c>
      <c r="H5" t="n">
        <v>118</v>
      </c>
      <c r="I5" t="n">
        <v>121</v>
      </c>
      <c r="J5" t="n">
        <v>124</v>
      </c>
      <c r="K5" t="n">
        <v>127</v>
      </c>
      <c r="L5" t="n">
        <v>130</v>
      </c>
      <c r="M5" t="n">
        <v>133</v>
      </c>
      <c r="N5" t="n">
        <v>136</v>
      </c>
      <c r="O5" t="n">
        <v>139</v>
      </c>
      <c r="P5" t="n">
        <v>142</v>
      </c>
      <c r="Q5" t="n">
        <v>145</v>
      </c>
      <c r="R5" t="n">
        <v>148</v>
      </c>
      <c r="S5" t="n">
        <v>151</v>
      </c>
      <c r="T5" t="n">
        <v>154</v>
      </c>
      <c r="U5" t="n">
        <v>157</v>
      </c>
      <c r="V5" t="n">
        <v>160</v>
      </c>
      <c r="W5" t="n">
        <v>163</v>
      </c>
      <c r="X5" t="n">
        <v>166</v>
      </c>
      <c r="Y5" t="n">
        <v>169</v>
      </c>
      <c r="Z5" t="n">
        <v>172</v>
      </c>
      <c r="AA5" t="n">
        <v>175</v>
      </c>
      <c r="AB5" t="n">
        <v>178</v>
      </c>
      <c r="AC5" t="n">
        <v>181</v>
      </c>
      <c r="AD5" t="n">
        <v>184</v>
      </c>
      <c r="AE5" t="n">
        <v>187</v>
      </c>
      <c r="AF5" t="n">
        <v>190</v>
      </c>
      <c r="AG5" t="n">
        <v>193</v>
      </c>
      <c r="AH5" t="n">
        <v>196</v>
      </c>
      <c r="AI5" t="n">
        <v>199</v>
      </c>
      <c r="AJ5" t="n">
        <v>202</v>
      </c>
      <c r="AK5" t="n">
        <v>205</v>
      </c>
      <c r="AL5" t="n">
        <v>208</v>
      </c>
      <c r="AM5" t="n">
        <v>211</v>
      </c>
    </row>
    <row r="6">
      <c r="A6" t="inlineStr">
        <is>
          <t>Sector 2</t>
        </is>
      </c>
      <c r="B6" t="n">
        <v>105</v>
      </c>
      <c r="C6" t="n">
        <v>108</v>
      </c>
      <c r="D6" t="n">
        <v>111</v>
      </c>
      <c r="E6" t="n">
        <v>114</v>
      </c>
      <c r="F6" t="n">
        <v>117</v>
      </c>
      <c r="G6" t="n">
        <v>120</v>
      </c>
      <c r="H6" t="n">
        <v>123</v>
      </c>
      <c r="I6" t="n">
        <v>126</v>
      </c>
      <c r="J6" t="n">
        <v>129</v>
      </c>
      <c r="K6" t="n">
        <v>132</v>
      </c>
      <c r="L6" t="n">
        <v>135</v>
      </c>
      <c r="M6" t="n">
        <v>138</v>
      </c>
      <c r="N6" t="n">
        <v>141</v>
      </c>
      <c r="O6" t="n">
        <v>144</v>
      </c>
      <c r="P6" t="n">
        <v>147</v>
      </c>
      <c r="Q6" t="n">
        <v>150</v>
      </c>
      <c r="R6" t="n">
        <v>153</v>
      </c>
      <c r="S6" t="n">
        <v>156</v>
      </c>
      <c r="T6" t="n">
        <v>159</v>
      </c>
      <c r="U6" t="n">
        <v>162</v>
      </c>
      <c r="V6" t="n">
        <v>165</v>
      </c>
      <c r="W6" t="n">
        <v>168</v>
      </c>
      <c r="X6" t="n">
        <v>171</v>
      </c>
      <c r="Y6" t="n">
        <v>174</v>
      </c>
      <c r="Z6" t="n">
        <v>177</v>
      </c>
      <c r="AA6" t="n">
        <v>180</v>
      </c>
      <c r="AB6" t="n">
        <v>183</v>
      </c>
      <c r="AC6" t="n">
        <v>186</v>
      </c>
      <c r="AD6" t="n">
        <v>189</v>
      </c>
      <c r="AE6" t="n">
        <v>192</v>
      </c>
      <c r="AF6" t="n">
        <v>195</v>
      </c>
      <c r="AG6" t="n">
        <v>198</v>
      </c>
      <c r="AH6" t="n">
        <v>201</v>
      </c>
      <c r="AI6" t="n">
        <v>204</v>
      </c>
      <c r="AJ6" t="n">
        <v>207</v>
      </c>
      <c r="AK6" t="n">
        <v>210</v>
      </c>
      <c r="AL6" t="n">
        <v>213</v>
      </c>
      <c r="AM6" t="n">
        <v>216</v>
      </c>
    </row>
    <row r="7">
      <c r="A7" t="inlineStr">
        <is>
          <t>Sector 3</t>
        </is>
      </c>
      <c r="B7" t="n">
        <v>110</v>
      </c>
      <c r="C7" t="n">
        <v>113</v>
      </c>
      <c r="D7" t="n">
        <v>116</v>
      </c>
      <c r="E7" t="n">
        <v>119</v>
      </c>
      <c r="F7" t="n">
        <v>122</v>
      </c>
      <c r="G7" t="n">
        <v>125</v>
      </c>
      <c r="H7" t="n">
        <v>128</v>
      </c>
      <c r="I7" t="n">
        <v>131</v>
      </c>
      <c r="J7" t="n">
        <v>134</v>
      </c>
      <c r="K7" t="n">
        <v>137</v>
      </c>
      <c r="L7" t="n">
        <v>140</v>
      </c>
      <c r="M7" t="n">
        <v>143</v>
      </c>
      <c r="N7" t="n">
        <v>146</v>
      </c>
      <c r="O7" t="n">
        <v>149</v>
      </c>
      <c r="P7" t="n">
        <v>152</v>
      </c>
      <c r="Q7" t="n">
        <v>155</v>
      </c>
      <c r="R7" t="n">
        <v>158</v>
      </c>
      <c r="S7" t="n">
        <v>161</v>
      </c>
      <c r="T7" t="n">
        <v>164</v>
      </c>
      <c r="U7" t="n">
        <v>167</v>
      </c>
      <c r="V7" t="n">
        <v>170</v>
      </c>
      <c r="W7" t="n">
        <v>173</v>
      </c>
      <c r="X7" t="n">
        <v>176</v>
      </c>
      <c r="Y7" t="n">
        <v>179</v>
      </c>
      <c r="Z7" t="n">
        <v>182</v>
      </c>
      <c r="AA7" t="n">
        <v>185</v>
      </c>
      <c r="AB7" t="n">
        <v>188</v>
      </c>
      <c r="AC7" t="n">
        <v>191</v>
      </c>
      <c r="AD7" t="n">
        <v>194</v>
      </c>
      <c r="AE7" t="n">
        <v>197</v>
      </c>
      <c r="AF7" t="n">
        <v>200</v>
      </c>
      <c r="AG7" t="n">
        <v>203</v>
      </c>
      <c r="AH7" t="n">
        <v>206</v>
      </c>
      <c r="AI7" t="n">
        <v>209</v>
      </c>
      <c r="AJ7" t="n">
        <v>212</v>
      </c>
      <c r="AK7" t="n">
        <v>215</v>
      </c>
      <c r="AL7" t="n">
        <v>218</v>
      </c>
      <c r="AM7" t="n">
        <v>221</v>
      </c>
    </row>
    <row r="8">
      <c r="A8" t="inlineStr">
        <is>
          <t>Sector 4</t>
        </is>
      </c>
      <c r="B8" t="n">
        <v>115</v>
      </c>
      <c r="C8" t="n">
        <v>118</v>
      </c>
      <c r="D8" t="n">
        <v>121</v>
      </c>
      <c r="E8" t="n">
        <v>124</v>
      </c>
      <c r="F8" t="n">
        <v>127</v>
      </c>
      <c r="G8" t="n">
        <v>130</v>
      </c>
      <c r="H8" t="n">
        <v>133</v>
      </c>
      <c r="I8" t="n">
        <v>136</v>
      </c>
      <c r="J8" t="n">
        <v>139</v>
      </c>
      <c r="K8" t="n">
        <v>142</v>
      </c>
      <c r="L8" t="n">
        <v>145</v>
      </c>
      <c r="M8" t="n">
        <v>148</v>
      </c>
      <c r="N8" t="n">
        <v>151</v>
      </c>
      <c r="O8" t="n">
        <v>154</v>
      </c>
      <c r="P8" t="n">
        <v>157</v>
      </c>
      <c r="Q8" t="n">
        <v>160</v>
      </c>
      <c r="R8" t="n">
        <v>163</v>
      </c>
      <c r="S8" t="n">
        <v>166</v>
      </c>
      <c r="T8" t="n">
        <v>169</v>
      </c>
      <c r="U8" t="n">
        <v>172</v>
      </c>
      <c r="V8" t="n">
        <v>175</v>
      </c>
      <c r="W8" t="n">
        <v>178</v>
      </c>
      <c r="X8" t="n">
        <v>181</v>
      </c>
      <c r="Y8" t="n">
        <v>184</v>
      </c>
      <c r="Z8" t="n">
        <v>187</v>
      </c>
      <c r="AA8" t="n">
        <v>190</v>
      </c>
      <c r="AB8" t="n">
        <v>193</v>
      </c>
      <c r="AC8" t="n">
        <v>196</v>
      </c>
      <c r="AD8" t="n">
        <v>199</v>
      </c>
      <c r="AE8" t="n">
        <v>202</v>
      </c>
      <c r="AF8" t="n">
        <v>205</v>
      </c>
      <c r="AG8" t="n">
        <v>208</v>
      </c>
      <c r="AH8" t="n">
        <v>211</v>
      </c>
      <c r="AI8" t="n">
        <v>214</v>
      </c>
      <c r="AJ8" t="n">
        <v>217</v>
      </c>
      <c r="AK8" t="n">
        <v>220</v>
      </c>
      <c r="AL8" t="n">
        <v>223</v>
      </c>
      <c r="AM8" t="n">
        <v>226</v>
      </c>
    </row>
    <row r="9">
      <c r="A9" t="inlineStr">
        <is>
          <t>Sector 5</t>
        </is>
      </c>
      <c r="B9" t="n">
        <v>120</v>
      </c>
      <c r="C9" t="n">
        <v>123</v>
      </c>
      <c r="D9" t="n">
        <v>126</v>
      </c>
      <c r="E9" t="n">
        <v>129</v>
      </c>
      <c r="F9" t="n">
        <v>132</v>
      </c>
      <c r="G9" t="n">
        <v>135</v>
      </c>
      <c r="H9" t="n">
        <v>138</v>
      </c>
      <c r="I9" t="n">
        <v>141</v>
      </c>
      <c r="J9" t="n">
        <v>144</v>
      </c>
      <c r="K9" t="n">
        <v>147</v>
      </c>
      <c r="L9" t="n">
        <v>150</v>
      </c>
      <c r="M9" t="n">
        <v>153</v>
      </c>
      <c r="N9" t="n">
        <v>156</v>
      </c>
      <c r="O9" t="n">
        <v>159</v>
      </c>
      <c r="P9" t="n">
        <v>162</v>
      </c>
      <c r="Q9" t="n">
        <v>165</v>
      </c>
      <c r="R9" t="n">
        <v>168</v>
      </c>
      <c r="S9" t="n">
        <v>171</v>
      </c>
      <c r="T9" t="n">
        <v>174</v>
      </c>
      <c r="U9" t="n">
        <v>177</v>
      </c>
      <c r="V9" t="n">
        <v>180</v>
      </c>
      <c r="W9" t="n">
        <v>183</v>
      </c>
      <c r="X9" t="n">
        <v>186</v>
      </c>
      <c r="Y9" t="n">
        <v>189</v>
      </c>
      <c r="Z9" t="n">
        <v>192</v>
      </c>
      <c r="AA9" t="n">
        <v>195</v>
      </c>
      <c r="AB9" t="n">
        <v>198</v>
      </c>
      <c r="AC9" t="n">
        <v>201</v>
      </c>
      <c r="AD9" t="n">
        <v>204</v>
      </c>
      <c r="AE9" t="n">
        <v>207</v>
      </c>
      <c r="AF9" t="n">
        <v>210</v>
      </c>
      <c r="AG9" t="n">
        <v>213</v>
      </c>
      <c r="AH9" t="n">
        <v>216</v>
      </c>
      <c r="AI9" t="n">
        <v>219</v>
      </c>
      <c r="AJ9" t="n">
        <v>222</v>
      </c>
      <c r="AK9" t="n">
        <v>225</v>
      </c>
      <c r="AL9" t="n">
        <v>228</v>
      </c>
      <c r="AM9" t="n">
        <v>231</v>
      </c>
    </row>
    <row r="10">
      <c r="A10" t="inlineStr">
        <is>
          <t>Sector 6</t>
        </is>
      </c>
      <c r="B10" t="n">
        <v>125</v>
      </c>
      <c r="C10" t="n">
        <v>128</v>
      </c>
      <c r="D10" t="n">
        <v>131</v>
      </c>
      <c r="E10" t="n">
        <v>134</v>
      </c>
      <c r="F10" t="n">
        <v>137</v>
      </c>
      <c r="G10" t="n">
        <v>140</v>
      </c>
      <c r="H10" t="n">
        <v>143</v>
      </c>
      <c r="I10" t="n">
        <v>146</v>
      </c>
      <c r="J10" t="n">
        <v>149</v>
      </c>
      <c r="K10" t="n">
        <v>152</v>
      </c>
      <c r="L10" t="n">
        <v>155</v>
      </c>
      <c r="M10" t="n">
        <v>158</v>
      </c>
      <c r="N10" t="n">
        <v>161</v>
      </c>
      <c r="O10" t="n">
        <v>164</v>
      </c>
      <c r="P10" t="n">
        <v>167</v>
      </c>
      <c r="Q10" t="n">
        <v>170</v>
      </c>
      <c r="R10" t="n">
        <v>173</v>
      </c>
      <c r="S10" t="n">
        <v>176</v>
      </c>
      <c r="T10" t="n">
        <v>179</v>
      </c>
      <c r="U10" t="n">
        <v>182</v>
      </c>
      <c r="V10" t="n">
        <v>185</v>
      </c>
      <c r="W10" t="n">
        <v>188</v>
      </c>
      <c r="X10" t="n">
        <v>191</v>
      </c>
      <c r="Y10" t="n">
        <v>194</v>
      </c>
      <c r="Z10" t="n">
        <v>197</v>
      </c>
      <c r="AA10" t="n">
        <v>200</v>
      </c>
      <c r="AB10" t="n">
        <v>203</v>
      </c>
      <c r="AC10" t="n">
        <v>206</v>
      </c>
      <c r="AD10" t="n">
        <v>209</v>
      </c>
      <c r="AE10" t="n">
        <v>212</v>
      </c>
      <c r="AF10" t="n">
        <v>215</v>
      </c>
      <c r="AG10" t="n">
        <v>218</v>
      </c>
      <c r="AH10" t="n">
        <v>221</v>
      </c>
      <c r="AI10" t="n">
        <v>224</v>
      </c>
      <c r="AJ10" t="n">
        <v>227</v>
      </c>
      <c r="AK10" t="n">
        <v>230</v>
      </c>
      <c r="AL10" t="n">
        <v>233</v>
      </c>
      <c r="AM10" t="n">
        <v>236</v>
      </c>
    </row>
    <row r="11">
      <c r="A11" t="inlineStr">
        <is>
          <t>Sector 7</t>
        </is>
      </c>
      <c r="B11" t="n">
        <v>130</v>
      </c>
      <c r="C11" t="n">
        <v>133</v>
      </c>
      <c r="D11" t="n">
        <v>136</v>
      </c>
      <c r="E11" t="n">
        <v>139</v>
      </c>
      <c r="F11" t="n">
        <v>142</v>
      </c>
      <c r="G11" t="n">
        <v>145</v>
      </c>
      <c r="H11" t="n">
        <v>148</v>
      </c>
      <c r="I11" t="n">
        <v>151</v>
      </c>
      <c r="J11" t="n">
        <v>154</v>
      </c>
      <c r="K11" t="n">
        <v>157</v>
      </c>
      <c r="L11" t="n">
        <v>160</v>
      </c>
      <c r="M11" t="n">
        <v>163</v>
      </c>
      <c r="N11" t="n">
        <v>166</v>
      </c>
      <c r="O11" t="n">
        <v>169</v>
      </c>
      <c r="P11" t="n">
        <v>172</v>
      </c>
      <c r="Q11" t="n">
        <v>175</v>
      </c>
      <c r="R11" t="n">
        <v>178</v>
      </c>
      <c r="S11" t="n">
        <v>181</v>
      </c>
      <c r="T11" t="n">
        <v>184</v>
      </c>
      <c r="U11" t="n">
        <v>187</v>
      </c>
      <c r="V11" t="n">
        <v>190</v>
      </c>
      <c r="W11" t="n">
        <v>193</v>
      </c>
      <c r="X11" t="n">
        <v>196</v>
      </c>
      <c r="Y11" t="n">
        <v>199</v>
      </c>
      <c r="Z11" t="n">
        <v>202</v>
      </c>
      <c r="AA11" t="n">
        <v>205</v>
      </c>
      <c r="AB11" t="n">
        <v>208</v>
      </c>
      <c r="AC11" t="n">
        <v>211</v>
      </c>
      <c r="AD11" t="n">
        <v>214</v>
      </c>
      <c r="AE11" t="n">
        <v>217</v>
      </c>
      <c r="AF11" t="n">
        <v>220</v>
      </c>
      <c r="AG11" t="n">
        <v>223</v>
      </c>
      <c r="AH11" t="n">
        <v>226</v>
      </c>
      <c r="AI11" t="n">
        <v>229</v>
      </c>
      <c r="AJ11" t="n">
        <v>232</v>
      </c>
      <c r="AK11" t="n">
        <v>235</v>
      </c>
      <c r="AL11" t="n">
        <v>238</v>
      </c>
      <c r="AM11" t="n">
        <v>241</v>
      </c>
    </row>
    <row r="12">
      <c r="A12" t="inlineStr">
        <is>
          <t>Sector 8</t>
        </is>
      </c>
      <c r="B12" t="n">
        <v>135</v>
      </c>
      <c r="C12" t="n">
        <v>138</v>
      </c>
      <c r="D12" t="n">
        <v>141</v>
      </c>
      <c r="E12" t="n">
        <v>144</v>
      </c>
      <c r="F12" t="n">
        <v>147</v>
      </c>
      <c r="G12" t="n">
        <v>150</v>
      </c>
      <c r="H12" t="n">
        <v>153</v>
      </c>
      <c r="I12" t="n">
        <v>156</v>
      </c>
      <c r="J12" t="n">
        <v>159</v>
      </c>
      <c r="K12" t="n">
        <v>162</v>
      </c>
      <c r="L12" t="n">
        <v>165</v>
      </c>
      <c r="M12" t="n">
        <v>168</v>
      </c>
      <c r="N12" t="n">
        <v>171</v>
      </c>
      <c r="O12" t="n">
        <v>174</v>
      </c>
      <c r="P12" t="n">
        <v>177</v>
      </c>
      <c r="Q12" t="n">
        <v>180</v>
      </c>
      <c r="R12" t="n">
        <v>183</v>
      </c>
      <c r="S12" t="n">
        <v>186</v>
      </c>
      <c r="T12" t="n">
        <v>189</v>
      </c>
      <c r="U12" t="n">
        <v>192</v>
      </c>
      <c r="V12" t="n">
        <v>195</v>
      </c>
      <c r="W12" t="n">
        <v>198</v>
      </c>
      <c r="X12" t="n">
        <v>201</v>
      </c>
      <c r="Y12" t="n">
        <v>204</v>
      </c>
      <c r="Z12" t="n">
        <v>207</v>
      </c>
      <c r="AA12" t="n">
        <v>210</v>
      </c>
      <c r="AB12" t="n">
        <v>213</v>
      </c>
      <c r="AC12" t="n">
        <v>216</v>
      </c>
      <c r="AD12" t="n">
        <v>219</v>
      </c>
      <c r="AE12" t="n">
        <v>222</v>
      </c>
      <c r="AF12" t="n">
        <v>225</v>
      </c>
      <c r="AG12" t="n">
        <v>228</v>
      </c>
      <c r="AH12" t="n">
        <v>231</v>
      </c>
      <c r="AI12" t="n">
        <v>234</v>
      </c>
      <c r="AJ12" t="n">
        <v>237</v>
      </c>
      <c r="AK12" t="n">
        <v>240</v>
      </c>
      <c r="AL12" t="n">
        <v>243</v>
      </c>
      <c r="AM12" t="n">
        <v>246</v>
      </c>
    </row>
    <row r="13">
      <c r="A13" t="inlineStr">
        <is>
          <t>Sector 9</t>
        </is>
      </c>
      <c r="B13" t="n">
        <v>140</v>
      </c>
      <c r="C13" t="n">
        <v>143</v>
      </c>
      <c r="D13" t="n">
        <v>146</v>
      </c>
      <c r="E13" t="n">
        <v>149</v>
      </c>
      <c r="F13" t="n">
        <v>152</v>
      </c>
      <c r="G13" t="n">
        <v>155</v>
      </c>
      <c r="H13" t="n">
        <v>158</v>
      </c>
      <c r="I13" t="n">
        <v>161</v>
      </c>
      <c r="J13" t="n">
        <v>164</v>
      </c>
      <c r="K13" t="n">
        <v>167</v>
      </c>
      <c r="L13" t="n">
        <v>170</v>
      </c>
      <c r="M13" t="n">
        <v>173</v>
      </c>
      <c r="N13" t="n">
        <v>176</v>
      </c>
      <c r="O13" t="n">
        <v>179</v>
      </c>
      <c r="P13" t="n">
        <v>182</v>
      </c>
      <c r="Q13" t="n">
        <v>185</v>
      </c>
      <c r="R13" t="n">
        <v>188</v>
      </c>
      <c r="S13" t="n">
        <v>191</v>
      </c>
      <c r="T13" t="n">
        <v>194</v>
      </c>
      <c r="U13" t="n">
        <v>197</v>
      </c>
      <c r="V13" t="n">
        <v>200</v>
      </c>
      <c r="W13" t="n">
        <v>203</v>
      </c>
      <c r="X13" t="n">
        <v>206</v>
      </c>
      <c r="Y13" t="n">
        <v>209</v>
      </c>
      <c r="Z13" t="n">
        <v>212</v>
      </c>
      <c r="AA13" t="n">
        <v>215</v>
      </c>
      <c r="AB13" t="n">
        <v>218</v>
      </c>
      <c r="AC13" t="n">
        <v>221</v>
      </c>
      <c r="AD13" t="n">
        <v>224</v>
      </c>
      <c r="AE13" t="n">
        <v>227</v>
      </c>
      <c r="AF13" t="n">
        <v>230</v>
      </c>
      <c r="AG13" t="n">
        <v>233</v>
      </c>
      <c r="AH13" t="n">
        <v>236</v>
      </c>
      <c r="AI13" t="n">
        <v>239</v>
      </c>
      <c r="AJ13" t="n">
        <v>242</v>
      </c>
      <c r="AK13" t="n">
        <v>245</v>
      </c>
      <c r="AL13" t="n">
        <v>248</v>
      </c>
      <c r="AM13" t="n">
        <v>251</v>
      </c>
    </row>
    <row r="14">
      <c r="A14" t="inlineStr">
        <is>
          <t>Sector 10</t>
        </is>
      </c>
      <c r="B14" t="n">
        <v>145</v>
      </c>
      <c r="C14" t="n">
        <v>148</v>
      </c>
      <c r="D14" t="n">
        <v>151</v>
      </c>
      <c r="E14" t="n">
        <v>154</v>
      </c>
      <c r="F14" t="n">
        <v>157</v>
      </c>
      <c r="G14" t="n">
        <v>160</v>
      </c>
      <c r="H14" t="n">
        <v>163</v>
      </c>
      <c r="I14" t="n">
        <v>166</v>
      </c>
      <c r="J14" t="n">
        <v>169</v>
      </c>
      <c r="K14" t="n">
        <v>172</v>
      </c>
      <c r="L14" t="n">
        <v>175</v>
      </c>
      <c r="M14" t="n">
        <v>178</v>
      </c>
      <c r="N14" t="n">
        <v>181</v>
      </c>
      <c r="O14" t="n">
        <v>184</v>
      </c>
      <c r="P14" t="n">
        <v>187</v>
      </c>
      <c r="Q14" t="n">
        <v>190</v>
      </c>
      <c r="R14" t="n">
        <v>193</v>
      </c>
      <c r="S14" t="n">
        <v>196</v>
      </c>
      <c r="T14" t="n">
        <v>199</v>
      </c>
      <c r="U14" t="n">
        <v>202</v>
      </c>
      <c r="V14" t="n">
        <v>205</v>
      </c>
      <c r="W14" t="n">
        <v>208</v>
      </c>
      <c r="X14" t="n">
        <v>211</v>
      </c>
      <c r="Y14" t="n">
        <v>214</v>
      </c>
      <c r="Z14" t="n">
        <v>217</v>
      </c>
      <c r="AA14" t="n">
        <v>220</v>
      </c>
      <c r="AB14" t="n">
        <v>223</v>
      </c>
      <c r="AC14" t="n">
        <v>226</v>
      </c>
      <c r="AD14" t="n">
        <v>229</v>
      </c>
      <c r="AE14" t="n">
        <v>232</v>
      </c>
      <c r="AF14" t="n">
        <v>235</v>
      </c>
      <c r="AG14" t="n">
        <v>238</v>
      </c>
      <c r="AH14" t="n">
        <v>241</v>
      </c>
      <c r="AI14" t="n">
        <v>244</v>
      </c>
      <c r="AJ14" t="n">
        <v>247</v>
      </c>
      <c r="AK14" t="n">
        <v>250</v>
      </c>
      <c r="AL14" t="n">
        <v>253</v>
      </c>
      <c r="AM14" t="n">
        <v>256</v>
      </c>
    </row>
    <row r="15">
      <c r="A15" t="inlineStr">
        <is>
          <t>Sector 11</t>
        </is>
      </c>
      <c r="B15" t="n">
        <v>150</v>
      </c>
      <c r="C15" t="n">
        <v>153</v>
      </c>
      <c r="D15" t="n">
        <v>156</v>
      </c>
      <c r="E15" t="n">
        <v>159</v>
      </c>
      <c r="F15" t="n">
        <v>162</v>
      </c>
      <c r="G15" t="n">
        <v>165</v>
      </c>
      <c r="H15" t="n">
        <v>168</v>
      </c>
      <c r="I15" t="n">
        <v>171</v>
      </c>
      <c r="J15" t="n">
        <v>174</v>
      </c>
      <c r="K15" t="n">
        <v>177</v>
      </c>
      <c r="L15" t="n">
        <v>180</v>
      </c>
      <c r="M15" t="n">
        <v>183</v>
      </c>
      <c r="N15" t="n">
        <v>186</v>
      </c>
      <c r="O15" t="n">
        <v>189</v>
      </c>
      <c r="P15" t="n">
        <v>192</v>
      </c>
      <c r="Q15" t="n">
        <v>195</v>
      </c>
      <c r="R15" t="n">
        <v>198</v>
      </c>
      <c r="S15" t="n">
        <v>201</v>
      </c>
      <c r="T15" t="n">
        <v>204</v>
      </c>
      <c r="U15" t="n">
        <v>207</v>
      </c>
      <c r="V15" t="n">
        <v>210</v>
      </c>
      <c r="W15" t="n">
        <v>213</v>
      </c>
      <c r="X15" t="n">
        <v>216</v>
      </c>
      <c r="Y15" t="n">
        <v>219</v>
      </c>
      <c r="Z15" t="n">
        <v>222</v>
      </c>
      <c r="AA15" t="n">
        <v>225</v>
      </c>
      <c r="AB15" t="n">
        <v>228</v>
      </c>
      <c r="AC15" t="n">
        <v>231</v>
      </c>
      <c r="AD15" t="n">
        <v>234</v>
      </c>
      <c r="AE15" t="n">
        <v>237</v>
      </c>
      <c r="AF15" t="n">
        <v>240</v>
      </c>
      <c r="AG15" t="n">
        <v>243</v>
      </c>
      <c r="AH15" t="n">
        <v>246</v>
      </c>
      <c r="AI15" t="n">
        <v>249</v>
      </c>
      <c r="AJ15" t="n">
        <v>252</v>
      </c>
      <c r="AK15" t="n">
        <v>255</v>
      </c>
      <c r="AL15" t="n">
        <v>258</v>
      </c>
      <c r="AM15" t="n">
        <v>261</v>
      </c>
    </row>
    <row r="16">
      <c r="A16" t="inlineStr">
        <is>
          <t>Sector 12</t>
        </is>
      </c>
      <c r="B16" t="n">
        <v>155</v>
      </c>
      <c r="C16" t="n">
        <v>158</v>
      </c>
      <c r="D16" t="n">
        <v>161</v>
      </c>
      <c r="E16" t="n">
        <v>164</v>
      </c>
      <c r="F16" t="n">
        <v>167</v>
      </c>
      <c r="G16" t="n">
        <v>170</v>
      </c>
      <c r="H16" t="n">
        <v>173</v>
      </c>
      <c r="I16" t="n">
        <v>176</v>
      </c>
      <c r="J16" t="n">
        <v>179</v>
      </c>
      <c r="K16" t="n">
        <v>182</v>
      </c>
      <c r="L16" t="n">
        <v>185</v>
      </c>
      <c r="M16" t="n">
        <v>188</v>
      </c>
      <c r="N16" t="n">
        <v>191</v>
      </c>
      <c r="O16" t="n">
        <v>194</v>
      </c>
      <c r="P16" t="n">
        <v>197</v>
      </c>
      <c r="Q16" t="n">
        <v>200</v>
      </c>
      <c r="R16" t="n">
        <v>203</v>
      </c>
      <c r="S16" t="n">
        <v>206</v>
      </c>
      <c r="T16" t="n">
        <v>209</v>
      </c>
      <c r="U16" t="n">
        <v>212</v>
      </c>
      <c r="V16" t="n">
        <v>215</v>
      </c>
      <c r="W16" t="n">
        <v>218</v>
      </c>
      <c r="X16" t="n">
        <v>221</v>
      </c>
      <c r="Y16" t="n">
        <v>224</v>
      </c>
      <c r="Z16" t="n">
        <v>227</v>
      </c>
      <c r="AA16" t="n">
        <v>230</v>
      </c>
      <c r="AB16" t="n">
        <v>233</v>
      </c>
      <c r="AC16" t="n">
        <v>236</v>
      </c>
      <c r="AD16" t="n">
        <v>239</v>
      </c>
      <c r="AE16" t="n">
        <v>242</v>
      </c>
      <c r="AF16" t="n">
        <v>245</v>
      </c>
      <c r="AG16" t="n">
        <v>248</v>
      </c>
      <c r="AH16" t="n">
        <v>251</v>
      </c>
      <c r="AI16" t="n">
        <v>254</v>
      </c>
      <c r="AJ16" t="n">
        <v>257</v>
      </c>
      <c r="AK16" t="n">
        <v>260</v>
      </c>
      <c r="AL16" t="n">
        <v>263</v>
      </c>
      <c r="AM16" t="n">
        <v>266</v>
      </c>
    </row>
    <row r="17">
      <c r="A17" t="inlineStr">
        <is>
          <t>Sector 13</t>
        </is>
      </c>
      <c r="B17" t="n">
        <v>160</v>
      </c>
      <c r="C17" t="n">
        <v>163</v>
      </c>
      <c r="D17" t="n">
        <v>166</v>
      </c>
      <c r="E17" t="n">
        <v>169</v>
      </c>
      <c r="F17" t="n">
        <v>172</v>
      </c>
      <c r="G17" t="n">
        <v>175</v>
      </c>
      <c r="H17" t="n">
        <v>178</v>
      </c>
      <c r="I17" t="n">
        <v>181</v>
      </c>
      <c r="J17" t="n">
        <v>184</v>
      </c>
      <c r="K17" t="n">
        <v>187</v>
      </c>
      <c r="L17" t="n">
        <v>190</v>
      </c>
      <c r="M17" t="n">
        <v>193</v>
      </c>
      <c r="N17" t="n">
        <v>196</v>
      </c>
      <c r="O17" t="n">
        <v>199</v>
      </c>
      <c r="P17" t="n">
        <v>202</v>
      </c>
      <c r="Q17" t="n">
        <v>205</v>
      </c>
      <c r="R17" t="n">
        <v>208</v>
      </c>
      <c r="S17" t="n">
        <v>211</v>
      </c>
      <c r="T17" t="n">
        <v>214</v>
      </c>
      <c r="U17" t="n">
        <v>217</v>
      </c>
      <c r="V17" t="n">
        <v>220</v>
      </c>
      <c r="W17" t="n">
        <v>223</v>
      </c>
      <c r="X17" t="n">
        <v>226</v>
      </c>
      <c r="Y17" t="n">
        <v>229</v>
      </c>
      <c r="Z17" t="n">
        <v>232</v>
      </c>
      <c r="AA17" t="n">
        <v>235</v>
      </c>
      <c r="AB17" t="n">
        <v>238</v>
      </c>
      <c r="AC17" t="n">
        <v>241</v>
      </c>
      <c r="AD17" t="n">
        <v>244</v>
      </c>
      <c r="AE17" t="n">
        <v>247</v>
      </c>
      <c r="AF17" t="n">
        <v>250</v>
      </c>
      <c r="AG17" t="n">
        <v>253</v>
      </c>
      <c r="AH17" t="n">
        <v>256</v>
      </c>
      <c r="AI17" t="n">
        <v>259</v>
      </c>
      <c r="AJ17" t="n">
        <v>262</v>
      </c>
      <c r="AK17" t="n">
        <v>265</v>
      </c>
      <c r="AL17" t="n">
        <v>268</v>
      </c>
      <c r="AM17" t="n">
        <v>271</v>
      </c>
    </row>
    <row r="18">
      <c r="A18" t="inlineStr">
        <is>
          <t>Sector 14</t>
        </is>
      </c>
      <c r="B18" t="n">
        <v>165</v>
      </c>
      <c r="C18" t="n">
        <v>168</v>
      </c>
      <c r="D18" t="n">
        <v>171</v>
      </c>
      <c r="E18" t="n">
        <v>174</v>
      </c>
      <c r="F18" t="n">
        <v>177</v>
      </c>
      <c r="G18" t="n">
        <v>180</v>
      </c>
      <c r="H18" t="n">
        <v>183</v>
      </c>
      <c r="I18" t="n">
        <v>186</v>
      </c>
      <c r="J18" t="n">
        <v>189</v>
      </c>
      <c r="K18" t="n">
        <v>192</v>
      </c>
      <c r="L18" t="n">
        <v>195</v>
      </c>
      <c r="M18" t="n">
        <v>198</v>
      </c>
      <c r="N18" t="n">
        <v>201</v>
      </c>
      <c r="O18" t="n">
        <v>204</v>
      </c>
      <c r="P18" t="n">
        <v>207</v>
      </c>
      <c r="Q18" t="n">
        <v>210</v>
      </c>
      <c r="R18" t="n">
        <v>213</v>
      </c>
      <c r="S18" t="n">
        <v>216</v>
      </c>
      <c r="T18" t="n">
        <v>219</v>
      </c>
      <c r="U18" t="n">
        <v>222</v>
      </c>
      <c r="V18" t="n">
        <v>225</v>
      </c>
      <c r="W18" t="n">
        <v>228</v>
      </c>
      <c r="X18" t="n">
        <v>231</v>
      </c>
      <c r="Y18" t="n">
        <v>234</v>
      </c>
      <c r="Z18" t="n">
        <v>237</v>
      </c>
      <c r="AA18" t="n">
        <v>240</v>
      </c>
      <c r="AB18" t="n">
        <v>243</v>
      </c>
      <c r="AC18" t="n">
        <v>246</v>
      </c>
      <c r="AD18" t="n">
        <v>249</v>
      </c>
      <c r="AE18" t="n">
        <v>252</v>
      </c>
      <c r="AF18" t="n">
        <v>255</v>
      </c>
      <c r="AG18" t="n">
        <v>258</v>
      </c>
      <c r="AH18" t="n">
        <v>261</v>
      </c>
      <c r="AI18" t="n">
        <v>264</v>
      </c>
      <c r="AJ18" t="n">
        <v>267</v>
      </c>
      <c r="AK18" t="n">
        <v>270</v>
      </c>
      <c r="AL18" t="n">
        <v>273</v>
      </c>
      <c r="AM18" t="n">
        <v>276</v>
      </c>
    </row>
    <row r="19">
      <c r="A19" t="inlineStr">
        <is>
          <t>Sector 15</t>
        </is>
      </c>
      <c r="B19" t="n">
        <v>170</v>
      </c>
      <c r="C19" t="n">
        <v>173</v>
      </c>
      <c r="D19" t="n">
        <v>176</v>
      </c>
      <c r="E19" t="n">
        <v>179</v>
      </c>
      <c r="F19" t="n">
        <v>182</v>
      </c>
      <c r="G19" t="n">
        <v>185</v>
      </c>
      <c r="H19" t="n">
        <v>188</v>
      </c>
      <c r="I19" t="n">
        <v>191</v>
      </c>
      <c r="J19" t="n">
        <v>194</v>
      </c>
      <c r="K19" t="n">
        <v>197</v>
      </c>
      <c r="L19" t="n">
        <v>200</v>
      </c>
      <c r="M19" t="n">
        <v>203</v>
      </c>
      <c r="N19" t="n">
        <v>206</v>
      </c>
      <c r="O19" t="n">
        <v>209</v>
      </c>
      <c r="P19" t="n">
        <v>212</v>
      </c>
      <c r="Q19" t="n">
        <v>215</v>
      </c>
      <c r="R19" t="n">
        <v>218</v>
      </c>
      <c r="S19" t="n">
        <v>221</v>
      </c>
      <c r="T19" t="n">
        <v>224</v>
      </c>
      <c r="U19" t="n">
        <v>227</v>
      </c>
      <c r="V19" t="n">
        <v>230</v>
      </c>
      <c r="W19" t="n">
        <v>233</v>
      </c>
      <c r="X19" t="n">
        <v>236</v>
      </c>
      <c r="Y19" t="n">
        <v>239</v>
      </c>
      <c r="Z19" t="n">
        <v>242</v>
      </c>
      <c r="AA19" t="n">
        <v>245</v>
      </c>
      <c r="AB19" t="n">
        <v>248</v>
      </c>
      <c r="AC19" t="n">
        <v>251</v>
      </c>
      <c r="AD19" t="n">
        <v>254</v>
      </c>
      <c r="AE19" t="n">
        <v>257</v>
      </c>
      <c r="AF19" t="n">
        <v>260</v>
      </c>
      <c r="AG19" t="n">
        <v>263</v>
      </c>
      <c r="AH19" t="n">
        <v>266</v>
      </c>
      <c r="AI19" t="n">
        <v>269</v>
      </c>
      <c r="AJ19" t="n">
        <v>272</v>
      </c>
      <c r="AK19" t="n">
        <v>275</v>
      </c>
      <c r="AL19" t="n">
        <v>278</v>
      </c>
      <c r="AM19" t="n">
        <v>281</v>
      </c>
    </row>
    <row r="20">
      <c r="A20" t="inlineStr">
        <is>
          <t>Sector 16</t>
        </is>
      </c>
      <c r="B20" t="n">
        <v>175</v>
      </c>
      <c r="C20" t="n">
        <v>178</v>
      </c>
      <c r="D20" t="n">
        <v>181</v>
      </c>
      <c r="E20" t="n">
        <v>184</v>
      </c>
      <c r="F20" t="n">
        <v>187</v>
      </c>
      <c r="G20" t="n">
        <v>190</v>
      </c>
      <c r="H20" t="n">
        <v>193</v>
      </c>
      <c r="I20" t="n">
        <v>196</v>
      </c>
      <c r="J20" t="n">
        <v>199</v>
      </c>
      <c r="K20" t="n">
        <v>202</v>
      </c>
      <c r="L20" t="n">
        <v>205</v>
      </c>
      <c r="M20" t="n">
        <v>208</v>
      </c>
      <c r="N20" t="n">
        <v>211</v>
      </c>
      <c r="O20" t="n">
        <v>214</v>
      </c>
      <c r="P20" t="n">
        <v>217</v>
      </c>
      <c r="Q20" t="n">
        <v>220</v>
      </c>
      <c r="R20" t="n">
        <v>223</v>
      </c>
      <c r="S20" t="n">
        <v>226</v>
      </c>
      <c r="T20" t="n">
        <v>229</v>
      </c>
      <c r="U20" t="n">
        <v>232</v>
      </c>
      <c r="V20" t="n">
        <v>235</v>
      </c>
      <c r="W20" t="n">
        <v>238</v>
      </c>
      <c r="X20" t="n">
        <v>241</v>
      </c>
      <c r="Y20" t="n">
        <v>244</v>
      </c>
      <c r="Z20" t="n">
        <v>247</v>
      </c>
      <c r="AA20" t="n">
        <v>250</v>
      </c>
      <c r="AB20" t="n">
        <v>253</v>
      </c>
      <c r="AC20" t="n">
        <v>256</v>
      </c>
      <c r="AD20" t="n">
        <v>259</v>
      </c>
      <c r="AE20" t="n">
        <v>262</v>
      </c>
      <c r="AF20" t="n">
        <v>265</v>
      </c>
      <c r="AG20" t="n">
        <v>268</v>
      </c>
      <c r="AH20" t="n">
        <v>271</v>
      </c>
      <c r="AI20" t="n">
        <v>274</v>
      </c>
      <c r="AJ20" t="n">
        <v>277</v>
      </c>
      <c r="AK20" t="n">
        <v>280</v>
      </c>
      <c r="AL20" t="n">
        <v>283</v>
      </c>
      <c r="AM20" t="n">
        <v>286</v>
      </c>
    </row>
    <row r="21">
      <c r="A21" t="inlineStr">
        <is>
          <t>Sector 17</t>
        </is>
      </c>
      <c r="B21" t="n">
        <v>180</v>
      </c>
      <c r="C21" t="n">
        <v>183</v>
      </c>
      <c r="D21" t="n">
        <v>186</v>
      </c>
      <c r="E21" t="n">
        <v>189</v>
      </c>
      <c r="F21" t="n">
        <v>192</v>
      </c>
      <c r="G21" t="n">
        <v>195</v>
      </c>
      <c r="H21" t="n">
        <v>198</v>
      </c>
      <c r="I21" t="n">
        <v>201</v>
      </c>
      <c r="J21" t="n">
        <v>204</v>
      </c>
      <c r="K21" t="n">
        <v>207</v>
      </c>
      <c r="L21" t="n">
        <v>210</v>
      </c>
      <c r="M21" t="n">
        <v>213</v>
      </c>
      <c r="N21" t="n">
        <v>216</v>
      </c>
      <c r="O21" t="n">
        <v>219</v>
      </c>
      <c r="P21" t="n">
        <v>222</v>
      </c>
      <c r="Q21" t="n">
        <v>225</v>
      </c>
      <c r="R21" t="n">
        <v>228</v>
      </c>
      <c r="S21" t="n">
        <v>231</v>
      </c>
      <c r="T21" t="n">
        <v>234</v>
      </c>
      <c r="U21" t="n">
        <v>237</v>
      </c>
      <c r="V21" t="n">
        <v>240</v>
      </c>
      <c r="W21" t="n">
        <v>243</v>
      </c>
      <c r="X21" t="n">
        <v>246</v>
      </c>
      <c r="Y21" t="n">
        <v>249</v>
      </c>
      <c r="Z21" t="n">
        <v>252</v>
      </c>
      <c r="AA21" t="n">
        <v>255</v>
      </c>
      <c r="AB21" t="n">
        <v>258</v>
      </c>
      <c r="AC21" t="n">
        <v>261</v>
      </c>
      <c r="AD21" t="n">
        <v>264</v>
      </c>
      <c r="AE21" t="n">
        <v>267</v>
      </c>
      <c r="AF21" t="n">
        <v>270</v>
      </c>
      <c r="AG21" t="n">
        <v>273</v>
      </c>
      <c r="AH21" t="n">
        <v>276</v>
      </c>
      <c r="AI21" t="n">
        <v>279</v>
      </c>
      <c r="AJ21" t="n">
        <v>282</v>
      </c>
      <c r="AK21" t="n">
        <v>285</v>
      </c>
      <c r="AL21" t="n">
        <v>288</v>
      </c>
      <c r="AM21" t="n">
        <v>291</v>
      </c>
    </row>
    <row r="22">
      <c r="A22" t="inlineStr">
        <is>
          <t>Sector 18</t>
        </is>
      </c>
      <c r="B22" t="n">
        <v>185</v>
      </c>
      <c r="C22" t="n">
        <v>188</v>
      </c>
      <c r="D22" t="n">
        <v>191</v>
      </c>
      <c r="E22" t="n">
        <v>194</v>
      </c>
      <c r="F22" t="n">
        <v>197</v>
      </c>
      <c r="G22" t="n">
        <v>200</v>
      </c>
      <c r="H22" t="n">
        <v>203</v>
      </c>
      <c r="I22" t="n">
        <v>206</v>
      </c>
      <c r="J22" t="n">
        <v>209</v>
      </c>
      <c r="K22" t="n">
        <v>212</v>
      </c>
      <c r="L22" t="n">
        <v>215</v>
      </c>
      <c r="M22" t="n">
        <v>218</v>
      </c>
      <c r="N22" t="n">
        <v>221</v>
      </c>
      <c r="O22" t="n">
        <v>224</v>
      </c>
      <c r="P22" t="n">
        <v>227</v>
      </c>
      <c r="Q22" t="n">
        <v>230</v>
      </c>
      <c r="R22" t="n">
        <v>233</v>
      </c>
      <c r="S22" t="n">
        <v>236</v>
      </c>
      <c r="T22" t="n">
        <v>239</v>
      </c>
      <c r="U22" t="n">
        <v>242</v>
      </c>
      <c r="V22" t="n">
        <v>245</v>
      </c>
      <c r="W22" t="n">
        <v>248</v>
      </c>
      <c r="X22" t="n">
        <v>251</v>
      </c>
      <c r="Y22" t="n">
        <v>254</v>
      </c>
      <c r="Z22" t="n">
        <v>257</v>
      </c>
      <c r="AA22" t="n">
        <v>260</v>
      </c>
      <c r="AB22" t="n">
        <v>263</v>
      </c>
      <c r="AC22" t="n">
        <v>266</v>
      </c>
      <c r="AD22" t="n">
        <v>269</v>
      </c>
      <c r="AE22" t="n">
        <v>272</v>
      </c>
      <c r="AF22" t="n">
        <v>275</v>
      </c>
      <c r="AG22" t="n">
        <v>278</v>
      </c>
      <c r="AH22" t="n">
        <v>281</v>
      </c>
      <c r="AI22" t="n">
        <v>284</v>
      </c>
      <c r="AJ22" t="n">
        <v>287</v>
      </c>
      <c r="AK22" t="n">
        <v>290</v>
      </c>
      <c r="AL22" t="n">
        <v>293</v>
      </c>
      <c r="AM22" t="n">
        <v>296</v>
      </c>
    </row>
    <row r="23">
      <c r="A23" t="inlineStr">
        <is>
          <t>Sector 19</t>
        </is>
      </c>
      <c r="B23" t="n">
        <v>190</v>
      </c>
      <c r="C23" t="n">
        <v>193</v>
      </c>
      <c r="D23" t="n">
        <v>196</v>
      </c>
      <c r="E23" t="n">
        <v>199</v>
      </c>
      <c r="F23" t="n">
        <v>202</v>
      </c>
      <c r="G23" t="n">
        <v>205</v>
      </c>
      <c r="H23" t="n">
        <v>208</v>
      </c>
      <c r="I23" t="n">
        <v>211</v>
      </c>
      <c r="J23" t="n">
        <v>214</v>
      </c>
      <c r="K23" t="n">
        <v>217</v>
      </c>
      <c r="L23" t="n">
        <v>220</v>
      </c>
      <c r="M23" t="n">
        <v>223</v>
      </c>
      <c r="N23" t="n">
        <v>226</v>
      </c>
      <c r="O23" t="n">
        <v>229</v>
      </c>
      <c r="P23" t="n">
        <v>232</v>
      </c>
      <c r="Q23" t="n">
        <v>235</v>
      </c>
      <c r="R23" t="n">
        <v>238</v>
      </c>
      <c r="S23" t="n">
        <v>241</v>
      </c>
      <c r="T23" t="n">
        <v>244</v>
      </c>
      <c r="U23" t="n">
        <v>247</v>
      </c>
      <c r="V23" t="n">
        <v>250</v>
      </c>
      <c r="W23" t="n">
        <v>253</v>
      </c>
      <c r="X23" t="n">
        <v>256</v>
      </c>
      <c r="Y23" t="n">
        <v>259</v>
      </c>
      <c r="Z23" t="n">
        <v>262</v>
      </c>
      <c r="AA23" t="n">
        <v>265</v>
      </c>
      <c r="AB23" t="n">
        <v>268</v>
      </c>
      <c r="AC23" t="n">
        <v>271</v>
      </c>
      <c r="AD23" t="n">
        <v>274</v>
      </c>
      <c r="AE23" t="n">
        <v>277</v>
      </c>
      <c r="AF23" t="n">
        <v>280</v>
      </c>
      <c r="AG23" t="n">
        <v>283</v>
      </c>
      <c r="AH23" t="n">
        <v>286</v>
      </c>
      <c r="AI23" t="n">
        <v>289</v>
      </c>
      <c r="AJ23" t="n">
        <v>292</v>
      </c>
      <c r="AK23" t="n">
        <v>295</v>
      </c>
      <c r="AL23" t="n">
        <v>298</v>
      </c>
      <c r="AM23" t="n">
        <v>301</v>
      </c>
    </row>
    <row r="24">
      <c r="A24" t="inlineStr">
        <is>
          <t>Sector 20</t>
        </is>
      </c>
      <c r="B24" t="n">
        <v>195</v>
      </c>
      <c r="C24" t="n">
        <v>198</v>
      </c>
      <c r="D24" t="n">
        <v>201</v>
      </c>
      <c r="E24" t="n">
        <v>204</v>
      </c>
      <c r="F24" t="n">
        <v>207</v>
      </c>
      <c r="G24" t="n">
        <v>210</v>
      </c>
      <c r="H24" t="n">
        <v>213</v>
      </c>
      <c r="I24" t="n">
        <v>216</v>
      </c>
      <c r="J24" t="n">
        <v>219</v>
      </c>
      <c r="K24" t="n">
        <v>222</v>
      </c>
      <c r="L24" t="n">
        <v>225</v>
      </c>
      <c r="M24" t="n">
        <v>228</v>
      </c>
      <c r="N24" t="n">
        <v>231</v>
      </c>
      <c r="O24" t="n">
        <v>234</v>
      </c>
      <c r="P24" t="n">
        <v>237</v>
      </c>
      <c r="Q24" t="n">
        <v>240</v>
      </c>
      <c r="R24" t="n">
        <v>243</v>
      </c>
      <c r="S24" t="n">
        <v>246</v>
      </c>
      <c r="T24" t="n">
        <v>249</v>
      </c>
      <c r="U24" t="n">
        <v>252</v>
      </c>
      <c r="V24" t="n">
        <v>255</v>
      </c>
      <c r="W24" t="n">
        <v>258</v>
      </c>
      <c r="X24" t="n">
        <v>261</v>
      </c>
      <c r="Y24" t="n">
        <v>264</v>
      </c>
      <c r="Z24" t="n">
        <v>267</v>
      </c>
      <c r="AA24" t="n">
        <v>270</v>
      </c>
      <c r="AB24" t="n">
        <v>273</v>
      </c>
      <c r="AC24" t="n">
        <v>276</v>
      </c>
      <c r="AD24" t="n">
        <v>279</v>
      </c>
      <c r="AE24" t="n">
        <v>282</v>
      </c>
      <c r="AF24" t="n">
        <v>285</v>
      </c>
      <c r="AG24" t="n">
        <v>288</v>
      </c>
      <c r="AH24" t="n">
        <v>291</v>
      </c>
      <c r="AI24" t="n">
        <v>294</v>
      </c>
      <c r="AJ24" t="n">
        <v>297</v>
      </c>
      <c r="AK24" t="n">
        <v>300</v>
      </c>
      <c r="AL24" t="n">
        <v>303</v>
      </c>
      <c r="AM24" t="n">
        <v>306</v>
      </c>
    </row>
    <row r="25">
      <c r="A25" t="inlineStr">
        <is>
          <t>Sector 21</t>
        </is>
      </c>
      <c r="B25" t="n">
        <v>200</v>
      </c>
      <c r="C25" t="n">
        <v>203</v>
      </c>
      <c r="D25" t="n">
        <v>206</v>
      </c>
      <c r="E25" t="n">
        <v>209</v>
      </c>
      <c r="F25" t="n">
        <v>212</v>
      </c>
      <c r="G25" t="n">
        <v>215</v>
      </c>
      <c r="H25" t="n">
        <v>218</v>
      </c>
      <c r="I25" t="n">
        <v>221</v>
      </c>
      <c r="J25" t="n">
        <v>224</v>
      </c>
      <c r="K25" t="n">
        <v>227</v>
      </c>
      <c r="L25" t="n">
        <v>230</v>
      </c>
      <c r="M25" t="n">
        <v>233</v>
      </c>
      <c r="N25" t="n">
        <v>236</v>
      </c>
      <c r="O25" t="n">
        <v>239</v>
      </c>
      <c r="P25" t="n">
        <v>242</v>
      </c>
      <c r="Q25" t="n">
        <v>245</v>
      </c>
      <c r="R25" t="n">
        <v>248</v>
      </c>
      <c r="S25" t="n">
        <v>251</v>
      </c>
      <c r="T25" t="n">
        <v>254</v>
      </c>
      <c r="U25" t="n">
        <v>257</v>
      </c>
      <c r="V25" t="n">
        <v>260</v>
      </c>
      <c r="W25" t="n">
        <v>263</v>
      </c>
      <c r="X25" t="n">
        <v>266</v>
      </c>
      <c r="Y25" t="n">
        <v>269</v>
      </c>
      <c r="Z25" t="n">
        <v>272</v>
      </c>
      <c r="AA25" t="n">
        <v>275</v>
      </c>
      <c r="AB25" t="n">
        <v>278</v>
      </c>
      <c r="AC25" t="n">
        <v>281</v>
      </c>
      <c r="AD25" t="n">
        <v>284</v>
      </c>
      <c r="AE25" t="n">
        <v>287</v>
      </c>
      <c r="AF25" t="n">
        <v>290</v>
      </c>
      <c r="AG25" t="n">
        <v>293</v>
      </c>
      <c r="AH25" t="n">
        <v>296</v>
      </c>
      <c r="AI25" t="n">
        <v>299</v>
      </c>
      <c r="AJ25" t="n">
        <v>302</v>
      </c>
      <c r="AK25" t="n">
        <v>305</v>
      </c>
      <c r="AL25" t="n">
        <v>308</v>
      </c>
      <c r="AM25" t="n">
        <v>311</v>
      </c>
    </row>
    <row r="26">
      <c r="A26" t="inlineStr">
        <is>
          <t>Sector 22</t>
        </is>
      </c>
      <c r="B26" t="n">
        <v>205</v>
      </c>
      <c r="C26" t="n">
        <v>208</v>
      </c>
      <c r="D26" t="n">
        <v>211</v>
      </c>
      <c r="E26" t="n">
        <v>214</v>
      </c>
      <c r="F26" t="n">
        <v>217</v>
      </c>
      <c r="G26" t="n">
        <v>220</v>
      </c>
      <c r="H26" t="n">
        <v>223</v>
      </c>
      <c r="I26" t="n">
        <v>226</v>
      </c>
      <c r="J26" t="n">
        <v>229</v>
      </c>
      <c r="K26" t="n">
        <v>232</v>
      </c>
      <c r="L26" t="n">
        <v>235</v>
      </c>
      <c r="M26" t="n">
        <v>238</v>
      </c>
      <c r="N26" t="n">
        <v>241</v>
      </c>
      <c r="O26" t="n">
        <v>244</v>
      </c>
      <c r="P26" t="n">
        <v>247</v>
      </c>
      <c r="Q26" t="n">
        <v>250</v>
      </c>
      <c r="R26" t="n">
        <v>253</v>
      </c>
      <c r="S26" t="n">
        <v>256</v>
      </c>
      <c r="T26" t="n">
        <v>259</v>
      </c>
      <c r="U26" t="n">
        <v>262</v>
      </c>
      <c r="V26" t="n">
        <v>265</v>
      </c>
      <c r="W26" t="n">
        <v>268</v>
      </c>
      <c r="X26" t="n">
        <v>271</v>
      </c>
      <c r="Y26" t="n">
        <v>274</v>
      </c>
      <c r="Z26" t="n">
        <v>277</v>
      </c>
      <c r="AA26" t="n">
        <v>280</v>
      </c>
      <c r="AB26" t="n">
        <v>283</v>
      </c>
      <c r="AC26" t="n">
        <v>286</v>
      </c>
      <c r="AD26" t="n">
        <v>289</v>
      </c>
      <c r="AE26" t="n">
        <v>292</v>
      </c>
      <c r="AF26" t="n">
        <v>295</v>
      </c>
      <c r="AG26" t="n">
        <v>298</v>
      </c>
      <c r="AH26" t="n">
        <v>301</v>
      </c>
      <c r="AI26" t="n">
        <v>304</v>
      </c>
      <c r="AJ26" t="n">
        <v>307</v>
      </c>
      <c r="AK26" t="n">
        <v>310</v>
      </c>
      <c r="AL26" t="n">
        <v>313</v>
      </c>
      <c r="AM26" t="n">
        <v>316</v>
      </c>
    </row>
    <row r="27">
      <c r="A27" t="inlineStr">
        <is>
          <t>Sector 23</t>
        </is>
      </c>
      <c r="B27" t="n">
        <v>210</v>
      </c>
      <c r="C27" t="n">
        <v>213</v>
      </c>
      <c r="D27" t="n">
        <v>216</v>
      </c>
      <c r="E27" t="n">
        <v>219</v>
      </c>
      <c r="F27" t="n">
        <v>222</v>
      </c>
      <c r="G27" t="n">
        <v>225</v>
      </c>
      <c r="H27" t="n">
        <v>228</v>
      </c>
      <c r="I27" t="n">
        <v>231</v>
      </c>
      <c r="J27" t="n">
        <v>234</v>
      </c>
      <c r="K27" t="n">
        <v>237</v>
      </c>
      <c r="L27" t="n">
        <v>240</v>
      </c>
      <c r="M27" t="n">
        <v>243</v>
      </c>
      <c r="N27" t="n">
        <v>246</v>
      </c>
      <c r="O27" t="n">
        <v>249</v>
      </c>
      <c r="P27" t="n">
        <v>252</v>
      </c>
      <c r="Q27" t="n">
        <v>255</v>
      </c>
      <c r="R27" t="n">
        <v>258</v>
      </c>
      <c r="S27" t="n">
        <v>261</v>
      </c>
      <c r="T27" t="n">
        <v>264</v>
      </c>
      <c r="U27" t="n">
        <v>267</v>
      </c>
      <c r="V27" t="n">
        <v>270</v>
      </c>
      <c r="W27" t="n">
        <v>273</v>
      </c>
      <c r="X27" t="n">
        <v>276</v>
      </c>
      <c r="Y27" t="n">
        <v>279</v>
      </c>
      <c r="Z27" t="n">
        <v>282</v>
      </c>
      <c r="AA27" t="n">
        <v>285</v>
      </c>
      <c r="AB27" t="n">
        <v>288</v>
      </c>
      <c r="AC27" t="n">
        <v>291</v>
      </c>
      <c r="AD27" t="n">
        <v>294</v>
      </c>
      <c r="AE27" t="n">
        <v>297</v>
      </c>
      <c r="AF27" t="n">
        <v>300</v>
      </c>
      <c r="AG27" t="n">
        <v>303</v>
      </c>
      <c r="AH27" t="n">
        <v>306</v>
      </c>
      <c r="AI27" t="n">
        <v>309</v>
      </c>
      <c r="AJ27" t="n">
        <v>312</v>
      </c>
      <c r="AK27" t="n">
        <v>315</v>
      </c>
      <c r="AL27" t="n">
        <v>318</v>
      </c>
      <c r="AM27" t="n">
        <v>321</v>
      </c>
    </row>
    <row r="28">
      <c r="A28" t="inlineStr">
        <is>
          <t>Sector 24</t>
        </is>
      </c>
      <c r="B28" t="n">
        <v>215</v>
      </c>
      <c r="C28" t="n">
        <v>218</v>
      </c>
      <c r="D28" t="n">
        <v>221</v>
      </c>
      <c r="E28" t="n">
        <v>224</v>
      </c>
      <c r="F28" t="n">
        <v>227</v>
      </c>
      <c r="G28" t="n">
        <v>230</v>
      </c>
      <c r="H28" t="n">
        <v>233</v>
      </c>
      <c r="I28" t="n">
        <v>236</v>
      </c>
      <c r="J28" t="n">
        <v>239</v>
      </c>
      <c r="K28" t="n">
        <v>242</v>
      </c>
      <c r="L28" t="n">
        <v>245</v>
      </c>
      <c r="M28" t="n">
        <v>248</v>
      </c>
      <c r="N28" t="n">
        <v>251</v>
      </c>
      <c r="O28" t="n">
        <v>254</v>
      </c>
      <c r="P28" t="n">
        <v>257</v>
      </c>
      <c r="Q28" t="n">
        <v>260</v>
      </c>
      <c r="R28" t="n">
        <v>263</v>
      </c>
      <c r="S28" t="n">
        <v>266</v>
      </c>
      <c r="T28" t="n">
        <v>269</v>
      </c>
      <c r="U28" t="n">
        <v>272</v>
      </c>
      <c r="V28" t="n">
        <v>275</v>
      </c>
      <c r="W28" t="n">
        <v>278</v>
      </c>
      <c r="X28" t="n">
        <v>281</v>
      </c>
      <c r="Y28" t="n">
        <v>284</v>
      </c>
      <c r="Z28" t="n">
        <v>287</v>
      </c>
      <c r="AA28" t="n">
        <v>290</v>
      </c>
      <c r="AB28" t="n">
        <v>293</v>
      </c>
      <c r="AC28" t="n">
        <v>296</v>
      </c>
      <c r="AD28" t="n">
        <v>299</v>
      </c>
      <c r="AE28" t="n">
        <v>302</v>
      </c>
      <c r="AF28" t="n">
        <v>305</v>
      </c>
      <c r="AG28" t="n">
        <v>308</v>
      </c>
      <c r="AH28" t="n">
        <v>311</v>
      </c>
      <c r="AI28" t="n">
        <v>314</v>
      </c>
      <c r="AJ28" t="n">
        <v>317</v>
      </c>
      <c r="AK28" t="n">
        <v>320</v>
      </c>
      <c r="AL28" t="n">
        <v>323</v>
      </c>
      <c r="AM28" t="n">
        <v>326</v>
      </c>
    </row>
    <row r="29">
      <c r="A29" t="inlineStr">
        <is>
          <t>Sector 25</t>
        </is>
      </c>
      <c r="B29" t="n">
        <v>220</v>
      </c>
      <c r="C29" t="n">
        <v>223</v>
      </c>
      <c r="D29" t="n">
        <v>226</v>
      </c>
      <c r="E29" t="n">
        <v>229</v>
      </c>
      <c r="F29" t="n">
        <v>232</v>
      </c>
      <c r="G29" t="n">
        <v>235</v>
      </c>
      <c r="H29" t="n">
        <v>238</v>
      </c>
      <c r="I29" t="n">
        <v>241</v>
      </c>
      <c r="J29" t="n">
        <v>244</v>
      </c>
      <c r="K29" t="n">
        <v>247</v>
      </c>
      <c r="L29" t="n">
        <v>250</v>
      </c>
      <c r="M29" t="n">
        <v>253</v>
      </c>
      <c r="N29" t="n">
        <v>256</v>
      </c>
      <c r="O29" t="n">
        <v>259</v>
      </c>
      <c r="P29" t="n">
        <v>262</v>
      </c>
      <c r="Q29" t="n">
        <v>265</v>
      </c>
      <c r="R29" t="n">
        <v>268</v>
      </c>
      <c r="S29" t="n">
        <v>271</v>
      </c>
      <c r="T29" t="n">
        <v>274</v>
      </c>
      <c r="U29" t="n">
        <v>277</v>
      </c>
      <c r="V29" t="n">
        <v>280</v>
      </c>
      <c r="W29" t="n">
        <v>283</v>
      </c>
      <c r="X29" t="n">
        <v>286</v>
      </c>
      <c r="Y29" t="n">
        <v>289</v>
      </c>
      <c r="Z29" t="n">
        <v>292</v>
      </c>
      <c r="AA29" t="n">
        <v>295</v>
      </c>
      <c r="AB29" t="n">
        <v>298</v>
      </c>
      <c r="AC29" t="n">
        <v>301</v>
      </c>
      <c r="AD29" t="n">
        <v>304</v>
      </c>
      <c r="AE29" t="n">
        <v>307</v>
      </c>
      <c r="AF29" t="n">
        <v>310</v>
      </c>
      <c r="AG29" t="n">
        <v>313</v>
      </c>
      <c r="AH29" t="n">
        <v>316</v>
      </c>
      <c r="AI29" t="n">
        <v>319</v>
      </c>
      <c r="AJ29" t="n">
        <v>322</v>
      </c>
      <c r="AK29" t="n">
        <v>325</v>
      </c>
      <c r="AL29" t="n">
        <v>328</v>
      </c>
      <c r="AM29" t="n">
        <v>331</v>
      </c>
    </row>
    <row r="30">
      <c r="A30" t="inlineStr">
        <is>
          <t>Sector 26</t>
        </is>
      </c>
      <c r="B30" t="n">
        <v>225</v>
      </c>
      <c r="C30" t="n">
        <v>228</v>
      </c>
      <c r="D30" t="n">
        <v>231</v>
      </c>
      <c r="E30" t="n">
        <v>234</v>
      </c>
      <c r="F30" t="n">
        <v>237</v>
      </c>
      <c r="G30" t="n">
        <v>240</v>
      </c>
      <c r="H30" t="n">
        <v>243</v>
      </c>
      <c r="I30" t="n">
        <v>246</v>
      </c>
      <c r="J30" t="n">
        <v>249</v>
      </c>
      <c r="K30" t="n">
        <v>252</v>
      </c>
      <c r="L30" t="n">
        <v>255</v>
      </c>
      <c r="M30" t="n">
        <v>258</v>
      </c>
      <c r="N30" t="n">
        <v>261</v>
      </c>
      <c r="O30" t="n">
        <v>264</v>
      </c>
      <c r="P30" t="n">
        <v>267</v>
      </c>
      <c r="Q30" t="n">
        <v>270</v>
      </c>
      <c r="R30" t="n">
        <v>273</v>
      </c>
      <c r="S30" t="n">
        <v>276</v>
      </c>
      <c r="T30" t="n">
        <v>279</v>
      </c>
      <c r="U30" t="n">
        <v>282</v>
      </c>
      <c r="V30" t="n">
        <v>285</v>
      </c>
      <c r="W30" t="n">
        <v>288</v>
      </c>
      <c r="X30" t="n">
        <v>291</v>
      </c>
      <c r="Y30" t="n">
        <v>294</v>
      </c>
      <c r="Z30" t="n">
        <v>297</v>
      </c>
      <c r="AA30" t="n">
        <v>300</v>
      </c>
      <c r="AB30" t="n">
        <v>303</v>
      </c>
      <c r="AC30" t="n">
        <v>306</v>
      </c>
      <c r="AD30" t="n">
        <v>309</v>
      </c>
      <c r="AE30" t="n">
        <v>312</v>
      </c>
      <c r="AF30" t="n">
        <v>315</v>
      </c>
      <c r="AG30" t="n">
        <v>318</v>
      </c>
      <c r="AH30" t="n">
        <v>321</v>
      </c>
      <c r="AI30" t="n">
        <v>324</v>
      </c>
      <c r="AJ30" t="n">
        <v>327</v>
      </c>
      <c r="AK30" t="n">
        <v>330</v>
      </c>
      <c r="AL30" t="n">
        <v>333</v>
      </c>
      <c r="AM30" t="n">
        <v>336</v>
      </c>
    </row>
    <row r="31">
      <c r="A31" t="inlineStr">
        <is>
          <t>Sector 27</t>
        </is>
      </c>
      <c r="B31" t="n">
        <v>230</v>
      </c>
      <c r="C31" t="n">
        <v>233</v>
      </c>
      <c r="D31" t="n">
        <v>236</v>
      </c>
      <c r="E31" t="n">
        <v>239</v>
      </c>
      <c r="F31" t="n">
        <v>242</v>
      </c>
      <c r="G31" t="n">
        <v>245</v>
      </c>
      <c r="H31" t="n">
        <v>248</v>
      </c>
      <c r="I31" t="n">
        <v>251</v>
      </c>
      <c r="J31" t="n">
        <v>254</v>
      </c>
      <c r="K31" t="n">
        <v>257</v>
      </c>
      <c r="L31" t="n">
        <v>260</v>
      </c>
      <c r="M31" t="n">
        <v>263</v>
      </c>
      <c r="N31" t="n">
        <v>266</v>
      </c>
      <c r="O31" t="n">
        <v>269</v>
      </c>
      <c r="P31" t="n">
        <v>272</v>
      </c>
      <c r="Q31" t="n">
        <v>275</v>
      </c>
      <c r="R31" t="n">
        <v>278</v>
      </c>
      <c r="S31" t="n">
        <v>281</v>
      </c>
      <c r="T31" t="n">
        <v>284</v>
      </c>
      <c r="U31" t="n">
        <v>287</v>
      </c>
      <c r="V31" t="n">
        <v>290</v>
      </c>
      <c r="W31" t="n">
        <v>293</v>
      </c>
      <c r="X31" t="n">
        <v>296</v>
      </c>
      <c r="Y31" t="n">
        <v>299</v>
      </c>
      <c r="Z31" t="n">
        <v>302</v>
      </c>
      <c r="AA31" t="n">
        <v>305</v>
      </c>
      <c r="AB31" t="n">
        <v>308</v>
      </c>
      <c r="AC31" t="n">
        <v>311</v>
      </c>
      <c r="AD31" t="n">
        <v>314</v>
      </c>
      <c r="AE31" t="n">
        <v>317</v>
      </c>
      <c r="AF31" t="n">
        <v>320</v>
      </c>
      <c r="AG31" t="n">
        <v>323</v>
      </c>
      <c r="AH31" t="n">
        <v>326</v>
      </c>
      <c r="AI31" t="n">
        <v>329</v>
      </c>
      <c r="AJ31" t="n">
        <v>332</v>
      </c>
      <c r="AK31" t="n">
        <v>335</v>
      </c>
      <c r="AL31" t="n">
        <v>338</v>
      </c>
      <c r="AM31" t="n">
        <v>341</v>
      </c>
    </row>
    <row r="32">
      <c r="A32" t="inlineStr">
        <is>
          <t>Sector 28</t>
        </is>
      </c>
      <c r="B32" t="n">
        <v>235</v>
      </c>
      <c r="C32" t="n">
        <v>238</v>
      </c>
      <c r="D32" t="n">
        <v>241</v>
      </c>
      <c r="E32" t="n">
        <v>244</v>
      </c>
      <c r="F32" t="n">
        <v>247</v>
      </c>
      <c r="G32" t="n">
        <v>250</v>
      </c>
      <c r="H32" t="n">
        <v>253</v>
      </c>
      <c r="I32" t="n">
        <v>256</v>
      </c>
      <c r="J32" t="n">
        <v>259</v>
      </c>
      <c r="K32" t="n">
        <v>262</v>
      </c>
      <c r="L32" t="n">
        <v>265</v>
      </c>
      <c r="M32" t="n">
        <v>268</v>
      </c>
      <c r="N32" t="n">
        <v>271</v>
      </c>
      <c r="O32" t="n">
        <v>274</v>
      </c>
      <c r="P32" t="n">
        <v>277</v>
      </c>
      <c r="Q32" t="n">
        <v>280</v>
      </c>
      <c r="R32" t="n">
        <v>283</v>
      </c>
      <c r="S32" t="n">
        <v>286</v>
      </c>
      <c r="T32" t="n">
        <v>289</v>
      </c>
      <c r="U32" t="n">
        <v>292</v>
      </c>
      <c r="V32" t="n">
        <v>295</v>
      </c>
      <c r="W32" t="n">
        <v>298</v>
      </c>
      <c r="X32" t="n">
        <v>301</v>
      </c>
      <c r="Y32" t="n">
        <v>304</v>
      </c>
      <c r="Z32" t="n">
        <v>307</v>
      </c>
      <c r="AA32" t="n">
        <v>310</v>
      </c>
      <c r="AB32" t="n">
        <v>313</v>
      </c>
      <c r="AC32" t="n">
        <v>316</v>
      </c>
      <c r="AD32" t="n">
        <v>319</v>
      </c>
      <c r="AE32" t="n">
        <v>322</v>
      </c>
      <c r="AF32" t="n">
        <v>325</v>
      </c>
      <c r="AG32" t="n">
        <v>328</v>
      </c>
      <c r="AH32" t="n">
        <v>331</v>
      </c>
      <c r="AI32" t="n">
        <v>334</v>
      </c>
      <c r="AJ32" t="n">
        <v>337</v>
      </c>
      <c r="AK32" t="n">
        <v>340</v>
      </c>
      <c r="AL32" t="n">
        <v>343</v>
      </c>
      <c r="AM32" t="n">
        <v>346</v>
      </c>
    </row>
    <row r="33">
      <c r="A33" t="inlineStr">
        <is>
          <t>Sector 29</t>
        </is>
      </c>
      <c r="B33" t="n">
        <v>240</v>
      </c>
      <c r="C33" t="n">
        <v>243</v>
      </c>
      <c r="D33" t="n">
        <v>246</v>
      </c>
      <c r="E33" t="n">
        <v>249</v>
      </c>
      <c r="F33" t="n">
        <v>252</v>
      </c>
      <c r="G33" t="n">
        <v>255</v>
      </c>
      <c r="H33" t="n">
        <v>258</v>
      </c>
      <c r="I33" t="n">
        <v>261</v>
      </c>
      <c r="J33" t="n">
        <v>264</v>
      </c>
      <c r="K33" t="n">
        <v>267</v>
      </c>
      <c r="L33" t="n">
        <v>270</v>
      </c>
      <c r="M33" t="n">
        <v>273</v>
      </c>
      <c r="N33" t="n">
        <v>276</v>
      </c>
      <c r="O33" t="n">
        <v>279</v>
      </c>
      <c r="P33" t="n">
        <v>282</v>
      </c>
      <c r="Q33" t="n">
        <v>285</v>
      </c>
      <c r="R33" t="n">
        <v>288</v>
      </c>
      <c r="S33" t="n">
        <v>291</v>
      </c>
      <c r="T33" t="n">
        <v>294</v>
      </c>
      <c r="U33" t="n">
        <v>297</v>
      </c>
      <c r="V33" t="n">
        <v>300</v>
      </c>
      <c r="W33" t="n">
        <v>303</v>
      </c>
      <c r="X33" t="n">
        <v>306</v>
      </c>
      <c r="Y33" t="n">
        <v>309</v>
      </c>
      <c r="Z33" t="n">
        <v>312</v>
      </c>
      <c r="AA33" t="n">
        <v>315</v>
      </c>
      <c r="AB33" t="n">
        <v>318</v>
      </c>
      <c r="AC33" t="n">
        <v>321</v>
      </c>
      <c r="AD33" t="n">
        <v>324</v>
      </c>
      <c r="AE33" t="n">
        <v>327</v>
      </c>
      <c r="AF33" t="n">
        <v>330</v>
      </c>
      <c r="AG33" t="n">
        <v>333</v>
      </c>
      <c r="AH33" t="n">
        <v>336</v>
      </c>
      <c r="AI33" t="n">
        <v>339</v>
      </c>
      <c r="AJ33" t="n">
        <v>342</v>
      </c>
      <c r="AK33" t="n">
        <v>345</v>
      </c>
      <c r="AL33" t="n">
        <v>348</v>
      </c>
      <c r="AM33" t="n">
        <v>351</v>
      </c>
    </row>
    <row r="34">
      <c r="A34" t="inlineStr">
        <is>
          <t>Sector 30</t>
        </is>
      </c>
      <c r="B34" t="n">
        <v>245</v>
      </c>
      <c r="C34" t="n">
        <v>248</v>
      </c>
      <c r="D34" t="n">
        <v>251</v>
      </c>
      <c r="E34" t="n">
        <v>254</v>
      </c>
      <c r="F34" t="n">
        <v>257</v>
      </c>
      <c r="G34" t="n">
        <v>260</v>
      </c>
      <c r="H34" t="n">
        <v>263</v>
      </c>
      <c r="I34" t="n">
        <v>266</v>
      </c>
      <c r="J34" t="n">
        <v>269</v>
      </c>
      <c r="K34" t="n">
        <v>272</v>
      </c>
      <c r="L34" t="n">
        <v>275</v>
      </c>
      <c r="M34" t="n">
        <v>278</v>
      </c>
      <c r="N34" t="n">
        <v>281</v>
      </c>
      <c r="O34" t="n">
        <v>284</v>
      </c>
      <c r="P34" t="n">
        <v>287</v>
      </c>
      <c r="Q34" t="n">
        <v>290</v>
      </c>
      <c r="R34" t="n">
        <v>293</v>
      </c>
      <c r="S34" t="n">
        <v>296</v>
      </c>
      <c r="T34" t="n">
        <v>299</v>
      </c>
      <c r="U34" t="n">
        <v>302</v>
      </c>
      <c r="V34" t="n">
        <v>305</v>
      </c>
      <c r="W34" t="n">
        <v>308</v>
      </c>
      <c r="X34" t="n">
        <v>311</v>
      </c>
      <c r="Y34" t="n">
        <v>314</v>
      </c>
      <c r="Z34" t="n">
        <v>317</v>
      </c>
      <c r="AA34" t="n">
        <v>320</v>
      </c>
      <c r="AB34" t="n">
        <v>323</v>
      </c>
      <c r="AC34" t="n">
        <v>326</v>
      </c>
      <c r="AD34" t="n">
        <v>329</v>
      </c>
      <c r="AE34" t="n">
        <v>332</v>
      </c>
      <c r="AF34" t="n">
        <v>335</v>
      </c>
      <c r="AG34" t="n">
        <v>338</v>
      </c>
      <c r="AH34" t="n">
        <v>341</v>
      </c>
      <c r="AI34" t="n">
        <v>344</v>
      </c>
      <c r="AJ34" t="n">
        <v>347</v>
      </c>
      <c r="AK34" t="n">
        <v>350</v>
      </c>
      <c r="AL34" t="n">
        <v>353</v>
      </c>
      <c r="AM34" t="n">
        <v>356</v>
      </c>
    </row>
    <row r="35">
      <c r="A35" t="inlineStr">
        <is>
          <t>Sector 31</t>
        </is>
      </c>
      <c r="B35" t="n">
        <v>250</v>
      </c>
      <c r="C35" t="n">
        <v>253</v>
      </c>
      <c r="D35" t="n">
        <v>256</v>
      </c>
      <c r="E35" t="n">
        <v>259</v>
      </c>
      <c r="F35" t="n">
        <v>262</v>
      </c>
      <c r="G35" t="n">
        <v>265</v>
      </c>
      <c r="H35" t="n">
        <v>268</v>
      </c>
      <c r="I35" t="n">
        <v>271</v>
      </c>
      <c r="J35" t="n">
        <v>274</v>
      </c>
      <c r="K35" t="n">
        <v>277</v>
      </c>
      <c r="L35" t="n">
        <v>280</v>
      </c>
      <c r="M35" t="n">
        <v>283</v>
      </c>
      <c r="N35" t="n">
        <v>286</v>
      </c>
      <c r="O35" t="n">
        <v>289</v>
      </c>
      <c r="P35" t="n">
        <v>292</v>
      </c>
      <c r="Q35" t="n">
        <v>295</v>
      </c>
      <c r="R35" t="n">
        <v>298</v>
      </c>
      <c r="S35" t="n">
        <v>301</v>
      </c>
      <c r="T35" t="n">
        <v>304</v>
      </c>
      <c r="U35" t="n">
        <v>307</v>
      </c>
      <c r="V35" t="n">
        <v>310</v>
      </c>
      <c r="W35" t="n">
        <v>313</v>
      </c>
      <c r="X35" t="n">
        <v>316</v>
      </c>
      <c r="Y35" t="n">
        <v>319</v>
      </c>
      <c r="Z35" t="n">
        <v>322</v>
      </c>
      <c r="AA35" t="n">
        <v>325</v>
      </c>
      <c r="AB35" t="n">
        <v>328</v>
      </c>
      <c r="AC35" t="n">
        <v>331</v>
      </c>
      <c r="AD35" t="n">
        <v>334</v>
      </c>
      <c r="AE35" t="n">
        <v>337</v>
      </c>
      <c r="AF35" t="n">
        <v>340</v>
      </c>
      <c r="AG35" t="n">
        <v>343</v>
      </c>
      <c r="AH35" t="n">
        <v>346</v>
      </c>
      <c r="AI35" t="n">
        <v>349</v>
      </c>
      <c r="AJ35" t="n">
        <v>352</v>
      </c>
      <c r="AK35" t="n">
        <v>355</v>
      </c>
      <c r="AL35" t="n">
        <v>358</v>
      </c>
      <c r="AM35" t="n">
        <v>361</v>
      </c>
    </row>
    <row r="36">
      <c r="A36" t="inlineStr">
        <is>
          <t>Sector 32</t>
        </is>
      </c>
      <c r="B36" t="n">
        <v>255</v>
      </c>
      <c r="C36" t="n">
        <v>258</v>
      </c>
      <c r="D36" t="n">
        <v>261</v>
      </c>
      <c r="E36" t="n">
        <v>264</v>
      </c>
      <c r="F36" t="n">
        <v>267</v>
      </c>
      <c r="G36" t="n">
        <v>270</v>
      </c>
      <c r="H36" t="n">
        <v>273</v>
      </c>
      <c r="I36" t="n">
        <v>276</v>
      </c>
      <c r="J36" t="n">
        <v>279</v>
      </c>
      <c r="K36" t="n">
        <v>282</v>
      </c>
      <c r="L36" t="n">
        <v>285</v>
      </c>
      <c r="M36" t="n">
        <v>288</v>
      </c>
      <c r="N36" t="n">
        <v>291</v>
      </c>
      <c r="O36" t="n">
        <v>294</v>
      </c>
      <c r="P36" t="n">
        <v>297</v>
      </c>
      <c r="Q36" t="n">
        <v>300</v>
      </c>
      <c r="R36" t="n">
        <v>303</v>
      </c>
      <c r="S36" t="n">
        <v>306</v>
      </c>
      <c r="T36" t="n">
        <v>309</v>
      </c>
      <c r="U36" t="n">
        <v>312</v>
      </c>
      <c r="V36" t="n">
        <v>315</v>
      </c>
      <c r="W36" t="n">
        <v>318</v>
      </c>
      <c r="X36" t="n">
        <v>321</v>
      </c>
      <c r="Y36" t="n">
        <v>324</v>
      </c>
      <c r="Z36" t="n">
        <v>327</v>
      </c>
      <c r="AA36" t="n">
        <v>330</v>
      </c>
      <c r="AB36" t="n">
        <v>333</v>
      </c>
      <c r="AC36" t="n">
        <v>336</v>
      </c>
      <c r="AD36" t="n">
        <v>339</v>
      </c>
      <c r="AE36" t="n">
        <v>342</v>
      </c>
      <c r="AF36" t="n">
        <v>345</v>
      </c>
      <c r="AG36" t="n">
        <v>348</v>
      </c>
      <c r="AH36" t="n">
        <v>351</v>
      </c>
      <c r="AI36" t="n">
        <v>354</v>
      </c>
      <c r="AJ36" t="n">
        <v>357</v>
      </c>
      <c r="AK36" t="n">
        <v>360</v>
      </c>
      <c r="AL36" t="n">
        <v>363</v>
      </c>
      <c r="AM36" t="n">
        <v>366</v>
      </c>
    </row>
    <row r="37">
      <c r="A37" t="inlineStr">
        <is>
          <t>Sector 33</t>
        </is>
      </c>
      <c r="B37" t="n">
        <v>260</v>
      </c>
      <c r="C37" t="n">
        <v>263</v>
      </c>
      <c r="D37" t="n">
        <v>266</v>
      </c>
      <c r="E37" t="n">
        <v>269</v>
      </c>
      <c r="F37" t="n">
        <v>272</v>
      </c>
      <c r="G37" t="n">
        <v>275</v>
      </c>
      <c r="H37" t="n">
        <v>278</v>
      </c>
      <c r="I37" t="n">
        <v>281</v>
      </c>
      <c r="J37" t="n">
        <v>284</v>
      </c>
      <c r="K37" t="n">
        <v>287</v>
      </c>
      <c r="L37" t="n">
        <v>290</v>
      </c>
      <c r="M37" t="n">
        <v>293</v>
      </c>
      <c r="N37" t="n">
        <v>296</v>
      </c>
      <c r="O37" t="n">
        <v>299</v>
      </c>
      <c r="P37" t="n">
        <v>302</v>
      </c>
      <c r="Q37" t="n">
        <v>305</v>
      </c>
      <c r="R37" t="n">
        <v>308</v>
      </c>
      <c r="S37" t="n">
        <v>311</v>
      </c>
      <c r="T37" t="n">
        <v>314</v>
      </c>
      <c r="U37" t="n">
        <v>317</v>
      </c>
      <c r="V37" t="n">
        <v>320</v>
      </c>
      <c r="W37" t="n">
        <v>323</v>
      </c>
      <c r="X37" t="n">
        <v>326</v>
      </c>
      <c r="Y37" t="n">
        <v>329</v>
      </c>
      <c r="Z37" t="n">
        <v>332</v>
      </c>
      <c r="AA37" t="n">
        <v>335</v>
      </c>
      <c r="AB37" t="n">
        <v>338</v>
      </c>
      <c r="AC37" t="n">
        <v>341</v>
      </c>
      <c r="AD37" t="n">
        <v>344</v>
      </c>
      <c r="AE37" t="n">
        <v>347</v>
      </c>
      <c r="AF37" t="n">
        <v>350</v>
      </c>
      <c r="AG37" t="n">
        <v>353</v>
      </c>
      <c r="AH37" t="n">
        <v>356</v>
      </c>
      <c r="AI37" t="n">
        <v>359</v>
      </c>
      <c r="AJ37" t="n">
        <v>362</v>
      </c>
      <c r="AK37" t="n">
        <v>365</v>
      </c>
      <c r="AL37" t="n">
        <v>368</v>
      </c>
      <c r="AM37" t="n">
        <v>371</v>
      </c>
    </row>
    <row r="38">
      <c r="A38" t="inlineStr">
        <is>
          <t>Sector 34</t>
        </is>
      </c>
      <c r="B38" t="n">
        <v>265</v>
      </c>
      <c r="C38" t="n">
        <v>268</v>
      </c>
      <c r="D38" t="n">
        <v>271</v>
      </c>
      <c r="E38" t="n">
        <v>274</v>
      </c>
      <c r="F38" t="n">
        <v>277</v>
      </c>
      <c r="G38" t="n">
        <v>280</v>
      </c>
      <c r="H38" t="n">
        <v>283</v>
      </c>
      <c r="I38" t="n">
        <v>286</v>
      </c>
      <c r="J38" t="n">
        <v>289</v>
      </c>
      <c r="K38" t="n">
        <v>292</v>
      </c>
      <c r="L38" t="n">
        <v>295</v>
      </c>
      <c r="M38" t="n">
        <v>298</v>
      </c>
      <c r="N38" t="n">
        <v>301</v>
      </c>
      <c r="O38" t="n">
        <v>304</v>
      </c>
      <c r="P38" t="n">
        <v>307</v>
      </c>
      <c r="Q38" t="n">
        <v>310</v>
      </c>
      <c r="R38" t="n">
        <v>313</v>
      </c>
      <c r="S38" t="n">
        <v>316</v>
      </c>
      <c r="T38" t="n">
        <v>319</v>
      </c>
      <c r="U38" t="n">
        <v>322</v>
      </c>
      <c r="V38" t="n">
        <v>325</v>
      </c>
      <c r="W38" t="n">
        <v>328</v>
      </c>
      <c r="X38" t="n">
        <v>331</v>
      </c>
      <c r="Y38" t="n">
        <v>334</v>
      </c>
      <c r="Z38" t="n">
        <v>337</v>
      </c>
      <c r="AA38" t="n">
        <v>340</v>
      </c>
      <c r="AB38" t="n">
        <v>343</v>
      </c>
      <c r="AC38" t="n">
        <v>346</v>
      </c>
      <c r="AD38" t="n">
        <v>349</v>
      </c>
      <c r="AE38" t="n">
        <v>352</v>
      </c>
      <c r="AF38" t="n">
        <v>355</v>
      </c>
      <c r="AG38" t="n">
        <v>358</v>
      </c>
      <c r="AH38" t="n">
        <v>361</v>
      </c>
      <c r="AI38" t="n">
        <v>364</v>
      </c>
      <c r="AJ38" t="n">
        <v>367</v>
      </c>
      <c r="AK38" t="n">
        <v>370</v>
      </c>
      <c r="AL38" t="n">
        <v>373</v>
      </c>
      <c r="AM38" t="n">
        <v>376</v>
      </c>
    </row>
    <row r="39">
      <c r="A39" t="inlineStr">
        <is>
          <t>Sector 35</t>
        </is>
      </c>
      <c r="B39" t="n">
        <v>270</v>
      </c>
      <c r="C39" t="n">
        <v>273</v>
      </c>
      <c r="D39" t="n">
        <v>276</v>
      </c>
      <c r="E39" t="n">
        <v>279</v>
      </c>
      <c r="F39" t="n">
        <v>282</v>
      </c>
      <c r="G39" t="n">
        <v>285</v>
      </c>
      <c r="H39" t="n">
        <v>288</v>
      </c>
      <c r="I39" t="n">
        <v>291</v>
      </c>
      <c r="J39" t="n">
        <v>294</v>
      </c>
      <c r="K39" t="n">
        <v>297</v>
      </c>
      <c r="L39" t="n">
        <v>300</v>
      </c>
      <c r="M39" t="n">
        <v>303</v>
      </c>
      <c r="N39" t="n">
        <v>306</v>
      </c>
      <c r="O39" t="n">
        <v>309</v>
      </c>
      <c r="P39" t="n">
        <v>312</v>
      </c>
      <c r="Q39" t="n">
        <v>315</v>
      </c>
      <c r="R39" t="n">
        <v>318</v>
      </c>
      <c r="S39" t="n">
        <v>321</v>
      </c>
      <c r="T39" t="n">
        <v>324</v>
      </c>
      <c r="U39" t="n">
        <v>327</v>
      </c>
      <c r="V39" t="n">
        <v>330</v>
      </c>
      <c r="W39" t="n">
        <v>333</v>
      </c>
      <c r="X39" t="n">
        <v>336</v>
      </c>
      <c r="Y39" t="n">
        <v>339</v>
      </c>
      <c r="Z39" t="n">
        <v>342</v>
      </c>
      <c r="AA39" t="n">
        <v>345</v>
      </c>
      <c r="AB39" t="n">
        <v>348</v>
      </c>
      <c r="AC39" t="n">
        <v>351</v>
      </c>
      <c r="AD39" t="n">
        <v>354</v>
      </c>
      <c r="AE39" t="n">
        <v>357</v>
      </c>
      <c r="AF39" t="n">
        <v>360</v>
      </c>
      <c r="AG39" t="n">
        <v>363</v>
      </c>
      <c r="AH39" t="n">
        <v>366</v>
      </c>
      <c r="AI39" t="n">
        <v>369</v>
      </c>
      <c r="AJ39" t="n">
        <v>372</v>
      </c>
      <c r="AK39" t="n">
        <v>375</v>
      </c>
      <c r="AL39" t="n">
        <v>378</v>
      </c>
      <c r="AM39" t="n">
        <v>381</v>
      </c>
    </row>
    <row r="40">
      <c r="A40" t="inlineStr">
        <is>
          <t>Sector 36</t>
        </is>
      </c>
      <c r="B40" t="n">
        <v>275</v>
      </c>
      <c r="C40" t="n">
        <v>278</v>
      </c>
      <c r="D40" t="n">
        <v>281</v>
      </c>
      <c r="E40" t="n">
        <v>284</v>
      </c>
      <c r="F40" t="n">
        <v>287</v>
      </c>
      <c r="G40" t="n">
        <v>290</v>
      </c>
      <c r="H40" t="n">
        <v>293</v>
      </c>
      <c r="I40" t="n">
        <v>296</v>
      </c>
      <c r="J40" t="n">
        <v>299</v>
      </c>
      <c r="K40" t="n">
        <v>302</v>
      </c>
      <c r="L40" t="n">
        <v>305</v>
      </c>
      <c r="M40" t="n">
        <v>308</v>
      </c>
      <c r="N40" t="n">
        <v>311</v>
      </c>
      <c r="O40" t="n">
        <v>314</v>
      </c>
      <c r="P40" t="n">
        <v>317</v>
      </c>
      <c r="Q40" t="n">
        <v>320</v>
      </c>
      <c r="R40" t="n">
        <v>323</v>
      </c>
      <c r="S40" t="n">
        <v>326</v>
      </c>
      <c r="T40" t="n">
        <v>329</v>
      </c>
      <c r="U40" t="n">
        <v>332</v>
      </c>
      <c r="V40" t="n">
        <v>335</v>
      </c>
      <c r="W40" t="n">
        <v>338</v>
      </c>
      <c r="X40" t="n">
        <v>341</v>
      </c>
      <c r="Y40" t="n">
        <v>344</v>
      </c>
      <c r="Z40" t="n">
        <v>347</v>
      </c>
      <c r="AA40" t="n">
        <v>350</v>
      </c>
      <c r="AB40" t="n">
        <v>353</v>
      </c>
      <c r="AC40" t="n">
        <v>356</v>
      </c>
      <c r="AD40" t="n">
        <v>359</v>
      </c>
      <c r="AE40" t="n">
        <v>362</v>
      </c>
      <c r="AF40" t="n">
        <v>365</v>
      </c>
      <c r="AG40" t="n">
        <v>368</v>
      </c>
      <c r="AH40" t="n">
        <v>371</v>
      </c>
      <c r="AI40" t="n">
        <v>374</v>
      </c>
      <c r="AJ40" t="n">
        <v>377</v>
      </c>
      <c r="AK40" t="n">
        <v>380</v>
      </c>
      <c r="AL40" t="n">
        <v>383</v>
      </c>
      <c r="AM40" t="n">
        <v>386</v>
      </c>
    </row>
    <row r="41">
      <c r="A41" t="inlineStr">
        <is>
          <t>Sector 37</t>
        </is>
      </c>
      <c r="B41" t="n">
        <v>280</v>
      </c>
      <c r="C41" t="n">
        <v>283</v>
      </c>
      <c r="D41" t="n">
        <v>286</v>
      </c>
      <c r="E41" t="n">
        <v>289</v>
      </c>
      <c r="F41" t="n">
        <v>292</v>
      </c>
      <c r="G41" t="n">
        <v>295</v>
      </c>
      <c r="H41" t="n">
        <v>298</v>
      </c>
      <c r="I41" t="n">
        <v>301</v>
      </c>
      <c r="J41" t="n">
        <v>304</v>
      </c>
      <c r="K41" t="n">
        <v>307</v>
      </c>
      <c r="L41" t="n">
        <v>310</v>
      </c>
      <c r="M41" t="n">
        <v>313</v>
      </c>
      <c r="N41" t="n">
        <v>316</v>
      </c>
      <c r="O41" t="n">
        <v>319</v>
      </c>
      <c r="P41" t="n">
        <v>322</v>
      </c>
      <c r="Q41" t="n">
        <v>325</v>
      </c>
      <c r="R41" t="n">
        <v>328</v>
      </c>
      <c r="S41" t="n">
        <v>331</v>
      </c>
      <c r="T41" t="n">
        <v>334</v>
      </c>
      <c r="U41" t="n">
        <v>337</v>
      </c>
      <c r="V41" t="n">
        <v>340</v>
      </c>
      <c r="W41" t="n">
        <v>343</v>
      </c>
      <c r="X41" t="n">
        <v>346</v>
      </c>
      <c r="Y41" t="n">
        <v>349</v>
      </c>
      <c r="Z41" t="n">
        <v>352</v>
      </c>
      <c r="AA41" t="n">
        <v>355</v>
      </c>
      <c r="AB41" t="n">
        <v>358</v>
      </c>
      <c r="AC41" t="n">
        <v>361</v>
      </c>
      <c r="AD41" t="n">
        <v>364</v>
      </c>
      <c r="AE41" t="n">
        <v>367</v>
      </c>
      <c r="AF41" t="n">
        <v>370</v>
      </c>
      <c r="AG41" t="n">
        <v>373</v>
      </c>
      <c r="AH41" t="n">
        <v>376</v>
      </c>
      <c r="AI41" t="n">
        <v>379</v>
      </c>
      <c r="AJ41" t="n">
        <v>382</v>
      </c>
      <c r="AK41" t="n">
        <v>385</v>
      </c>
      <c r="AL41" t="n">
        <v>388</v>
      </c>
      <c r="AM41" t="n">
        <v>391</v>
      </c>
    </row>
    <row r="42">
      <c r="A42" t="inlineStr">
        <is>
          <t>Sector 38</t>
        </is>
      </c>
      <c r="B42" t="n">
        <v>285</v>
      </c>
      <c r="C42" t="n">
        <v>288</v>
      </c>
      <c r="D42" t="n">
        <v>291</v>
      </c>
      <c r="E42" t="n">
        <v>294</v>
      </c>
      <c r="F42" t="n">
        <v>297</v>
      </c>
      <c r="G42" t="n">
        <v>300</v>
      </c>
      <c r="H42" t="n">
        <v>303</v>
      </c>
      <c r="I42" t="n">
        <v>306</v>
      </c>
      <c r="J42" t="n">
        <v>309</v>
      </c>
      <c r="K42" t="n">
        <v>312</v>
      </c>
      <c r="L42" t="n">
        <v>315</v>
      </c>
      <c r="M42" t="n">
        <v>318</v>
      </c>
      <c r="N42" t="n">
        <v>321</v>
      </c>
      <c r="O42" t="n">
        <v>324</v>
      </c>
      <c r="P42" t="n">
        <v>327</v>
      </c>
      <c r="Q42" t="n">
        <v>330</v>
      </c>
      <c r="R42" t="n">
        <v>333</v>
      </c>
      <c r="S42" t="n">
        <v>336</v>
      </c>
      <c r="T42" t="n">
        <v>339</v>
      </c>
      <c r="U42" t="n">
        <v>342</v>
      </c>
      <c r="V42" t="n">
        <v>345</v>
      </c>
      <c r="W42" t="n">
        <v>348</v>
      </c>
      <c r="X42" t="n">
        <v>351</v>
      </c>
      <c r="Y42" t="n">
        <v>354</v>
      </c>
      <c r="Z42" t="n">
        <v>357</v>
      </c>
      <c r="AA42" t="n">
        <v>360</v>
      </c>
      <c r="AB42" t="n">
        <v>363</v>
      </c>
      <c r="AC42" t="n">
        <v>366</v>
      </c>
      <c r="AD42" t="n">
        <v>369</v>
      </c>
      <c r="AE42" t="n">
        <v>372</v>
      </c>
      <c r="AF42" t="n">
        <v>375</v>
      </c>
      <c r="AG42" t="n">
        <v>378</v>
      </c>
      <c r="AH42" t="n">
        <v>381</v>
      </c>
      <c r="AI42" t="n">
        <v>384</v>
      </c>
      <c r="AJ42" t="n">
        <v>387</v>
      </c>
      <c r="AK42" t="n">
        <v>390</v>
      </c>
      <c r="AL42" t="n">
        <v>393</v>
      </c>
      <c r="AM42" t="n">
        <v>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4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</cols>
  <sheetData>
    <row r="1">
      <c r="A1" s="1" t="inlineStr">
        <is>
          <t>USE TABLE - Georgia (Million GEL)</t>
        </is>
      </c>
    </row>
    <row r="2"/>
    <row r="3">
      <c r="A3" s="1" t="inlineStr"/>
      <c r="B3" s="1" t="inlineStr">
        <is>
          <t>Sector 1</t>
        </is>
      </c>
      <c r="C3" s="1" t="inlineStr">
        <is>
          <t>Sector 2</t>
        </is>
      </c>
      <c r="D3" s="1" t="inlineStr">
        <is>
          <t>Sector 3</t>
        </is>
      </c>
      <c r="E3" s="1" t="inlineStr">
        <is>
          <t>Sector 4</t>
        </is>
      </c>
      <c r="F3" s="1" t="inlineStr">
        <is>
          <t>Sector 5</t>
        </is>
      </c>
      <c r="G3" s="1" t="inlineStr">
        <is>
          <t>Sector 6</t>
        </is>
      </c>
      <c r="H3" s="1" t="inlineStr">
        <is>
          <t>Sector 7</t>
        </is>
      </c>
      <c r="I3" s="1" t="inlineStr">
        <is>
          <t>Sector 8</t>
        </is>
      </c>
      <c r="J3" s="1" t="inlineStr">
        <is>
          <t>Sector 9</t>
        </is>
      </c>
      <c r="K3" s="1" t="inlineStr">
        <is>
          <t>Sector 10</t>
        </is>
      </c>
      <c r="L3" s="1" t="inlineStr">
        <is>
          <t>Sector 11</t>
        </is>
      </c>
      <c r="M3" s="1" t="inlineStr">
        <is>
          <t>Sector 12</t>
        </is>
      </c>
      <c r="N3" s="1" t="inlineStr">
        <is>
          <t>Sector 13</t>
        </is>
      </c>
      <c r="O3" s="1" t="inlineStr">
        <is>
          <t>Sector 14</t>
        </is>
      </c>
      <c r="P3" s="1" t="inlineStr">
        <is>
          <t>Sector 15</t>
        </is>
      </c>
      <c r="Q3" s="1" t="inlineStr">
        <is>
          <t>Sector 16</t>
        </is>
      </c>
      <c r="R3" s="1" t="inlineStr">
        <is>
          <t>Sector 17</t>
        </is>
      </c>
      <c r="S3" s="1" t="inlineStr">
        <is>
          <t>Sector 18</t>
        </is>
      </c>
      <c r="T3" s="1" t="inlineStr">
        <is>
          <t>Sector 19</t>
        </is>
      </c>
      <c r="U3" s="1" t="inlineStr">
        <is>
          <t>Sector 20</t>
        </is>
      </c>
      <c r="V3" s="1" t="inlineStr">
        <is>
          <t>Sector 21</t>
        </is>
      </c>
      <c r="W3" s="1" t="inlineStr">
        <is>
          <t>Sector 22</t>
        </is>
      </c>
      <c r="X3" s="1" t="inlineStr">
        <is>
          <t>Sector 23</t>
        </is>
      </c>
      <c r="Y3" s="1" t="inlineStr">
        <is>
          <t>Sector 24</t>
        </is>
      </c>
      <c r="Z3" s="1" t="inlineStr">
        <is>
          <t>Sector 25</t>
        </is>
      </c>
      <c r="AA3" s="1" t="inlineStr">
        <is>
          <t>Sector 26</t>
        </is>
      </c>
      <c r="AB3" s="1" t="inlineStr">
        <is>
          <t>Sector 27</t>
        </is>
      </c>
      <c r="AC3" s="1" t="inlineStr">
        <is>
          <t>Sector 28</t>
        </is>
      </c>
      <c r="AD3" s="1" t="inlineStr">
        <is>
          <t>Sector 29</t>
        </is>
      </c>
      <c r="AE3" s="1" t="inlineStr">
        <is>
          <t>Sector 30</t>
        </is>
      </c>
      <c r="AF3" s="1" t="inlineStr">
        <is>
          <t>Sector 31</t>
        </is>
      </c>
      <c r="AG3" s="1" t="inlineStr">
        <is>
          <t>Sector 32</t>
        </is>
      </c>
      <c r="AH3" s="1" t="inlineStr">
        <is>
          <t>Sector 33</t>
        </is>
      </c>
      <c r="AI3" s="1" t="inlineStr">
        <is>
          <t>Sector 34</t>
        </is>
      </c>
      <c r="AJ3" s="1" t="inlineStr">
        <is>
          <t>Sector 35</t>
        </is>
      </c>
      <c r="AK3" s="1" t="inlineStr">
        <is>
          <t>Sector 36</t>
        </is>
      </c>
      <c r="AL3" s="1" t="inlineStr">
        <is>
          <t>Sector 37</t>
        </is>
      </c>
      <c r="AM3" s="1" t="inlineStr">
        <is>
          <t>Sector 38</t>
        </is>
      </c>
    </row>
    <row r="4">
      <c r="A4" t="inlineStr">
        <is>
          <t>Total Use</t>
        </is>
      </c>
    </row>
    <row r="5">
      <c r="A5" t="inlineStr">
        <is>
          <t>Sector 1</t>
        </is>
      </c>
      <c r="B5" t="n">
        <v>95</v>
      </c>
      <c r="C5" t="n">
        <v>97.5</v>
      </c>
      <c r="D5" t="n">
        <v>100</v>
      </c>
      <c r="E5" t="n">
        <v>102.5</v>
      </c>
      <c r="F5" t="n">
        <v>105</v>
      </c>
      <c r="G5" t="n">
        <v>107.5</v>
      </c>
      <c r="H5" t="n">
        <v>110</v>
      </c>
      <c r="I5" t="n">
        <v>112.5</v>
      </c>
      <c r="J5" t="n">
        <v>115</v>
      </c>
      <c r="K5" t="n">
        <v>117.5</v>
      </c>
      <c r="L5" t="n">
        <v>120</v>
      </c>
      <c r="M5" t="n">
        <v>122.5</v>
      </c>
      <c r="N5" t="n">
        <v>125</v>
      </c>
      <c r="O5" t="n">
        <v>127.5</v>
      </c>
      <c r="P5" t="n">
        <v>130</v>
      </c>
      <c r="Q5" t="n">
        <v>132.5</v>
      </c>
      <c r="R5" t="n">
        <v>135</v>
      </c>
      <c r="S5" t="n">
        <v>137.5</v>
      </c>
      <c r="T5" t="n">
        <v>140</v>
      </c>
      <c r="U5" t="n">
        <v>142.5</v>
      </c>
      <c r="V5" t="n">
        <v>145</v>
      </c>
      <c r="W5" t="n">
        <v>147.5</v>
      </c>
      <c r="X5" t="n">
        <v>150</v>
      </c>
      <c r="Y5" t="n">
        <v>152.5</v>
      </c>
      <c r="Z5" t="n">
        <v>155</v>
      </c>
      <c r="AA5" t="n">
        <v>157.5</v>
      </c>
      <c r="AB5" t="n">
        <v>160</v>
      </c>
      <c r="AC5" t="n">
        <v>162.5</v>
      </c>
      <c r="AD5" t="n">
        <v>165</v>
      </c>
      <c r="AE5" t="n">
        <v>167.5</v>
      </c>
      <c r="AF5" t="n">
        <v>170</v>
      </c>
      <c r="AG5" t="n">
        <v>172.5</v>
      </c>
      <c r="AH5" t="n">
        <v>175</v>
      </c>
      <c r="AI5" t="n">
        <v>177.5</v>
      </c>
      <c r="AJ5" t="n">
        <v>180</v>
      </c>
      <c r="AK5" t="n">
        <v>182.5</v>
      </c>
      <c r="AL5" t="n">
        <v>185</v>
      </c>
      <c r="AM5" t="n">
        <v>187.5</v>
      </c>
    </row>
    <row r="6">
      <c r="A6" t="inlineStr">
        <is>
          <t>Sector 2</t>
        </is>
      </c>
      <c r="B6" t="n">
        <v>99</v>
      </c>
      <c r="C6" t="n">
        <v>101.5</v>
      </c>
      <c r="D6" t="n">
        <v>104</v>
      </c>
      <c r="E6" t="n">
        <v>106.5</v>
      </c>
      <c r="F6" t="n">
        <v>109</v>
      </c>
      <c r="G6" t="n">
        <v>111.5</v>
      </c>
      <c r="H6" t="n">
        <v>114</v>
      </c>
      <c r="I6" t="n">
        <v>116.5</v>
      </c>
      <c r="J6" t="n">
        <v>119</v>
      </c>
      <c r="K6" t="n">
        <v>121.5</v>
      </c>
      <c r="L6" t="n">
        <v>124</v>
      </c>
      <c r="M6" t="n">
        <v>126.5</v>
      </c>
      <c r="N6" t="n">
        <v>129</v>
      </c>
      <c r="O6" t="n">
        <v>131.5</v>
      </c>
      <c r="P6" t="n">
        <v>134</v>
      </c>
      <c r="Q6" t="n">
        <v>136.5</v>
      </c>
      <c r="R6" t="n">
        <v>139</v>
      </c>
      <c r="S6" t="n">
        <v>141.5</v>
      </c>
      <c r="T6" t="n">
        <v>144</v>
      </c>
      <c r="U6" t="n">
        <v>146.5</v>
      </c>
      <c r="V6" t="n">
        <v>149</v>
      </c>
      <c r="W6" t="n">
        <v>151.5</v>
      </c>
      <c r="X6" t="n">
        <v>154</v>
      </c>
      <c r="Y6" t="n">
        <v>156.5</v>
      </c>
      <c r="Z6" t="n">
        <v>159</v>
      </c>
      <c r="AA6" t="n">
        <v>161.5</v>
      </c>
      <c r="AB6" t="n">
        <v>164</v>
      </c>
      <c r="AC6" t="n">
        <v>166.5</v>
      </c>
      <c r="AD6" t="n">
        <v>169</v>
      </c>
      <c r="AE6" t="n">
        <v>171.5</v>
      </c>
      <c r="AF6" t="n">
        <v>174</v>
      </c>
      <c r="AG6" t="n">
        <v>176.5</v>
      </c>
      <c r="AH6" t="n">
        <v>179</v>
      </c>
      <c r="AI6" t="n">
        <v>181.5</v>
      </c>
      <c r="AJ6" t="n">
        <v>184</v>
      </c>
      <c r="AK6" t="n">
        <v>186.5</v>
      </c>
      <c r="AL6" t="n">
        <v>189</v>
      </c>
      <c r="AM6" t="n">
        <v>191.5</v>
      </c>
    </row>
    <row r="7">
      <c r="A7" t="inlineStr">
        <is>
          <t>Sector 3</t>
        </is>
      </c>
      <c r="B7" t="n">
        <v>103</v>
      </c>
      <c r="C7" t="n">
        <v>105.5</v>
      </c>
      <c r="D7" t="n">
        <v>108</v>
      </c>
      <c r="E7" t="n">
        <v>110.5</v>
      </c>
      <c r="F7" t="n">
        <v>113</v>
      </c>
      <c r="G7" t="n">
        <v>115.5</v>
      </c>
      <c r="H7" t="n">
        <v>118</v>
      </c>
      <c r="I7" t="n">
        <v>120.5</v>
      </c>
      <c r="J7" t="n">
        <v>123</v>
      </c>
      <c r="K7" t="n">
        <v>125.5</v>
      </c>
      <c r="L7" t="n">
        <v>128</v>
      </c>
      <c r="M7" t="n">
        <v>130.5</v>
      </c>
      <c r="N7" t="n">
        <v>133</v>
      </c>
      <c r="O7" t="n">
        <v>135.5</v>
      </c>
      <c r="P7" t="n">
        <v>138</v>
      </c>
      <c r="Q7" t="n">
        <v>140.5</v>
      </c>
      <c r="R7" t="n">
        <v>143</v>
      </c>
      <c r="S7" t="n">
        <v>145.5</v>
      </c>
      <c r="T7" t="n">
        <v>148</v>
      </c>
      <c r="U7" t="n">
        <v>150.5</v>
      </c>
      <c r="V7" t="n">
        <v>153</v>
      </c>
      <c r="W7" t="n">
        <v>155.5</v>
      </c>
      <c r="X7" t="n">
        <v>158</v>
      </c>
      <c r="Y7" t="n">
        <v>160.5</v>
      </c>
      <c r="Z7" t="n">
        <v>163</v>
      </c>
      <c r="AA7" t="n">
        <v>165.5</v>
      </c>
      <c r="AB7" t="n">
        <v>168</v>
      </c>
      <c r="AC7" t="n">
        <v>170.5</v>
      </c>
      <c r="AD7" t="n">
        <v>173</v>
      </c>
      <c r="AE7" t="n">
        <v>175.5</v>
      </c>
      <c r="AF7" t="n">
        <v>178</v>
      </c>
      <c r="AG7" t="n">
        <v>180.5</v>
      </c>
      <c r="AH7" t="n">
        <v>183</v>
      </c>
      <c r="AI7" t="n">
        <v>185.5</v>
      </c>
      <c r="AJ7" t="n">
        <v>188</v>
      </c>
      <c r="AK7" t="n">
        <v>190.5</v>
      </c>
      <c r="AL7" t="n">
        <v>193</v>
      </c>
      <c r="AM7" t="n">
        <v>195.5</v>
      </c>
    </row>
    <row r="8">
      <c r="A8" t="inlineStr">
        <is>
          <t>Sector 4</t>
        </is>
      </c>
      <c r="B8" t="n">
        <v>107</v>
      </c>
      <c r="C8" t="n">
        <v>109.5</v>
      </c>
      <c r="D8" t="n">
        <v>112</v>
      </c>
      <c r="E8" t="n">
        <v>114.5</v>
      </c>
      <c r="F8" t="n">
        <v>117</v>
      </c>
      <c r="G8" t="n">
        <v>119.5</v>
      </c>
      <c r="H8" t="n">
        <v>122</v>
      </c>
      <c r="I8" t="n">
        <v>124.5</v>
      </c>
      <c r="J8" t="n">
        <v>127</v>
      </c>
      <c r="K8" t="n">
        <v>129.5</v>
      </c>
      <c r="L8" t="n">
        <v>132</v>
      </c>
      <c r="M8" t="n">
        <v>134.5</v>
      </c>
      <c r="N8" t="n">
        <v>137</v>
      </c>
      <c r="O8" t="n">
        <v>139.5</v>
      </c>
      <c r="P8" t="n">
        <v>142</v>
      </c>
      <c r="Q8" t="n">
        <v>144.5</v>
      </c>
      <c r="R8" t="n">
        <v>147</v>
      </c>
      <c r="S8" t="n">
        <v>149.5</v>
      </c>
      <c r="T8" t="n">
        <v>152</v>
      </c>
      <c r="U8" t="n">
        <v>154.5</v>
      </c>
      <c r="V8" t="n">
        <v>157</v>
      </c>
      <c r="W8" t="n">
        <v>159.5</v>
      </c>
      <c r="X8" t="n">
        <v>162</v>
      </c>
      <c r="Y8" t="n">
        <v>164.5</v>
      </c>
      <c r="Z8" t="n">
        <v>167</v>
      </c>
      <c r="AA8" t="n">
        <v>169.5</v>
      </c>
      <c r="AB8" t="n">
        <v>172</v>
      </c>
      <c r="AC8" t="n">
        <v>174.5</v>
      </c>
      <c r="AD8" t="n">
        <v>177</v>
      </c>
      <c r="AE8" t="n">
        <v>179.5</v>
      </c>
      <c r="AF8" t="n">
        <v>182</v>
      </c>
      <c r="AG8" t="n">
        <v>184.5</v>
      </c>
      <c r="AH8" t="n">
        <v>187</v>
      </c>
      <c r="AI8" t="n">
        <v>189.5</v>
      </c>
      <c r="AJ8" t="n">
        <v>192</v>
      </c>
      <c r="AK8" t="n">
        <v>194.5</v>
      </c>
      <c r="AL8" t="n">
        <v>197</v>
      </c>
      <c r="AM8" t="n">
        <v>199.5</v>
      </c>
    </row>
    <row r="9">
      <c r="A9" t="inlineStr">
        <is>
          <t>Sector 5</t>
        </is>
      </c>
      <c r="B9" t="n">
        <v>111</v>
      </c>
      <c r="C9" t="n">
        <v>113.5</v>
      </c>
      <c r="D9" t="n">
        <v>116</v>
      </c>
      <c r="E9" t="n">
        <v>118.5</v>
      </c>
      <c r="F9" t="n">
        <v>121</v>
      </c>
      <c r="G9" t="n">
        <v>123.5</v>
      </c>
      <c r="H9" t="n">
        <v>126</v>
      </c>
      <c r="I9" t="n">
        <v>128.5</v>
      </c>
      <c r="J9" t="n">
        <v>131</v>
      </c>
      <c r="K9" t="n">
        <v>133.5</v>
      </c>
      <c r="L9" t="n">
        <v>136</v>
      </c>
      <c r="M9" t="n">
        <v>138.5</v>
      </c>
      <c r="N9" t="n">
        <v>141</v>
      </c>
      <c r="O9" t="n">
        <v>143.5</v>
      </c>
      <c r="P9" t="n">
        <v>146</v>
      </c>
      <c r="Q9" t="n">
        <v>148.5</v>
      </c>
      <c r="R9" t="n">
        <v>151</v>
      </c>
      <c r="S9" t="n">
        <v>153.5</v>
      </c>
      <c r="T9" t="n">
        <v>156</v>
      </c>
      <c r="U9" t="n">
        <v>158.5</v>
      </c>
      <c r="V9" t="n">
        <v>161</v>
      </c>
      <c r="W9" t="n">
        <v>163.5</v>
      </c>
      <c r="X9" t="n">
        <v>166</v>
      </c>
      <c r="Y9" t="n">
        <v>168.5</v>
      </c>
      <c r="Z9" t="n">
        <v>171</v>
      </c>
      <c r="AA9" t="n">
        <v>173.5</v>
      </c>
      <c r="AB9" t="n">
        <v>176</v>
      </c>
      <c r="AC9" t="n">
        <v>178.5</v>
      </c>
      <c r="AD9" t="n">
        <v>181</v>
      </c>
      <c r="AE9" t="n">
        <v>183.5</v>
      </c>
      <c r="AF9" t="n">
        <v>186</v>
      </c>
      <c r="AG9" t="n">
        <v>188.5</v>
      </c>
      <c r="AH9" t="n">
        <v>191</v>
      </c>
      <c r="AI9" t="n">
        <v>193.5</v>
      </c>
      <c r="AJ9" t="n">
        <v>196</v>
      </c>
      <c r="AK9" t="n">
        <v>198.5</v>
      </c>
      <c r="AL9" t="n">
        <v>201</v>
      </c>
      <c r="AM9" t="n">
        <v>203.5</v>
      </c>
    </row>
    <row r="10">
      <c r="A10" t="inlineStr">
        <is>
          <t>Sector 6</t>
        </is>
      </c>
      <c r="B10" t="n">
        <v>115</v>
      </c>
      <c r="C10" t="n">
        <v>117.5</v>
      </c>
      <c r="D10" t="n">
        <v>120</v>
      </c>
      <c r="E10" t="n">
        <v>122.5</v>
      </c>
      <c r="F10" t="n">
        <v>125</v>
      </c>
      <c r="G10" t="n">
        <v>127.5</v>
      </c>
      <c r="H10" t="n">
        <v>130</v>
      </c>
      <c r="I10" t="n">
        <v>132.5</v>
      </c>
      <c r="J10" t="n">
        <v>135</v>
      </c>
      <c r="K10" t="n">
        <v>137.5</v>
      </c>
      <c r="L10" t="n">
        <v>140</v>
      </c>
      <c r="M10" t="n">
        <v>142.5</v>
      </c>
      <c r="N10" t="n">
        <v>145</v>
      </c>
      <c r="O10" t="n">
        <v>147.5</v>
      </c>
      <c r="P10" t="n">
        <v>150</v>
      </c>
      <c r="Q10" t="n">
        <v>152.5</v>
      </c>
      <c r="R10" t="n">
        <v>155</v>
      </c>
      <c r="S10" t="n">
        <v>157.5</v>
      </c>
      <c r="T10" t="n">
        <v>160</v>
      </c>
      <c r="U10" t="n">
        <v>162.5</v>
      </c>
      <c r="V10" t="n">
        <v>165</v>
      </c>
      <c r="W10" t="n">
        <v>167.5</v>
      </c>
      <c r="X10" t="n">
        <v>170</v>
      </c>
      <c r="Y10" t="n">
        <v>172.5</v>
      </c>
      <c r="Z10" t="n">
        <v>175</v>
      </c>
      <c r="AA10" t="n">
        <v>177.5</v>
      </c>
      <c r="AB10" t="n">
        <v>180</v>
      </c>
      <c r="AC10" t="n">
        <v>182.5</v>
      </c>
      <c r="AD10" t="n">
        <v>185</v>
      </c>
      <c r="AE10" t="n">
        <v>187.5</v>
      </c>
      <c r="AF10" t="n">
        <v>190</v>
      </c>
      <c r="AG10" t="n">
        <v>192.5</v>
      </c>
      <c r="AH10" t="n">
        <v>195</v>
      </c>
      <c r="AI10" t="n">
        <v>197.5</v>
      </c>
      <c r="AJ10" t="n">
        <v>200</v>
      </c>
      <c r="AK10" t="n">
        <v>202.5</v>
      </c>
      <c r="AL10" t="n">
        <v>205</v>
      </c>
      <c r="AM10" t="n">
        <v>207.5</v>
      </c>
    </row>
    <row r="11">
      <c r="A11" t="inlineStr">
        <is>
          <t>Sector 7</t>
        </is>
      </c>
      <c r="B11" t="n">
        <v>119</v>
      </c>
      <c r="C11" t="n">
        <v>121.5</v>
      </c>
      <c r="D11" t="n">
        <v>124</v>
      </c>
      <c r="E11" t="n">
        <v>126.5</v>
      </c>
      <c r="F11" t="n">
        <v>129</v>
      </c>
      <c r="G11" t="n">
        <v>131.5</v>
      </c>
      <c r="H11" t="n">
        <v>134</v>
      </c>
      <c r="I11" t="n">
        <v>136.5</v>
      </c>
      <c r="J11" t="n">
        <v>139</v>
      </c>
      <c r="K11" t="n">
        <v>141.5</v>
      </c>
      <c r="L11" t="n">
        <v>144</v>
      </c>
      <c r="M11" t="n">
        <v>146.5</v>
      </c>
      <c r="N11" t="n">
        <v>149</v>
      </c>
      <c r="O11" t="n">
        <v>151.5</v>
      </c>
      <c r="P11" t="n">
        <v>154</v>
      </c>
      <c r="Q11" t="n">
        <v>156.5</v>
      </c>
      <c r="R11" t="n">
        <v>159</v>
      </c>
      <c r="S11" t="n">
        <v>161.5</v>
      </c>
      <c r="T11" t="n">
        <v>164</v>
      </c>
      <c r="U11" t="n">
        <v>166.5</v>
      </c>
      <c r="V11" t="n">
        <v>169</v>
      </c>
      <c r="W11" t="n">
        <v>171.5</v>
      </c>
      <c r="X11" t="n">
        <v>174</v>
      </c>
      <c r="Y11" t="n">
        <v>176.5</v>
      </c>
      <c r="Z11" t="n">
        <v>179</v>
      </c>
      <c r="AA11" t="n">
        <v>181.5</v>
      </c>
      <c r="AB11" t="n">
        <v>184</v>
      </c>
      <c r="AC11" t="n">
        <v>186.5</v>
      </c>
      <c r="AD11" t="n">
        <v>189</v>
      </c>
      <c r="AE11" t="n">
        <v>191.5</v>
      </c>
      <c r="AF11" t="n">
        <v>194</v>
      </c>
      <c r="AG11" t="n">
        <v>196.5</v>
      </c>
      <c r="AH11" t="n">
        <v>199</v>
      </c>
      <c r="AI11" t="n">
        <v>201.5</v>
      </c>
      <c r="AJ11" t="n">
        <v>204</v>
      </c>
      <c r="AK11" t="n">
        <v>206.5</v>
      </c>
      <c r="AL11" t="n">
        <v>209</v>
      </c>
      <c r="AM11" t="n">
        <v>211.5</v>
      </c>
    </row>
    <row r="12">
      <c r="A12" t="inlineStr">
        <is>
          <t>Sector 8</t>
        </is>
      </c>
      <c r="B12" t="n">
        <v>123</v>
      </c>
      <c r="C12" t="n">
        <v>125.5</v>
      </c>
      <c r="D12" t="n">
        <v>128</v>
      </c>
      <c r="E12" t="n">
        <v>130.5</v>
      </c>
      <c r="F12" t="n">
        <v>133</v>
      </c>
      <c r="G12" t="n">
        <v>135.5</v>
      </c>
      <c r="H12" t="n">
        <v>138</v>
      </c>
      <c r="I12" t="n">
        <v>140.5</v>
      </c>
      <c r="J12" t="n">
        <v>143</v>
      </c>
      <c r="K12" t="n">
        <v>145.5</v>
      </c>
      <c r="L12" t="n">
        <v>148</v>
      </c>
      <c r="M12" t="n">
        <v>150.5</v>
      </c>
      <c r="N12" t="n">
        <v>153</v>
      </c>
      <c r="O12" t="n">
        <v>155.5</v>
      </c>
      <c r="P12" t="n">
        <v>158</v>
      </c>
      <c r="Q12" t="n">
        <v>160.5</v>
      </c>
      <c r="R12" t="n">
        <v>163</v>
      </c>
      <c r="S12" t="n">
        <v>165.5</v>
      </c>
      <c r="T12" t="n">
        <v>168</v>
      </c>
      <c r="U12" t="n">
        <v>170.5</v>
      </c>
      <c r="V12" t="n">
        <v>173</v>
      </c>
      <c r="W12" t="n">
        <v>175.5</v>
      </c>
      <c r="X12" t="n">
        <v>178</v>
      </c>
      <c r="Y12" t="n">
        <v>180.5</v>
      </c>
      <c r="Z12" t="n">
        <v>183</v>
      </c>
      <c r="AA12" t="n">
        <v>185.5</v>
      </c>
      <c r="AB12" t="n">
        <v>188</v>
      </c>
      <c r="AC12" t="n">
        <v>190.5</v>
      </c>
      <c r="AD12" t="n">
        <v>193</v>
      </c>
      <c r="AE12" t="n">
        <v>195.5</v>
      </c>
      <c r="AF12" t="n">
        <v>198</v>
      </c>
      <c r="AG12" t="n">
        <v>200.5</v>
      </c>
      <c r="AH12" t="n">
        <v>203</v>
      </c>
      <c r="AI12" t="n">
        <v>205.5</v>
      </c>
      <c r="AJ12" t="n">
        <v>208</v>
      </c>
      <c r="AK12" t="n">
        <v>210.5</v>
      </c>
      <c r="AL12" t="n">
        <v>213</v>
      </c>
      <c r="AM12" t="n">
        <v>215.5</v>
      </c>
    </row>
    <row r="13">
      <c r="A13" t="inlineStr">
        <is>
          <t>Sector 9</t>
        </is>
      </c>
      <c r="B13" t="n">
        <v>127</v>
      </c>
      <c r="C13" t="n">
        <v>129.5</v>
      </c>
      <c r="D13" t="n">
        <v>132</v>
      </c>
      <c r="E13" t="n">
        <v>134.5</v>
      </c>
      <c r="F13" t="n">
        <v>137</v>
      </c>
      <c r="G13" t="n">
        <v>139.5</v>
      </c>
      <c r="H13" t="n">
        <v>142</v>
      </c>
      <c r="I13" t="n">
        <v>144.5</v>
      </c>
      <c r="J13" t="n">
        <v>147</v>
      </c>
      <c r="K13" t="n">
        <v>149.5</v>
      </c>
      <c r="L13" t="n">
        <v>152</v>
      </c>
      <c r="M13" t="n">
        <v>154.5</v>
      </c>
      <c r="N13" t="n">
        <v>157</v>
      </c>
      <c r="O13" t="n">
        <v>159.5</v>
      </c>
      <c r="P13" t="n">
        <v>162</v>
      </c>
      <c r="Q13" t="n">
        <v>164.5</v>
      </c>
      <c r="R13" t="n">
        <v>167</v>
      </c>
      <c r="S13" t="n">
        <v>169.5</v>
      </c>
      <c r="T13" t="n">
        <v>172</v>
      </c>
      <c r="U13" t="n">
        <v>174.5</v>
      </c>
      <c r="V13" t="n">
        <v>177</v>
      </c>
      <c r="W13" t="n">
        <v>179.5</v>
      </c>
      <c r="X13" t="n">
        <v>182</v>
      </c>
      <c r="Y13" t="n">
        <v>184.5</v>
      </c>
      <c r="Z13" t="n">
        <v>187</v>
      </c>
      <c r="AA13" t="n">
        <v>189.5</v>
      </c>
      <c r="AB13" t="n">
        <v>192</v>
      </c>
      <c r="AC13" t="n">
        <v>194.5</v>
      </c>
      <c r="AD13" t="n">
        <v>197</v>
      </c>
      <c r="AE13" t="n">
        <v>199.5</v>
      </c>
      <c r="AF13" t="n">
        <v>202</v>
      </c>
      <c r="AG13" t="n">
        <v>204.5</v>
      </c>
      <c r="AH13" t="n">
        <v>207</v>
      </c>
      <c r="AI13" t="n">
        <v>209.5</v>
      </c>
      <c r="AJ13" t="n">
        <v>212</v>
      </c>
      <c r="AK13" t="n">
        <v>214.5</v>
      </c>
      <c r="AL13" t="n">
        <v>217</v>
      </c>
      <c r="AM13" t="n">
        <v>219.5</v>
      </c>
    </row>
    <row r="14">
      <c r="A14" t="inlineStr">
        <is>
          <t>Sector 10</t>
        </is>
      </c>
      <c r="B14" t="n">
        <v>131</v>
      </c>
      <c r="C14" t="n">
        <v>133.5</v>
      </c>
      <c r="D14" t="n">
        <v>136</v>
      </c>
      <c r="E14" t="n">
        <v>138.5</v>
      </c>
      <c r="F14" t="n">
        <v>141</v>
      </c>
      <c r="G14" t="n">
        <v>143.5</v>
      </c>
      <c r="H14" t="n">
        <v>146</v>
      </c>
      <c r="I14" t="n">
        <v>148.5</v>
      </c>
      <c r="J14" t="n">
        <v>151</v>
      </c>
      <c r="K14" t="n">
        <v>153.5</v>
      </c>
      <c r="L14" t="n">
        <v>156</v>
      </c>
      <c r="M14" t="n">
        <v>158.5</v>
      </c>
      <c r="N14" t="n">
        <v>161</v>
      </c>
      <c r="O14" t="n">
        <v>163.5</v>
      </c>
      <c r="P14" t="n">
        <v>166</v>
      </c>
      <c r="Q14" t="n">
        <v>168.5</v>
      </c>
      <c r="R14" t="n">
        <v>171</v>
      </c>
      <c r="S14" t="n">
        <v>173.5</v>
      </c>
      <c r="T14" t="n">
        <v>176</v>
      </c>
      <c r="U14" t="n">
        <v>178.5</v>
      </c>
      <c r="V14" t="n">
        <v>181</v>
      </c>
      <c r="W14" t="n">
        <v>183.5</v>
      </c>
      <c r="X14" t="n">
        <v>186</v>
      </c>
      <c r="Y14" t="n">
        <v>188.5</v>
      </c>
      <c r="Z14" t="n">
        <v>191</v>
      </c>
      <c r="AA14" t="n">
        <v>193.5</v>
      </c>
      <c r="AB14" t="n">
        <v>196</v>
      </c>
      <c r="AC14" t="n">
        <v>198.5</v>
      </c>
      <c r="AD14" t="n">
        <v>201</v>
      </c>
      <c r="AE14" t="n">
        <v>203.5</v>
      </c>
      <c r="AF14" t="n">
        <v>206</v>
      </c>
      <c r="AG14" t="n">
        <v>208.5</v>
      </c>
      <c r="AH14" t="n">
        <v>211</v>
      </c>
      <c r="AI14" t="n">
        <v>213.5</v>
      </c>
      <c r="AJ14" t="n">
        <v>216</v>
      </c>
      <c r="AK14" t="n">
        <v>218.5</v>
      </c>
      <c r="AL14" t="n">
        <v>221</v>
      </c>
      <c r="AM14" t="n">
        <v>223.5</v>
      </c>
    </row>
    <row r="15">
      <c r="A15" t="inlineStr">
        <is>
          <t>Sector 11</t>
        </is>
      </c>
      <c r="B15" t="n">
        <v>135</v>
      </c>
      <c r="C15" t="n">
        <v>137.5</v>
      </c>
      <c r="D15" t="n">
        <v>140</v>
      </c>
      <c r="E15" t="n">
        <v>142.5</v>
      </c>
      <c r="F15" t="n">
        <v>145</v>
      </c>
      <c r="G15" t="n">
        <v>147.5</v>
      </c>
      <c r="H15" t="n">
        <v>150</v>
      </c>
      <c r="I15" t="n">
        <v>152.5</v>
      </c>
      <c r="J15" t="n">
        <v>155</v>
      </c>
      <c r="K15" t="n">
        <v>157.5</v>
      </c>
      <c r="L15" t="n">
        <v>160</v>
      </c>
      <c r="M15" t="n">
        <v>162.5</v>
      </c>
      <c r="N15" t="n">
        <v>165</v>
      </c>
      <c r="O15" t="n">
        <v>167.5</v>
      </c>
      <c r="P15" t="n">
        <v>170</v>
      </c>
      <c r="Q15" t="n">
        <v>172.5</v>
      </c>
      <c r="R15" t="n">
        <v>175</v>
      </c>
      <c r="S15" t="n">
        <v>177.5</v>
      </c>
      <c r="T15" t="n">
        <v>180</v>
      </c>
      <c r="U15" t="n">
        <v>182.5</v>
      </c>
      <c r="V15" t="n">
        <v>185</v>
      </c>
      <c r="W15" t="n">
        <v>187.5</v>
      </c>
      <c r="X15" t="n">
        <v>190</v>
      </c>
      <c r="Y15" t="n">
        <v>192.5</v>
      </c>
      <c r="Z15" t="n">
        <v>195</v>
      </c>
      <c r="AA15" t="n">
        <v>197.5</v>
      </c>
      <c r="AB15" t="n">
        <v>200</v>
      </c>
      <c r="AC15" t="n">
        <v>202.5</v>
      </c>
      <c r="AD15" t="n">
        <v>205</v>
      </c>
      <c r="AE15" t="n">
        <v>207.5</v>
      </c>
      <c r="AF15" t="n">
        <v>210</v>
      </c>
      <c r="AG15" t="n">
        <v>212.5</v>
      </c>
      <c r="AH15" t="n">
        <v>215</v>
      </c>
      <c r="AI15" t="n">
        <v>217.5</v>
      </c>
      <c r="AJ15" t="n">
        <v>220</v>
      </c>
      <c r="AK15" t="n">
        <v>222.5</v>
      </c>
      <c r="AL15" t="n">
        <v>225</v>
      </c>
      <c r="AM15" t="n">
        <v>227.5</v>
      </c>
    </row>
    <row r="16">
      <c r="A16" t="inlineStr">
        <is>
          <t>Sector 12</t>
        </is>
      </c>
      <c r="B16" t="n">
        <v>139</v>
      </c>
      <c r="C16" t="n">
        <v>141.5</v>
      </c>
      <c r="D16" t="n">
        <v>144</v>
      </c>
      <c r="E16" t="n">
        <v>146.5</v>
      </c>
      <c r="F16" t="n">
        <v>149</v>
      </c>
      <c r="G16" t="n">
        <v>151.5</v>
      </c>
      <c r="H16" t="n">
        <v>154</v>
      </c>
      <c r="I16" t="n">
        <v>156.5</v>
      </c>
      <c r="J16" t="n">
        <v>159</v>
      </c>
      <c r="K16" t="n">
        <v>161.5</v>
      </c>
      <c r="L16" t="n">
        <v>164</v>
      </c>
      <c r="M16" t="n">
        <v>166.5</v>
      </c>
      <c r="N16" t="n">
        <v>169</v>
      </c>
      <c r="O16" t="n">
        <v>171.5</v>
      </c>
      <c r="P16" t="n">
        <v>174</v>
      </c>
      <c r="Q16" t="n">
        <v>176.5</v>
      </c>
      <c r="R16" t="n">
        <v>179</v>
      </c>
      <c r="S16" t="n">
        <v>181.5</v>
      </c>
      <c r="T16" t="n">
        <v>184</v>
      </c>
      <c r="U16" t="n">
        <v>186.5</v>
      </c>
      <c r="V16" t="n">
        <v>189</v>
      </c>
      <c r="W16" t="n">
        <v>191.5</v>
      </c>
      <c r="X16" t="n">
        <v>194</v>
      </c>
      <c r="Y16" t="n">
        <v>196.5</v>
      </c>
      <c r="Z16" t="n">
        <v>199</v>
      </c>
      <c r="AA16" t="n">
        <v>201.5</v>
      </c>
      <c r="AB16" t="n">
        <v>204</v>
      </c>
      <c r="AC16" t="n">
        <v>206.5</v>
      </c>
      <c r="AD16" t="n">
        <v>209</v>
      </c>
      <c r="AE16" t="n">
        <v>211.5</v>
      </c>
      <c r="AF16" t="n">
        <v>214</v>
      </c>
      <c r="AG16" t="n">
        <v>216.5</v>
      </c>
      <c r="AH16" t="n">
        <v>219</v>
      </c>
      <c r="AI16" t="n">
        <v>221.5</v>
      </c>
      <c r="AJ16" t="n">
        <v>224</v>
      </c>
      <c r="AK16" t="n">
        <v>226.5</v>
      </c>
      <c r="AL16" t="n">
        <v>229</v>
      </c>
      <c r="AM16" t="n">
        <v>231.5</v>
      </c>
    </row>
    <row r="17">
      <c r="A17" t="inlineStr">
        <is>
          <t>Sector 13</t>
        </is>
      </c>
      <c r="B17" t="n">
        <v>143</v>
      </c>
      <c r="C17" t="n">
        <v>145.5</v>
      </c>
      <c r="D17" t="n">
        <v>148</v>
      </c>
      <c r="E17" t="n">
        <v>150.5</v>
      </c>
      <c r="F17" t="n">
        <v>153</v>
      </c>
      <c r="G17" t="n">
        <v>155.5</v>
      </c>
      <c r="H17" t="n">
        <v>158</v>
      </c>
      <c r="I17" t="n">
        <v>160.5</v>
      </c>
      <c r="J17" t="n">
        <v>163</v>
      </c>
      <c r="K17" t="n">
        <v>165.5</v>
      </c>
      <c r="L17" t="n">
        <v>168</v>
      </c>
      <c r="M17" t="n">
        <v>170.5</v>
      </c>
      <c r="N17" t="n">
        <v>173</v>
      </c>
      <c r="O17" t="n">
        <v>175.5</v>
      </c>
      <c r="P17" t="n">
        <v>178</v>
      </c>
      <c r="Q17" t="n">
        <v>180.5</v>
      </c>
      <c r="R17" t="n">
        <v>183</v>
      </c>
      <c r="S17" t="n">
        <v>185.5</v>
      </c>
      <c r="T17" t="n">
        <v>188</v>
      </c>
      <c r="U17" t="n">
        <v>190.5</v>
      </c>
      <c r="V17" t="n">
        <v>193</v>
      </c>
      <c r="W17" t="n">
        <v>195.5</v>
      </c>
      <c r="X17" t="n">
        <v>198</v>
      </c>
      <c r="Y17" t="n">
        <v>200.5</v>
      </c>
      <c r="Z17" t="n">
        <v>203</v>
      </c>
      <c r="AA17" t="n">
        <v>205.5</v>
      </c>
      <c r="AB17" t="n">
        <v>208</v>
      </c>
      <c r="AC17" t="n">
        <v>210.5</v>
      </c>
      <c r="AD17" t="n">
        <v>213</v>
      </c>
      <c r="AE17" t="n">
        <v>215.5</v>
      </c>
      <c r="AF17" t="n">
        <v>218</v>
      </c>
      <c r="AG17" t="n">
        <v>220.5</v>
      </c>
      <c r="AH17" t="n">
        <v>223</v>
      </c>
      <c r="AI17" t="n">
        <v>225.5</v>
      </c>
      <c r="AJ17" t="n">
        <v>228</v>
      </c>
      <c r="AK17" t="n">
        <v>230.5</v>
      </c>
      <c r="AL17" t="n">
        <v>233</v>
      </c>
      <c r="AM17" t="n">
        <v>235.5</v>
      </c>
    </row>
    <row r="18">
      <c r="A18" t="inlineStr">
        <is>
          <t>Sector 14</t>
        </is>
      </c>
      <c r="B18" t="n">
        <v>147</v>
      </c>
      <c r="C18" t="n">
        <v>149.5</v>
      </c>
      <c r="D18" t="n">
        <v>152</v>
      </c>
      <c r="E18" t="n">
        <v>154.5</v>
      </c>
      <c r="F18" t="n">
        <v>157</v>
      </c>
      <c r="G18" t="n">
        <v>159.5</v>
      </c>
      <c r="H18" t="n">
        <v>162</v>
      </c>
      <c r="I18" t="n">
        <v>164.5</v>
      </c>
      <c r="J18" t="n">
        <v>167</v>
      </c>
      <c r="K18" t="n">
        <v>169.5</v>
      </c>
      <c r="L18" t="n">
        <v>172</v>
      </c>
      <c r="M18" t="n">
        <v>174.5</v>
      </c>
      <c r="N18" t="n">
        <v>177</v>
      </c>
      <c r="O18" t="n">
        <v>179.5</v>
      </c>
      <c r="P18" t="n">
        <v>182</v>
      </c>
      <c r="Q18" t="n">
        <v>184.5</v>
      </c>
      <c r="R18" t="n">
        <v>187</v>
      </c>
      <c r="S18" t="n">
        <v>189.5</v>
      </c>
      <c r="T18" t="n">
        <v>192</v>
      </c>
      <c r="U18" t="n">
        <v>194.5</v>
      </c>
      <c r="V18" t="n">
        <v>197</v>
      </c>
      <c r="W18" t="n">
        <v>199.5</v>
      </c>
      <c r="X18" t="n">
        <v>202</v>
      </c>
      <c r="Y18" t="n">
        <v>204.5</v>
      </c>
      <c r="Z18" t="n">
        <v>207</v>
      </c>
      <c r="AA18" t="n">
        <v>209.5</v>
      </c>
      <c r="AB18" t="n">
        <v>212</v>
      </c>
      <c r="AC18" t="n">
        <v>214.5</v>
      </c>
      <c r="AD18" t="n">
        <v>217</v>
      </c>
      <c r="AE18" t="n">
        <v>219.5</v>
      </c>
      <c r="AF18" t="n">
        <v>222</v>
      </c>
      <c r="AG18" t="n">
        <v>224.5</v>
      </c>
      <c r="AH18" t="n">
        <v>227</v>
      </c>
      <c r="AI18" t="n">
        <v>229.5</v>
      </c>
      <c r="AJ18" t="n">
        <v>232</v>
      </c>
      <c r="AK18" t="n">
        <v>234.5</v>
      </c>
      <c r="AL18" t="n">
        <v>237</v>
      </c>
      <c r="AM18" t="n">
        <v>239.5</v>
      </c>
    </row>
    <row r="19">
      <c r="A19" t="inlineStr">
        <is>
          <t>Sector 15</t>
        </is>
      </c>
      <c r="B19" t="n">
        <v>151</v>
      </c>
      <c r="C19" t="n">
        <v>153.5</v>
      </c>
      <c r="D19" t="n">
        <v>156</v>
      </c>
      <c r="E19" t="n">
        <v>158.5</v>
      </c>
      <c r="F19" t="n">
        <v>161</v>
      </c>
      <c r="G19" t="n">
        <v>163.5</v>
      </c>
      <c r="H19" t="n">
        <v>166</v>
      </c>
      <c r="I19" t="n">
        <v>168.5</v>
      </c>
      <c r="J19" t="n">
        <v>171</v>
      </c>
      <c r="K19" t="n">
        <v>173.5</v>
      </c>
      <c r="L19" t="n">
        <v>176</v>
      </c>
      <c r="M19" t="n">
        <v>178.5</v>
      </c>
      <c r="N19" t="n">
        <v>181</v>
      </c>
      <c r="O19" t="n">
        <v>183.5</v>
      </c>
      <c r="P19" t="n">
        <v>186</v>
      </c>
      <c r="Q19" t="n">
        <v>188.5</v>
      </c>
      <c r="R19" t="n">
        <v>191</v>
      </c>
      <c r="S19" t="n">
        <v>193.5</v>
      </c>
      <c r="T19" t="n">
        <v>196</v>
      </c>
      <c r="U19" t="n">
        <v>198.5</v>
      </c>
      <c r="V19" t="n">
        <v>201</v>
      </c>
      <c r="W19" t="n">
        <v>203.5</v>
      </c>
      <c r="X19" t="n">
        <v>206</v>
      </c>
      <c r="Y19" t="n">
        <v>208.5</v>
      </c>
      <c r="Z19" t="n">
        <v>211</v>
      </c>
      <c r="AA19" t="n">
        <v>213.5</v>
      </c>
      <c r="AB19" t="n">
        <v>216</v>
      </c>
      <c r="AC19" t="n">
        <v>218.5</v>
      </c>
      <c r="AD19" t="n">
        <v>221</v>
      </c>
      <c r="AE19" t="n">
        <v>223.5</v>
      </c>
      <c r="AF19" t="n">
        <v>226</v>
      </c>
      <c r="AG19" t="n">
        <v>228.5</v>
      </c>
      <c r="AH19" t="n">
        <v>231</v>
      </c>
      <c r="AI19" t="n">
        <v>233.5</v>
      </c>
      <c r="AJ19" t="n">
        <v>236</v>
      </c>
      <c r="AK19" t="n">
        <v>238.5</v>
      </c>
      <c r="AL19" t="n">
        <v>241</v>
      </c>
      <c r="AM19" t="n">
        <v>243.5</v>
      </c>
    </row>
    <row r="20">
      <c r="A20" t="inlineStr">
        <is>
          <t>Sector 16</t>
        </is>
      </c>
      <c r="B20" t="n">
        <v>155</v>
      </c>
      <c r="C20" t="n">
        <v>157.5</v>
      </c>
      <c r="D20" t="n">
        <v>160</v>
      </c>
      <c r="E20" t="n">
        <v>162.5</v>
      </c>
      <c r="F20" t="n">
        <v>165</v>
      </c>
      <c r="G20" t="n">
        <v>167.5</v>
      </c>
      <c r="H20" t="n">
        <v>170</v>
      </c>
      <c r="I20" t="n">
        <v>172.5</v>
      </c>
      <c r="J20" t="n">
        <v>175</v>
      </c>
      <c r="K20" t="n">
        <v>177.5</v>
      </c>
      <c r="L20" t="n">
        <v>180</v>
      </c>
      <c r="M20" t="n">
        <v>182.5</v>
      </c>
      <c r="N20" t="n">
        <v>185</v>
      </c>
      <c r="O20" t="n">
        <v>187.5</v>
      </c>
      <c r="P20" t="n">
        <v>190</v>
      </c>
      <c r="Q20" t="n">
        <v>192.5</v>
      </c>
      <c r="R20" t="n">
        <v>195</v>
      </c>
      <c r="S20" t="n">
        <v>197.5</v>
      </c>
      <c r="T20" t="n">
        <v>200</v>
      </c>
      <c r="U20" t="n">
        <v>202.5</v>
      </c>
      <c r="V20" t="n">
        <v>205</v>
      </c>
      <c r="W20" t="n">
        <v>207.5</v>
      </c>
      <c r="X20" t="n">
        <v>210</v>
      </c>
      <c r="Y20" t="n">
        <v>212.5</v>
      </c>
      <c r="Z20" t="n">
        <v>215</v>
      </c>
      <c r="AA20" t="n">
        <v>217.5</v>
      </c>
      <c r="AB20" t="n">
        <v>220</v>
      </c>
      <c r="AC20" t="n">
        <v>222.5</v>
      </c>
      <c r="AD20" t="n">
        <v>225</v>
      </c>
      <c r="AE20" t="n">
        <v>227.5</v>
      </c>
      <c r="AF20" t="n">
        <v>230</v>
      </c>
      <c r="AG20" t="n">
        <v>232.5</v>
      </c>
      <c r="AH20" t="n">
        <v>235</v>
      </c>
      <c r="AI20" t="n">
        <v>237.5</v>
      </c>
      <c r="AJ20" t="n">
        <v>240</v>
      </c>
      <c r="AK20" t="n">
        <v>242.5</v>
      </c>
      <c r="AL20" t="n">
        <v>245</v>
      </c>
      <c r="AM20" t="n">
        <v>247.5</v>
      </c>
    </row>
    <row r="21">
      <c r="A21" t="inlineStr">
        <is>
          <t>Sector 17</t>
        </is>
      </c>
      <c r="B21" t="n">
        <v>159</v>
      </c>
      <c r="C21" t="n">
        <v>161.5</v>
      </c>
      <c r="D21" t="n">
        <v>164</v>
      </c>
      <c r="E21" t="n">
        <v>166.5</v>
      </c>
      <c r="F21" t="n">
        <v>169</v>
      </c>
      <c r="G21" t="n">
        <v>171.5</v>
      </c>
      <c r="H21" t="n">
        <v>174</v>
      </c>
      <c r="I21" t="n">
        <v>176.5</v>
      </c>
      <c r="J21" t="n">
        <v>179</v>
      </c>
      <c r="K21" t="n">
        <v>181.5</v>
      </c>
      <c r="L21" t="n">
        <v>184</v>
      </c>
      <c r="M21" t="n">
        <v>186.5</v>
      </c>
      <c r="N21" t="n">
        <v>189</v>
      </c>
      <c r="O21" t="n">
        <v>191.5</v>
      </c>
      <c r="P21" t="n">
        <v>194</v>
      </c>
      <c r="Q21" t="n">
        <v>196.5</v>
      </c>
      <c r="R21" t="n">
        <v>199</v>
      </c>
      <c r="S21" t="n">
        <v>201.5</v>
      </c>
      <c r="T21" t="n">
        <v>204</v>
      </c>
      <c r="U21" t="n">
        <v>206.5</v>
      </c>
      <c r="V21" t="n">
        <v>209</v>
      </c>
      <c r="W21" t="n">
        <v>211.5</v>
      </c>
      <c r="X21" t="n">
        <v>214</v>
      </c>
      <c r="Y21" t="n">
        <v>216.5</v>
      </c>
      <c r="Z21" t="n">
        <v>219</v>
      </c>
      <c r="AA21" t="n">
        <v>221.5</v>
      </c>
      <c r="AB21" t="n">
        <v>224</v>
      </c>
      <c r="AC21" t="n">
        <v>226.5</v>
      </c>
      <c r="AD21" t="n">
        <v>229</v>
      </c>
      <c r="AE21" t="n">
        <v>231.5</v>
      </c>
      <c r="AF21" t="n">
        <v>234</v>
      </c>
      <c r="AG21" t="n">
        <v>236.5</v>
      </c>
      <c r="AH21" t="n">
        <v>239</v>
      </c>
      <c r="AI21" t="n">
        <v>241.5</v>
      </c>
      <c r="AJ21" t="n">
        <v>244</v>
      </c>
      <c r="AK21" t="n">
        <v>246.5</v>
      </c>
      <c r="AL21" t="n">
        <v>249</v>
      </c>
      <c r="AM21" t="n">
        <v>251.5</v>
      </c>
    </row>
    <row r="22">
      <c r="A22" t="inlineStr">
        <is>
          <t>Sector 18</t>
        </is>
      </c>
      <c r="B22" t="n">
        <v>163</v>
      </c>
      <c r="C22" t="n">
        <v>165.5</v>
      </c>
      <c r="D22" t="n">
        <v>168</v>
      </c>
      <c r="E22" t="n">
        <v>170.5</v>
      </c>
      <c r="F22" t="n">
        <v>173</v>
      </c>
      <c r="G22" t="n">
        <v>175.5</v>
      </c>
      <c r="H22" t="n">
        <v>178</v>
      </c>
      <c r="I22" t="n">
        <v>180.5</v>
      </c>
      <c r="J22" t="n">
        <v>183</v>
      </c>
      <c r="K22" t="n">
        <v>185.5</v>
      </c>
      <c r="L22" t="n">
        <v>188</v>
      </c>
      <c r="M22" t="n">
        <v>190.5</v>
      </c>
      <c r="N22" t="n">
        <v>193</v>
      </c>
      <c r="O22" t="n">
        <v>195.5</v>
      </c>
      <c r="P22" t="n">
        <v>198</v>
      </c>
      <c r="Q22" t="n">
        <v>200.5</v>
      </c>
      <c r="R22" t="n">
        <v>203</v>
      </c>
      <c r="S22" t="n">
        <v>205.5</v>
      </c>
      <c r="T22" t="n">
        <v>208</v>
      </c>
      <c r="U22" t="n">
        <v>210.5</v>
      </c>
      <c r="V22" t="n">
        <v>213</v>
      </c>
      <c r="W22" t="n">
        <v>215.5</v>
      </c>
      <c r="X22" t="n">
        <v>218</v>
      </c>
      <c r="Y22" t="n">
        <v>220.5</v>
      </c>
      <c r="Z22" t="n">
        <v>223</v>
      </c>
      <c r="AA22" t="n">
        <v>225.5</v>
      </c>
      <c r="AB22" t="n">
        <v>228</v>
      </c>
      <c r="AC22" t="n">
        <v>230.5</v>
      </c>
      <c r="AD22" t="n">
        <v>233</v>
      </c>
      <c r="AE22" t="n">
        <v>235.5</v>
      </c>
      <c r="AF22" t="n">
        <v>238</v>
      </c>
      <c r="AG22" t="n">
        <v>240.5</v>
      </c>
      <c r="AH22" t="n">
        <v>243</v>
      </c>
      <c r="AI22" t="n">
        <v>245.5</v>
      </c>
      <c r="AJ22" t="n">
        <v>248</v>
      </c>
      <c r="AK22" t="n">
        <v>250.5</v>
      </c>
      <c r="AL22" t="n">
        <v>253</v>
      </c>
      <c r="AM22" t="n">
        <v>255.5</v>
      </c>
    </row>
    <row r="23">
      <c r="A23" t="inlineStr">
        <is>
          <t>Sector 19</t>
        </is>
      </c>
      <c r="B23" t="n">
        <v>167</v>
      </c>
      <c r="C23" t="n">
        <v>169.5</v>
      </c>
      <c r="D23" t="n">
        <v>172</v>
      </c>
      <c r="E23" t="n">
        <v>174.5</v>
      </c>
      <c r="F23" t="n">
        <v>177</v>
      </c>
      <c r="G23" t="n">
        <v>179.5</v>
      </c>
      <c r="H23" t="n">
        <v>182</v>
      </c>
      <c r="I23" t="n">
        <v>184.5</v>
      </c>
      <c r="J23" t="n">
        <v>187</v>
      </c>
      <c r="K23" t="n">
        <v>189.5</v>
      </c>
      <c r="L23" t="n">
        <v>192</v>
      </c>
      <c r="M23" t="n">
        <v>194.5</v>
      </c>
      <c r="N23" t="n">
        <v>197</v>
      </c>
      <c r="O23" t="n">
        <v>199.5</v>
      </c>
      <c r="P23" t="n">
        <v>202</v>
      </c>
      <c r="Q23" t="n">
        <v>204.5</v>
      </c>
      <c r="R23" t="n">
        <v>207</v>
      </c>
      <c r="S23" t="n">
        <v>209.5</v>
      </c>
      <c r="T23" t="n">
        <v>212</v>
      </c>
      <c r="U23" t="n">
        <v>214.5</v>
      </c>
      <c r="V23" t="n">
        <v>217</v>
      </c>
      <c r="W23" t="n">
        <v>219.5</v>
      </c>
      <c r="X23" t="n">
        <v>222</v>
      </c>
      <c r="Y23" t="n">
        <v>224.5</v>
      </c>
      <c r="Z23" t="n">
        <v>227</v>
      </c>
      <c r="AA23" t="n">
        <v>229.5</v>
      </c>
      <c r="AB23" t="n">
        <v>232</v>
      </c>
      <c r="AC23" t="n">
        <v>234.5</v>
      </c>
      <c r="AD23" t="n">
        <v>237</v>
      </c>
      <c r="AE23" t="n">
        <v>239.5</v>
      </c>
      <c r="AF23" t="n">
        <v>242</v>
      </c>
      <c r="AG23" t="n">
        <v>244.5</v>
      </c>
      <c r="AH23" t="n">
        <v>247</v>
      </c>
      <c r="AI23" t="n">
        <v>249.5</v>
      </c>
      <c r="AJ23" t="n">
        <v>252</v>
      </c>
      <c r="AK23" t="n">
        <v>254.5</v>
      </c>
      <c r="AL23" t="n">
        <v>257</v>
      </c>
      <c r="AM23" t="n">
        <v>259.5</v>
      </c>
    </row>
    <row r="24">
      <c r="A24" t="inlineStr">
        <is>
          <t>Sector 20</t>
        </is>
      </c>
      <c r="B24" t="n">
        <v>171</v>
      </c>
      <c r="C24" t="n">
        <v>173.5</v>
      </c>
      <c r="D24" t="n">
        <v>176</v>
      </c>
      <c r="E24" t="n">
        <v>178.5</v>
      </c>
      <c r="F24" t="n">
        <v>181</v>
      </c>
      <c r="G24" t="n">
        <v>183.5</v>
      </c>
      <c r="H24" t="n">
        <v>186</v>
      </c>
      <c r="I24" t="n">
        <v>188.5</v>
      </c>
      <c r="J24" t="n">
        <v>191</v>
      </c>
      <c r="K24" t="n">
        <v>193.5</v>
      </c>
      <c r="L24" t="n">
        <v>196</v>
      </c>
      <c r="M24" t="n">
        <v>198.5</v>
      </c>
      <c r="N24" t="n">
        <v>201</v>
      </c>
      <c r="O24" t="n">
        <v>203.5</v>
      </c>
      <c r="P24" t="n">
        <v>206</v>
      </c>
      <c r="Q24" t="n">
        <v>208.5</v>
      </c>
      <c r="R24" t="n">
        <v>211</v>
      </c>
      <c r="S24" t="n">
        <v>213.5</v>
      </c>
      <c r="T24" t="n">
        <v>216</v>
      </c>
      <c r="U24" t="n">
        <v>218.5</v>
      </c>
      <c r="V24" t="n">
        <v>221</v>
      </c>
      <c r="W24" t="n">
        <v>223.5</v>
      </c>
      <c r="X24" t="n">
        <v>226</v>
      </c>
      <c r="Y24" t="n">
        <v>228.5</v>
      </c>
      <c r="Z24" t="n">
        <v>231</v>
      </c>
      <c r="AA24" t="n">
        <v>233.5</v>
      </c>
      <c r="AB24" t="n">
        <v>236</v>
      </c>
      <c r="AC24" t="n">
        <v>238.5</v>
      </c>
      <c r="AD24" t="n">
        <v>241</v>
      </c>
      <c r="AE24" t="n">
        <v>243.5</v>
      </c>
      <c r="AF24" t="n">
        <v>246</v>
      </c>
      <c r="AG24" t="n">
        <v>248.5</v>
      </c>
      <c r="AH24" t="n">
        <v>251</v>
      </c>
      <c r="AI24" t="n">
        <v>253.5</v>
      </c>
      <c r="AJ24" t="n">
        <v>256</v>
      </c>
      <c r="AK24" t="n">
        <v>258.5</v>
      </c>
      <c r="AL24" t="n">
        <v>261</v>
      </c>
      <c r="AM24" t="n">
        <v>263.5</v>
      </c>
    </row>
    <row r="25">
      <c r="A25" t="inlineStr">
        <is>
          <t>Sector 21</t>
        </is>
      </c>
      <c r="B25" t="n">
        <v>175</v>
      </c>
      <c r="C25" t="n">
        <v>177.5</v>
      </c>
      <c r="D25" t="n">
        <v>180</v>
      </c>
      <c r="E25" t="n">
        <v>182.5</v>
      </c>
      <c r="F25" t="n">
        <v>185</v>
      </c>
      <c r="G25" t="n">
        <v>187.5</v>
      </c>
      <c r="H25" t="n">
        <v>190</v>
      </c>
      <c r="I25" t="n">
        <v>192.5</v>
      </c>
      <c r="J25" t="n">
        <v>195</v>
      </c>
      <c r="K25" t="n">
        <v>197.5</v>
      </c>
      <c r="L25" t="n">
        <v>200</v>
      </c>
      <c r="M25" t="n">
        <v>202.5</v>
      </c>
      <c r="N25" t="n">
        <v>205</v>
      </c>
      <c r="O25" t="n">
        <v>207.5</v>
      </c>
      <c r="P25" t="n">
        <v>210</v>
      </c>
      <c r="Q25" t="n">
        <v>212.5</v>
      </c>
      <c r="R25" t="n">
        <v>215</v>
      </c>
      <c r="S25" t="n">
        <v>217.5</v>
      </c>
      <c r="T25" t="n">
        <v>220</v>
      </c>
      <c r="U25" t="n">
        <v>222.5</v>
      </c>
      <c r="V25" t="n">
        <v>225</v>
      </c>
      <c r="W25" t="n">
        <v>227.5</v>
      </c>
      <c r="X25" t="n">
        <v>230</v>
      </c>
      <c r="Y25" t="n">
        <v>232.5</v>
      </c>
      <c r="Z25" t="n">
        <v>235</v>
      </c>
      <c r="AA25" t="n">
        <v>237.5</v>
      </c>
      <c r="AB25" t="n">
        <v>240</v>
      </c>
      <c r="AC25" t="n">
        <v>242.5</v>
      </c>
      <c r="AD25" t="n">
        <v>245</v>
      </c>
      <c r="AE25" t="n">
        <v>247.5</v>
      </c>
      <c r="AF25" t="n">
        <v>250</v>
      </c>
      <c r="AG25" t="n">
        <v>252.5</v>
      </c>
      <c r="AH25" t="n">
        <v>255</v>
      </c>
      <c r="AI25" t="n">
        <v>257.5</v>
      </c>
      <c r="AJ25" t="n">
        <v>260</v>
      </c>
      <c r="AK25" t="n">
        <v>262.5</v>
      </c>
      <c r="AL25" t="n">
        <v>265</v>
      </c>
      <c r="AM25" t="n">
        <v>267.5</v>
      </c>
    </row>
    <row r="26">
      <c r="A26" t="inlineStr">
        <is>
          <t>Sector 22</t>
        </is>
      </c>
      <c r="B26" t="n">
        <v>179</v>
      </c>
      <c r="C26" t="n">
        <v>181.5</v>
      </c>
      <c r="D26" t="n">
        <v>184</v>
      </c>
      <c r="E26" t="n">
        <v>186.5</v>
      </c>
      <c r="F26" t="n">
        <v>189</v>
      </c>
      <c r="G26" t="n">
        <v>191.5</v>
      </c>
      <c r="H26" t="n">
        <v>194</v>
      </c>
      <c r="I26" t="n">
        <v>196.5</v>
      </c>
      <c r="J26" t="n">
        <v>199</v>
      </c>
      <c r="K26" t="n">
        <v>201.5</v>
      </c>
      <c r="L26" t="n">
        <v>204</v>
      </c>
      <c r="M26" t="n">
        <v>206.5</v>
      </c>
      <c r="N26" t="n">
        <v>209</v>
      </c>
      <c r="O26" t="n">
        <v>211.5</v>
      </c>
      <c r="P26" t="n">
        <v>214</v>
      </c>
      <c r="Q26" t="n">
        <v>216.5</v>
      </c>
      <c r="R26" t="n">
        <v>219</v>
      </c>
      <c r="S26" t="n">
        <v>221.5</v>
      </c>
      <c r="T26" t="n">
        <v>224</v>
      </c>
      <c r="U26" t="n">
        <v>226.5</v>
      </c>
      <c r="V26" t="n">
        <v>229</v>
      </c>
      <c r="W26" t="n">
        <v>231.5</v>
      </c>
      <c r="X26" t="n">
        <v>234</v>
      </c>
      <c r="Y26" t="n">
        <v>236.5</v>
      </c>
      <c r="Z26" t="n">
        <v>239</v>
      </c>
      <c r="AA26" t="n">
        <v>241.5</v>
      </c>
      <c r="AB26" t="n">
        <v>244</v>
      </c>
      <c r="AC26" t="n">
        <v>246.5</v>
      </c>
      <c r="AD26" t="n">
        <v>249</v>
      </c>
      <c r="AE26" t="n">
        <v>251.5</v>
      </c>
      <c r="AF26" t="n">
        <v>254</v>
      </c>
      <c r="AG26" t="n">
        <v>256.5</v>
      </c>
      <c r="AH26" t="n">
        <v>259</v>
      </c>
      <c r="AI26" t="n">
        <v>261.5</v>
      </c>
      <c r="AJ26" t="n">
        <v>264</v>
      </c>
      <c r="AK26" t="n">
        <v>266.5</v>
      </c>
      <c r="AL26" t="n">
        <v>269</v>
      </c>
      <c r="AM26" t="n">
        <v>271.5</v>
      </c>
    </row>
    <row r="27">
      <c r="A27" t="inlineStr">
        <is>
          <t>Sector 23</t>
        </is>
      </c>
      <c r="B27" t="n">
        <v>183</v>
      </c>
      <c r="C27" t="n">
        <v>185.5</v>
      </c>
      <c r="D27" t="n">
        <v>188</v>
      </c>
      <c r="E27" t="n">
        <v>190.5</v>
      </c>
      <c r="F27" t="n">
        <v>193</v>
      </c>
      <c r="G27" t="n">
        <v>195.5</v>
      </c>
      <c r="H27" t="n">
        <v>198</v>
      </c>
      <c r="I27" t="n">
        <v>200.5</v>
      </c>
      <c r="J27" t="n">
        <v>203</v>
      </c>
      <c r="K27" t="n">
        <v>205.5</v>
      </c>
      <c r="L27" t="n">
        <v>208</v>
      </c>
      <c r="M27" t="n">
        <v>210.5</v>
      </c>
      <c r="N27" t="n">
        <v>213</v>
      </c>
      <c r="O27" t="n">
        <v>215.5</v>
      </c>
      <c r="P27" t="n">
        <v>218</v>
      </c>
      <c r="Q27" t="n">
        <v>220.5</v>
      </c>
      <c r="R27" t="n">
        <v>223</v>
      </c>
      <c r="S27" t="n">
        <v>225.5</v>
      </c>
      <c r="T27" t="n">
        <v>228</v>
      </c>
      <c r="U27" t="n">
        <v>230.5</v>
      </c>
      <c r="V27" t="n">
        <v>233</v>
      </c>
      <c r="W27" t="n">
        <v>235.5</v>
      </c>
      <c r="X27" t="n">
        <v>238</v>
      </c>
      <c r="Y27" t="n">
        <v>240.5</v>
      </c>
      <c r="Z27" t="n">
        <v>243</v>
      </c>
      <c r="AA27" t="n">
        <v>245.5</v>
      </c>
      <c r="AB27" t="n">
        <v>248</v>
      </c>
      <c r="AC27" t="n">
        <v>250.5</v>
      </c>
      <c r="AD27" t="n">
        <v>253</v>
      </c>
      <c r="AE27" t="n">
        <v>255.5</v>
      </c>
      <c r="AF27" t="n">
        <v>258</v>
      </c>
      <c r="AG27" t="n">
        <v>260.5</v>
      </c>
      <c r="AH27" t="n">
        <v>263</v>
      </c>
      <c r="AI27" t="n">
        <v>265.5</v>
      </c>
      <c r="AJ27" t="n">
        <v>268</v>
      </c>
      <c r="AK27" t="n">
        <v>270.5</v>
      </c>
      <c r="AL27" t="n">
        <v>273</v>
      </c>
      <c r="AM27" t="n">
        <v>275.5</v>
      </c>
    </row>
    <row r="28">
      <c r="A28" t="inlineStr">
        <is>
          <t>Sector 24</t>
        </is>
      </c>
      <c r="B28" t="n">
        <v>187</v>
      </c>
      <c r="C28" t="n">
        <v>189.5</v>
      </c>
      <c r="D28" t="n">
        <v>192</v>
      </c>
      <c r="E28" t="n">
        <v>194.5</v>
      </c>
      <c r="F28" t="n">
        <v>197</v>
      </c>
      <c r="G28" t="n">
        <v>199.5</v>
      </c>
      <c r="H28" t="n">
        <v>202</v>
      </c>
      <c r="I28" t="n">
        <v>204.5</v>
      </c>
      <c r="J28" t="n">
        <v>207</v>
      </c>
      <c r="K28" t="n">
        <v>209.5</v>
      </c>
      <c r="L28" t="n">
        <v>212</v>
      </c>
      <c r="M28" t="n">
        <v>214.5</v>
      </c>
      <c r="N28" t="n">
        <v>217</v>
      </c>
      <c r="O28" t="n">
        <v>219.5</v>
      </c>
      <c r="P28" t="n">
        <v>222</v>
      </c>
      <c r="Q28" t="n">
        <v>224.5</v>
      </c>
      <c r="R28" t="n">
        <v>227</v>
      </c>
      <c r="S28" t="n">
        <v>229.5</v>
      </c>
      <c r="T28" t="n">
        <v>232</v>
      </c>
      <c r="U28" t="n">
        <v>234.5</v>
      </c>
      <c r="V28" t="n">
        <v>237</v>
      </c>
      <c r="W28" t="n">
        <v>239.5</v>
      </c>
      <c r="X28" t="n">
        <v>242</v>
      </c>
      <c r="Y28" t="n">
        <v>244.5</v>
      </c>
      <c r="Z28" t="n">
        <v>247</v>
      </c>
      <c r="AA28" t="n">
        <v>249.5</v>
      </c>
      <c r="AB28" t="n">
        <v>252</v>
      </c>
      <c r="AC28" t="n">
        <v>254.5</v>
      </c>
      <c r="AD28" t="n">
        <v>257</v>
      </c>
      <c r="AE28" t="n">
        <v>259.5</v>
      </c>
      <c r="AF28" t="n">
        <v>262</v>
      </c>
      <c r="AG28" t="n">
        <v>264.5</v>
      </c>
      <c r="AH28" t="n">
        <v>267</v>
      </c>
      <c r="AI28" t="n">
        <v>269.5</v>
      </c>
      <c r="AJ28" t="n">
        <v>272</v>
      </c>
      <c r="AK28" t="n">
        <v>274.5</v>
      </c>
      <c r="AL28" t="n">
        <v>277</v>
      </c>
      <c r="AM28" t="n">
        <v>279.5</v>
      </c>
    </row>
    <row r="29">
      <c r="A29" t="inlineStr">
        <is>
          <t>Sector 25</t>
        </is>
      </c>
      <c r="B29" t="n">
        <v>191</v>
      </c>
      <c r="C29" t="n">
        <v>193.5</v>
      </c>
      <c r="D29" t="n">
        <v>196</v>
      </c>
      <c r="E29" t="n">
        <v>198.5</v>
      </c>
      <c r="F29" t="n">
        <v>201</v>
      </c>
      <c r="G29" t="n">
        <v>203.5</v>
      </c>
      <c r="H29" t="n">
        <v>206</v>
      </c>
      <c r="I29" t="n">
        <v>208.5</v>
      </c>
      <c r="J29" t="n">
        <v>211</v>
      </c>
      <c r="K29" t="n">
        <v>213.5</v>
      </c>
      <c r="L29" t="n">
        <v>216</v>
      </c>
      <c r="M29" t="n">
        <v>218.5</v>
      </c>
      <c r="N29" t="n">
        <v>221</v>
      </c>
      <c r="O29" t="n">
        <v>223.5</v>
      </c>
      <c r="P29" t="n">
        <v>226</v>
      </c>
      <c r="Q29" t="n">
        <v>228.5</v>
      </c>
      <c r="R29" t="n">
        <v>231</v>
      </c>
      <c r="S29" t="n">
        <v>233.5</v>
      </c>
      <c r="T29" t="n">
        <v>236</v>
      </c>
      <c r="U29" t="n">
        <v>238.5</v>
      </c>
      <c r="V29" t="n">
        <v>241</v>
      </c>
      <c r="W29" t="n">
        <v>243.5</v>
      </c>
      <c r="X29" t="n">
        <v>246</v>
      </c>
      <c r="Y29" t="n">
        <v>248.5</v>
      </c>
      <c r="Z29" t="n">
        <v>251</v>
      </c>
      <c r="AA29" t="n">
        <v>253.5</v>
      </c>
      <c r="AB29" t="n">
        <v>256</v>
      </c>
      <c r="AC29" t="n">
        <v>258.5</v>
      </c>
      <c r="AD29" t="n">
        <v>261</v>
      </c>
      <c r="AE29" t="n">
        <v>263.5</v>
      </c>
      <c r="AF29" t="n">
        <v>266</v>
      </c>
      <c r="AG29" t="n">
        <v>268.5</v>
      </c>
      <c r="AH29" t="n">
        <v>271</v>
      </c>
      <c r="AI29" t="n">
        <v>273.5</v>
      </c>
      <c r="AJ29" t="n">
        <v>276</v>
      </c>
      <c r="AK29" t="n">
        <v>278.5</v>
      </c>
      <c r="AL29" t="n">
        <v>281</v>
      </c>
      <c r="AM29" t="n">
        <v>283.5</v>
      </c>
    </row>
    <row r="30">
      <c r="A30" t="inlineStr">
        <is>
          <t>Sector 26</t>
        </is>
      </c>
      <c r="B30" t="n">
        <v>195</v>
      </c>
      <c r="C30" t="n">
        <v>197.5</v>
      </c>
      <c r="D30" t="n">
        <v>200</v>
      </c>
      <c r="E30" t="n">
        <v>202.5</v>
      </c>
      <c r="F30" t="n">
        <v>205</v>
      </c>
      <c r="G30" t="n">
        <v>207.5</v>
      </c>
      <c r="H30" t="n">
        <v>210</v>
      </c>
      <c r="I30" t="n">
        <v>212.5</v>
      </c>
      <c r="J30" t="n">
        <v>215</v>
      </c>
      <c r="K30" t="n">
        <v>217.5</v>
      </c>
      <c r="L30" t="n">
        <v>220</v>
      </c>
      <c r="M30" t="n">
        <v>222.5</v>
      </c>
      <c r="N30" t="n">
        <v>225</v>
      </c>
      <c r="O30" t="n">
        <v>227.5</v>
      </c>
      <c r="P30" t="n">
        <v>230</v>
      </c>
      <c r="Q30" t="n">
        <v>232.5</v>
      </c>
      <c r="R30" t="n">
        <v>235</v>
      </c>
      <c r="S30" t="n">
        <v>237.5</v>
      </c>
      <c r="T30" t="n">
        <v>240</v>
      </c>
      <c r="U30" t="n">
        <v>242.5</v>
      </c>
      <c r="V30" t="n">
        <v>245</v>
      </c>
      <c r="W30" t="n">
        <v>247.5</v>
      </c>
      <c r="X30" t="n">
        <v>250</v>
      </c>
      <c r="Y30" t="n">
        <v>252.5</v>
      </c>
      <c r="Z30" t="n">
        <v>255</v>
      </c>
      <c r="AA30" t="n">
        <v>257.5</v>
      </c>
      <c r="AB30" t="n">
        <v>260</v>
      </c>
      <c r="AC30" t="n">
        <v>262.5</v>
      </c>
      <c r="AD30" t="n">
        <v>265</v>
      </c>
      <c r="AE30" t="n">
        <v>267.5</v>
      </c>
      <c r="AF30" t="n">
        <v>270</v>
      </c>
      <c r="AG30" t="n">
        <v>272.5</v>
      </c>
      <c r="AH30" t="n">
        <v>275</v>
      </c>
      <c r="AI30" t="n">
        <v>277.5</v>
      </c>
      <c r="AJ30" t="n">
        <v>280</v>
      </c>
      <c r="AK30" t="n">
        <v>282.5</v>
      </c>
      <c r="AL30" t="n">
        <v>285</v>
      </c>
      <c r="AM30" t="n">
        <v>287.5</v>
      </c>
    </row>
    <row r="31">
      <c r="A31" t="inlineStr">
        <is>
          <t>Sector 27</t>
        </is>
      </c>
      <c r="B31" t="n">
        <v>199</v>
      </c>
      <c r="C31" t="n">
        <v>201.5</v>
      </c>
      <c r="D31" t="n">
        <v>204</v>
      </c>
      <c r="E31" t="n">
        <v>206.5</v>
      </c>
      <c r="F31" t="n">
        <v>209</v>
      </c>
      <c r="G31" t="n">
        <v>211.5</v>
      </c>
      <c r="H31" t="n">
        <v>214</v>
      </c>
      <c r="I31" t="n">
        <v>216.5</v>
      </c>
      <c r="J31" t="n">
        <v>219</v>
      </c>
      <c r="K31" t="n">
        <v>221.5</v>
      </c>
      <c r="L31" t="n">
        <v>224</v>
      </c>
      <c r="M31" t="n">
        <v>226.5</v>
      </c>
      <c r="N31" t="n">
        <v>229</v>
      </c>
      <c r="O31" t="n">
        <v>231.5</v>
      </c>
      <c r="P31" t="n">
        <v>234</v>
      </c>
      <c r="Q31" t="n">
        <v>236.5</v>
      </c>
      <c r="R31" t="n">
        <v>239</v>
      </c>
      <c r="S31" t="n">
        <v>241.5</v>
      </c>
      <c r="T31" t="n">
        <v>244</v>
      </c>
      <c r="U31" t="n">
        <v>246.5</v>
      </c>
      <c r="V31" t="n">
        <v>249</v>
      </c>
      <c r="W31" t="n">
        <v>251.5</v>
      </c>
      <c r="X31" t="n">
        <v>254</v>
      </c>
      <c r="Y31" t="n">
        <v>256.5</v>
      </c>
      <c r="Z31" t="n">
        <v>259</v>
      </c>
      <c r="AA31" t="n">
        <v>261.5</v>
      </c>
      <c r="AB31" t="n">
        <v>264</v>
      </c>
      <c r="AC31" t="n">
        <v>266.5</v>
      </c>
      <c r="AD31" t="n">
        <v>269</v>
      </c>
      <c r="AE31" t="n">
        <v>271.5</v>
      </c>
      <c r="AF31" t="n">
        <v>274</v>
      </c>
      <c r="AG31" t="n">
        <v>276.5</v>
      </c>
      <c r="AH31" t="n">
        <v>279</v>
      </c>
      <c r="AI31" t="n">
        <v>281.5</v>
      </c>
      <c r="AJ31" t="n">
        <v>284</v>
      </c>
      <c r="AK31" t="n">
        <v>286.5</v>
      </c>
      <c r="AL31" t="n">
        <v>289</v>
      </c>
      <c r="AM31" t="n">
        <v>291.5</v>
      </c>
    </row>
    <row r="32">
      <c r="A32" t="inlineStr">
        <is>
          <t>Sector 28</t>
        </is>
      </c>
      <c r="B32" t="n">
        <v>203</v>
      </c>
      <c r="C32" t="n">
        <v>205.5</v>
      </c>
      <c r="D32" t="n">
        <v>208</v>
      </c>
      <c r="E32" t="n">
        <v>210.5</v>
      </c>
      <c r="F32" t="n">
        <v>213</v>
      </c>
      <c r="G32" t="n">
        <v>215.5</v>
      </c>
      <c r="H32" t="n">
        <v>218</v>
      </c>
      <c r="I32" t="n">
        <v>220.5</v>
      </c>
      <c r="J32" t="n">
        <v>223</v>
      </c>
      <c r="K32" t="n">
        <v>225.5</v>
      </c>
      <c r="L32" t="n">
        <v>228</v>
      </c>
      <c r="M32" t="n">
        <v>230.5</v>
      </c>
      <c r="N32" t="n">
        <v>233</v>
      </c>
      <c r="O32" t="n">
        <v>235.5</v>
      </c>
      <c r="P32" t="n">
        <v>238</v>
      </c>
      <c r="Q32" t="n">
        <v>240.5</v>
      </c>
      <c r="R32" t="n">
        <v>243</v>
      </c>
      <c r="S32" t="n">
        <v>245.5</v>
      </c>
      <c r="T32" t="n">
        <v>248</v>
      </c>
      <c r="U32" t="n">
        <v>250.5</v>
      </c>
      <c r="V32" t="n">
        <v>253</v>
      </c>
      <c r="W32" t="n">
        <v>255.5</v>
      </c>
      <c r="X32" t="n">
        <v>258</v>
      </c>
      <c r="Y32" t="n">
        <v>260.5</v>
      </c>
      <c r="Z32" t="n">
        <v>263</v>
      </c>
      <c r="AA32" t="n">
        <v>265.5</v>
      </c>
      <c r="AB32" t="n">
        <v>268</v>
      </c>
      <c r="AC32" t="n">
        <v>270.5</v>
      </c>
      <c r="AD32" t="n">
        <v>273</v>
      </c>
      <c r="AE32" t="n">
        <v>275.5</v>
      </c>
      <c r="AF32" t="n">
        <v>278</v>
      </c>
      <c r="AG32" t="n">
        <v>280.5</v>
      </c>
      <c r="AH32" t="n">
        <v>283</v>
      </c>
      <c r="AI32" t="n">
        <v>285.5</v>
      </c>
      <c r="AJ32" t="n">
        <v>288</v>
      </c>
      <c r="AK32" t="n">
        <v>290.5</v>
      </c>
      <c r="AL32" t="n">
        <v>293</v>
      </c>
      <c r="AM32" t="n">
        <v>295.5</v>
      </c>
    </row>
    <row r="33">
      <c r="A33" t="inlineStr">
        <is>
          <t>Sector 29</t>
        </is>
      </c>
      <c r="B33" t="n">
        <v>207</v>
      </c>
      <c r="C33" t="n">
        <v>209.5</v>
      </c>
      <c r="D33" t="n">
        <v>212</v>
      </c>
      <c r="E33" t="n">
        <v>214.5</v>
      </c>
      <c r="F33" t="n">
        <v>217</v>
      </c>
      <c r="G33" t="n">
        <v>219.5</v>
      </c>
      <c r="H33" t="n">
        <v>222</v>
      </c>
      <c r="I33" t="n">
        <v>224.5</v>
      </c>
      <c r="J33" t="n">
        <v>227</v>
      </c>
      <c r="K33" t="n">
        <v>229.5</v>
      </c>
      <c r="L33" t="n">
        <v>232</v>
      </c>
      <c r="M33" t="n">
        <v>234.5</v>
      </c>
      <c r="N33" t="n">
        <v>237</v>
      </c>
      <c r="O33" t="n">
        <v>239.5</v>
      </c>
      <c r="P33" t="n">
        <v>242</v>
      </c>
      <c r="Q33" t="n">
        <v>244.5</v>
      </c>
      <c r="R33" t="n">
        <v>247</v>
      </c>
      <c r="S33" t="n">
        <v>249.5</v>
      </c>
      <c r="T33" t="n">
        <v>252</v>
      </c>
      <c r="U33" t="n">
        <v>254.5</v>
      </c>
      <c r="V33" t="n">
        <v>257</v>
      </c>
      <c r="W33" t="n">
        <v>259.5</v>
      </c>
      <c r="X33" t="n">
        <v>262</v>
      </c>
      <c r="Y33" t="n">
        <v>264.5</v>
      </c>
      <c r="Z33" t="n">
        <v>267</v>
      </c>
      <c r="AA33" t="n">
        <v>269.5</v>
      </c>
      <c r="AB33" t="n">
        <v>272</v>
      </c>
      <c r="AC33" t="n">
        <v>274.5</v>
      </c>
      <c r="AD33" t="n">
        <v>277</v>
      </c>
      <c r="AE33" t="n">
        <v>279.5</v>
      </c>
      <c r="AF33" t="n">
        <v>282</v>
      </c>
      <c r="AG33" t="n">
        <v>284.5</v>
      </c>
      <c r="AH33" t="n">
        <v>287</v>
      </c>
      <c r="AI33" t="n">
        <v>289.5</v>
      </c>
      <c r="AJ33" t="n">
        <v>292</v>
      </c>
      <c r="AK33" t="n">
        <v>294.5</v>
      </c>
      <c r="AL33" t="n">
        <v>297</v>
      </c>
      <c r="AM33" t="n">
        <v>299.5</v>
      </c>
    </row>
    <row r="34">
      <c r="A34" t="inlineStr">
        <is>
          <t>Sector 30</t>
        </is>
      </c>
      <c r="B34" t="n">
        <v>211</v>
      </c>
      <c r="C34" t="n">
        <v>213.5</v>
      </c>
      <c r="D34" t="n">
        <v>216</v>
      </c>
      <c r="E34" t="n">
        <v>218.5</v>
      </c>
      <c r="F34" t="n">
        <v>221</v>
      </c>
      <c r="G34" t="n">
        <v>223.5</v>
      </c>
      <c r="H34" t="n">
        <v>226</v>
      </c>
      <c r="I34" t="n">
        <v>228.5</v>
      </c>
      <c r="J34" t="n">
        <v>231</v>
      </c>
      <c r="K34" t="n">
        <v>233.5</v>
      </c>
      <c r="L34" t="n">
        <v>236</v>
      </c>
      <c r="M34" t="n">
        <v>238.5</v>
      </c>
      <c r="N34" t="n">
        <v>241</v>
      </c>
      <c r="O34" t="n">
        <v>243.5</v>
      </c>
      <c r="P34" t="n">
        <v>246</v>
      </c>
      <c r="Q34" t="n">
        <v>248.5</v>
      </c>
      <c r="R34" t="n">
        <v>251</v>
      </c>
      <c r="S34" t="n">
        <v>253.5</v>
      </c>
      <c r="T34" t="n">
        <v>256</v>
      </c>
      <c r="U34" t="n">
        <v>258.5</v>
      </c>
      <c r="V34" t="n">
        <v>261</v>
      </c>
      <c r="W34" t="n">
        <v>263.5</v>
      </c>
      <c r="X34" t="n">
        <v>266</v>
      </c>
      <c r="Y34" t="n">
        <v>268.5</v>
      </c>
      <c r="Z34" t="n">
        <v>271</v>
      </c>
      <c r="AA34" t="n">
        <v>273.5</v>
      </c>
      <c r="AB34" t="n">
        <v>276</v>
      </c>
      <c r="AC34" t="n">
        <v>278.5</v>
      </c>
      <c r="AD34" t="n">
        <v>281</v>
      </c>
      <c r="AE34" t="n">
        <v>283.5</v>
      </c>
      <c r="AF34" t="n">
        <v>286</v>
      </c>
      <c r="AG34" t="n">
        <v>288.5</v>
      </c>
      <c r="AH34" t="n">
        <v>291</v>
      </c>
      <c r="AI34" t="n">
        <v>293.5</v>
      </c>
      <c r="AJ34" t="n">
        <v>296</v>
      </c>
      <c r="AK34" t="n">
        <v>298.5</v>
      </c>
      <c r="AL34" t="n">
        <v>301</v>
      </c>
      <c r="AM34" t="n">
        <v>303.5</v>
      </c>
    </row>
    <row r="35">
      <c r="A35" t="inlineStr">
        <is>
          <t>Sector 31</t>
        </is>
      </c>
      <c r="B35" t="n">
        <v>215</v>
      </c>
      <c r="C35" t="n">
        <v>217.5</v>
      </c>
      <c r="D35" t="n">
        <v>220</v>
      </c>
      <c r="E35" t="n">
        <v>222.5</v>
      </c>
      <c r="F35" t="n">
        <v>225</v>
      </c>
      <c r="G35" t="n">
        <v>227.5</v>
      </c>
      <c r="H35" t="n">
        <v>230</v>
      </c>
      <c r="I35" t="n">
        <v>232.5</v>
      </c>
      <c r="J35" t="n">
        <v>235</v>
      </c>
      <c r="K35" t="n">
        <v>237.5</v>
      </c>
      <c r="L35" t="n">
        <v>240</v>
      </c>
      <c r="M35" t="n">
        <v>242.5</v>
      </c>
      <c r="N35" t="n">
        <v>245</v>
      </c>
      <c r="O35" t="n">
        <v>247.5</v>
      </c>
      <c r="P35" t="n">
        <v>250</v>
      </c>
      <c r="Q35" t="n">
        <v>252.5</v>
      </c>
      <c r="R35" t="n">
        <v>255</v>
      </c>
      <c r="S35" t="n">
        <v>257.5</v>
      </c>
      <c r="T35" t="n">
        <v>260</v>
      </c>
      <c r="U35" t="n">
        <v>262.5</v>
      </c>
      <c r="V35" t="n">
        <v>265</v>
      </c>
      <c r="W35" t="n">
        <v>267.5</v>
      </c>
      <c r="X35" t="n">
        <v>270</v>
      </c>
      <c r="Y35" t="n">
        <v>272.5</v>
      </c>
      <c r="Z35" t="n">
        <v>275</v>
      </c>
      <c r="AA35" t="n">
        <v>277.5</v>
      </c>
      <c r="AB35" t="n">
        <v>280</v>
      </c>
      <c r="AC35" t="n">
        <v>282.5</v>
      </c>
      <c r="AD35" t="n">
        <v>285</v>
      </c>
      <c r="AE35" t="n">
        <v>287.5</v>
      </c>
      <c r="AF35" t="n">
        <v>290</v>
      </c>
      <c r="AG35" t="n">
        <v>292.5</v>
      </c>
      <c r="AH35" t="n">
        <v>295</v>
      </c>
      <c r="AI35" t="n">
        <v>297.5</v>
      </c>
      <c r="AJ35" t="n">
        <v>300</v>
      </c>
      <c r="AK35" t="n">
        <v>302.5</v>
      </c>
      <c r="AL35" t="n">
        <v>305</v>
      </c>
      <c r="AM35" t="n">
        <v>307.5</v>
      </c>
    </row>
    <row r="36">
      <c r="A36" t="inlineStr">
        <is>
          <t>Sector 32</t>
        </is>
      </c>
      <c r="B36" t="n">
        <v>219</v>
      </c>
      <c r="C36" t="n">
        <v>221.5</v>
      </c>
      <c r="D36" t="n">
        <v>224</v>
      </c>
      <c r="E36" t="n">
        <v>226.5</v>
      </c>
      <c r="F36" t="n">
        <v>229</v>
      </c>
      <c r="G36" t="n">
        <v>231.5</v>
      </c>
      <c r="H36" t="n">
        <v>234</v>
      </c>
      <c r="I36" t="n">
        <v>236.5</v>
      </c>
      <c r="J36" t="n">
        <v>239</v>
      </c>
      <c r="K36" t="n">
        <v>241.5</v>
      </c>
      <c r="L36" t="n">
        <v>244</v>
      </c>
      <c r="M36" t="n">
        <v>246.5</v>
      </c>
      <c r="N36" t="n">
        <v>249</v>
      </c>
      <c r="O36" t="n">
        <v>251.5</v>
      </c>
      <c r="P36" t="n">
        <v>254</v>
      </c>
      <c r="Q36" t="n">
        <v>256.5</v>
      </c>
      <c r="R36" t="n">
        <v>259</v>
      </c>
      <c r="S36" t="n">
        <v>261.5</v>
      </c>
      <c r="T36" t="n">
        <v>264</v>
      </c>
      <c r="U36" t="n">
        <v>266.5</v>
      </c>
      <c r="V36" t="n">
        <v>269</v>
      </c>
      <c r="W36" t="n">
        <v>271.5</v>
      </c>
      <c r="X36" t="n">
        <v>274</v>
      </c>
      <c r="Y36" t="n">
        <v>276.5</v>
      </c>
      <c r="Z36" t="n">
        <v>279</v>
      </c>
      <c r="AA36" t="n">
        <v>281.5</v>
      </c>
      <c r="AB36" t="n">
        <v>284</v>
      </c>
      <c r="AC36" t="n">
        <v>286.5</v>
      </c>
      <c r="AD36" t="n">
        <v>289</v>
      </c>
      <c r="AE36" t="n">
        <v>291.5</v>
      </c>
      <c r="AF36" t="n">
        <v>294</v>
      </c>
      <c r="AG36" t="n">
        <v>296.5</v>
      </c>
      <c r="AH36" t="n">
        <v>299</v>
      </c>
      <c r="AI36" t="n">
        <v>301.5</v>
      </c>
      <c r="AJ36" t="n">
        <v>304</v>
      </c>
      <c r="AK36" t="n">
        <v>306.5</v>
      </c>
      <c r="AL36" t="n">
        <v>309</v>
      </c>
      <c r="AM36" t="n">
        <v>311.5</v>
      </c>
    </row>
    <row r="37">
      <c r="A37" t="inlineStr">
        <is>
          <t>Sector 33</t>
        </is>
      </c>
      <c r="B37" t="n">
        <v>223</v>
      </c>
      <c r="C37" t="n">
        <v>225.5</v>
      </c>
      <c r="D37" t="n">
        <v>228</v>
      </c>
      <c r="E37" t="n">
        <v>230.5</v>
      </c>
      <c r="F37" t="n">
        <v>233</v>
      </c>
      <c r="G37" t="n">
        <v>235.5</v>
      </c>
      <c r="H37" t="n">
        <v>238</v>
      </c>
      <c r="I37" t="n">
        <v>240.5</v>
      </c>
      <c r="J37" t="n">
        <v>243</v>
      </c>
      <c r="K37" t="n">
        <v>245.5</v>
      </c>
      <c r="L37" t="n">
        <v>248</v>
      </c>
      <c r="M37" t="n">
        <v>250.5</v>
      </c>
      <c r="N37" t="n">
        <v>253</v>
      </c>
      <c r="O37" t="n">
        <v>255.5</v>
      </c>
      <c r="P37" t="n">
        <v>258</v>
      </c>
      <c r="Q37" t="n">
        <v>260.5</v>
      </c>
      <c r="R37" t="n">
        <v>263</v>
      </c>
      <c r="S37" t="n">
        <v>265.5</v>
      </c>
      <c r="T37" t="n">
        <v>268</v>
      </c>
      <c r="U37" t="n">
        <v>270.5</v>
      </c>
      <c r="V37" t="n">
        <v>273</v>
      </c>
      <c r="W37" t="n">
        <v>275.5</v>
      </c>
      <c r="X37" t="n">
        <v>278</v>
      </c>
      <c r="Y37" t="n">
        <v>280.5</v>
      </c>
      <c r="Z37" t="n">
        <v>283</v>
      </c>
      <c r="AA37" t="n">
        <v>285.5</v>
      </c>
      <c r="AB37" t="n">
        <v>288</v>
      </c>
      <c r="AC37" t="n">
        <v>290.5</v>
      </c>
      <c r="AD37" t="n">
        <v>293</v>
      </c>
      <c r="AE37" t="n">
        <v>295.5</v>
      </c>
      <c r="AF37" t="n">
        <v>298</v>
      </c>
      <c r="AG37" t="n">
        <v>300.5</v>
      </c>
      <c r="AH37" t="n">
        <v>303</v>
      </c>
      <c r="AI37" t="n">
        <v>305.5</v>
      </c>
      <c r="AJ37" t="n">
        <v>308</v>
      </c>
      <c r="AK37" t="n">
        <v>310.5</v>
      </c>
      <c r="AL37" t="n">
        <v>313</v>
      </c>
      <c r="AM37" t="n">
        <v>315.5</v>
      </c>
    </row>
    <row r="38">
      <c r="A38" t="inlineStr">
        <is>
          <t>Sector 34</t>
        </is>
      </c>
      <c r="B38" t="n">
        <v>227</v>
      </c>
      <c r="C38" t="n">
        <v>229.5</v>
      </c>
      <c r="D38" t="n">
        <v>232</v>
      </c>
      <c r="E38" t="n">
        <v>234.5</v>
      </c>
      <c r="F38" t="n">
        <v>237</v>
      </c>
      <c r="G38" t="n">
        <v>239.5</v>
      </c>
      <c r="H38" t="n">
        <v>242</v>
      </c>
      <c r="I38" t="n">
        <v>244.5</v>
      </c>
      <c r="J38" t="n">
        <v>247</v>
      </c>
      <c r="K38" t="n">
        <v>249.5</v>
      </c>
      <c r="L38" t="n">
        <v>252</v>
      </c>
      <c r="M38" t="n">
        <v>254.5</v>
      </c>
      <c r="N38" t="n">
        <v>257</v>
      </c>
      <c r="O38" t="n">
        <v>259.5</v>
      </c>
      <c r="P38" t="n">
        <v>262</v>
      </c>
      <c r="Q38" t="n">
        <v>264.5</v>
      </c>
      <c r="R38" t="n">
        <v>267</v>
      </c>
      <c r="S38" t="n">
        <v>269.5</v>
      </c>
      <c r="T38" t="n">
        <v>272</v>
      </c>
      <c r="U38" t="n">
        <v>274.5</v>
      </c>
      <c r="V38" t="n">
        <v>277</v>
      </c>
      <c r="W38" t="n">
        <v>279.5</v>
      </c>
      <c r="X38" t="n">
        <v>282</v>
      </c>
      <c r="Y38" t="n">
        <v>284.5</v>
      </c>
      <c r="Z38" t="n">
        <v>287</v>
      </c>
      <c r="AA38" t="n">
        <v>289.5</v>
      </c>
      <c r="AB38" t="n">
        <v>292</v>
      </c>
      <c r="AC38" t="n">
        <v>294.5</v>
      </c>
      <c r="AD38" t="n">
        <v>297</v>
      </c>
      <c r="AE38" t="n">
        <v>299.5</v>
      </c>
      <c r="AF38" t="n">
        <v>302</v>
      </c>
      <c r="AG38" t="n">
        <v>304.5</v>
      </c>
      <c r="AH38" t="n">
        <v>307</v>
      </c>
      <c r="AI38" t="n">
        <v>309.5</v>
      </c>
      <c r="AJ38" t="n">
        <v>312</v>
      </c>
      <c r="AK38" t="n">
        <v>314.5</v>
      </c>
      <c r="AL38" t="n">
        <v>317</v>
      </c>
      <c r="AM38" t="n">
        <v>319.5</v>
      </c>
    </row>
    <row r="39">
      <c r="A39" t="inlineStr">
        <is>
          <t>Sector 35</t>
        </is>
      </c>
      <c r="B39" t="n">
        <v>231</v>
      </c>
      <c r="C39" t="n">
        <v>233.5</v>
      </c>
      <c r="D39" t="n">
        <v>236</v>
      </c>
      <c r="E39" t="n">
        <v>238.5</v>
      </c>
      <c r="F39" t="n">
        <v>241</v>
      </c>
      <c r="G39" t="n">
        <v>243.5</v>
      </c>
      <c r="H39" t="n">
        <v>246</v>
      </c>
      <c r="I39" t="n">
        <v>248.5</v>
      </c>
      <c r="J39" t="n">
        <v>251</v>
      </c>
      <c r="K39" t="n">
        <v>253.5</v>
      </c>
      <c r="L39" t="n">
        <v>256</v>
      </c>
      <c r="M39" t="n">
        <v>258.5</v>
      </c>
      <c r="N39" t="n">
        <v>261</v>
      </c>
      <c r="O39" t="n">
        <v>263.5</v>
      </c>
      <c r="P39" t="n">
        <v>266</v>
      </c>
      <c r="Q39" t="n">
        <v>268.5</v>
      </c>
      <c r="R39" t="n">
        <v>271</v>
      </c>
      <c r="S39" t="n">
        <v>273.5</v>
      </c>
      <c r="T39" t="n">
        <v>276</v>
      </c>
      <c r="U39" t="n">
        <v>278.5</v>
      </c>
      <c r="V39" t="n">
        <v>281</v>
      </c>
      <c r="W39" t="n">
        <v>283.5</v>
      </c>
      <c r="X39" t="n">
        <v>286</v>
      </c>
      <c r="Y39" t="n">
        <v>288.5</v>
      </c>
      <c r="Z39" t="n">
        <v>291</v>
      </c>
      <c r="AA39" t="n">
        <v>293.5</v>
      </c>
      <c r="AB39" t="n">
        <v>296</v>
      </c>
      <c r="AC39" t="n">
        <v>298.5</v>
      </c>
      <c r="AD39" t="n">
        <v>301</v>
      </c>
      <c r="AE39" t="n">
        <v>303.5</v>
      </c>
      <c r="AF39" t="n">
        <v>306</v>
      </c>
      <c r="AG39" t="n">
        <v>308.5</v>
      </c>
      <c r="AH39" t="n">
        <v>311</v>
      </c>
      <c r="AI39" t="n">
        <v>313.5</v>
      </c>
      <c r="AJ39" t="n">
        <v>316</v>
      </c>
      <c r="AK39" t="n">
        <v>318.5</v>
      </c>
      <c r="AL39" t="n">
        <v>321</v>
      </c>
      <c r="AM39" t="n">
        <v>323.5</v>
      </c>
    </row>
    <row r="40">
      <c r="A40" t="inlineStr">
        <is>
          <t>Sector 36</t>
        </is>
      </c>
      <c r="B40" t="n">
        <v>235</v>
      </c>
      <c r="C40" t="n">
        <v>237.5</v>
      </c>
      <c r="D40" t="n">
        <v>240</v>
      </c>
      <c r="E40" t="n">
        <v>242.5</v>
      </c>
      <c r="F40" t="n">
        <v>245</v>
      </c>
      <c r="G40" t="n">
        <v>247.5</v>
      </c>
      <c r="H40" t="n">
        <v>250</v>
      </c>
      <c r="I40" t="n">
        <v>252.5</v>
      </c>
      <c r="J40" t="n">
        <v>255</v>
      </c>
      <c r="K40" t="n">
        <v>257.5</v>
      </c>
      <c r="L40" t="n">
        <v>260</v>
      </c>
      <c r="M40" t="n">
        <v>262.5</v>
      </c>
      <c r="N40" t="n">
        <v>265</v>
      </c>
      <c r="O40" t="n">
        <v>267.5</v>
      </c>
      <c r="P40" t="n">
        <v>270</v>
      </c>
      <c r="Q40" t="n">
        <v>272.5</v>
      </c>
      <c r="R40" t="n">
        <v>275</v>
      </c>
      <c r="S40" t="n">
        <v>277.5</v>
      </c>
      <c r="T40" t="n">
        <v>280</v>
      </c>
      <c r="U40" t="n">
        <v>282.5</v>
      </c>
      <c r="V40" t="n">
        <v>285</v>
      </c>
      <c r="W40" t="n">
        <v>287.5</v>
      </c>
      <c r="X40" t="n">
        <v>290</v>
      </c>
      <c r="Y40" t="n">
        <v>292.5</v>
      </c>
      <c r="Z40" t="n">
        <v>295</v>
      </c>
      <c r="AA40" t="n">
        <v>297.5</v>
      </c>
      <c r="AB40" t="n">
        <v>300</v>
      </c>
      <c r="AC40" t="n">
        <v>302.5</v>
      </c>
      <c r="AD40" t="n">
        <v>305</v>
      </c>
      <c r="AE40" t="n">
        <v>307.5</v>
      </c>
      <c r="AF40" t="n">
        <v>310</v>
      </c>
      <c r="AG40" t="n">
        <v>312.5</v>
      </c>
      <c r="AH40" t="n">
        <v>315</v>
      </c>
      <c r="AI40" t="n">
        <v>317.5</v>
      </c>
      <c r="AJ40" t="n">
        <v>320</v>
      </c>
      <c r="AK40" t="n">
        <v>322.5</v>
      </c>
      <c r="AL40" t="n">
        <v>325</v>
      </c>
      <c r="AM40" t="n">
        <v>327.5</v>
      </c>
    </row>
    <row r="41">
      <c r="A41" t="inlineStr">
        <is>
          <t>Sector 37</t>
        </is>
      </c>
      <c r="B41" t="n">
        <v>239</v>
      </c>
      <c r="C41" t="n">
        <v>241.5</v>
      </c>
      <c r="D41" t="n">
        <v>244</v>
      </c>
      <c r="E41" t="n">
        <v>246.5</v>
      </c>
      <c r="F41" t="n">
        <v>249</v>
      </c>
      <c r="G41" t="n">
        <v>251.5</v>
      </c>
      <c r="H41" t="n">
        <v>254</v>
      </c>
      <c r="I41" t="n">
        <v>256.5</v>
      </c>
      <c r="J41" t="n">
        <v>259</v>
      </c>
      <c r="K41" t="n">
        <v>261.5</v>
      </c>
      <c r="L41" t="n">
        <v>264</v>
      </c>
      <c r="M41" t="n">
        <v>266.5</v>
      </c>
      <c r="N41" t="n">
        <v>269</v>
      </c>
      <c r="O41" t="n">
        <v>271.5</v>
      </c>
      <c r="P41" t="n">
        <v>274</v>
      </c>
      <c r="Q41" t="n">
        <v>276.5</v>
      </c>
      <c r="R41" t="n">
        <v>279</v>
      </c>
      <c r="S41" t="n">
        <v>281.5</v>
      </c>
      <c r="T41" t="n">
        <v>284</v>
      </c>
      <c r="U41" t="n">
        <v>286.5</v>
      </c>
      <c r="V41" t="n">
        <v>289</v>
      </c>
      <c r="W41" t="n">
        <v>291.5</v>
      </c>
      <c r="X41" t="n">
        <v>294</v>
      </c>
      <c r="Y41" t="n">
        <v>296.5</v>
      </c>
      <c r="Z41" t="n">
        <v>299</v>
      </c>
      <c r="AA41" t="n">
        <v>301.5</v>
      </c>
      <c r="AB41" t="n">
        <v>304</v>
      </c>
      <c r="AC41" t="n">
        <v>306.5</v>
      </c>
      <c r="AD41" t="n">
        <v>309</v>
      </c>
      <c r="AE41" t="n">
        <v>311.5</v>
      </c>
      <c r="AF41" t="n">
        <v>314</v>
      </c>
      <c r="AG41" t="n">
        <v>316.5</v>
      </c>
      <c r="AH41" t="n">
        <v>319</v>
      </c>
      <c r="AI41" t="n">
        <v>321.5</v>
      </c>
      <c r="AJ41" t="n">
        <v>324</v>
      </c>
      <c r="AK41" t="n">
        <v>326.5</v>
      </c>
      <c r="AL41" t="n">
        <v>329</v>
      </c>
      <c r="AM41" t="n">
        <v>331.5</v>
      </c>
    </row>
    <row r="42">
      <c r="A42" t="inlineStr">
        <is>
          <t>Sector 38</t>
        </is>
      </c>
      <c r="B42" t="n">
        <v>243</v>
      </c>
      <c r="C42" t="n">
        <v>245.5</v>
      </c>
      <c r="D42" t="n">
        <v>248</v>
      </c>
      <c r="E42" t="n">
        <v>250.5</v>
      </c>
      <c r="F42" t="n">
        <v>253</v>
      </c>
      <c r="G42" t="n">
        <v>255.5</v>
      </c>
      <c r="H42" t="n">
        <v>258</v>
      </c>
      <c r="I42" t="n">
        <v>260.5</v>
      </c>
      <c r="J42" t="n">
        <v>263</v>
      </c>
      <c r="K42" t="n">
        <v>265.5</v>
      </c>
      <c r="L42" t="n">
        <v>268</v>
      </c>
      <c r="M42" t="n">
        <v>270.5</v>
      </c>
      <c r="N42" t="n">
        <v>273</v>
      </c>
      <c r="O42" t="n">
        <v>275.5</v>
      </c>
      <c r="P42" t="n">
        <v>278</v>
      </c>
      <c r="Q42" t="n">
        <v>280.5</v>
      </c>
      <c r="R42" t="n">
        <v>283</v>
      </c>
      <c r="S42" t="n">
        <v>285.5</v>
      </c>
      <c r="T42" t="n">
        <v>288</v>
      </c>
      <c r="U42" t="n">
        <v>290.5</v>
      </c>
      <c r="V42" t="n">
        <v>293</v>
      </c>
      <c r="W42" t="n">
        <v>295.5</v>
      </c>
      <c r="X42" t="n">
        <v>298</v>
      </c>
      <c r="Y42" t="n">
        <v>300.5</v>
      </c>
      <c r="Z42" t="n">
        <v>303</v>
      </c>
      <c r="AA42" t="n">
        <v>305.5</v>
      </c>
      <c r="AB42" t="n">
        <v>308</v>
      </c>
      <c r="AC42" t="n">
        <v>310.5</v>
      </c>
      <c r="AD42" t="n">
        <v>313</v>
      </c>
      <c r="AE42" t="n">
        <v>315.5</v>
      </c>
      <c r="AF42" t="n">
        <v>318</v>
      </c>
      <c r="AG42" t="n">
        <v>320.5</v>
      </c>
      <c r="AH42" t="n">
        <v>323</v>
      </c>
      <c r="AI42" t="n">
        <v>325.5</v>
      </c>
      <c r="AJ42" t="n">
        <v>328</v>
      </c>
      <c r="AK42" t="n">
        <v>330.5</v>
      </c>
      <c r="AL42" t="n">
        <v>333</v>
      </c>
      <c r="AM42" t="n">
        <v>335.5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23" customWidth="1" min="3" max="3"/>
    <col width="14" customWidth="1" min="4" max="4"/>
    <col width="20" customWidth="1" min="5" max="5"/>
    <col width="14" customWidth="1" min="6" max="6"/>
    <col width="14" customWidth="1" min="7" max="7"/>
    <col width="18" customWidth="1" min="8" max="8"/>
    <col width="15" customWidth="1" min="9" max="9"/>
  </cols>
  <sheetData>
    <row r="1">
      <c r="A1" s="1" t="inlineStr">
        <is>
          <t>Supply and Use Table Calculations</t>
        </is>
      </c>
    </row>
    <row r="2"/>
    <row r="3">
      <c r="A3" s="1" t="inlineStr">
        <is>
          <t>Industry</t>
        </is>
      </c>
      <c r="B3" s="1" t="inlineStr">
        <is>
          <t>Output (Million GEL)</t>
        </is>
      </c>
      <c r="C3" s="1" t="inlineStr">
        <is>
          <t>Imports (Million GEL)</t>
        </is>
      </c>
      <c r="D3" s="1" t="inlineStr">
        <is>
          <t>Total Supply</t>
        </is>
      </c>
      <c r="E3" s="1" t="inlineStr">
        <is>
          <t>Intermediate Use</t>
        </is>
      </c>
      <c r="F3" s="1" t="inlineStr">
        <is>
          <t>Final Demand</t>
        </is>
      </c>
      <c r="G3" s="1" t="inlineStr">
        <is>
          <t>Trade Margin</t>
        </is>
      </c>
      <c r="H3" s="1" t="inlineStr">
        <is>
          <t>Transport Margin</t>
        </is>
      </c>
      <c r="I3" s="1" t="inlineStr">
        <is>
          <t>Other Margins</t>
        </is>
      </c>
    </row>
    <row r="4">
      <c r="A4" t="inlineStr">
        <is>
          <t>Industry 1</t>
        </is>
      </c>
      <c r="B4">
        <f>SUM(SUPPLY.B5:AL5)</f>
        <v/>
      </c>
      <c r="C4">
        <f>SUM(USE.B5:AL5)</f>
        <v/>
      </c>
      <c r="D4">
        <f>B4+C4</f>
        <v/>
      </c>
      <c r="E4">
        <f>SUM(USE.C5:AL5)</f>
        <v/>
      </c>
      <c r="F4">
        <f>D4-E4</f>
        <v/>
      </c>
      <c r="G4">
        <f>G4*0.05</f>
        <v/>
      </c>
      <c r="H4">
        <f>H4*0.05</f>
        <v/>
      </c>
      <c r="I4">
        <f>I4*0.05</f>
        <v/>
      </c>
    </row>
    <row r="5">
      <c r="A5" t="inlineStr">
        <is>
          <t>Industry 2</t>
        </is>
      </c>
      <c r="B5">
        <f>SUM(SUPPLY.B6:AL6)</f>
        <v/>
      </c>
      <c r="C5">
        <f>SUM(USE.B6:AL6)</f>
        <v/>
      </c>
      <c r="D5">
        <f>B5+C5</f>
        <v/>
      </c>
      <c r="E5">
        <f>SUM(USE.C6:AL6)</f>
        <v/>
      </c>
      <c r="F5">
        <f>D5-E5</f>
        <v/>
      </c>
      <c r="G5">
        <f>G5*0.05</f>
        <v/>
      </c>
      <c r="H5">
        <f>H5*0.05</f>
        <v/>
      </c>
      <c r="I5">
        <f>I5*0.05</f>
        <v/>
      </c>
    </row>
    <row r="6">
      <c r="A6" t="inlineStr">
        <is>
          <t>Industry 3</t>
        </is>
      </c>
      <c r="B6">
        <f>SUM(SUPPLY.B7:AL7)</f>
        <v/>
      </c>
      <c r="C6">
        <f>SUM(USE.B7:AL7)</f>
        <v/>
      </c>
      <c r="D6">
        <f>B6+C6</f>
        <v/>
      </c>
      <c r="E6">
        <f>SUM(USE.C7:AL7)</f>
        <v/>
      </c>
      <c r="F6">
        <f>D6-E6</f>
        <v/>
      </c>
      <c r="G6">
        <f>G6*0.05</f>
        <v/>
      </c>
      <c r="H6">
        <f>H6*0.05</f>
        <v/>
      </c>
      <c r="I6">
        <f>I6*0.05</f>
        <v/>
      </c>
    </row>
    <row r="7">
      <c r="A7" t="inlineStr">
        <is>
          <t>Industry 4</t>
        </is>
      </c>
      <c r="B7">
        <f>SUM(SUPPLY.B8:AL8)</f>
        <v/>
      </c>
      <c r="C7">
        <f>SUM(USE.B8:AL8)</f>
        <v/>
      </c>
      <c r="D7">
        <f>B7+C7</f>
        <v/>
      </c>
      <c r="E7">
        <f>SUM(USE.C8:AL8)</f>
        <v/>
      </c>
      <c r="F7">
        <f>D7-E7</f>
        <v/>
      </c>
      <c r="G7">
        <f>G7*0.05</f>
        <v/>
      </c>
      <c r="H7">
        <f>H7*0.05</f>
        <v/>
      </c>
      <c r="I7">
        <f>I7*0.05</f>
        <v/>
      </c>
    </row>
    <row r="8">
      <c r="A8" t="inlineStr">
        <is>
          <t>Industry 5</t>
        </is>
      </c>
      <c r="B8">
        <f>SUM(SUPPLY.B9:AL9)</f>
        <v/>
      </c>
      <c r="C8">
        <f>SUM(USE.B9:AL9)</f>
        <v/>
      </c>
      <c r="D8">
        <f>B8+C8</f>
        <v/>
      </c>
      <c r="E8">
        <f>SUM(USE.C9:AL9)</f>
        <v/>
      </c>
      <c r="F8">
        <f>D8-E8</f>
        <v/>
      </c>
      <c r="G8">
        <f>G8*0.05</f>
        <v/>
      </c>
      <c r="H8">
        <f>H8*0.05</f>
        <v/>
      </c>
      <c r="I8">
        <f>I8*0.05</f>
        <v/>
      </c>
    </row>
    <row r="9">
      <c r="A9" t="inlineStr">
        <is>
          <t>Industry 6</t>
        </is>
      </c>
      <c r="B9">
        <f>SUM(SUPPLY.B10:AL10)</f>
        <v/>
      </c>
      <c r="C9">
        <f>SUM(USE.B10:AL10)</f>
        <v/>
      </c>
      <c r="D9">
        <f>B9+C9</f>
        <v/>
      </c>
      <c r="E9">
        <f>SUM(USE.C10:AL10)</f>
        <v/>
      </c>
      <c r="F9">
        <f>D9-E9</f>
        <v/>
      </c>
      <c r="G9">
        <f>G9*0.05</f>
        <v/>
      </c>
      <c r="H9">
        <f>H9*0.05</f>
        <v/>
      </c>
      <c r="I9">
        <f>I9*0.05</f>
        <v/>
      </c>
    </row>
    <row r="10">
      <c r="A10" t="inlineStr">
        <is>
          <t>Industry 7</t>
        </is>
      </c>
      <c r="B10">
        <f>SUM(SUPPLY.B11:AL11)</f>
        <v/>
      </c>
      <c r="C10">
        <f>SUM(USE.B11:AL11)</f>
        <v/>
      </c>
      <c r="D10">
        <f>B10+C10</f>
        <v/>
      </c>
      <c r="E10">
        <f>SUM(USE.C11:AL11)</f>
        <v/>
      </c>
      <c r="F10">
        <f>D10-E10</f>
        <v/>
      </c>
      <c r="G10">
        <f>G10*0.05</f>
        <v/>
      </c>
      <c r="H10">
        <f>H10*0.05</f>
        <v/>
      </c>
      <c r="I10">
        <f>I10*0.05</f>
        <v/>
      </c>
    </row>
    <row r="11">
      <c r="A11" t="inlineStr">
        <is>
          <t>Industry 8</t>
        </is>
      </c>
      <c r="B11">
        <f>SUM(SUPPLY.B12:AL12)</f>
        <v/>
      </c>
      <c r="C11">
        <f>SUM(USE.B12:AL12)</f>
        <v/>
      </c>
      <c r="D11">
        <f>B11+C11</f>
        <v/>
      </c>
      <c r="E11">
        <f>SUM(USE.C12:AL12)</f>
        <v/>
      </c>
      <c r="F11">
        <f>D11-E11</f>
        <v/>
      </c>
      <c r="G11">
        <f>G11*0.05</f>
        <v/>
      </c>
      <c r="H11">
        <f>H11*0.05</f>
        <v/>
      </c>
      <c r="I11">
        <f>I11*0.05</f>
        <v/>
      </c>
    </row>
    <row r="12">
      <c r="A12" t="inlineStr">
        <is>
          <t>Industry 9</t>
        </is>
      </c>
      <c r="B12">
        <f>SUM(SUPPLY.B13:AL13)</f>
        <v/>
      </c>
      <c r="C12">
        <f>SUM(USE.B13:AL13)</f>
        <v/>
      </c>
      <c r="D12">
        <f>B12+C12</f>
        <v/>
      </c>
      <c r="E12">
        <f>SUM(USE.C13:AL13)</f>
        <v/>
      </c>
      <c r="F12">
        <f>D12-E12</f>
        <v/>
      </c>
      <c r="G12">
        <f>G12*0.05</f>
        <v/>
      </c>
      <c r="H12">
        <f>H12*0.05</f>
        <v/>
      </c>
      <c r="I12">
        <f>I12*0.05</f>
        <v/>
      </c>
    </row>
    <row r="13">
      <c r="A13" t="inlineStr">
        <is>
          <t>Industry 10</t>
        </is>
      </c>
      <c r="B13">
        <f>SUM(SUPPLY.B14:AL14)</f>
        <v/>
      </c>
      <c r="C13">
        <f>SUM(USE.B14:AL14)</f>
        <v/>
      </c>
      <c r="D13">
        <f>B13+C13</f>
        <v/>
      </c>
      <c r="E13">
        <f>SUM(USE.C14:AL14)</f>
        <v/>
      </c>
      <c r="F13">
        <f>D13-E13</f>
        <v/>
      </c>
      <c r="G13">
        <f>G13*0.05</f>
        <v/>
      </c>
      <c r="H13">
        <f>H13*0.05</f>
        <v/>
      </c>
      <c r="I13">
        <f>I13*0.05</f>
        <v/>
      </c>
    </row>
    <row r="14">
      <c r="A14" t="inlineStr">
        <is>
          <t>Industry 11</t>
        </is>
      </c>
      <c r="B14">
        <f>SUM(SUPPLY.B15:AL15)</f>
        <v/>
      </c>
      <c r="C14">
        <f>SUM(USE.B15:AL15)</f>
        <v/>
      </c>
      <c r="D14">
        <f>B14+C14</f>
        <v/>
      </c>
      <c r="E14">
        <f>SUM(USE.C15:AL15)</f>
        <v/>
      </c>
      <c r="F14">
        <f>D14-E14</f>
        <v/>
      </c>
      <c r="G14">
        <f>G14*0.05</f>
        <v/>
      </c>
      <c r="H14">
        <f>H14*0.05</f>
        <v/>
      </c>
      <c r="I14">
        <f>I14*0.05</f>
        <v/>
      </c>
    </row>
    <row r="15">
      <c r="A15" t="inlineStr">
        <is>
          <t>Industry 12</t>
        </is>
      </c>
      <c r="B15">
        <f>SUM(SUPPLY.B16:AL16)</f>
        <v/>
      </c>
      <c r="C15">
        <f>SUM(USE.B16:AL16)</f>
        <v/>
      </c>
      <c r="D15">
        <f>B15+C15</f>
        <v/>
      </c>
      <c r="E15">
        <f>SUM(USE.C16:AL16)</f>
        <v/>
      </c>
      <c r="F15">
        <f>D15-E15</f>
        <v/>
      </c>
      <c r="G15">
        <f>G15*0.05</f>
        <v/>
      </c>
      <c r="H15">
        <f>H15*0.05</f>
        <v/>
      </c>
      <c r="I15">
        <f>I15*0.05</f>
        <v/>
      </c>
    </row>
    <row r="16">
      <c r="A16" t="inlineStr">
        <is>
          <t>Industry 13</t>
        </is>
      </c>
      <c r="B16">
        <f>SUM(SUPPLY.B17:AL17)</f>
        <v/>
      </c>
      <c r="C16">
        <f>SUM(USE.B17:AL17)</f>
        <v/>
      </c>
      <c r="D16">
        <f>B16+C16</f>
        <v/>
      </c>
      <c r="E16">
        <f>SUM(USE.C17:AL17)</f>
        <v/>
      </c>
      <c r="F16">
        <f>D16-E16</f>
        <v/>
      </c>
      <c r="G16">
        <f>G16*0.05</f>
        <v/>
      </c>
      <c r="H16">
        <f>H16*0.05</f>
        <v/>
      </c>
      <c r="I16">
        <f>I16*0.05</f>
        <v/>
      </c>
    </row>
    <row r="17">
      <c r="A17" t="inlineStr">
        <is>
          <t>Industry 14</t>
        </is>
      </c>
      <c r="B17">
        <f>SUM(SUPPLY.B18:AL18)</f>
        <v/>
      </c>
      <c r="C17">
        <f>SUM(USE.B18:AL18)</f>
        <v/>
      </c>
      <c r="D17">
        <f>B17+C17</f>
        <v/>
      </c>
      <c r="E17">
        <f>SUM(USE.C18:AL18)</f>
        <v/>
      </c>
      <c r="F17">
        <f>D17-E17</f>
        <v/>
      </c>
      <c r="G17">
        <f>G17*0.05</f>
        <v/>
      </c>
      <c r="H17">
        <f>H17*0.05</f>
        <v/>
      </c>
      <c r="I17">
        <f>I17*0.05</f>
        <v/>
      </c>
    </row>
    <row r="18">
      <c r="A18" t="inlineStr">
        <is>
          <t>Industry 15</t>
        </is>
      </c>
      <c r="B18">
        <f>SUM(SUPPLY.B19:AL19)</f>
        <v/>
      </c>
      <c r="C18">
        <f>SUM(USE.B19:AL19)</f>
        <v/>
      </c>
      <c r="D18">
        <f>B18+C18</f>
        <v/>
      </c>
      <c r="E18">
        <f>SUM(USE.C19:AL19)</f>
        <v/>
      </c>
      <c r="F18">
        <f>D18-E18</f>
        <v/>
      </c>
      <c r="G18">
        <f>G18*0.05</f>
        <v/>
      </c>
      <c r="H18">
        <f>H18*0.05</f>
        <v/>
      </c>
      <c r="I18">
        <f>I18*0.05</f>
        <v/>
      </c>
    </row>
    <row r="19">
      <c r="A19" t="inlineStr">
        <is>
          <t>Industry 16</t>
        </is>
      </c>
      <c r="B19">
        <f>SUM(SUPPLY.B20:AL20)</f>
        <v/>
      </c>
      <c r="C19">
        <f>SUM(USE.B20:AL20)</f>
        <v/>
      </c>
      <c r="D19">
        <f>B19+C19</f>
        <v/>
      </c>
      <c r="E19">
        <f>SUM(USE.C20:AL20)</f>
        <v/>
      </c>
      <c r="F19">
        <f>D19-E19</f>
        <v/>
      </c>
      <c r="G19">
        <f>G19*0.05</f>
        <v/>
      </c>
      <c r="H19">
        <f>H19*0.05</f>
        <v/>
      </c>
      <c r="I19">
        <f>I19*0.05</f>
        <v/>
      </c>
    </row>
    <row r="20">
      <c r="A20" t="inlineStr">
        <is>
          <t>Industry 17</t>
        </is>
      </c>
      <c r="B20">
        <f>SUM(SUPPLY.B21:AL21)</f>
        <v/>
      </c>
      <c r="C20">
        <f>SUM(USE.B21:AL21)</f>
        <v/>
      </c>
      <c r="D20">
        <f>B20+C20</f>
        <v/>
      </c>
      <c r="E20">
        <f>SUM(USE.C21:AL21)</f>
        <v/>
      </c>
      <c r="F20">
        <f>D20-E20</f>
        <v/>
      </c>
      <c r="G20">
        <f>G20*0.05</f>
        <v/>
      </c>
      <c r="H20">
        <f>H20*0.05</f>
        <v/>
      </c>
      <c r="I20">
        <f>I20*0.05</f>
        <v/>
      </c>
    </row>
    <row r="21">
      <c r="A21" t="inlineStr">
        <is>
          <t>Industry 18</t>
        </is>
      </c>
      <c r="B21">
        <f>SUM(SUPPLY.B22:AL22)</f>
        <v/>
      </c>
      <c r="C21">
        <f>SUM(USE.B22:AL22)</f>
        <v/>
      </c>
      <c r="D21">
        <f>B21+C21</f>
        <v/>
      </c>
      <c r="E21">
        <f>SUM(USE.C22:AL22)</f>
        <v/>
      </c>
      <c r="F21">
        <f>D21-E21</f>
        <v/>
      </c>
      <c r="G21">
        <f>G21*0.05</f>
        <v/>
      </c>
      <c r="H21">
        <f>H21*0.05</f>
        <v/>
      </c>
      <c r="I21">
        <f>I21*0.05</f>
        <v/>
      </c>
    </row>
    <row r="22">
      <c r="A22" t="inlineStr">
        <is>
          <t>Industry 19</t>
        </is>
      </c>
      <c r="B22">
        <f>SUM(SUPPLY.B23:AL23)</f>
        <v/>
      </c>
      <c r="C22">
        <f>SUM(USE.B23:AL23)</f>
        <v/>
      </c>
      <c r="D22">
        <f>B22+C22</f>
        <v/>
      </c>
      <c r="E22">
        <f>SUM(USE.C23:AL23)</f>
        <v/>
      </c>
      <c r="F22">
        <f>D22-E22</f>
        <v/>
      </c>
      <c r="G22">
        <f>G22*0.05</f>
        <v/>
      </c>
      <c r="H22">
        <f>H22*0.05</f>
        <v/>
      </c>
      <c r="I22">
        <f>I22*0.05</f>
        <v/>
      </c>
    </row>
    <row r="23">
      <c r="A23" t="inlineStr">
        <is>
          <t>Industry 20</t>
        </is>
      </c>
      <c r="B23">
        <f>SUM(SUPPLY.B24:AL24)</f>
        <v/>
      </c>
      <c r="C23">
        <f>SUM(USE.B24:AL24)</f>
        <v/>
      </c>
      <c r="D23">
        <f>B23+C23</f>
        <v/>
      </c>
      <c r="E23">
        <f>SUM(USE.C24:AL24)</f>
        <v/>
      </c>
      <c r="F23">
        <f>D23-E23</f>
        <v/>
      </c>
      <c r="G23">
        <f>G23*0.05</f>
        <v/>
      </c>
      <c r="H23">
        <f>H23*0.05</f>
        <v/>
      </c>
      <c r="I23">
        <f>I23*0.05</f>
        <v/>
      </c>
    </row>
    <row r="24">
      <c r="A24" t="inlineStr">
        <is>
          <t>Industry 21</t>
        </is>
      </c>
      <c r="B24">
        <f>SUM(SUPPLY.B25:AL25)</f>
        <v/>
      </c>
      <c r="C24">
        <f>SUM(USE.B25:AL25)</f>
        <v/>
      </c>
      <c r="D24">
        <f>B24+C24</f>
        <v/>
      </c>
      <c r="E24">
        <f>SUM(USE.C25:AL25)</f>
        <v/>
      </c>
      <c r="F24">
        <f>D24-E24</f>
        <v/>
      </c>
      <c r="G24">
        <f>G24*0.05</f>
        <v/>
      </c>
      <c r="H24">
        <f>H24*0.05</f>
        <v/>
      </c>
      <c r="I24">
        <f>I24*0.05</f>
        <v/>
      </c>
    </row>
    <row r="25">
      <c r="A25" t="inlineStr">
        <is>
          <t>Industry 22</t>
        </is>
      </c>
      <c r="B25">
        <f>SUM(SUPPLY.B26:AL26)</f>
        <v/>
      </c>
      <c r="C25">
        <f>SUM(USE.B26:AL26)</f>
        <v/>
      </c>
      <c r="D25">
        <f>B25+C25</f>
        <v/>
      </c>
      <c r="E25">
        <f>SUM(USE.C26:AL26)</f>
        <v/>
      </c>
      <c r="F25">
        <f>D25-E25</f>
        <v/>
      </c>
      <c r="G25">
        <f>G25*0.05</f>
        <v/>
      </c>
      <c r="H25">
        <f>H25*0.05</f>
        <v/>
      </c>
      <c r="I25">
        <f>I25*0.05</f>
        <v/>
      </c>
    </row>
    <row r="26">
      <c r="A26" t="inlineStr">
        <is>
          <t>Industry 23</t>
        </is>
      </c>
      <c r="B26">
        <f>SUM(SUPPLY.B27:AL27)</f>
        <v/>
      </c>
      <c r="C26">
        <f>SUM(USE.B27:AL27)</f>
        <v/>
      </c>
      <c r="D26">
        <f>B26+C26</f>
        <v/>
      </c>
      <c r="E26">
        <f>SUM(USE.C27:AL27)</f>
        <v/>
      </c>
      <c r="F26">
        <f>D26-E26</f>
        <v/>
      </c>
      <c r="G26">
        <f>G26*0.05</f>
        <v/>
      </c>
      <c r="H26">
        <f>H26*0.05</f>
        <v/>
      </c>
      <c r="I26">
        <f>I26*0.05</f>
        <v/>
      </c>
    </row>
    <row r="27">
      <c r="A27" t="inlineStr">
        <is>
          <t>Industry 24</t>
        </is>
      </c>
      <c r="B27">
        <f>SUM(SUPPLY.B28:AL28)</f>
        <v/>
      </c>
      <c r="C27">
        <f>SUM(USE.B28:AL28)</f>
        <v/>
      </c>
      <c r="D27">
        <f>B27+C27</f>
        <v/>
      </c>
      <c r="E27">
        <f>SUM(USE.C28:AL28)</f>
        <v/>
      </c>
      <c r="F27">
        <f>D27-E27</f>
        <v/>
      </c>
      <c r="G27">
        <f>G27*0.05</f>
        <v/>
      </c>
      <c r="H27">
        <f>H27*0.05</f>
        <v/>
      </c>
      <c r="I27">
        <f>I27*0.05</f>
        <v/>
      </c>
    </row>
    <row r="28">
      <c r="A28" t="inlineStr">
        <is>
          <t>Industry 25</t>
        </is>
      </c>
      <c r="B28">
        <f>SUM(SUPPLY.B29:AL29)</f>
        <v/>
      </c>
      <c r="C28">
        <f>SUM(USE.B29:AL29)</f>
        <v/>
      </c>
      <c r="D28">
        <f>B28+C28</f>
        <v/>
      </c>
      <c r="E28">
        <f>SUM(USE.C29:AL29)</f>
        <v/>
      </c>
      <c r="F28">
        <f>D28-E28</f>
        <v/>
      </c>
      <c r="G28">
        <f>G28*0.05</f>
        <v/>
      </c>
      <c r="H28">
        <f>H28*0.05</f>
        <v/>
      </c>
      <c r="I28">
        <f>I28*0.05</f>
        <v/>
      </c>
    </row>
    <row r="29">
      <c r="A29" t="inlineStr">
        <is>
          <t>Industry 26</t>
        </is>
      </c>
      <c r="B29">
        <f>SUM(SUPPLY.B30:AL30)</f>
        <v/>
      </c>
      <c r="C29">
        <f>SUM(USE.B30:AL30)</f>
        <v/>
      </c>
      <c r="D29">
        <f>B29+C29</f>
        <v/>
      </c>
      <c r="E29">
        <f>SUM(USE.C30:AL30)</f>
        <v/>
      </c>
      <c r="F29">
        <f>D29-E29</f>
        <v/>
      </c>
      <c r="G29">
        <f>G29*0.05</f>
        <v/>
      </c>
      <c r="H29">
        <f>H29*0.05</f>
        <v/>
      </c>
      <c r="I29">
        <f>I29*0.05</f>
        <v/>
      </c>
    </row>
    <row r="30">
      <c r="A30" t="inlineStr">
        <is>
          <t>Industry 27</t>
        </is>
      </c>
      <c r="B30">
        <f>SUM(SUPPLY.B31:AL31)</f>
        <v/>
      </c>
      <c r="C30">
        <f>SUM(USE.B31:AL31)</f>
        <v/>
      </c>
      <c r="D30">
        <f>B30+C30</f>
        <v/>
      </c>
      <c r="E30">
        <f>SUM(USE.C31:AL31)</f>
        <v/>
      </c>
      <c r="F30">
        <f>D30-E30</f>
        <v/>
      </c>
      <c r="G30">
        <f>G30*0.05</f>
        <v/>
      </c>
      <c r="H30">
        <f>H30*0.05</f>
        <v/>
      </c>
      <c r="I30">
        <f>I30*0.05</f>
        <v/>
      </c>
    </row>
    <row r="31">
      <c r="A31" t="inlineStr">
        <is>
          <t>Industry 28</t>
        </is>
      </c>
      <c r="B31">
        <f>SUM(SUPPLY.B32:AL32)</f>
        <v/>
      </c>
      <c r="C31">
        <f>SUM(USE.B32:AL32)</f>
        <v/>
      </c>
      <c r="D31">
        <f>B31+C31</f>
        <v/>
      </c>
      <c r="E31">
        <f>SUM(USE.C32:AL32)</f>
        <v/>
      </c>
      <c r="F31">
        <f>D31-E31</f>
        <v/>
      </c>
      <c r="G31">
        <f>G31*0.05</f>
        <v/>
      </c>
      <c r="H31">
        <f>H31*0.05</f>
        <v/>
      </c>
      <c r="I31">
        <f>I31*0.05</f>
        <v/>
      </c>
    </row>
    <row r="32">
      <c r="A32" t="inlineStr">
        <is>
          <t>Industry 29</t>
        </is>
      </c>
      <c r="B32">
        <f>SUM(SUPPLY.B33:AL33)</f>
        <v/>
      </c>
      <c r="C32">
        <f>SUM(USE.B33:AL33)</f>
        <v/>
      </c>
      <c r="D32">
        <f>B32+C32</f>
        <v/>
      </c>
      <c r="E32">
        <f>SUM(USE.C33:AL33)</f>
        <v/>
      </c>
      <c r="F32">
        <f>D32-E32</f>
        <v/>
      </c>
      <c r="G32">
        <f>G32*0.05</f>
        <v/>
      </c>
      <c r="H32">
        <f>H32*0.05</f>
        <v/>
      </c>
      <c r="I32">
        <f>I32*0.05</f>
        <v/>
      </c>
    </row>
    <row r="33">
      <c r="A33" t="inlineStr">
        <is>
          <t>Industry 30</t>
        </is>
      </c>
      <c r="B33">
        <f>SUM(SUPPLY.B34:AL34)</f>
        <v/>
      </c>
      <c r="C33">
        <f>SUM(USE.B34:AL34)</f>
        <v/>
      </c>
      <c r="D33">
        <f>B33+C33</f>
        <v/>
      </c>
      <c r="E33">
        <f>SUM(USE.C34:AL34)</f>
        <v/>
      </c>
      <c r="F33">
        <f>D33-E33</f>
        <v/>
      </c>
      <c r="G33">
        <f>G33*0.05</f>
        <v/>
      </c>
      <c r="H33">
        <f>H33*0.05</f>
        <v/>
      </c>
      <c r="I33">
        <f>I33*0.05</f>
        <v/>
      </c>
    </row>
    <row r="34">
      <c r="A34" t="inlineStr">
        <is>
          <t>Industry 31</t>
        </is>
      </c>
      <c r="B34">
        <f>SUM(SUPPLY.B35:AL35)</f>
        <v/>
      </c>
      <c r="C34">
        <f>SUM(USE.B35:AL35)</f>
        <v/>
      </c>
      <c r="D34">
        <f>B34+C34</f>
        <v/>
      </c>
      <c r="E34">
        <f>SUM(USE.C35:AL35)</f>
        <v/>
      </c>
      <c r="F34">
        <f>D34-E34</f>
        <v/>
      </c>
      <c r="G34">
        <f>G34*0.05</f>
        <v/>
      </c>
      <c r="H34">
        <f>H34*0.05</f>
        <v/>
      </c>
      <c r="I34">
        <f>I34*0.05</f>
        <v/>
      </c>
    </row>
    <row r="35">
      <c r="A35" t="inlineStr">
        <is>
          <t>Industry 32</t>
        </is>
      </c>
      <c r="B35">
        <f>SUM(SUPPLY.B36:AL36)</f>
        <v/>
      </c>
      <c r="C35">
        <f>SUM(USE.B36:AL36)</f>
        <v/>
      </c>
      <c r="D35">
        <f>B35+C35</f>
        <v/>
      </c>
      <c r="E35">
        <f>SUM(USE.C36:AL36)</f>
        <v/>
      </c>
      <c r="F35">
        <f>D35-E35</f>
        <v/>
      </c>
      <c r="G35">
        <f>G35*0.05</f>
        <v/>
      </c>
      <c r="H35">
        <f>H35*0.05</f>
        <v/>
      </c>
      <c r="I35">
        <f>I35*0.05</f>
        <v/>
      </c>
    </row>
    <row r="36">
      <c r="A36" t="inlineStr">
        <is>
          <t>Industry 33</t>
        </is>
      </c>
      <c r="B36">
        <f>SUM(SUPPLY.B37:AL37)</f>
        <v/>
      </c>
      <c r="C36">
        <f>SUM(USE.B37:AL37)</f>
        <v/>
      </c>
      <c r="D36">
        <f>B36+C36</f>
        <v/>
      </c>
      <c r="E36">
        <f>SUM(USE.C37:AL37)</f>
        <v/>
      </c>
      <c r="F36">
        <f>D36-E36</f>
        <v/>
      </c>
      <c r="G36">
        <f>G36*0.05</f>
        <v/>
      </c>
      <c r="H36">
        <f>H36*0.05</f>
        <v/>
      </c>
      <c r="I36">
        <f>I36*0.05</f>
        <v/>
      </c>
    </row>
    <row r="37">
      <c r="A37" t="inlineStr">
        <is>
          <t>Industry 34</t>
        </is>
      </c>
      <c r="B37">
        <f>SUM(SUPPLY.B38:AL38)</f>
        <v/>
      </c>
      <c r="C37">
        <f>SUM(USE.B38:AL38)</f>
        <v/>
      </c>
      <c r="D37">
        <f>B37+C37</f>
        <v/>
      </c>
      <c r="E37">
        <f>SUM(USE.C38:AL38)</f>
        <v/>
      </c>
      <c r="F37">
        <f>D37-E37</f>
        <v/>
      </c>
      <c r="G37">
        <f>G37*0.05</f>
        <v/>
      </c>
      <c r="H37">
        <f>H37*0.05</f>
        <v/>
      </c>
      <c r="I37">
        <f>I37*0.05</f>
        <v/>
      </c>
    </row>
    <row r="38">
      <c r="A38" t="inlineStr">
        <is>
          <t>Industry 35</t>
        </is>
      </c>
      <c r="B38">
        <f>SUM(SUPPLY.B39:AL39)</f>
        <v/>
      </c>
      <c r="C38">
        <f>SUM(USE.B39:AL39)</f>
        <v/>
      </c>
      <c r="D38">
        <f>B38+C38</f>
        <v/>
      </c>
      <c r="E38">
        <f>SUM(USE.C39:AL39)</f>
        <v/>
      </c>
      <c r="F38">
        <f>D38-E38</f>
        <v/>
      </c>
      <c r="G38">
        <f>G38*0.05</f>
        <v/>
      </c>
      <c r="H38">
        <f>H38*0.05</f>
        <v/>
      </c>
      <c r="I38">
        <f>I38*0.05</f>
        <v/>
      </c>
    </row>
    <row r="39">
      <c r="A39" t="inlineStr">
        <is>
          <t>Industry 36</t>
        </is>
      </c>
      <c r="B39">
        <f>SUM(SUPPLY.B40:AL40)</f>
        <v/>
      </c>
      <c r="C39">
        <f>SUM(USE.B40:AL40)</f>
        <v/>
      </c>
      <c r="D39">
        <f>B39+C39</f>
        <v/>
      </c>
      <c r="E39">
        <f>SUM(USE.C40:AL40)</f>
        <v/>
      </c>
      <c r="F39">
        <f>D39-E39</f>
        <v/>
      </c>
      <c r="G39">
        <f>G39*0.05</f>
        <v/>
      </c>
      <c r="H39">
        <f>H39*0.05</f>
        <v/>
      </c>
      <c r="I39">
        <f>I39*0.05</f>
        <v/>
      </c>
    </row>
    <row r="40">
      <c r="A40" t="inlineStr">
        <is>
          <t>Industry 37</t>
        </is>
      </c>
      <c r="B40">
        <f>SUM(SUPPLY.B41:AL41)</f>
        <v/>
      </c>
      <c r="C40">
        <f>SUM(USE.B41:AL41)</f>
        <v/>
      </c>
      <c r="D40">
        <f>B40+C40</f>
        <v/>
      </c>
      <c r="E40">
        <f>SUM(USE.C41:AL41)</f>
        <v/>
      </c>
      <c r="F40">
        <f>D40-E40</f>
        <v/>
      </c>
      <c r="G40">
        <f>G40*0.05</f>
        <v/>
      </c>
      <c r="H40">
        <f>H40*0.05</f>
        <v/>
      </c>
      <c r="I40">
        <f>I40*0.05</f>
        <v/>
      </c>
    </row>
    <row r="41">
      <c r="A41" t="inlineStr">
        <is>
          <t>Industry 38</t>
        </is>
      </c>
      <c r="B41">
        <f>SUM(SUPPLY.B42:AL42)</f>
        <v/>
      </c>
      <c r="C41">
        <f>SUM(USE.B42:AL42)</f>
        <v/>
      </c>
      <c r="D41">
        <f>B41+C41</f>
        <v/>
      </c>
      <c r="E41">
        <f>SUM(USE.C42:AL42)</f>
        <v/>
      </c>
      <c r="F41">
        <f>D41-E41</f>
        <v/>
      </c>
      <c r="G41">
        <f>G41*0.05</f>
        <v/>
      </c>
      <c r="H41">
        <f>H41*0.05</f>
        <v/>
      </c>
      <c r="I41">
        <f>I41*0.05</f>
        <v/>
      </c>
    </row>
    <row r="42"/>
    <row r="43"/>
    <row r="44"/>
    <row r="45">
      <c r="A45" s="1" t="inlineStr">
        <is>
          <t>Import Content Share</t>
        </is>
      </c>
      <c r="C45" t="inlineStr">
        <is>
          <t>Total Imports</t>
        </is>
      </c>
      <c r="D45" t="inlineStr">
        <is>
          <t>Total Supply</t>
        </is>
      </c>
      <c r="E45" t="inlineStr">
        <is>
          <t>Import Share</t>
        </is>
      </c>
    </row>
    <row r="46">
      <c r="C46">
        <f>SUM(C4:C41)</f>
        <v/>
      </c>
      <c r="D46">
        <f>SUM(D4:D41)</f>
        <v/>
      </c>
      <c r="E46" s="2">
        <f>C46/D46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0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4" customWidth="1" min="3" max="3"/>
    <col width="25" customWidth="1" min="4" max="4"/>
    <col width="23" customWidth="1" min="5" max="5"/>
    <col width="25" customWidth="1" min="6" max="6"/>
    <col width="19" customWidth="1" min="7" max="7"/>
    <col width="12" customWidth="1" min="8" max="8"/>
    <col width="19" customWidth="1" min="9" max="9"/>
    <col width="25" customWidth="1" min="10" max="10"/>
    <col width="22" customWidth="1" min="11" max="11"/>
  </cols>
  <sheetData>
    <row r="1">
      <c r="A1" s="3" t="inlineStr">
        <is>
          <t>Investment Shock Analysis - Georgia</t>
        </is>
      </c>
    </row>
    <row r="2"/>
    <row r="3">
      <c r="A3" s="4" t="inlineStr">
        <is>
          <t>SCENARIO 1 (Baseline)</t>
        </is>
      </c>
    </row>
    <row r="4"/>
    <row r="5">
      <c r="A5" s="1" t="inlineStr">
        <is>
          <t>Year</t>
        </is>
      </c>
      <c r="B5" s="1" t="inlineStr">
        <is>
          <t>Real GDP (Million USD)</t>
        </is>
      </c>
      <c r="C5" s="1" t="inlineStr">
        <is>
          <t>Project Allocation (%)</t>
        </is>
      </c>
      <c r="D5" s="1" t="inlineStr">
        <is>
          <t>Project Investment (Million USD)</t>
        </is>
      </c>
      <c r="E5" s="1" t="inlineStr">
        <is>
          <t>Imports (Million USD)</t>
        </is>
      </c>
      <c r="F5" s="1" t="inlineStr">
        <is>
          <t>GDP Impact (Million USD)</t>
        </is>
      </c>
      <c r="G5" s="1" t="inlineStr">
        <is>
          <t>I-M (Million USD)</t>
        </is>
      </c>
      <c r="H5" s="1" t="inlineStr">
        <is>
          <t>Multiplier</t>
        </is>
      </c>
      <c r="I5" s="1" t="inlineStr">
        <is>
          <t>Impact (% of GDP)</t>
        </is>
      </c>
      <c r="J5" s="1" t="inlineStr">
        <is>
          <t>Baseline GDP Growth (%)</t>
        </is>
      </c>
      <c r="K5" s="1" t="inlineStr">
        <is>
          <t>Projected Growth (%)</t>
        </is>
      </c>
    </row>
    <row r="6">
      <c r="A6" t="n">
        <v>2020</v>
      </c>
      <c r="B6">
        <f>WEO_Data.B4</f>
        <v/>
      </c>
      <c r="C6" t="n">
        <v>0</v>
      </c>
      <c r="D6">
        <f>$C$30*1000*C6/100</f>
        <v/>
      </c>
      <c r="E6">
        <f>D6*$C$31</f>
        <v/>
      </c>
      <c r="F6">
        <f>(D6-E6)*$C$32</f>
        <v/>
      </c>
      <c r="G6">
        <f>D6-E6</f>
        <v/>
      </c>
      <c r="H6">
        <f>$C$32</f>
        <v/>
      </c>
      <c r="I6" s="2">
        <f>F6/B6</f>
        <v/>
      </c>
      <c r="J6">
        <f>WEO_Data.C4</f>
        <v/>
      </c>
      <c r="K6">
        <f>J6+F6/B6</f>
        <v/>
      </c>
    </row>
    <row r="7">
      <c r="A7" t="n">
        <v>2021</v>
      </c>
      <c r="B7">
        <f>WEO_Data.B5</f>
        <v/>
      </c>
      <c r="C7" t="n">
        <v>0</v>
      </c>
      <c r="D7">
        <f>$C$30*1000*C7/100</f>
        <v/>
      </c>
      <c r="E7">
        <f>D7*$C$31</f>
        <v/>
      </c>
      <c r="F7">
        <f>(D7-E7)*$C$32</f>
        <v/>
      </c>
      <c r="G7">
        <f>D7-E7</f>
        <v/>
      </c>
      <c r="H7">
        <f>$C$32</f>
        <v/>
      </c>
      <c r="I7" s="2">
        <f>F7/B7</f>
        <v/>
      </c>
      <c r="J7">
        <f>WEO_Data.C5</f>
        <v/>
      </c>
      <c r="K7">
        <f>J7+F7/B7</f>
        <v/>
      </c>
    </row>
    <row r="8">
      <c r="A8" t="n">
        <v>2022</v>
      </c>
      <c r="B8">
        <f>WEO_Data.B6</f>
        <v/>
      </c>
      <c r="C8" t="n">
        <v>0</v>
      </c>
      <c r="D8">
        <f>$C$30*1000*C8/100</f>
        <v/>
      </c>
      <c r="E8">
        <f>D8*$C$31</f>
        <v/>
      </c>
      <c r="F8">
        <f>(D8-E8)*$C$32</f>
        <v/>
      </c>
      <c r="G8">
        <f>D8-E8</f>
        <v/>
      </c>
      <c r="H8">
        <f>$C$32</f>
        <v/>
      </c>
      <c r="I8" s="2">
        <f>F8/B8</f>
        <v/>
      </c>
      <c r="J8">
        <f>WEO_Data.C6</f>
        <v/>
      </c>
      <c r="K8">
        <f>J8+F8/B8</f>
        <v/>
      </c>
    </row>
    <row r="9">
      <c r="A9" t="n">
        <v>2023</v>
      </c>
      <c r="B9">
        <f>WEO_Data.B7</f>
        <v/>
      </c>
      <c r="C9" t="n">
        <v>0</v>
      </c>
      <c r="D9">
        <f>$C$30*1000*C9/100</f>
        <v/>
      </c>
      <c r="E9">
        <f>D9*$C$31</f>
        <v/>
      </c>
      <c r="F9">
        <f>(D9-E9)*$C$32</f>
        <v/>
      </c>
      <c r="G9">
        <f>D9-E9</f>
        <v/>
      </c>
      <c r="H9">
        <f>$C$32</f>
        <v/>
      </c>
      <c r="I9" s="2">
        <f>F9/B9</f>
        <v/>
      </c>
      <c r="J9">
        <f>WEO_Data.C7</f>
        <v/>
      </c>
      <c r="K9">
        <f>J9+F9/B9</f>
        <v/>
      </c>
    </row>
    <row r="10">
      <c r="A10" t="n">
        <v>2024</v>
      </c>
      <c r="B10">
        <f>WEO_Data.B8</f>
        <v/>
      </c>
      <c r="C10" t="n">
        <v>0</v>
      </c>
      <c r="D10">
        <f>$C$30*1000*C10/100</f>
        <v/>
      </c>
      <c r="E10">
        <f>D10*$C$31</f>
        <v/>
      </c>
      <c r="F10">
        <f>(D10-E10)*$C$32</f>
        <v/>
      </c>
      <c r="G10">
        <f>D10-E10</f>
        <v/>
      </c>
      <c r="H10">
        <f>$C$32</f>
        <v/>
      </c>
      <c r="I10" s="2">
        <f>F10/B10</f>
        <v/>
      </c>
      <c r="J10">
        <f>WEO_Data.C8</f>
        <v/>
      </c>
      <c r="K10">
        <f>J10+F10/B10</f>
        <v/>
      </c>
    </row>
    <row r="11">
      <c r="A11" t="n">
        <v>2025</v>
      </c>
      <c r="B11">
        <f>WEO_Data.B9</f>
        <v/>
      </c>
      <c r="C11" t="n">
        <v>0</v>
      </c>
      <c r="D11">
        <f>$C$30*1000*C11/100</f>
        <v/>
      </c>
      <c r="E11">
        <f>D11*$C$31</f>
        <v/>
      </c>
      <c r="F11">
        <f>(D11-E11)*$C$32</f>
        <v/>
      </c>
      <c r="G11">
        <f>D11-E11</f>
        <v/>
      </c>
      <c r="H11">
        <f>$C$32</f>
        <v/>
      </c>
      <c r="I11" s="2">
        <f>F11/B11</f>
        <v/>
      </c>
      <c r="J11">
        <f>WEO_Data.C9</f>
        <v/>
      </c>
      <c r="K11">
        <f>J11+F11/B11</f>
        <v/>
      </c>
    </row>
    <row r="12">
      <c r="A12" t="n">
        <v>2026</v>
      </c>
      <c r="B12">
        <f>WEO_Data.B10</f>
        <v/>
      </c>
      <c r="C12" t="n">
        <v>0</v>
      </c>
      <c r="D12">
        <f>$C$30*1000*C12/100</f>
        <v/>
      </c>
      <c r="E12">
        <f>D12*$C$31</f>
        <v/>
      </c>
      <c r="F12">
        <f>(D12-E12)*$C$32</f>
        <v/>
      </c>
      <c r="G12">
        <f>D12-E12</f>
        <v/>
      </c>
      <c r="H12">
        <f>$C$32</f>
        <v/>
      </c>
      <c r="I12" s="2">
        <f>F12/B12</f>
        <v/>
      </c>
      <c r="J12">
        <f>WEO_Data.C10</f>
        <v/>
      </c>
      <c r="K12">
        <f>J12+F12/B12</f>
        <v/>
      </c>
    </row>
    <row r="13">
      <c r="A13" t="n">
        <v>2027</v>
      </c>
      <c r="B13">
        <f>WEO_Data.B11</f>
        <v/>
      </c>
      <c r="C13" t="n">
        <v>9.795918367346939</v>
      </c>
      <c r="D13">
        <f>$C$30*1000*C13/100</f>
        <v/>
      </c>
      <c r="E13">
        <f>D13*$C$31</f>
        <v/>
      </c>
      <c r="F13">
        <f>(D13-E13)*$C$32</f>
        <v/>
      </c>
      <c r="G13">
        <f>D13-E13</f>
        <v/>
      </c>
      <c r="H13">
        <f>$C$32</f>
        <v/>
      </c>
      <c r="I13" s="2">
        <f>F13/B13</f>
        <v/>
      </c>
      <c r="J13">
        <f>WEO_Data.C11</f>
        <v/>
      </c>
      <c r="K13">
        <f>J13+F13/B13</f>
        <v/>
      </c>
    </row>
    <row r="14">
      <c r="A14" t="n">
        <v>2028</v>
      </c>
      <c r="B14">
        <f>WEO_Data.B12</f>
        <v/>
      </c>
      <c r="C14" t="n">
        <v>16.3265306122449</v>
      </c>
      <c r="D14">
        <f>$C$30*1000*C14/100</f>
        <v/>
      </c>
      <c r="E14">
        <f>D14*$C$31</f>
        <v/>
      </c>
      <c r="F14">
        <f>(D14-E14)*$C$32</f>
        <v/>
      </c>
      <c r="G14">
        <f>D14-E14</f>
        <v/>
      </c>
      <c r="H14">
        <f>$C$32</f>
        <v/>
      </c>
      <c r="I14" s="2">
        <f>F14/B14</f>
        <v/>
      </c>
      <c r="J14">
        <f>WEO_Data.C12</f>
        <v/>
      </c>
      <c r="K14">
        <f>J14+F14/B14</f>
        <v/>
      </c>
    </row>
    <row r="15">
      <c r="A15" t="n">
        <v>2029</v>
      </c>
      <c r="B15">
        <f>WEO_Data.B13</f>
        <v/>
      </c>
      <c r="C15" t="n">
        <v>19.59183673469388</v>
      </c>
      <c r="D15">
        <f>$C$30*1000*C15/100</f>
        <v/>
      </c>
      <c r="E15">
        <f>D15*$C$31</f>
        <v/>
      </c>
      <c r="F15">
        <f>(D15-E15)*$C$32</f>
        <v/>
      </c>
      <c r="G15">
        <f>D15-E15</f>
        <v/>
      </c>
      <c r="H15">
        <f>$C$32</f>
        <v/>
      </c>
      <c r="I15" s="2">
        <f>F15/B15</f>
        <v/>
      </c>
      <c r="J15">
        <f>WEO_Data.C13</f>
        <v/>
      </c>
      <c r="K15">
        <f>J15+F15/B15</f>
        <v/>
      </c>
    </row>
    <row r="16">
      <c r="A16" t="n">
        <v>2030</v>
      </c>
      <c r="B16">
        <f>WEO_Data.B14</f>
        <v/>
      </c>
      <c r="C16" t="n">
        <v>19.59183673469388</v>
      </c>
      <c r="D16">
        <f>$C$30*1000*C16/100</f>
        <v/>
      </c>
      <c r="E16">
        <f>D16*$C$31</f>
        <v/>
      </c>
      <c r="F16">
        <f>(D16-E16)*$C$32</f>
        <v/>
      </c>
      <c r="G16">
        <f>D16-E16</f>
        <v/>
      </c>
      <c r="H16">
        <f>$C$32</f>
        <v/>
      </c>
      <c r="I16" s="2">
        <f>F16/B16</f>
        <v/>
      </c>
      <c r="J16">
        <f>WEO_Data.C14</f>
        <v/>
      </c>
      <c r="K16">
        <f>J16+F16/B16</f>
        <v/>
      </c>
    </row>
    <row r="17">
      <c r="A17" t="n">
        <v>2031</v>
      </c>
      <c r="B17">
        <f>WEO_Data.B15</f>
        <v/>
      </c>
      <c r="C17" t="n">
        <v>16.3265306122449</v>
      </c>
      <c r="D17">
        <f>$C$30*1000*C17/100</f>
        <v/>
      </c>
      <c r="E17">
        <f>D17*$C$31</f>
        <v/>
      </c>
      <c r="F17">
        <f>(D17-E17)*$C$32</f>
        <v/>
      </c>
      <c r="G17">
        <f>D17-E17</f>
        <v/>
      </c>
      <c r="H17">
        <f>$C$32</f>
        <v/>
      </c>
      <c r="I17" s="2">
        <f>F17/B17</f>
        <v/>
      </c>
      <c r="J17">
        <f>WEO_Data.C15</f>
        <v/>
      </c>
      <c r="K17">
        <f>J17+F17/B17</f>
        <v/>
      </c>
    </row>
    <row r="18">
      <c r="A18" t="n">
        <v>2032</v>
      </c>
      <c r="B18">
        <f>WEO_Data.B16</f>
        <v/>
      </c>
      <c r="C18" t="n">
        <v>9.795918367346939</v>
      </c>
      <c r="D18">
        <f>$C$30*1000*C18/100</f>
        <v/>
      </c>
      <c r="E18">
        <f>D18*$C$31</f>
        <v/>
      </c>
      <c r="F18">
        <f>(D18-E18)*$C$32</f>
        <v/>
      </c>
      <c r="G18">
        <f>D18-E18</f>
        <v/>
      </c>
      <c r="H18">
        <f>$C$32</f>
        <v/>
      </c>
      <c r="I18" s="2">
        <f>F18/B18</f>
        <v/>
      </c>
      <c r="J18">
        <f>WEO_Data.C16</f>
        <v/>
      </c>
      <c r="K18">
        <f>J18+F18/B18</f>
        <v/>
      </c>
    </row>
    <row r="19">
      <c r="A19" t="n">
        <v>2033</v>
      </c>
      <c r="B19">
        <f>WEO_Data.B17</f>
        <v/>
      </c>
      <c r="C19" t="n">
        <v>0</v>
      </c>
      <c r="D19">
        <f>$C$30*1000*C19/100</f>
        <v/>
      </c>
      <c r="E19">
        <f>D19*$C$31</f>
        <v/>
      </c>
      <c r="F19">
        <f>(D19-E19)*$C$32</f>
        <v/>
      </c>
      <c r="G19">
        <f>D19-E19</f>
        <v/>
      </c>
      <c r="H19">
        <f>$C$32</f>
        <v/>
      </c>
      <c r="I19" s="2">
        <f>F19/B19</f>
        <v/>
      </c>
      <c r="J19">
        <f>WEO_Data.C17</f>
        <v/>
      </c>
      <c r="K19">
        <f>J19+F19/B19</f>
        <v/>
      </c>
    </row>
    <row r="20">
      <c r="A20" t="n">
        <v>2034</v>
      </c>
      <c r="B20">
        <f>WEO_Data.B18</f>
        <v/>
      </c>
      <c r="C20" t="n">
        <v>0</v>
      </c>
      <c r="D20">
        <f>$C$30*1000*C20/100</f>
        <v/>
      </c>
      <c r="E20">
        <f>D20*$C$31</f>
        <v/>
      </c>
      <c r="F20">
        <f>(D20-E20)*$C$32</f>
        <v/>
      </c>
      <c r="G20">
        <f>D20-E20</f>
        <v/>
      </c>
      <c r="H20">
        <f>$C$32</f>
        <v/>
      </c>
      <c r="I20" s="2">
        <f>F20/B20</f>
        <v/>
      </c>
      <c r="J20">
        <f>WEO_Data.C18</f>
        <v/>
      </c>
      <c r="K20">
        <f>J20+F20/B20</f>
        <v/>
      </c>
    </row>
    <row r="21">
      <c r="A21" t="n">
        <v>2035</v>
      </c>
      <c r="B21">
        <f>WEO_Data.B19</f>
        <v/>
      </c>
      <c r="C21" t="n">
        <v>0</v>
      </c>
      <c r="D21">
        <f>$C$30*1000*C21/100</f>
        <v/>
      </c>
      <c r="E21">
        <f>D21*$C$31</f>
        <v/>
      </c>
      <c r="F21">
        <f>(D21-E21)*$C$32</f>
        <v/>
      </c>
      <c r="G21">
        <f>D21-E21</f>
        <v/>
      </c>
      <c r="H21">
        <f>$C$32</f>
        <v/>
      </c>
      <c r="I21" s="2">
        <f>F21/B21</f>
        <v/>
      </c>
      <c r="J21">
        <f>WEO_Data.C19</f>
        <v/>
      </c>
      <c r="K21">
        <f>J21+F21/B21</f>
        <v/>
      </c>
    </row>
    <row r="22">
      <c r="A22" t="n">
        <v>2036</v>
      </c>
      <c r="B22">
        <f>WEO_Data.B20</f>
        <v/>
      </c>
      <c r="C22" t="n">
        <v>0</v>
      </c>
      <c r="D22">
        <f>$C$30*1000*C22/100</f>
        <v/>
      </c>
      <c r="E22">
        <f>D22*$C$31</f>
        <v/>
      </c>
      <c r="F22">
        <f>(D22-E22)*$C$32</f>
        <v/>
      </c>
      <c r="G22">
        <f>D22-E22</f>
        <v/>
      </c>
      <c r="H22">
        <f>$C$32</f>
        <v/>
      </c>
      <c r="I22" s="2">
        <f>F22/B22</f>
        <v/>
      </c>
      <c r="J22">
        <f>WEO_Data.C20</f>
        <v/>
      </c>
      <c r="K22">
        <f>J22+F22/B22</f>
        <v/>
      </c>
    </row>
    <row r="23">
      <c r="A23" t="n">
        <v>2037</v>
      </c>
      <c r="B23">
        <f>WEO_Data.B21</f>
        <v/>
      </c>
      <c r="C23" t="n">
        <v>0</v>
      </c>
      <c r="D23">
        <f>$C$30*1000*C23/100</f>
        <v/>
      </c>
      <c r="E23">
        <f>D23*$C$31</f>
        <v/>
      </c>
      <c r="F23">
        <f>(D23-E23)*$C$32</f>
        <v/>
      </c>
      <c r="G23">
        <f>D23-E23</f>
        <v/>
      </c>
      <c r="H23">
        <f>$C$32</f>
        <v/>
      </c>
      <c r="I23" s="2">
        <f>F23/B23</f>
        <v/>
      </c>
      <c r="J23">
        <f>WEO_Data.C21</f>
        <v/>
      </c>
      <c r="K23">
        <f>J23+F23/B23</f>
        <v/>
      </c>
    </row>
    <row r="24">
      <c r="A24" t="n">
        <v>2038</v>
      </c>
      <c r="B24">
        <f>WEO_Data.B22</f>
        <v/>
      </c>
      <c r="C24" t="n">
        <v>0</v>
      </c>
      <c r="D24">
        <f>$C$30*1000*C24/100</f>
        <v/>
      </c>
      <c r="E24">
        <f>D24*$C$31</f>
        <v/>
      </c>
      <c r="F24">
        <f>(D24-E24)*$C$32</f>
        <v/>
      </c>
      <c r="G24">
        <f>D24-E24</f>
        <v/>
      </c>
      <c r="H24">
        <f>$C$32</f>
        <v/>
      </c>
      <c r="I24" s="2">
        <f>F24/B24</f>
        <v/>
      </c>
      <c r="J24">
        <f>WEO_Data.C22</f>
        <v/>
      </c>
      <c r="K24">
        <f>J24+F24/B24</f>
        <v/>
      </c>
    </row>
    <row r="25">
      <c r="A25" t="n">
        <v>2039</v>
      </c>
      <c r="B25">
        <f>WEO_Data.B23</f>
        <v/>
      </c>
      <c r="C25" t="n">
        <v>0</v>
      </c>
      <c r="D25">
        <f>$C$30*1000*C25/100</f>
        <v/>
      </c>
      <c r="E25">
        <f>D25*$C$31</f>
        <v/>
      </c>
      <c r="F25">
        <f>(D25-E25)*$C$32</f>
        <v/>
      </c>
      <c r="G25">
        <f>D25-E25</f>
        <v/>
      </c>
      <c r="H25">
        <f>$C$32</f>
        <v/>
      </c>
      <c r="I25" s="2">
        <f>F25/B25</f>
        <v/>
      </c>
      <c r="J25">
        <f>WEO_Data.C23</f>
        <v/>
      </c>
      <c r="K25">
        <f>J25+F25/B25</f>
        <v/>
      </c>
    </row>
    <row r="26">
      <c r="A26" t="n">
        <v>2040</v>
      </c>
      <c r="B26">
        <f>WEO_Data.B24</f>
        <v/>
      </c>
      <c r="C26" t="n">
        <v>0</v>
      </c>
      <c r="D26">
        <f>$C$30*1000*C26/100</f>
        <v/>
      </c>
      <c r="E26">
        <f>D26*$C$31</f>
        <v/>
      </c>
      <c r="F26">
        <f>(D26-E26)*$C$32</f>
        <v/>
      </c>
      <c r="G26">
        <f>D26-E26</f>
        <v/>
      </c>
      <c r="H26">
        <f>$C$32</f>
        <v/>
      </c>
      <c r="I26" s="2">
        <f>F26/B26</f>
        <v/>
      </c>
      <c r="J26">
        <f>WEO_Data.C24</f>
        <v/>
      </c>
      <c r="K26">
        <f>J26+F26/B26</f>
        <v/>
      </c>
    </row>
    <row r="27">
      <c r="A27" t="n">
        <v>2041</v>
      </c>
      <c r="B27">
        <f>WEO_Data.B25</f>
        <v/>
      </c>
      <c r="C27" t="n">
        <v>0</v>
      </c>
      <c r="D27">
        <f>$C$30*1000*C27/100</f>
        <v/>
      </c>
      <c r="E27">
        <f>D27*$C$31</f>
        <v/>
      </c>
      <c r="F27">
        <f>(D27-E27)*$C$32</f>
        <v/>
      </c>
      <c r="G27">
        <f>D27-E27</f>
        <v/>
      </c>
      <c r="H27">
        <f>$C$32</f>
        <v/>
      </c>
      <c r="I27" s="2">
        <f>F27/B27</f>
        <v/>
      </c>
      <c r="J27">
        <f>WEO_Data.C25</f>
        <v/>
      </c>
      <c r="K27">
        <f>J27+F27/B27</f>
        <v/>
      </c>
    </row>
    <row r="28">
      <c r="A28" s="1" t="n">
        <v>2042</v>
      </c>
      <c r="B28">
        <f>WEO_Data.B26</f>
        <v/>
      </c>
      <c r="C28" t="n">
        <v>0</v>
      </c>
      <c r="D28">
        <f>$C$30*1000*C28/100</f>
        <v/>
      </c>
      <c r="E28">
        <f>D28*$C$31</f>
        <v/>
      </c>
      <c r="F28">
        <f>(D28-E28)*$C$32</f>
        <v/>
      </c>
      <c r="G28">
        <f>D28-E28</f>
        <v/>
      </c>
      <c r="H28">
        <f>$C$32</f>
        <v/>
      </c>
      <c r="I28" s="2">
        <f>F28/B28</f>
        <v/>
      </c>
      <c r="J28">
        <f>WEO_Data.C26</f>
        <v/>
      </c>
      <c r="K28">
        <f>J28+F28/B28</f>
        <v/>
      </c>
    </row>
    <row r="29">
      <c r="A29" t="n">
        <v>2043</v>
      </c>
      <c r="B29">
        <f>WEO_Data.B27</f>
        <v/>
      </c>
      <c r="C29" t="n">
        <v>0</v>
      </c>
      <c r="D29">
        <f>$C$30*1000*C29/100</f>
        <v/>
      </c>
      <c r="E29">
        <f>D29*$C$31</f>
        <v/>
      </c>
      <c r="F29">
        <f>(D29-E29)*$C$32</f>
        <v/>
      </c>
      <c r="G29">
        <f>D29-E29</f>
        <v/>
      </c>
      <c r="H29">
        <f>$C$32</f>
        <v/>
      </c>
      <c r="I29" s="2">
        <f>F29/B29</f>
        <v/>
      </c>
      <c r="J29">
        <f>WEO_Data.C27</f>
        <v/>
      </c>
      <c r="K29">
        <f>J29+F29/B29</f>
        <v/>
      </c>
    </row>
    <row r="30">
      <c r="A30" t="inlineStr">
        <is>
          <t>Total Investment (Billion USD)</t>
        </is>
      </c>
      <c r="C30" t="n">
        <v>6.5</v>
      </c>
    </row>
    <row r="31">
      <c r="A31" t="inlineStr">
        <is>
          <t>Import Content Share</t>
        </is>
      </c>
      <c r="C31" s="2">
        <f>SUT_Calc.E46</f>
        <v/>
      </c>
    </row>
    <row r="32">
      <c r="A32" t="inlineStr">
        <is>
          <t>Demand Multiplier</t>
        </is>
      </c>
      <c r="C32" t="n">
        <v>0.8</v>
      </c>
    </row>
    <row r="33">
      <c r="A33" t="inlineStr">
        <is>
          <t>Exchange Rate (GEL/USD)</t>
        </is>
      </c>
      <c r="C33" t="n">
        <v>2.746</v>
      </c>
    </row>
    <row r="34"/>
    <row r="35"/>
    <row r="36"/>
    <row r="37"/>
    <row r="38"/>
    <row r="39"/>
    <row r="40"/>
    <row r="41"/>
    <row r="42"/>
    <row r="43"/>
    <row r="44"/>
    <row r="45">
      <c r="A45" s="4" t="inlineStr">
        <is>
          <t>SCENARIO 2 (Multiplier = 1.0)</t>
        </is>
      </c>
    </row>
    <row r="46"/>
    <row r="47">
      <c r="A47" s="1" t="inlineStr">
        <is>
          <t>Year</t>
        </is>
      </c>
      <c r="B47" s="1" t="inlineStr">
        <is>
          <t>Real GDP (Million USD)</t>
        </is>
      </c>
      <c r="C47" s="1" t="inlineStr">
        <is>
          <t>Project Allocation (%)</t>
        </is>
      </c>
      <c r="D47" s="1" t="inlineStr">
        <is>
          <t>Project Investment (Million USD)</t>
        </is>
      </c>
      <c r="E47" s="1" t="inlineStr">
        <is>
          <t>Imports (Million USD)</t>
        </is>
      </c>
      <c r="F47" s="1" t="inlineStr">
        <is>
          <t>GDP Impact (Million USD)</t>
        </is>
      </c>
      <c r="G47" s="1" t="inlineStr">
        <is>
          <t>I-M (Million USD)</t>
        </is>
      </c>
      <c r="H47" s="1" t="inlineStr">
        <is>
          <t>Multiplier</t>
        </is>
      </c>
      <c r="I47" s="1" t="inlineStr">
        <is>
          <t>Impact (% of GDP)</t>
        </is>
      </c>
      <c r="J47" s="1" t="inlineStr">
        <is>
          <t>Baseline GDP Growth (%)</t>
        </is>
      </c>
      <c r="K47" s="1" t="inlineStr">
        <is>
          <t>Projected Growth (%)</t>
        </is>
      </c>
    </row>
    <row r="48">
      <c r="A48" t="n">
        <v>2020</v>
      </c>
      <c r="B48">
        <f>WEO_Data.B4</f>
        <v/>
      </c>
      <c r="C48">
        <f>C2040</f>
        <v/>
      </c>
      <c r="D48">
        <f>$C$72*1000*C48/100</f>
        <v/>
      </c>
      <c r="E48">
        <f>D48*$C$73</f>
        <v/>
      </c>
      <c r="F48">
        <f>(D48-E48)*$C$74</f>
        <v/>
      </c>
      <c r="G48">
        <f>D48-E48</f>
        <v/>
      </c>
      <c r="H48">
        <f>$C$74</f>
        <v/>
      </c>
      <c r="I48" s="2">
        <f>F48/B48</f>
        <v/>
      </c>
      <c r="J48">
        <f>WEO_Data.C4</f>
        <v/>
      </c>
      <c r="K48">
        <f>J48+F48/B48</f>
        <v/>
      </c>
    </row>
    <row r="49">
      <c r="A49" t="n">
        <v>2021</v>
      </c>
      <c r="B49">
        <f>WEO_Data.B5</f>
        <v/>
      </c>
      <c r="C49">
        <f>C2041</f>
        <v/>
      </c>
      <c r="D49">
        <f>$C$72*1000*C49/100</f>
        <v/>
      </c>
      <c r="E49">
        <f>D49*$C$73</f>
        <v/>
      </c>
      <c r="F49">
        <f>(D49-E49)*$C$74</f>
        <v/>
      </c>
      <c r="G49">
        <f>D49-E49</f>
        <v/>
      </c>
      <c r="H49">
        <f>$C$74</f>
        <v/>
      </c>
      <c r="I49" s="2">
        <f>F49/B49</f>
        <v/>
      </c>
      <c r="J49">
        <f>WEO_Data.C5</f>
        <v/>
      </c>
      <c r="K49">
        <f>J49+F49/B49</f>
        <v/>
      </c>
    </row>
    <row r="50">
      <c r="A50" t="n">
        <v>2022</v>
      </c>
      <c r="B50">
        <f>WEO_Data.B6</f>
        <v/>
      </c>
      <c r="C50">
        <f>C2042</f>
        <v/>
      </c>
      <c r="D50">
        <f>$C$72*1000*C50/100</f>
        <v/>
      </c>
      <c r="E50">
        <f>D50*$C$73</f>
        <v/>
      </c>
      <c r="F50">
        <f>(D50-E50)*$C$74</f>
        <v/>
      </c>
      <c r="G50">
        <f>D50-E50</f>
        <v/>
      </c>
      <c r="H50">
        <f>$C$74</f>
        <v/>
      </c>
      <c r="I50" s="2">
        <f>F50/B50</f>
        <v/>
      </c>
      <c r="J50">
        <f>WEO_Data.C6</f>
        <v/>
      </c>
      <c r="K50">
        <f>J50+F50/B50</f>
        <v/>
      </c>
    </row>
    <row r="51">
      <c r="A51" t="n">
        <v>2023</v>
      </c>
      <c r="B51">
        <f>WEO_Data.B7</f>
        <v/>
      </c>
      <c r="C51">
        <f>C2043</f>
        <v/>
      </c>
      <c r="D51">
        <f>$C$72*1000*C51/100</f>
        <v/>
      </c>
      <c r="E51">
        <f>D51*$C$73</f>
        <v/>
      </c>
      <c r="F51">
        <f>(D51-E51)*$C$74</f>
        <v/>
      </c>
      <c r="G51">
        <f>D51-E51</f>
        <v/>
      </c>
      <c r="H51">
        <f>$C$74</f>
        <v/>
      </c>
      <c r="I51" s="2">
        <f>F51/B51</f>
        <v/>
      </c>
      <c r="J51">
        <f>WEO_Data.C7</f>
        <v/>
      </c>
      <c r="K51">
        <f>J51+F51/B51</f>
        <v/>
      </c>
    </row>
    <row r="52">
      <c r="A52" t="n">
        <v>2024</v>
      </c>
      <c r="B52">
        <f>WEO_Data.B8</f>
        <v/>
      </c>
      <c r="C52">
        <f>C2044</f>
        <v/>
      </c>
      <c r="D52">
        <f>$C$72*1000*C52/100</f>
        <v/>
      </c>
      <c r="E52">
        <f>D52*$C$73</f>
        <v/>
      </c>
      <c r="F52">
        <f>(D52-E52)*$C$74</f>
        <v/>
      </c>
      <c r="G52">
        <f>D52-E52</f>
        <v/>
      </c>
      <c r="H52">
        <f>$C$74</f>
        <v/>
      </c>
      <c r="I52" s="2">
        <f>F52/B52</f>
        <v/>
      </c>
      <c r="J52">
        <f>WEO_Data.C8</f>
        <v/>
      </c>
      <c r="K52">
        <f>J52+F52/B52</f>
        <v/>
      </c>
    </row>
    <row r="53">
      <c r="A53" t="n">
        <v>2025</v>
      </c>
      <c r="B53">
        <f>WEO_Data.B9</f>
        <v/>
      </c>
      <c r="C53">
        <f>C2045</f>
        <v/>
      </c>
      <c r="D53">
        <f>$C$72*1000*C53/100</f>
        <v/>
      </c>
      <c r="E53">
        <f>D53*$C$73</f>
        <v/>
      </c>
      <c r="F53">
        <f>(D53-E53)*$C$74</f>
        <v/>
      </c>
      <c r="G53">
        <f>D53-E53</f>
        <v/>
      </c>
      <c r="H53">
        <f>$C$74</f>
        <v/>
      </c>
      <c r="I53" s="2">
        <f>F53/B53</f>
        <v/>
      </c>
      <c r="J53">
        <f>WEO_Data.C9</f>
        <v/>
      </c>
      <c r="K53">
        <f>J53+F53/B53</f>
        <v/>
      </c>
    </row>
    <row r="54">
      <c r="A54" t="n">
        <v>2026</v>
      </c>
      <c r="B54">
        <f>WEO_Data.B10</f>
        <v/>
      </c>
      <c r="C54">
        <f>C2046</f>
        <v/>
      </c>
      <c r="D54">
        <f>$C$72*1000*C54/100</f>
        <v/>
      </c>
      <c r="E54">
        <f>D54*$C$73</f>
        <v/>
      </c>
      <c r="F54">
        <f>(D54-E54)*$C$74</f>
        <v/>
      </c>
      <c r="G54">
        <f>D54-E54</f>
        <v/>
      </c>
      <c r="H54">
        <f>$C$74</f>
        <v/>
      </c>
      <c r="I54" s="2">
        <f>F54/B54</f>
        <v/>
      </c>
      <c r="J54">
        <f>WEO_Data.C10</f>
        <v/>
      </c>
      <c r="K54">
        <f>J54+F54/B54</f>
        <v/>
      </c>
    </row>
    <row r="55">
      <c r="A55" t="n">
        <v>2027</v>
      </c>
      <c r="B55">
        <f>WEO_Data.B11</f>
        <v/>
      </c>
      <c r="C55">
        <f>C2047</f>
        <v/>
      </c>
      <c r="D55">
        <f>$C$72*1000*C55/100</f>
        <v/>
      </c>
      <c r="E55">
        <f>D55*$C$73</f>
        <v/>
      </c>
      <c r="F55">
        <f>(D55-E55)*$C$74</f>
        <v/>
      </c>
      <c r="G55">
        <f>D55-E55</f>
        <v/>
      </c>
      <c r="H55">
        <f>$C$74</f>
        <v/>
      </c>
      <c r="I55" s="2">
        <f>F55/B55</f>
        <v/>
      </c>
      <c r="J55">
        <f>WEO_Data.C11</f>
        <v/>
      </c>
      <c r="K55">
        <f>J55+F55/B55</f>
        <v/>
      </c>
    </row>
    <row r="56">
      <c r="A56" t="n">
        <v>2028</v>
      </c>
      <c r="B56">
        <f>WEO_Data.B12</f>
        <v/>
      </c>
      <c r="C56">
        <f>C2048</f>
        <v/>
      </c>
      <c r="D56">
        <f>$C$72*1000*C56/100</f>
        <v/>
      </c>
      <c r="E56">
        <f>D56*$C$73</f>
        <v/>
      </c>
      <c r="F56">
        <f>(D56-E56)*$C$74</f>
        <v/>
      </c>
      <c r="G56">
        <f>D56-E56</f>
        <v/>
      </c>
      <c r="H56">
        <f>$C$74</f>
        <v/>
      </c>
      <c r="I56" s="2">
        <f>F56/B56</f>
        <v/>
      </c>
      <c r="J56">
        <f>WEO_Data.C12</f>
        <v/>
      </c>
      <c r="K56">
        <f>J56+F56/B56</f>
        <v/>
      </c>
    </row>
    <row r="57">
      <c r="A57" t="n">
        <v>2029</v>
      </c>
      <c r="B57">
        <f>WEO_Data.B13</f>
        <v/>
      </c>
      <c r="C57">
        <f>C2049</f>
        <v/>
      </c>
      <c r="D57">
        <f>$C$72*1000*C57/100</f>
        <v/>
      </c>
      <c r="E57">
        <f>D57*$C$73</f>
        <v/>
      </c>
      <c r="F57">
        <f>(D57-E57)*$C$74</f>
        <v/>
      </c>
      <c r="G57">
        <f>D57-E57</f>
        <v/>
      </c>
      <c r="H57">
        <f>$C$74</f>
        <v/>
      </c>
      <c r="I57" s="2">
        <f>F57/B57</f>
        <v/>
      </c>
      <c r="J57">
        <f>WEO_Data.C13</f>
        <v/>
      </c>
      <c r="K57">
        <f>J57+F57/B57</f>
        <v/>
      </c>
    </row>
    <row r="58">
      <c r="A58" t="n">
        <v>2030</v>
      </c>
      <c r="B58">
        <f>WEO_Data.B14</f>
        <v/>
      </c>
      <c r="C58">
        <f>C2050</f>
        <v/>
      </c>
      <c r="D58">
        <f>$C$72*1000*C58/100</f>
        <v/>
      </c>
      <c r="E58">
        <f>D58*$C$73</f>
        <v/>
      </c>
      <c r="F58">
        <f>(D58-E58)*$C$74</f>
        <v/>
      </c>
      <c r="G58">
        <f>D58-E58</f>
        <v/>
      </c>
      <c r="H58">
        <f>$C$74</f>
        <v/>
      </c>
      <c r="I58" s="2">
        <f>F58/B58</f>
        <v/>
      </c>
      <c r="J58">
        <f>WEO_Data.C14</f>
        <v/>
      </c>
      <c r="K58">
        <f>J58+F58/B58</f>
        <v/>
      </c>
    </row>
    <row r="59">
      <c r="A59" t="n">
        <v>2031</v>
      </c>
      <c r="B59">
        <f>WEO_Data.B15</f>
        <v/>
      </c>
      <c r="C59">
        <f>C2051</f>
        <v/>
      </c>
      <c r="D59">
        <f>$C$72*1000*C59/100</f>
        <v/>
      </c>
      <c r="E59">
        <f>D59*$C$73</f>
        <v/>
      </c>
      <c r="F59">
        <f>(D59-E59)*$C$74</f>
        <v/>
      </c>
      <c r="G59">
        <f>D59-E59</f>
        <v/>
      </c>
      <c r="H59">
        <f>$C$74</f>
        <v/>
      </c>
      <c r="I59" s="2">
        <f>F59/B59</f>
        <v/>
      </c>
      <c r="J59">
        <f>WEO_Data.C15</f>
        <v/>
      </c>
      <c r="K59">
        <f>J59+F59/B59</f>
        <v/>
      </c>
    </row>
    <row r="60">
      <c r="A60" t="n">
        <v>2032</v>
      </c>
      <c r="B60">
        <f>WEO_Data.B16</f>
        <v/>
      </c>
      <c r="C60">
        <f>C2052</f>
        <v/>
      </c>
      <c r="D60">
        <f>$C$72*1000*C60/100</f>
        <v/>
      </c>
      <c r="E60">
        <f>D60*$C$73</f>
        <v/>
      </c>
      <c r="F60">
        <f>(D60-E60)*$C$74</f>
        <v/>
      </c>
      <c r="G60">
        <f>D60-E60</f>
        <v/>
      </c>
      <c r="H60">
        <f>$C$74</f>
        <v/>
      </c>
      <c r="I60" s="2">
        <f>F60/B60</f>
        <v/>
      </c>
      <c r="J60">
        <f>WEO_Data.C16</f>
        <v/>
      </c>
      <c r="K60">
        <f>J60+F60/B60</f>
        <v/>
      </c>
    </row>
    <row r="61">
      <c r="A61" t="n">
        <v>2033</v>
      </c>
      <c r="B61">
        <f>WEO_Data.B17</f>
        <v/>
      </c>
      <c r="C61">
        <f>C2053</f>
        <v/>
      </c>
      <c r="D61">
        <f>$C$72*1000*C61/100</f>
        <v/>
      </c>
      <c r="E61">
        <f>D61*$C$73</f>
        <v/>
      </c>
      <c r="F61">
        <f>(D61-E61)*$C$74</f>
        <v/>
      </c>
      <c r="G61">
        <f>D61-E61</f>
        <v/>
      </c>
      <c r="H61">
        <f>$C$74</f>
        <v/>
      </c>
      <c r="I61" s="2">
        <f>F61/B61</f>
        <v/>
      </c>
      <c r="J61">
        <f>WEO_Data.C17</f>
        <v/>
      </c>
      <c r="K61">
        <f>J61+F61/B61</f>
        <v/>
      </c>
    </row>
    <row r="62">
      <c r="A62" t="n">
        <v>2034</v>
      </c>
      <c r="B62">
        <f>WEO_Data.B18</f>
        <v/>
      </c>
      <c r="C62">
        <f>C2054</f>
        <v/>
      </c>
      <c r="D62">
        <f>$C$72*1000*C62/100</f>
        <v/>
      </c>
      <c r="E62">
        <f>D62*$C$73</f>
        <v/>
      </c>
      <c r="F62">
        <f>(D62-E62)*$C$74</f>
        <v/>
      </c>
      <c r="G62">
        <f>D62-E62</f>
        <v/>
      </c>
      <c r="H62">
        <f>$C$74</f>
        <v/>
      </c>
      <c r="I62" s="2">
        <f>F62/B62</f>
        <v/>
      </c>
      <c r="J62">
        <f>WEO_Data.C18</f>
        <v/>
      </c>
      <c r="K62">
        <f>J62+F62/B62</f>
        <v/>
      </c>
    </row>
    <row r="63">
      <c r="A63" t="n">
        <v>2035</v>
      </c>
      <c r="B63">
        <f>WEO_Data.B19</f>
        <v/>
      </c>
      <c r="C63">
        <f>C2055</f>
        <v/>
      </c>
      <c r="D63">
        <f>$C$72*1000*C63/100</f>
        <v/>
      </c>
      <c r="E63">
        <f>D63*$C$73</f>
        <v/>
      </c>
      <c r="F63">
        <f>(D63-E63)*$C$74</f>
        <v/>
      </c>
      <c r="G63">
        <f>D63-E63</f>
        <v/>
      </c>
      <c r="H63">
        <f>$C$74</f>
        <v/>
      </c>
      <c r="I63" s="2">
        <f>F63/B63</f>
        <v/>
      </c>
      <c r="J63">
        <f>WEO_Data.C19</f>
        <v/>
      </c>
      <c r="K63">
        <f>J63+F63/B63</f>
        <v/>
      </c>
    </row>
    <row r="64">
      <c r="A64" t="n">
        <v>2036</v>
      </c>
      <c r="B64">
        <f>WEO_Data.B20</f>
        <v/>
      </c>
      <c r="C64">
        <f>C2056</f>
        <v/>
      </c>
      <c r="D64">
        <f>$C$72*1000*C64/100</f>
        <v/>
      </c>
      <c r="E64">
        <f>D64*$C$73</f>
        <v/>
      </c>
      <c r="F64">
        <f>(D64-E64)*$C$74</f>
        <v/>
      </c>
      <c r="G64">
        <f>D64-E64</f>
        <v/>
      </c>
      <c r="H64">
        <f>$C$74</f>
        <v/>
      </c>
      <c r="I64" s="2">
        <f>F64/B64</f>
        <v/>
      </c>
      <c r="J64">
        <f>WEO_Data.C20</f>
        <v/>
      </c>
      <c r="K64">
        <f>J64+F64/B64</f>
        <v/>
      </c>
    </row>
    <row r="65">
      <c r="A65" t="n">
        <v>2037</v>
      </c>
      <c r="B65">
        <f>WEO_Data.B21</f>
        <v/>
      </c>
      <c r="C65">
        <f>C2057</f>
        <v/>
      </c>
      <c r="D65">
        <f>$C$72*1000*C65/100</f>
        <v/>
      </c>
      <c r="E65">
        <f>D65*$C$73</f>
        <v/>
      </c>
      <c r="F65">
        <f>(D65-E65)*$C$74</f>
        <v/>
      </c>
      <c r="G65">
        <f>D65-E65</f>
        <v/>
      </c>
      <c r="H65">
        <f>$C$74</f>
        <v/>
      </c>
      <c r="I65" s="2">
        <f>F65/B65</f>
        <v/>
      </c>
      <c r="J65">
        <f>WEO_Data.C21</f>
        <v/>
      </c>
      <c r="K65">
        <f>J65+F65/B65</f>
        <v/>
      </c>
    </row>
    <row r="66">
      <c r="A66" t="n">
        <v>2038</v>
      </c>
      <c r="B66">
        <f>WEO_Data.B22</f>
        <v/>
      </c>
      <c r="C66">
        <f>C2058</f>
        <v/>
      </c>
      <c r="D66">
        <f>$C$72*1000*C66/100</f>
        <v/>
      </c>
      <c r="E66">
        <f>D66*$C$73</f>
        <v/>
      </c>
      <c r="F66">
        <f>(D66-E66)*$C$74</f>
        <v/>
      </c>
      <c r="G66">
        <f>D66-E66</f>
        <v/>
      </c>
      <c r="H66">
        <f>$C$74</f>
        <v/>
      </c>
      <c r="I66" s="2">
        <f>F66/B66</f>
        <v/>
      </c>
      <c r="J66">
        <f>WEO_Data.C22</f>
        <v/>
      </c>
      <c r="K66">
        <f>J66+F66/B66</f>
        <v/>
      </c>
    </row>
    <row r="67">
      <c r="A67" t="n">
        <v>2039</v>
      </c>
      <c r="B67">
        <f>WEO_Data.B23</f>
        <v/>
      </c>
      <c r="C67">
        <f>C2059</f>
        <v/>
      </c>
      <c r="D67">
        <f>$C$72*1000*C67/100</f>
        <v/>
      </c>
      <c r="E67">
        <f>D67*$C$73</f>
        <v/>
      </c>
      <c r="F67">
        <f>(D67-E67)*$C$74</f>
        <v/>
      </c>
      <c r="G67">
        <f>D67-E67</f>
        <v/>
      </c>
      <c r="H67">
        <f>$C$74</f>
        <v/>
      </c>
      <c r="I67" s="2">
        <f>F67/B67</f>
        <v/>
      </c>
      <c r="J67">
        <f>WEO_Data.C23</f>
        <v/>
      </c>
      <c r="K67">
        <f>J67+F67/B67</f>
        <v/>
      </c>
    </row>
    <row r="68">
      <c r="A68" t="n">
        <v>2040</v>
      </c>
      <c r="B68">
        <f>WEO_Data.B24</f>
        <v/>
      </c>
      <c r="C68">
        <f>C2060</f>
        <v/>
      </c>
      <c r="D68">
        <f>$C$72*1000*C68/100</f>
        <v/>
      </c>
      <c r="E68">
        <f>D68*$C$73</f>
        <v/>
      </c>
      <c r="F68">
        <f>(D68-E68)*$C$74</f>
        <v/>
      </c>
      <c r="G68">
        <f>D68-E68</f>
        <v/>
      </c>
      <c r="H68">
        <f>$C$74</f>
        <v/>
      </c>
      <c r="I68" s="2">
        <f>F68/B68</f>
        <v/>
      </c>
      <c r="J68">
        <f>WEO_Data.C24</f>
        <v/>
      </c>
      <c r="K68">
        <f>J68+F68/B68</f>
        <v/>
      </c>
    </row>
    <row r="69">
      <c r="A69" t="n">
        <v>2041</v>
      </c>
      <c r="B69">
        <f>WEO_Data.B25</f>
        <v/>
      </c>
      <c r="C69">
        <f>C2061</f>
        <v/>
      </c>
      <c r="D69">
        <f>$C$72*1000*C69/100</f>
        <v/>
      </c>
      <c r="E69">
        <f>D69*$C$73</f>
        <v/>
      </c>
      <c r="F69">
        <f>(D69-E69)*$C$74</f>
        <v/>
      </c>
      <c r="G69">
        <f>D69-E69</f>
        <v/>
      </c>
      <c r="H69">
        <f>$C$74</f>
        <v/>
      </c>
      <c r="I69" s="2">
        <f>F69/B69</f>
        <v/>
      </c>
      <c r="J69">
        <f>WEO_Data.C25</f>
        <v/>
      </c>
      <c r="K69">
        <f>J69+F69/B69</f>
        <v/>
      </c>
    </row>
    <row r="70">
      <c r="A70" s="1" t="n">
        <v>2042</v>
      </c>
      <c r="B70">
        <f>WEO_Data.B26</f>
        <v/>
      </c>
      <c r="C70">
        <f>C2062</f>
        <v/>
      </c>
      <c r="D70">
        <f>$C$72*1000*C70/100</f>
        <v/>
      </c>
      <c r="E70">
        <f>D70*$C$73</f>
        <v/>
      </c>
      <c r="F70">
        <f>(D70-E70)*$C$74</f>
        <v/>
      </c>
      <c r="G70">
        <f>D70-E70</f>
        <v/>
      </c>
      <c r="H70">
        <f>$C$74</f>
        <v/>
      </c>
      <c r="I70" s="2">
        <f>F70/B70</f>
        <v/>
      </c>
      <c r="J70">
        <f>WEO_Data.C26</f>
        <v/>
      </c>
      <c r="K70">
        <f>J70+F70/B70</f>
        <v/>
      </c>
    </row>
    <row r="71">
      <c r="A71" t="n">
        <v>2043</v>
      </c>
      <c r="B71">
        <f>WEO_Data.B27</f>
        <v/>
      </c>
      <c r="C71">
        <f>C2063</f>
        <v/>
      </c>
      <c r="D71">
        <f>$C$72*1000*C71/100</f>
        <v/>
      </c>
      <c r="E71">
        <f>D71*$C$73</f>
        <v/>
      </c>
      <c r="F71">
        <f>(D71-E71)*$C$74</f>
        <v/>
      </c>
      <c r="G71">
        <f>D71-E71</f>
        <v/>
      </c>
      <c r="H71">
        <f>$C$74</f>
        <v/>
      </c>
      <c r="I71" s="2">
        <f>F71/B71</f>
        <v/>
      </c>
      <c r="J71">
        <f>WEO_Data.C27</f>
        <v/>
      </c>
      <c r="K71">
        <f>J71+F71/B71</f>
        <v/>
      </c>
    </row>
    <row r="72">
      <c r="A72" t="inlineStr">
        <is>
          <t>Total Investment (Billion USD)</t>
        </is>
      </c>
      <c r="C72" t="n">
        <v>6.5</v>
      </c>
    </row>
    <row r="73">
      <c r="A73" t="inlineStr">
        <is>
          <t>Import Content Share</t>
        </is>
      </c>
      <c r="C73" s="2">
        <f>SUT_Calc.E46</f>
        <v/>
      </c>
    </row>
    <row r="74">
      <c r="A74" t="inlineStr">
        <is>
          <t>Demand Multiplier</t>
        </is>
      </c>
      <c r="C74" t="n">
        <v>1</v>
      </c>
    </row>
    <row r="75">
      <c r="A75" t="inlineStr">
        <is>
          <t>Exchange Rate (GEL/USD)</t>
        </is>
      </c>
      <c r="C75" t="n">
        <v>2.746</v>
      </c>
    </row>
    <row r="76"/>
    <row r="77"/>
    <row r="78"/>
    <row r="79"/>
    <row r="80"/>
    <row r="81"/>
    <row r="82"/>
    <row r="83"/>
    <row r="84"/>
    <row r="85"/>
    <row r="86"/>
    <row r="87"/>
    <row r="88"/>
    <row r="89"/>
    <row r="90">
      <c r="A90" s="4" t="inlineStr">
        <is>
          <t>SCENARIO 3 (Import Share = 0.5)</t>
        </is>
      </c>
    </row>
    <row r="91"/>
    <row r="92">
      <c r="A92" s="1" t="inlineStr">
        <is>
          <t>Year</t>
        </is>
      </c>
      <c r="B92" s="1" t="inlineStr">
        <is>
          <t>Real GDP (Million USD)</t>
        </is>
      </c>
      <c r="C92" s="1" t="inlineStr">
        <is>
          <t>Project Allocation (%)</t>
        </is>
      </c>
      <c r="D92" s="1" t="inlineStr">
        <is>
          <t>Project Investment (Million USD)</t>
        </is>
      </c>
      <c r="E92" s="1" t="inlineStr">
        <is>
          <t>Imports (Million USD)</t>
        </is>
      </c>
      <c r="F92" s="1" t="inlineStr">
        <is>
          <t>GDP Impact (Million USD)</t>
        </is>
      </c>
      <c r="G92" s="1" t="inlineStr">
        <is>
          <t>I-M (Million USD)</t>
        </is>
      </c>
      <c r="H92" s="1" t="inlineStr">
        <is>
          <t>Multiplier</t>
        </is>
      </c>
      <c r="I92" s="1" t="inlineStr">
        <is>
          <t>Impact (% of GDP)</t>
        </is>
      </c>
      <c r="J92" s="1" t="inlineStr">
        <is>
          <t>Baseline GDP Growth (%)</t>
        </is>
      </c>
      <c r="K92" s="1" t="inlineStr">
        <is>
          <t>Projected Growth (%)</t>
        </is>
      </c>
    </row>
    <row r="93">
      <c r="A93" t="n">
        <v>2020</v>
      </c>
      <c r="B93">
        <f>WEO_Data.B4</f>
        <v/>
      </c>
      <c r="C93">
        <f>C2040</f>
        <v/>
      </c>
      <c r="D93">
        <f>$C$117*1000*C93/100</f>
        <v/>
      </c>
      <c r="E93">
        <f>D93*$C$118</f>
        <v/>
      </c>
      <c r="F93">
        <f>(D93-E93)*$C$119</f>
        <v/>
      </c>
      <c r="G93">
        <f>D93-E93</f>
        <v/>
      </c>
      <c r="H93">
        <f>$C$119</f>
        <v/>
      </c>
      <c r="I93" s="2">
        <f>F93/B93</f>
        <v/>
      </c>
      <c r="J93">
        <f>WEO_Data.C4</f>
        <v/>
      </c>
      <c r="K93">
        <f>J93+F93/B93</f>
        <v/>
      </c>
    </row>
    <row r="94">
      <c r="A94" t="n">
        <v>2021</v>
      </c>
      <c r="B94">
        <f>WEO_Data.B5</f>
        <v/>
      </c>
      <c r="C94">
        <f>C2041</f>
        <v/>
      </c>
      <c r="D94">
        <f>$C$117*1000*C94/100</f>
        <v/>
      </c>
      <c r="E94">
        <f>D94*$C$118</f>
        <v/>
      </c>
      <c r="F94">
        <f>(D94-E94)*$C$119</f>
        <v/>
      </c>
      <c r="G94">
        <f>D94-E94</f>
        <v/>
      </c>
      <c r="H94">
        <f>$C$119</f>
        <v/>
      </c>
      <c r="I94" s="2">
        <f>F94/B94</f>
        <v/>
      </c>
      <c r="J94">
        <f>WEO_Data.C5</f>
        <v/>
      </c>
      <c r="K94">
        <f>J94+F94/B94</f>
        <v/>
      </c>
    </row>
    <row r="95">
      <c r="A95" t="n">
        <v>2022</v>
      </c>
      <c r="B95">
        <f>WEO_Data.B6</f>
        <v/>
      </c>
      <c r="C95">
        <f>C2042</f>
        <v/>
      </c>
      <c r="D95">
        <f>$C$117*1000*C95/100</f>
        <v/>
      </c>
      <c r="E95">
        <f>D95*$C$118</f>
        <v/>
      </c>
      <c r="F95">
        <f>(D95-E95)*$C$119</f>
        <v/>
      </c>
      <c r="G95">
        <f>D95-E95</f>
        <v/>
      </c>
      <c r="H95">
        <f>$C$119</f>
        <v/>
      </c>
      <c r="I95" s="2">
        <f>F95/B95</f>
        <v/>
      </c>
      <c r="J95">
        <f>WEO_Data.C6</f>
        <v/>
      </c>
      <c r="K95">
        <f>J95+F95/B95</f>
        <v/>
      </c>
    </row>
    <row r="96">
      <c r="A96" t="n">
        <v>2023</v>
      </c>
      <c r="B96">
        <f>WEO_Data.B7</f>
        <v/>
      </c>
      <c r="C96">
        <f>C2043</f>
        <v/>
      </c>
      <c r="D96">
        <f>$C$117*1000*C96/100</f>
        <v/>
      </c>
      <c r="E96">
        <f>D96*$C$118</f>
        <v/>
      </c>
      <c r="F96">
        <f>(D96-E96)*$C$119</f>
        <v/>
      </c>
      <c r="G96">
        <f>D96-E96</f>
        <v/>
      </c>
      <c r="H96">
        <f>$C$119</f>
        <v/>
      </c>
      <c r="I96" s="2">
        <f>F96/B96</f>
        <v/>
      </c>
      <c r="J96">
        <f>WEO_Data.C7</f>
        <v/>
      </c>
      <c r="K96">
        <f>J96+F96/B96</f>
        <v/>
      </c>
    </row>
    <row r="97">
      <c r="A97" t="n">
        <v>2024</v>
      </c>
      <c r="B97">
        <f>WEO_Data.B8</f>
        <v/>
      </c>
      <c r="C97">
        <f>C2044</f>
        <v/>
      </c>
      <c r="D97">
        <f>$C$117*1000*C97/100</f>
        <v/>
      </c>
      <c r="E97">
        <f>D97*$C$118</f>
        <v/>
      </c>
      <c r="F97">
        <f>(D97-E97)*$C$119</f>
        <v/>
      </c>
      <c r="G97">
        <f>D97-E97</f>
        <v/>
      </c>
      <c r="H97">
        <f>$C$119</f>
        <v/>
      </c>
      <c r="I97" s="2">
        <f>F97/B97</f>
        <v/>
      </c>
      <c r="J97">
        <f>WEO_Data.C8</f>
        <v/>
      </c>
      <c r="K97">
        <f>J97+F97/B97</f>
        <v/>
      </c>
    </row>
    <row r="98">
      <c r="A98" t="n">
        <v>2025</v>
      </c>
      <c r="B98">
        <f>WEO_Data.B9</f>
        <v/>
      </c>
      <c r="C98">
        <f>C2045</f>
        <v/>
      </c>
      <c r="D98">
        <f>$C$117*1000*C98/100</f>
        <v/>
      </c>
      <c r="E98">
        <f>D98*$C$118</f>
        <v/>
      </c>
      <c r="F98">
        <f>(D98-E98)*$C$119</f>
        <v/>
      </c>
      <c r="G98">
        <f>D98-E98</f>
        <v/>
      </c>
      <c r="H98">
        <f>$C$119</f>
        <v/>
      </c>
      <c r="I98" s="2">
        <f>F98/B98</f>
        <v/>
      </c>
      <c r="J98">
        <f>WEO_Data.C9</f>
        <v/>
      </c>
      <c r="K98">
        <f>J98+F98/B98</f>
        <v/>
      </c>
    </row>
    <row r="99">
      <c r="A99" t="n">
        <v>2026</v>
      </c>
      <c r="B99">
        <f>WEO_Data.B10</f>
        <v/>
      </c>
      <c r="C99">
        <f>C2046</f>
        <v/>
      </c>
      <c r="D99">
        <f>$C$117*1000*C99/100</f>
        <v/>
      </c>
      <c r="E99">
        <f>D99*$C$118</f>
        <v/>
      </c>
      <c r="F99">
        <f>(D99-E99)*$C$119</f>
        <v/>
      </c>
      <c r="G99">
        <f>D99-E99</f>
        <v/>
      </c>
      <c r="H99">
        <f>$C$119</f>
        <v/>
      </c>
      <c r="I99" s="2">
        <f>F99/B99</f>
        <v/>
      </c>
      <c r="J99">
        <f>WEO_Data.C10</f>
        <v/>
      </c>
      <c r="K99">
        <f>J99+F99/B99</f>
        <v/>
      </c>
    </row>
    <row r="100">
      <c r="A100" t="n">
        <v>2027</v>
      </c>
      <c r="B100">
        <f>WEO_Data.B11</f>
        <v/>
      </c>
      <c r="C100">
        <f>C2047</f>
        <v/>
      </c>
      <c r="D100">
        <f>$C$117*1000*C100/100</f>
        <v/>
      </c>
      <c r="E100">
        <f>D100*$C$118</f>
        <v/>
      </c>
      <c r="F100">
        <f>(D100-E100)*$C$119</f>
        <v/>
      </c>
      <c r="G100">
        <f>D100-E100</f>
        <v/>
      </c>
      <c r="H100">
        <f>$C$119</f>
        <v/>
      </c>
      <c r="I100" s="2">
        <f>F100/B100</f>
        <v/>
      </c>
      <c r="J100">
        <f>WEO_Data.C11</f>
        <v/>
      </c>
      <c r="K100">
        <f>J100+F100/B100</f>
        <v/>
      </c>
    </row>
    <row r="101">
      <c r="A101" t="n">
        <v>2028</v>
      </c>
      <c r="B101">
        <f>WEO_Data.B12</f>
        <v/>
      </c>
      <c r="C101">
        <f>C2048</f>
        <v/>
      </c>
      <c r="D101">
        <f>$C$117*1000*C101/100</f>
        <v/>
      </c>
      <c r="E101">
        <f>D101*$C$118</f>
        <v/>
      </c>
      <c r="F101">
        <f>(D101-E101)*$C$119</f>
        <v/>
      </c>
      <c r="G101">
        <f>D101-E101</f>
        <v/>
      </c>
      <c r="H101">
        <f>$C$119</f>
        <v/>
      </c>
      <c r="I101" s="2">
        <f>F101/B101</f>
        <v/>
      </c>
      <c r="J101">
        <f>WEO_Data.C12</f>
        <v/>
      </c>
      <c r="K101">
        <f>J101+F101/B101</f>
        <v/>
      </c>
    </row>
    <row r="102">
      <c r="A102" t="n">
        <v>2029</v>
      </c>
      <c r="B102">
        <f>WEO_Data.B13</f>
        <v/>
      </c>
      <c r="C102">
        <f>C2049</f>
        <v/>
      </c>
      <c r="D102">
        <f>$C$117*1000*C102/100</f>
        <v/>
      </c>
      <c r="E102">
        <f>D102*$C$118</f>
        <v/>
      </c>
      <c r="F102">
        <f>(D102-E102)*$C$119</f>
        <v/>
      </c>
      <c r="G102">
        <f>D102-E102</f>
        <v/>
      </c>
      <c r="H102">
        <f>$C$119</f>
        <v/>
      </c>
      <c r="I102" s="2">
        <f>F102/B102</f>
        <v/>
      </c>
      <c r="J102">
        <f>WEO_Data.C13</f>
        <v/>
      </c>
      <c r="K102">
        <f>J102+F102/B102</f>
        <v/>
      </c>
    </row>
    <row r="103">
      <c r="A103" t="n">
        <v>2030</v>
      </c>
      <c r="B103">
        <f>WEO_Data.B14</f>
        <v/>
      </c>
      <c r="C103">
        <f>C2050</f>
        <v/>
      </c>
      <c r="D103">
        <f>$C$117*1000*C103/100</f>
        <v/>
      </c>
      <c r="E103">
        <f>D103*$C$118</f>
        <v/>
      </c>
      <c r="F103">
        <f>(D103-E103)*$C$119</f>
        <v/>
      </c>
      <c r="G103">
        <f>D103-E103</f>
        <v/>
      </c>
      <c r="H103">
        <f>$C$119</f>
        <v/>
      </c>
      <c r="I103" s="2">
        <f>F103/B103</f>
        <v/>
      </c>
      <c r="J103">
        <f>WEO_Data.C14</f>
        <v/>
      </c>
      <c r="K103">
        <f>J103+F103/B103</f>
        <v/>
      </c>
    </row>
    <row r="104">
      <c r="A104" t="n">
        <v>2031</v>
      </c>
      <c r="B104">
        <f>WEO_Data.B15</f>
        <v/>
      </c>
      <c r="C104">
        <f>C2051</f>
        <v/>
      </c>
      <c r="D104">
        <f>$C$117*1000*C104/100</f>
        <v/>
      </c>
      <c r="E104">
        <f>D104*$C$118</f>
        <v/>
      </c>
      <c r="F104">
        <f>(D104-E104)*$C$119</f>
        <v/>
      </c>
      <c r="G104">
        <f>D104-E104</f>
        <v/>
      </c>
      <c r="H104">
        <f>$C$119</f>
        <v/>
      </c>
      <c r="I104" s="2">
        <f>F104/B104</f>
        <v/>
      </c>
      <c r="J104">
        <f>WEO_Data.C15</f>
        <v/>
      </c>
      <c r="K104">
        <f>J104+F104/B104</f>
        <v/>
      </c>
    </row>
    <row r="105">
      <c r="A105" t="n">
        <v>2032</v>
      </c>
      <c r="B105">
        <f>WEO_Data.B16</f>
        <v/>
      </c>
      <c r="C105">
        <f>C2052</f>
        <v/>
      </c>
      <c r="D105">
        <f>$C$117*1000*C105/100</f>
        <v/>
      </c>
      <c r="E105">
        <f>D105*$C$118</f>
        <v/>
      </c>
      <c r="F105">
        <f>(D105-E105)*$C$119</f>
        <v/>
      </c>
      <c r="G105">
        <f>D105-E105</f>
        <v/>
      </c>
      <c r="H105">
        <f>$C$119</f>
        <v/>
      </c>
      <c r="I105" s="2">
        <f>F105/B105</f>
        <v/>
      </c>
      <c r="J105">
        <f>WEO_Data.C16</f>
        <v/>
      </c>
      <c r="K105">
        <f>J105+F105/B105</f>
        <v/>
      </c>
    </row>
    <row r="106">
      <c r="A106" t="n">
        <v>2033</v>
      </c>
      <c r="B106">
        <f>WEO_Data.B17</f>
        <v/>
      </c>
      <c r="C106">
        <f>C2053</f>
        <v/>
      </c>
      <c r="D106">
        <f>$C$117*1000*C106/100</f>
        <v/>
      </c>
      <c r="E106">
        <f>D106*$C$118</f>
        <v/>
      </c>
      <c r="F106">
        <f>(D106-E106)*$C$119</f>
        <v/>
      </c>
      <c r="G106">
        <f>D106-E106</f>
        <v/>
      </c>
      <c r="H106">
        <f>$C$119</f>
        <v/>
      </c>
      <c r="I106" s="2">
        <f>F106/B106</f>
        <v/>
      </c>
      <c r="J106">
        <f>WEO_Data.C17</f>
        <v/>
      </c>
      <c r="K106">
        <f>J106+F106/B106</f>
        <v/>
      </c>
    </row>
    <row r="107">
      <c r="A107" t="n">
        <v>2034</v>
      </c>
      <c r="B107">
        <f>WEO_Data.B18</f>
        <v/>
      </c>
      <c r="C107">
        <f>C2054</f>
        <v/>
      </c>
      <c r="D107">
        <f>$C$117*1000*C107/100</f>
        <v/>
      </c>
      <c r="E107">
        <f>D107*$C$118</f>
        <v/>
      </c>
      <c r="F107">
        <f>(D107-E107)*$C$119</f>
        <v/>
      </c>
      <c r="G107">
        <f>D107-E107</f>
        <v/>
      </c>
      <c r="H107">
        <f>$C$119</f>
        <v/>
      </c>
      <c r="I107" s="2">
        <f>F107/B107</f>
        <v/>
      </c>
      <c r="J107">
        <f>WEO_Data.C18</f>
        <v/>
      </c>
      <c r="K107">
        <f>J107+F107/B107</f>
        <v/>
      </c>
    </row>
    <row r="108">
      <c r="A108" t="n">
        <v>2035</v>
      </c>
      <c r="B108">
        <f>WEO_Data.B19</f>
        <v/>
      </c>
      <c r="C108">
        <f>C2055</f>
        <v/>
      </c>
      <c r="D108">
        <f>$C$117*1000*C108/100</f>
        <v/>
      </c>
      <c r="E108">
        <f>D108*$C$118</f>
        <v/>
      </c>
      <c r="F108">
        <f>(D108-E108)*$C$119</f>
        <v/>
      </c>
      <c r="G108">
        <f>D108-E108</f>
        <v/>
      </c>
      <c r="H108">
        <f>$C$119</f>
        <v/>
      </c>
      <c r="I108" s="2">
        <f>F108/B108</f>
        <v/>
      </c>
      <c r="J108">
        <f>WEO_Data.C19</f>
        <v/>
      </c>
      <c r="K108">
        <f>J108+F108/B108</f>
        <v/>
      </c>
    </row>
    <row r="109">
      <c r="A109" t="n">
        <v>2036</v>
      </c>
      <c r="B109">
        <f>WEO_Data.B20</f>
        <v/>
      </c>
      <c r="C109">
        <f>C2056</f>
        <v/>
      </c>
      <c r="D109">
        <f>$C$117*1000*C109/100</f>
        <v/>
      </c>
      <c r="E109">
        <f>D109*$C$118</f>
        <v/>
      </c>
      <c r="F109">
        <f>(D109-E109)*$C$119</f>
        <v/>
      </c>
      <c r="G109">
        <f>D109-E109</f>
        <v/>
      </c>
      <c r="H109">
        <f>$C$119</f>
        <v/>
      </c>
      <c r="I109" s="2">
        <f>F109/B109</f>
        <v/>
      </c>
      <c r="J109">
        <f>WEO_Data.C20</f>
        <v/>
      </c>
      <c r="K109">
        <f>J109+F109/B109</f>
        <v/>
      </c>
    </row>
    <row r="110">
      <c r="A110" t="n">
        <v>2037</v>
      </c>
      <c r="B110">
        <f>WEO_Data.B21</f>
        <v/>
      </c>
      <c r="C110">
        <f>C2057</f>
        <v/>
      </c>
      <c r="D110">
        <f>$C$117*1000*C110/100</f>
        <v/>
      </c>
      <c r="E110">
        <f>D110*$C$118</f>
        <v/>
      </c>
      <c r="F110">
        <f>(D110-E110)*$C$119</f>
        <v/>
      </c>
      <c r="G110">
        <f>D110-E110</f>
        <v/>
      </c>
      <c r="H110">
        <f>$C$119</f>
        <v/>
      </c>
      <c r="I110" s="2">
        <f>F110/B110</f>
        <v/>
      </c>
      <c r="J110">
        <f>WEO_Data.C21</f>
        <v/>
      </c>
      <c r="K110">
        <f>J110+F110/B110</f>
        <v/>
      </c>
    </row>
    <row r="111">
      <c r="A111" t="n">
        <v>2038</v>
      </c>
      <c r="B111">
        <f>WEO_Data.B22</f>
        <v/>
      </c>
      <c r="C111">
        <f>C2058</f>
        <v/>
      </c>
      <c r="D111">
        <f>$C$117*1000*C111/100</f>
        <v/>
      </c>
      <c r="E111">
        <f>D111*$C$118</f>
        <v/>
      </c>
      <c r="F111">
        <f>(D111-E111)*$C$119</f>
        <v/>
      </c>
      <c r="G111">
        <f>D111-E111</f>
        <v/>
      </c>
      <c r="H111">
        <f>$C$119</f>
        <v/>
      </c>
      <c r="I111" s="2">
        <f>F111/B111</f>
        <v/>
      </c>
      <c r="J111">
        <f>WEO_Data.C22</f>
        <v/>
      </c>
      <c r="K111">
        <f>J111+F111/B111</f>
        <v/>
      </c>
    </row>
    <row r="112">
      <c r="A112" t="n">
        <v>2039</v>
      </c>
      <c r="B112">
        <f>WEO_Data.B23</f>
        <v/>
      </c>
      <c r="C112">
        <f>C2059</f>
        <v/>
      </c>
      <c r="D112">
        <f>$C$117*1000*C112/100</f>
        <v/>
      </c>
      <c r="E112">
        <f>D112*$C$118</f>
        <v/>
      </c>
      <c r="F112">
        <f>(D112-E112)*$C$119</f>
        <v/>
      </c>
      <c r="G112">
        <f>D112-E112</f>
        <v/>
      </c>
      <c r="H112">
        <f>$C$119</f>
        <v/>
      </c>
      <c r="I112" s="2">
        <f>F112/B112</f>
        <v/>
      </c>
      <c r="J112">
        <f>WEO_Data.C23</f>
        <v/>
      </c>
      <c r="K112">
        <f>J112+F112/B112</f>
        <v/>
      </c>
    </row>
    <row r="113">
      <c r="A113" t="n">
        <v>2040</v>
      </c>
      <c r="B113">
        <f>WEO_Data.B24</f>
        <v/>
      </c>
      <c r="C113">
        <f>C2060</f>
        <v/>
      </c>
      <c r="D113">
        <f>$C$117*1000*C113/100</f>
        <v/>
      </c>
      <c r="E113">
        <f>D113*$C$118</f>
        <v/>
      </c>
      <c r="F113">
        <f>(D113-E113)*$C$119</f>
        <v/>
      </c>
      <c r="G113">
        <f>D113-E113</f>
        <v/>
      </c>
      <c r="H113">
        <f>$C$119</f>
        <v/>
      </c>
      <c r="I113" s="2">
        <f>F113/B113</f>
        <v/>
      </c>
      <c r="J113">
        <f>WEO_Data.C24</f>
        <v/>
      </c>
      <c r="K113">
        <f>J113+F113/B113</f>
        <v/>
      </c>
    </row>
    <row r="114">
      <c r="A114" t="n">
        <v>2041</v>
      </c>
      <c r="B114">
        <f>WEO_Data.B25</f>
        <v/>
      </c>
      <c r="C114">
        <f>C2061</f>
        <v/>
      </c>
      <c r="D114">
        <f>$C$117*1000*C114/100</f>
        <v/>
      </c>
      <c r="E114">
        <f>D114*$C$118</f>
        <v/>
      </c>
      <c r="F114">
        <f>(D114-E114)*$C$119</f>
        <v/>
      </c>
      <c r="G114">
        <f>D114-E114</f>
        <v/>
      </c>
      <c r="H114">
        <f>$C$119</f>
        <v/>
      </c>
      <c r="I114" s="2">
        <f>F114/B114</f>
        <v/>
      </c>
      <c r="J114">
        <f>WEO_Data.C25</f>
        <v/>
      </c>
      <c r="K114">
        <f>J114+F114/B114</f>
        <v/>
      </c>
    </row>
    <row r="115">
      <c r="A115" s="1" t="n">
        <v>2042</v>
      </c>
      <c r="B115">
        <f>WEO_Data.B26</f>
        <v/>
      </c>
      <c r="C115">
        <f>C2062</f>
        <v/>
      </c>
      <c r="D115">
        <f>$C$117*1000*C115/100</f>
        <v/>
      </c>
      <c r="E115">
        <f>D115*$C$118</f>
        <v/>
      </c>
      <c r="F115">
        <f>(D115-E115)*$C$119</f>
        <v/>
      </c>
      <c r="G115">
        <f>D115-E115</f>
        <v/>
      </c>
      <c r="H115">
        <f>$C$119</f>
        <v/>
      </c>
      <c r="I115" s="2">
        <f>F115/B115</f>
        <v/>
      </c>
      <c r="J115">
        <f>WEO_Data.C26</f>
        <v/>
      </c>
      <c r="K115">
        <f>J115+F115/B115</f>
        <v/>
      </c>
    </row>
    <row r="116">
      <c r="A116" t="n">
        <v>2043</v>
      </c>
      <c r="B116">
        <f>WEO_Data.B27</f>
        <v/>
      </c>
      <c r="C116">
        <f>C2063</f>
        <v/>
      </c>
      <c r="D116">
        <f>$C$117*1000*C116/100</f>
        <v/>
      </c>
      <c r="E116">
        <f>D116*$C$118</f>
        <v/>
      </c>
      <c r="F116">
        <f>(D116-E116)*$C$119</f>
        <v/>
      </c>
      <c r="G116">
        <f>D116-E116</f>
        <v/>
      </c>
      <c r="H116">
        <f>$C$119</f>
        <v/>
      </c>
      <c r="I116" s="2">
        <f>F116/B116</f>
        <v/>
      </c>
      <c r="J116">
        <f>WEO_Data.C27</f>
        <v/>
      </c>
      <c r="K116">
        <f>J116+F116/B116</f>
        <v/>
      </c>
    </row>
    <row r="117">
      <c r="A117" t="inlineStr">
        <is>
          <t>Total Investment (Billion USD)</t>
        </is>
      </c>
      <c r="C117" t="n">
        <v>6.5</v>
      </c>
    </row>
    <row r="118">
      <c r="A118" t="inlineStr">
        <is>
          <t>Import Content Share</t>
        </is>
      </c>
      <c r="C118" s="5" t="n">
        <v>0.5</v>
      </c>
    </row>
    <row r="119">
      <c r="A119" t="inlineStr">
        <is>
          <t>Demand Multiplier</t>
        </is>
      </c>
      <c r="C119" t="n">
        <v>0.8</v>
      </c>
    </row>
    <row r="120">
      <c r="A120" t="inlineStr">
        <is>
          <t>Exchange Rate (GEL/USD)</t>
        </is>
      </c>
      <c r="C120" t="n">
        <v>2.746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2026-01-27T03:58:00Z</dcterms:created>
  <dcterms:modified xsi:type="dcterms:W3CDTF">2026-01-27T03:58:00Z</dcterms:modified>
</cp:coreProperties>
</file>