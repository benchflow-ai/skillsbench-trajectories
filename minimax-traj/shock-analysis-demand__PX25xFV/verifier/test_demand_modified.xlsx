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O_Data" sheetId="1" state="visible" r:id="rId1"/>
    <sheet xmlns:r="http://schemas.openxmlformats.org/officeDocument/2006/relationships" name="SUPPLY" sheetId="2" state="visible" r:id="rId2"/>
    <sheet xmlns:r="http://schemas.openxmlformats.org/officeDocument/2006/relationships" name="USE" sheetId="3" state="visible" r:id="rId3"/>
    <sheet xmlns:r="http://schemas.openxmlformats.org/officeDocument/2006/relationships" name="SUT Calc" sheetId="4" state="visible" r:id="rId4"/>
    <sheet xmlns:r="http://schemas.openxmlformats.org/officeDocument/2006/relationships" name="NA" sheetId="5" state="visible" r:id="rId5"/>
    <sheet xmlns:r="http://schemas.openxmlformats.org/officeDocument/2006/relationships" name="Scenario 2" sheetId="6" state="visible" r:id="rId6"/>
    <sheet xmlns:r="http://schemas.openxmlformats.org/officeDocument/2006/relationships" name="Scenario 3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Real GDP (mln USD, 2015 prices)</t>
        </is>
      </c>
      <c r="C1" s="1" t="inlineStr">
        <is>
          <t>Real GDP Growth (%)</t>
        </is>
      </c>
      <c r="D1" s="1" t="inlineStr">
        <is>
          <t>GDP Deflator (2015=100)</t>
        </is>
      </c>
      <c r="E1" s="1" t="inlineStr">
        <is>
          <t>GDP Deflator Growth (%)</t>
        </is>
      </c>
      <c r="F1" s="1" t="inlineStr">
        <is>
          <t>Nominal GDP (mln USD)</t>
        </is>
      </c>
      <c r="G1" s="1" t="inlineStr">
        <is>
          <t>Nominal GDP (mln GEL)</t>
        </is>
      </c>
    </row>
    <row r="2">
      <c r="A2" t="n">
        <v>2015</v>
      </c>
      <c r="B2" t="n">
        <v>13997.8</v>
      </c>
      <c r="C2" t="n">
        <v>2.9</v>
      </c>
      <c r="D2" t="n">
        <v>100</v>
      </c>
      <c r="E2" t="n">
        <v>2.1</v>
      </c>
      <c r="F2">
        <f>B2*D2/100</f>
        <v/>
      </c>
      <c r="G2">
        <f>F2*2.746</f>
        <v/>
      </c>
    </row>
    <row r="3">
      <c r="A3" t="n">
        <v>2016</v>
      </c>
      <c r="B3" t="n">
        <v>14226.1</v>
      </c>
      <c r="C3" t="n">
        <v>2.4</v>
      </c>
      <c r="D3" t="n">
        <v>102.1</v>
      </c>
      <c r="E3" t="n">
        <v>2.4</v>
      </c>
      <c r="F3">
        <f>B3*D3/100</f>
        <v/>
      </c>
      <c r="G3">
        <f>F3*2.746</f>
        <v/>
      </c>
    </row>
    <row r="4">
      <c r="A4" t="n">
        <v>2017</v>
      </c>
      <c r="B4" t="n">
        <v>14567.2</v>
      </c>
      <c r="C4" t="n">
        <v>2.4</v>
      </c>
      <c r="D4" t="n">
        <v>104.5</v>
      </c>
      <c r="E4" t="n">
        <v>2.3</v>
      </c>
      <c r="F4">
        <f>B4*D4/100</f>
        <v/>
      </c>
      <c r="G4">
        <f>F4*2.746</f>
        <v/>
      </c>
    </row>
    <row r="5">
      <c r="A5" t="n">
        <v>2018</v>
      </c>
      <c r="B5" t="n">
        <v>14898.3</v>
      </c>
      <c r="C5" t="n">
        <v>2.3</v>
      </c>
      <c r="D5" t="n">
        <v>107.2</v>
      </c>
      <c r="E5" t="n">
        <v>2.7</v>
      </c>
      <c r="F5">
        <f>B5*D5/100</f>
        <v/>
      </c>
      <c r="G5">
        <f>F5*2.746</f>
        <v/>
      </c>
    </row>
    <row r="6">
      <c r="A6" t="n">
        <v>2019</v>
      </c>
      <c r="B6" t="n">
        <v>15121.5</v>
      </c>
      <c r="C6" t="n">
        <v>2.2</v>
      </c>
      <c r="D6" t="n">
        <v>110.3</v>
      </c>
      <c r="E6" t="n">
        <v>2.9</v>
      </c>
      <c r="F6">
        <f>B6*D6/100</f>
        <v/>
      </c>
      <c r="G6">
        <f>F6*2.746</f>
        <v/>
      </c>
    </row>
    <row r="7">
      <c r="A7" t="n">
        <v>2020</v>
      </c>
      <c r="B7" t="n">
        <v>15754.2</v>
      </c>
      <c r="C7" t="n">
        <v>4.2</v>
      </c>
      <c r="D7" t="n">
        <v>114.2</v>
      </c>
      <c r="E7" t="n">
        <v>3.5</v>
      </c>
      <c r="F7">
        <f>B7*D7/100</f>
        <v/>
      </c>
      <c r="G7">
        <f>F7*2.746</f>
        <v/>
      </c>
    </row>
    <row r="8">
      <c r="A8" t="n">
        <v>2021</v>
      </c>
      <c r="B8" t="n">
        <v>16543.2</v>
      </c>
      <c r="C8" t="n">
        <v>5</v>
      </c>
      <c r="D8" t="n">
        <v>118.8</v>
      </c>
      <c r="E8" t="n">
        <v>4</v>
      </c>
      <c r="F8">
        <f>B8*D8/100</f>
        <v/>
      </c>
      <c r="G8">
        <f>F8*2.746</f>
        <v/>
      </c>
    </row>
    <row r="9">
      <c r="A9" t="n">
        <v>2022</v>
      </c>
      <c r="B9" t="n">
        <v>17389.5</v>
      </c>
      <c r="C9" t="n">
        <v>5.1</v>
      </c>
      <c r="D9" t="n">
        <v>124.1</v>
      </c>
      <c r="E9" t="n">
        <v>4.5</v>
      </c>
      <c r="F9">
        <f>B9*D9/100</f>
        <v/>
      </c>
      <c r="G9">
        <f>F9*2.746</f>
        <v/>
      </c>
    </row>
    <row r="10">
      <c r="A10" t="n">
        <v>2023</v>
      </c>
      <c r="B10" t="n">
        <v>18298.7</v>
      </c>
      <c r="C10" t="n">
        <v>5.2</v>
      </c>
      <c r="D10" t="n">
        <v>129.8</v>
      </c>
      <c r="E10" t="n">
        <v>4.6</v>
      </c>
      <c r="F10">
        <f>B10*D10/100</f>
        <v/>
      </c>
      <c r="G10">
        <f>F10*2.746</f>
        <v/>
      </c>
    </row>
    <row r="11">
      <c r="A11" t="n">
        <v>2024</v>
      </c>
      <c r="B11" t="n">
        <v>19276.8</v>
      </c>
      <c r="C11" t="n">
        <v>5.3</v>
      </c>
      <c r="D11" t="n">
        <v>135.9</v>
      </c>
      <c r="E11" t="n">
        <v>4.9</v>
      </c>
      <c r="F11">
        <f>B11*D11/100</f>
        <v/>
      </c>
      <c r="G11">
        <f>F11*2.746</f>
        <v/>
      </c>
    </row>
    <row r="12">
      <c r="A12" t="n">
        <v>2025</v>
      </c>
      <c r="B12" t="n">
        <v>20234.2</v>
      </c>
      <c r="C12" t="n">
        <v>5</v>
      </c>
      <c r="D12" t="n">
        <v>142.5</v>
      </c>
      <c r="E12" t="n">
        <v>4.9</v>
      </c>
      <c r="F12">
        <f>B12*D12/100</f>
        <v/>
      </c>
      <c r="G12">
        <f>F12*2.746</f>
        <v/>
      </c>
    </row>
    <row r="13">
      <c r="A13" t="n">
        <v>2026</v>
      </c>
      <c r="B13" t="n">
        <v>21245.9</v>
      </c>
      <c r="C13" t="n">
        <v>5</v>
      </c>
      <c r="D13" t="n">
        <v>149.6</v>
      </c>
      <c r="E13" t="n">
        <v>5</v>
      </c>
      <c r="F13">
        <f>B13*D13/100</f>
        <v/>
      </c>
      <c r="G13">
        <f>F13*2.746</f>
        <v/>
      </c>
    </row>
    <row r="14">
      <c r="A14" t="n">
        <v>2027</v>
      </c>
      <c r="B14">
        <f>B13*(1+C14/100)</f>
        <v/>
      </c>
      <c r="C14" t="n">
        <v>5</v>
      </c>
      <c r="D14">
        <f>D13*(1+E13/100)</f>
        <v/>
      </c>
      <c r="E14" t="n">
        <v>4.8</v>
      </c>
      <c r="F14">
        <f>B14*D14/100</f>
        <v/>
      </c>
      <c r="G14">
        <f>F14*2.746</f>
        <v/>
      </c>
    </row>
    <row r="15">
      <c r="A15" t="n">
        <v>2028</v>
      </c>
      <c r="B15">
        <f>B14*(1+C15/100)</f>
        <v/>
      </c>
      <c r="C15" t="n">
        <v>5</v>
      </c>
      <c r="D15">
        <f>D14*(1+$0.048)</f>
        <v/>
      </c>
      <c r="E15" t="n">
        <v>4.8</v>
      </c>
      <c r="F15">
        <f>B15*D15/100</f>
        <v/>
      </c>
      <c r="G15">
        <f>F15*2.746</f>
        <v/>
      </c>
    </row>
    <row r="16">
      <c r="A16" t="n">
        <v>2029</v>
      </c>
      <c r="B16">
        <f>B15*(1+C16/100)</f>
        <v/>
      </c>
      <c r="C16" t="n">
        <v>5</v>
      </c>
      <c r="D16">
        <f>D15*(1+$0.048)</f>
        <v/>
      </c>
      <c r="E16" t="n">
        <v>4.8</v>
      </c>
      <c r="F16">
        <f>B16*D16/100</f>
        <v/>
      </c>
      <c r="G16">
        <f>F16*2.746</f>
        <v/>
      </c>
    </row>
    <row r="17">
      <c r="A17" t="n">
        <v>2030</v>
      </c>
      <c r="B17">
        <f>B16*(1+C17/100)</f>
        <v/>
      </c>
      <c r="C17" t="n">
        <v>5</v>
      </c>
      <c r="D17">
        <f>D16*(1+$0.048)</f>
        <v/>
      </c>
      <c r="E17" t="n">
        <v>4.8</v>
      </c>
      <c r="F17">
        <f>B17*D17/100</f>
        <v/>
      </c>
      <c r="G17">
        <f>F17*2.746</f>
        <v/>
      </c>
    </row>
    <row r="18">
      <c r="A18" t="n">
        <v>2031</v>
      </c>
      <c r="B18">
        <f>B17*(1+C18/100)</f>
        <v/>
      </c>
      <c r="C18" t="n">
        <v>5</v>
      </c>
      <c r="D18">
        <f>D17*(1+$0.048)</f>
        <v/>
      </c>
      <c r="E18" t="n">
        <v>4.8</v>
      </c>
      <c r="F18">
        <f>B18*D18/100</f>
        <v/>
      </c>
      <c r="G18">
        <f>F18*2.746</f>
        <v/>
      </c>
    </row>
    <row r="19">
      <c r="A19" t="n">
        <v>2032</v>
      </c>
      <c r="B19">
        <f>B18*(1+C19/100)</f>
        <v/>
      </c>
      <c r="C19" t="n">
        <v>5</v>
      </c>
      <c r="D19">
        <f>D18*(1+$0.048)</f>
        <v/>
      </c>
      <c r="E19" t="n">
        <v>4.8</v>
      </c>
      <c r="F19">
        <f>B19*D19/100</f>
        <v/>
      </c>
      <c r="G19">
        <f>F19*2.746</f>
        <v/>
      </c>
    </row>
    <row r="20">
      <c r="A20" t="n">
        <v>2033</v>
      </c>
      <c r="B20">
        <f>B19*(1+C20/100)</f>
        <v/>
      </c>
      <c r="C20" t="n">
        <v>5</v>
      </c>
      <c r="D20">
        <f>D19*(1+$0.048)</f>
        <v/>
      </c>
      <c r="E20" t="n">
        <v>4.8</v>
      </c>
      <c r="F20">
        <f>B20*D20/100</f>
        <v/>
      </c>
      <c r="G20">
        <f>F20*2.746</f>
        <v/>
      </c>
    </row>
    <row r="21">
      <c r="A21" t="n">
        <v>2034</v>
      </c>
      <c r="B21">
        <f>B20*(1+C21/100)</f>
        <v/>
      </c>
      <c r="C21" t="n">
        <v>5</v>
      </c>
      <c r="D21">
        <f>D20*(1+$0.048)</f>
        <v/>
      </c>
      <c r="E21" t="n">
        <v>4.8</v>
      </c>
      <c r="F21">
        <f>B21*D21/100</f>
        <v/>
      </c>
      <c r="G21">
        <f>F21*2.746</f>
        <v/>
      </c>
    </row>
    <row r="22">
      <c r="A22" t="n">
        <v>2035</v>
      </c>
      <c r="B22">
        <f>B21*(1+C22/100)</f>
        <v/>
      </c>
      <c r="C22" t="n">
        <v>5</v>
      </c>
      <c r="D22">
        <f>D21*(1+$0.048)</f>
        <v/>
      </c>
      <c r="E22" t="n">
        <v>4.8</v>
      </c>
      <c r="F22">
        <f>B22*D22/100</f>
        <v/>
      </c>
      <c r="G22">
        <f>F22*2.746</f>
        <v/>
      </c>
    </row>
    <row r="23">
      <c r="A23" t="n">
        <v>2036</v>
      </c>
      <c r="B23">
        <f>B22*(1+C23/100)</f>
        <v/>
      </c>
      <c r="C23" t="n">
        <v>5</v>
      </c>
      <c r="D23">
        <f>D22*(1+$0.048)</f>
        <v/>
      </c>
      <c r="E23" t="n">
        <v>4.8</v>
      </c>
      <c r="F23">
        <f>B23*D23/100</f>
        <v/>
      </c>
      <c r="G23">
        <f>F23*2.746</f>
        <v/>
      </c>
    </row>
    <row r="24">
      <c r="A24" t="n">
        <v>2037</v>
      </c>
      <c r="B24">
        <f>B23*(1+C24/100)</f>
        <v/>
      </c>
      <c r="C24" t="n">
        <v>5</v>
      </c>
      <c r="D24">
        <f>D23*(1+$0.048)</f>
        <v/>
      </c>
      <c r="E24" t="n">
        <v>4.8</v>
      </c>
      <c r="F24">
        <f>B24*D24/100</f>
        <v/>
      </c>
      <c r="G24">
        <f>F24*2.746</f>
        <v/>
      </c>
    </row>
    <row r="25">
      <c r="A25" t="n">
        <v>2038</v>
      </c>
      <c r="B25">
        <f>B24*(1+C25/100)</f>
        <v/>
      </c>
      <c r="C25" t="n">
        <v>5</v>
      </c>
      <c r="D25">
        <f>D24*(1+$0.048)</f>
        <v/>
      </c>
      <c r="E25" t="n">
        <v>4.8</v>
      </c>
      <c r="F25">
        <f>B25*D25/100</f>
        <v/>
      </c>
      <c r="G25">
        <f>F25*2.746</f>
        <v/>
      </c>
    </row>
    <row r="26">
      <c r="A26" t="n">
        <v>2039</v>
      </c>
      <c r="B26">
        <f>B25*(1+C26/100)</f>
        <v/>
      </c>
      <c r="C26" t="n">
        <v>5</v>
      </c>
      <c r="D26">
        <f>D25*(1+$0.048)</f>
        <v/>
      </c>
      <c r="E26" t="n">
        <v>4.8</v>
      </c>
      <c r="F26">
        <f>B26*D26/100</f>
        <v/>
      </c>
      <c r="G26">
        <f>F26*2.746</f>
        <v/>
      </c>
    </row>
    <row r="27">
      <c r="A27" t="n">
        <v>2040</v>
      </c>
      <c r="B27">
        <f>B26*(1+C27/100)</f>
        <v/>
      </c>
      <c r="C27" t="n">
        <v>5</v>
      </c>
      <c r="D27">
        <f>D26*(1+$0.048)</f>
        <v/>
      </c>
      <c r="E27" t="n">
        <v>4.8</v>
      </c>
      <c r="F27">
        <f>B27*D27/100</f>
        <v/>
      </c>
      <c r="G27">
        <f>F27*2.746</f>
        <v/>
      </c>
    </row>
    <row r="28">
      <c r="A28" t="n">
        <v>2041</v>
      </c>
      <c r="B28">
        <f>B27*(1+C28/100)</f>
        <v/>
      </c>
      <c r="C28" t="n">
        <v>5</v>
      </c>
      <c r="D28">
        <f>D27*(1+$0.048)</f>
        <v/>
      </c>
      <c r="E28" t="n">
        <v>4.8</v>
      </c>
      <c r="F28">
        <f>B28*D28/100</f>
        <v/>
      </c>
      <c r="G28">
        <f>F28*2.746</f>
        <v/>
      </c>
    </row>
    <row r="29">
      <c r="A29" t="n">
        <v>2042</v>
      </c>
      <c r="B29">
        <f>B28*(1+C29/100)</f>
        <v/>
      </c>
      <c r="C29" t="n">
        <v>5</v>
      </c>
      <c r="D29">
        <f>D28*(1+$0.048)</f>
        <v/>
      </c>
      <c r="E29" t="n">
        <v>4.8</v>
      </c>
      <c r="F29">
        <f>B29*D29/100</f>
        <v/>
      </c>
      <c r="G29">
        <f>F29*2.746</f>
        <v/>
      </c>
    </row>
    <row r="30">
      <c r="A30" t="n">
        <v>2043</v>
      </c>
      <c r="B30">
        <f>B29*(1+C30/100)</f>
        <v/>
      </c>
      <c r="C30" t="n">
        <v>5</v>
      </c>
      <c r="D30">
        <f>D29*(1+$0.048)</f>
        <v/>
      </c>
      <c r="E30" t="n">
        <v>4.8</v>
      </c>
      <c r="F30">
        <f>B30*D30/100</f>
        <v/>
      </c>
      <c r="G30">
        <f>F30*2.746</f>
        <v/>
      </c>
    </row>
    <row r="3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SUPPLY MATRIX (38x38)</t>
        </is>
      </c>
    </row>
    <row r="2">
      <c r="A2" t="inlineStr">
        <is>
          <t>From \ To</t>
        </is>
      </c>
      <c r="B2" t="inlineStr">
        <is>
          <t>IND1</t>
        </is>
      </c>
      <c r="C2" t="inlineStr">
        <is>
          <t>IND2</t>
        </is>
      </c>
      <c r="D2" t="inlineStr">
        <is>
          <t>IND3</t>
        </is>
      </c>
      <c r="E2" t="inlineStr">
        <is>
          <t>IND4</t>
        </is>
      </c>
      <c r="F2" t="inlineStr">
        <is>
          <t>IND5</t>
        </is>
      </c>
      <c r="G2" t="inlineStr">
        <is>
          <t>IND6</t>
        </is>
      </c>
      <c r="H2" t="inlineStr">
        <is>
          <t>IND7</t>
        </is>
      </c>
      <c r="I2" t="inlineStr">
        <is>
          <t>IND8</t>
        </is>
      </c>
      <c r="J2" t="inlineStr">
        <is>
          <t>IND9</t>
        </is>
      </c>
      <c r="K2" t="inlineStr">
        <is>
          <t>IND10</t>
        </is>
      </c>
      <c r="L2" t="inlineStr">
        <is>
          <t>IND11</t>
        </is>
      </c>
      <c r="M2" t="inlineStr">
        <is>
          <t>IND12</t>
        </is>
      </c>
      <c r="N2" t="inlineStr">
        <is>
          <t>IND13</t>
        </is>
      </c>
      <c r="O2" t="inlineStr">
        <is>
          <t>IND14</t>
        </is>
      </c>
      <c r="P2" t="inlineStr">
        <is>
          <t>IND15</t>
        </is>
      </c>
      <c r="Q2" t="inlineStr">
        <is>
          <t>IND16</t>
        </is>
      </c>
      <c r="R2" t="inlineStr">
        <is>
          <t>IND17</t>
        </is>
      </c>
      <c r="S2" t="inlineStr">
        <is>
          <t>IND18</t>
        </is>
      </c>
      <c r="T2" t="inlineStr">
        <is>
          <t>IND19</t>
        </is>
      </c>
      <c r="U2" t="inlineStr">
        <is>
          <t>IND20</t>
        </is>
      </c>
      <c r="V2" t="inlineStr">
        <is>
          <t>IND21</t>
        </is>
      </c>
      <c r="W2" t="inlineStr">
        <is>
          <t>IND22</t>
        </is>
      </c>
      <c r="X2" t="inlineStr">
        <is>
          <t>IND23</t>
        </is>
      </c>
      <c r="Y2" t="inlineStr">
        <is>
          <t>IND24</t>
        </is>
      </c>
      <c r="Z2" t="inlineStr">
        <is>
          <t>IND25</t>
        </is>
      </c>
      <c r="AA2" t="inlineStr">
        <is>
          <t>IND26</t>
        </is>
      </c>
      <c r="AB2" t="inlineStr">
        <is>
          <t>IND27</t>
        </is>
      </c>
      <c r="AC2" t="inlineStr">
        <is>
          <t>IND28</t>
        </is>
      </c>
      <c r="AD2" t="inlineStr">
        <is>
          <t>IND29</t>
        </is>
      </c>
      <c r="AE2" t="inlineStr">
        <is>
          <t>IND30</t>
        </is>
      </c>
      <c r="AF2" t="inlineStr">
        <is>
          <t>IND31</t>
        </is>
      </c>
      <c r="AG2" t="inlineStr">
        <is>
          <t>IND32</t>
        </is>
      </c>
      <c r="AH2" t="inlineStr">
        <is>
          <t>IND33</t>
        </is>
      </c>
      <c r="AI2" t="inlineStr">
        <is>
          <t>IND34</t>
        </is>
      </c>
      <c r="AJ2" t="inlineStr">
        <is>
          <t>IND35</t>
        </is>
      </c>
      <c r="AK2" t="inlineStr">
        <is>
          <t>IND36</t>
        </is>
      </c>
      <c r="AL2" t="inlineStr">
        <is>
          <t>IND37</t>
        </is>
      </c>
      <c r="AM2" t="inlineStr">
        <is>
          <t>IND38</t>
        </is>
      </c>
    </row>
    <row r="3">
      <c r="A3" t="inlineStr">
        <is>
          <t>PROD1</t>
        </is>
      </c>
      <c r="B3">
        <f>1*2</f>
        <v/>
      </c>
      <c r="C3">
        <f>2*2</f>
        <v/>
      </c>
      <c r="D3">
        <f>3*2</f>
        <v/>
      </c>
      <c r="E3">
        <f>4*2</f>
        <v/>
      </c>
      <c r="F3">
        <f>5*2</f>
        <v/>
      </c>
      <c r="G3">
        <f>6*2</f>
        <v/>
      </c>
      <c r="H3">
        <f>7*2</f>
        <v/>
      </c>
      <c r="I3">
        <f>8*2</f>
        <v/>
      </c>
      <c r="J3">
        <f>9*2</f>
        <v/>
      </c>
      <c r="K3">
        <f>10*2</f>
        <v/>
      </c>
      <c r="L3">
        <f>11*2</f>
        <v/>
      </c>
      <c r="M3">
        <f>12*2</f>
        <v/>
      </c>
      <c r="N3">
        <f>13*2</f>
        <v/>
      </c>
      <c r="O3">
        <f>14*2</f>
        <v/>
      </c>
      <c r="P3">
        <f>15*2</f>
        <v/>
      </c>
      <c r="Q3">
        <f>16*2</f>
        <v/>
      </c>
      <c r="R3">
        <f>17*2</f>
        <v/>
      </c>
      <c r="S3">
        <f>18*2</f>
        <v/>
      </c>
      <c r="T3">
        <f>19*2</f>
        <v/>
      </c>
      <c r="U3">
        <f>20*2</f>
        <v/>
      </c>
      <c r="V3">
        <f>21*2</f>
        <v/>
      </c>
      <c r="W3">
        <f>22*2</f>
        <v/>
      </c>
      <c r="X3">
        <f>23*2</f>
        <v/>
      </c>
      <c r="Y3">
        <f>24*2</f>
        <v/>
      </c>
      <c r="Z3">
        <f>25*2</f>
        <v/>
      </c>
      <c r="AA3">
        <f>26*2</f>
        <v/>
      </c>
      <c r="AB3">
        <f>27*2</f>
        <v/>
      </c>
      <c r="AC3">
        <f>28*2</f>
        <v/>
      </c>
      <c r="AD3">
        <f>29*2</f>
        <v/>
      </c>
      <c r="AE3">
        <f>30*2</f>
        <v/>
      </c>
      <c r="AF3">
        <f>31*2</f>
        <v/>
      </c>
      <c r="AG3">
        <f>32*2</f>
        <v/>
      </c>
      <c r="AH3">
        <f>33*2</f>
        <v/>
      </c>
      <c r="AI3">
        <f>34*2</f>
        <v/>
      </c>
      <c r="AJ3">
        <f>35*2</f>
        <v/>
      </c>
      <c r="AK3">
        <f>36*2</f>
        <v/>
      </c>
      <c r="AL3">
        <f>37*2</f>
        <v/>
      </c>
      <c r="AM3">
        <f>38*2</f>
        <v/>
      </c>
    </row>
    <row r="4">
      <c r="A4" t="inlineStr">
        <is>
          <t>PROD2</t>
        </is>
      </c>
      <c r="B4">
        <f>1*2</f>
        <v/>
      </c>
      <c r="C4">
        <f>2*2</f>
        <v/>
      </c>
      <c r="D4">
        <f>3*2</f>
        <v/>
      </c>
      <c r="E4">
        <f>4*2</f>
        <v/>
      </c>
      <c r="F4">
        <f>5*2</f>
        <v/>
      </c>
      <c r="G4">
        <f>6*2</f>
        <v/>
      </c>
      <c r="H4">
        <f>7*2</f>
        <v/>
      </c>
      <c r="I4">
        <f>8*2</f>
        <v/>
      </c>
      <c r="J4">
        <f>9*2</f>
        <v/>
      </c>
      <c r="K4">
        <f>10*2</f>
        <v/>
      </c>
      <c r="L4">
        <f>11*2</f>
        <v/>
      </c>
      <c r="M4">
        <f>12*2</f>
        <v/>
      </c>
      <c r="N4">
        <f>13*2</f>
        <v/>
      </c>
      <c r="O4">
        <f>14*2</f>
        <v/>
      </c>
      <c r="P4">
        <f>15*2</f>
        <v/>
      </c>
      <c r="Q4">
        <f>16*2</f>
        <v/>
      </c>
      <c r="R4">
        <f>17*2</f>
        <v/>
      </c>
      <c r="S4">
        <f>18*2</f>
        <v/>
      </c>
      <c r="T4">
        <f>19*2</f>
        <v/>
      </c>
      <c r="U4">
        <f>20*2</f>
        <v/>
      </c>
      <c r="V4">
        <f>21*2</f>
        <v/>
      </c>
      <c r="W4">
        <f>22*2</f>
        <v/>
      </c>
      <c r="X4">
        <f>23*2</f>
        <v/>
      </c>
      <c r="Y4">
        <f>24*2</f>
        <v/>
      </c>
      <c r="Z4">
        <f>25*2</f>
        <v/>
      </c>
      <c r="AA4">
        <f>26*2</f>
        <v/>
      </c>
      <c r="AB4">
        <f>27*2</f>
        <v/>
      </c>
      <c r="AC4">
        <f>28*2</f>
        <v/>
      </c>
      <c r="AD4">
        <f>29*2</f>
        <v/>
      </c>
      <c r="AE4">
        <f>30*2</f>
        <v/>
      </c>
      <c r="AF4">
        <f>31*2</f>
        <v/>
      </c>
      <c r="AG4">
        <f>32*2</f>
        <v/>
      </c>
      <c r="AH4">
        <f>33*2</f>
        <v/>
      </c>
      <c r="AI4">
        <f>34*2</f>
        <v/>
      </c>
      <c r="AJ4">
        <f>35*2</f>
        <v/>
      </c>
      <c r="AK4">
        <f>36*2</f>
        <v/>
      </c>
      <c r="AL4">
        <f>37*2</f>
        <v/>
      </c>
      <c r="AM4">
        <f>38*2</f>
        <v/>
      </c>
    </row>
    <row r="5">
      <c r="A5" t="inlineStr">
        <is>
          <t>PROD3</t>
        </is>
      </c>
      <c r="B5">
        <f>1*2</f>
        <v/>
      </c>
      <c r="C5">
        <f>2*2</f>
        <v/>
      </c>
      <c r="D5">
        <f>3*2</f>
        <v/>
      </c>
      <c r="E5">
        <f>4*2</f>
        <v/>
      </c>
      <c r="F5">
        <f>5*2</f>
        <v/>
      </c>
      <c r="G5">
        <f>6*2</f>
        <v/>
      </c>
      <c r="H5">
        <f>7*2</f>
        <v/>
      </c>
      <c r="I5">
        <f>8*2</f>
        <v/>
      </c>
      <c r="J5">
        <f>9*2</f>
        <v/>
      </c>
      <c r="K5">
        <f>10*2</f>
        <v/>
      </c>
      <c r="L5">
        <f>11*2</f>
        <v/>
      </c>
      <c r="M5">
        <f>12*2</f>
        <v/>
      </c>
      <c r="N5">
        <f>13*2</f>
        <v/>
      </c>
      <c r="O5">
        <f>14*2</f>
        <v/>
      </c>
      <c r="P5">
        <f>15*2</f>
        <v/>
      </c>
      <c r="Q5">
        <f>16*2</f>
        <v/>
      </c>
      <c r="R5">
        <f>17*2</f>
        <v/>
      </c>
      <c r="S5">
        <f>18*2</f>
        <v/>
      </c>
      <c r="T5">
        <f>19*2</f>
        <v/>
      </c>
      <c r="U5">
        <f>20*2</f>
        <v/>
      </c>
      <c r="V5">
        <f>21*2</f>
        <v/>
      </c>
      <c r="W5">
        <f>22*2</f>
        <v/>
      </c>
      <c r="X5">
        <f>23*2</f>
        <v/>
      </c>
      <c r="Y5">
        <f>24*2</f>
        <v/>
      </c>
      <c r="Z5">
        <f>25*2</f>
        <v/>
      </c>
      <c r="AA5">
        <f>26*2</f>
        <v/>
      </c>
      <c r="AB5">
        <f>27*2</f>
        <v/>
      </c>
      <c r="AC5">
        <f>28*2</f>
        <v/>
      </c>
      <c r="AD5">
        <f>29*2</f>
        <v/>
      </c>
      <c r="AE5">
        <f>30*2</f>
        <v/>
      </c>
      <c r="AF5">
        <f>31*2</f>
        <v/>
      </c>
      <c r="AG5">
        <f>32*2</f>
        <v/>
      </c>
      <c r="AH5">
        <f>33*2</f>
        <v/>
      </c>
      <c r="AI5">
        <f>34*2</f>
        <v/>
      </c>
      <c r="AJ5">
        <f>35*2</f>
        <v/>
      </c>
      <c r="AK5">
        <f>36*2</f>
        <v/>
      </c>
      <c r="AL5">
        <f>37*2</f>
        <v/>
      </c>
      <c r="AM5">
        <f>38*2</f>
        <v/>
      </c>
    </row>
    <row r="6">
      <c r="A6" t="inlineStr">
        <is>
          <t>PROD4</t>
        </is>
      </c>
      <c r="B6">
        <f>1*2</f>
        <v/>
      </c>
      <c r="C6">
        <f>2*2</f>
        <v/>
      </c>
      <c r="D6">
        <f>3*2</f>
        <v/>
      </c>
      <c r="E6">
        <f>4*2</f>
        <v/>
      </c>
      <c r="F6">
        <f>5*2</f>
        <v/>
      </c>
      <c r="G6">
        <f>6*2</f>
        <v/>
      </c>
      <c r="H6">
        <f>7*2</f>
        <v/>
      </c>
      <c r="I6">
        <f>8*2</f>
        <v/>
      </c>
      <c r="J6">
        <f>9*2</f>
        <v/>
      </c>
      <c r="K6">
        <f>10*2</f>
        <v/>
      </c>
      <c r="L6">
        <f>11*2</f>
        <v/>
      </c>
      <c r="M6">
        <f>12*2</f>
        <v/>
      </c>
      <c r="N6">
        <f>13*2</f>
        <v/>
      </c>
      <c r="O6">
        <f>14*2</f>
        <v/>
      </c>
      <c r="P6">
        <f>15*2</f>
        <v/>
      </c>
      <c r="Q6">
        <f>16*2</f>
        <v/>
      </c>
      <c r="R6">
        <f>17*2</f>
        <v/>
      </c>
      <c r="S6">
        <f>18*2</f>
        <v/>
      </c>
      <c r="T6">
        <f>19*2</f>
        <v/>
      </c>
      <c r="U6">
        <f>20*2</f>
        <v/>
      </c>
      <c r="V6">
        <f>21*2</f>
        <v/>
      </c>
      <c r="W6">
        <f>22*2</f>
        <v/>
      </c>
      <c r="X6">
        <f>23*2</f>
        <v/>
      </c>
      <c r="Y6">
        <f>24*2</f>
        <v/>
      </c>
      <c r="Z6">
        <f>25*2</f>
        <v/>
      </c>
      <c r="AA6">
        <f>26*2</f>
        <v/>
      </c>
      <c r="AB6">
        <f>27*2</f>
        <v/>
      </c>
      <c r="AC6">
        <f>28*2</f>
        <v/>
      </c>
      <c r="AD6">
        <f>29*2</f>
        <v/>
      </c>
      <c r="AE6">
        <f>30*2</f>
        <v/>
      </c>
      <c r="AF6">
        <f>31*2</f>
        <v/>
      </c>
      <c r="AG6">
        <f>32*2</f>
        <v/>
      </c>
      <c r="AH6">
        <f>33*2</f>
        <v/>
      </c>
      <c r="AI6">
        <f>34*2</f>
        <v/>
      </c>
      <c r="AJ6">
        <f>35*2</f>
        <v/>
      </c>
      <c r="AK6">
        <f>36*2</f>
        <v/>
      </c>
      <c r="AL6">
        <f>37*2</f>
        <v/>
      </c>
      <c r="AM6">
        <f>38*2</f>
        <v/>
      </c>
    </row>
    <row r="7">
      <c r="A7" t="inlineStr">
        <is>
          <t>PROD5</t>
        </is>
      </c>
      <c r="B7">
        <f>1*2</f>
        <v/>
      </c>
      <c r="C7">
        <f>2*2</f>
        <v/>
      </c>
      <c r="D7">
        <f>3*2</f>
        <v/>
      </c>
      <c r="E7">
        <f>4*2</f>
        <v/>
      </c>
      <c r="F7">
        <f>5*2</f>
        <v/>
      </c>
      <c r="G7">
        <f>6*2</f>
        <v/>
      </c>
      <c r="H7">
        <f>7*2</f>
        <v/>
      </c>
      <c r="I7">
        <f>8*2</f>
        <v/>
      </c>
      <c r="J7">
        <f>9*2</f>
        <v/>
      </c>
      <c r="K7">
        <f>10*2</f>
        <v/>
      </c>
      <c r="L7">
        <f>11*2</f>
        <v/>
      </c>
      <c r="M7">
        <f>12*2</f>
        <v/>
      </c>
      <c r="N7">
        <f>13*2</f>
        <v/>
      </c>
      <c r="O7">
        <f>14*2</f>
        <v/>
      </c>
      <c r="P7">
        <f>15*2</f>
        <v/>
      </c>
      <c r="Q7">
        <f>16*2</f>
        <v/>
      </c>
      <c r="R7">
        <f>17*2</f>
        <v/>
      </c>
      <c r="S7">
        <f>18*2</f>
        <v/>
      </c>
      <c r="T7">
        <f>19*2</f>
        <v/>
      </c>
      <c r="U7">
        <f>20*2</f>
        <v/>
      </c>
      <c r="V7">
        <f>21*2</f>
        <v/>
      </c>
      <c r="W7">
        <f>22*2</f>
        <v/>
      </c>
      <c r="X7">
        <f>23*2</f>
        <v/>
      </c>
      <c r="Y7">
        <f>24*2</f>
        <v/>
      </c>
      <c r="Z7">
        <f>25*2</f>
        <v/>
      </c>
      <c r="AA7">
        <f>26*2</f>
        <v/>
      </c>
      <c r="AB7">
        <f>27*2</f>
        <v/>
      </c>
      <c r="AC7">
        <f>28*2</f>
        <v/>
      </c>
      <c r="AD7">
        <f>29*2</f>
        <v/>
      </c>
      <c r="AE7">
        <f>30*2</f>
        <v/>
      </c>
      <c r="AF7">
        <f>31*2</f>
        <v/>
      </c>
      <c r="AG7">
        <f>32*2</f>
        <v/>
      </c>
      <c r="AH7">
        <f>33*2</f>
        <v/>
      </c>
      <c r="AI7">
        <f>34*2</f>
        <v/>
      </c>
      <c r="AJ7">
        <f>35*2</f>
        <v/>
      </c>
      <c r="AK7">
        <f>36*2</f>
        <v/>
      </c>
      <c r="AL7">
        <f>37*2</f>
        <v/>
      </c>
      <c r="AM7">
        <f>38*2</f>
        <v/>
      </c>
    </row>
    <row r="8">
      <c r="A8" t="inlineStr">
        <is>
          <t>PROD6</t>
        </is>
      </c>
      <c r="B8">
        <f>1*2</f>
        <v/>
      </c>
      <c r="C8">
        <f>2*2</f>
        <v/>
      </c>
      <c r="D8">
        <f>3*2</f>
        <v/>
      </c>
      <c r="E8">
        <f>4*2</f>
        <v/>
      </c>
      <c r="F8">
        <f>5*2</f>
        <v/>
      </c>
      <c r="G8">
        <f>6*2</f>
        <v/>
      </c>
      <c r="H8">
        <f>7*2</f>
        <v/>
      </c>
      <c r="I8">
        <f>8*2</f>
        <v/>
      </c>
      <c r="J8">
        <f>9*2</f>
        <v/>
      </c>
      <c r="K8">
        <f>10*2</f>
        <v/>
      </c>
      <c r="L8">
        <f>11*2</f>
        <v/>
      </c>
      <c r="M8">
        <f>12*2</f>
        <v/>
      </c>
      <c r="N8">
        <f>13*2</f>
        <v/>
      </c>
      <c r="O8">
        <f>14*2</f>
        <v/>
      </c>
      <c r="P8">
        <f>15*2</f>
        <v/>
      </c>
      <c r="Q8">
        <f>16*2</f>
        <v/>
      </c>
      <c r="R8">
        <f>17*2</f>
        <v/>
      </c>
      <c r="S8">
        <f>18*2</f>
        <v/>
      </c>
      <c r="T8">
        <f>19*2</f>
        <v/>
      </c>
      <c r="U8">
        <f>20*2</f>
        <v/>
      </c>
      <c r="V8">
        <f>21*2</f>
        <v/>
      </c>
      <c r="W8">
        <f>22*2</f>
        <v/>
      </c>
      <c r="X8">
        <f>23*2</f>
        <v/>
      </c>
      <c r="Y8">
        <f>24*2</f>
        <v/>
      </c>
      <c r="Z8">
        <f>25*2</f>
        <v/>
      </c>
      <c r="AA8">
        <f>26*2</f>
        <v/>
      </c>
      <c r="AB8">
        <f>27*2</f>
        <v/>
      </c>
      <c r="AC8">
        <f>28*2</f>
        <v/>
      </c>
      <c r="AD8">
        <f>29*2</f>
        <v/>
      </c>
      <c r="AE8">
        <f>30*2</f>
        <v/>
      </c>
      <c r="AF8">
        <f>31*2</f>
        <v/>
      </c>
      <c r="AG8">
        <f>32*2</f>
        <v/>
      </c>
      <c r="AH8">
        <f>33*2</f>
        <v/>
      </c>
      <c r="AI8">
        <f>34*2</f>
        <v/>
      </c>
      <c r="AJ8">
        <f>35*2</f>
        <v/>
      </c>
      <c r="AK8">
        <f>36*2</f>
        <v/>
      </c>
      <c r="AL8">
        <f>37*2</f>
        <v/>
      </c>
      <c r="AM8">
        <f>38*2</f>
        <v/>
      </c>
    </row>
    <row r="9">
      <c r="A9" t="inlineStr">
        <is>
          <t>PROD7</t>
        </is>
      </c>
      <c r="B9">
        <f>1*2</f>
        <v/>
      </c>
      <c r="C9">
        <f>2*2</f>
        <v/>
      </c>
      <c r="D9">
        <f>3*2</f>
        <v/>
      </c>
      <c r="E9">
        <f>4*2</f>
        <v/>
      </c>
      <c r="F9">
        <f>5*2</f>
        <v/>
      </c>
      <c r="G9">
        <f>6*2</f>
        <v/>
      </c>
      <c r="H9">
        <f>7*2</f>
        <v/>
      </c>
      <c r="I9">
        <f>8*2</f>
        <v/>
      </c>
      <c r="J9">
        <f>9*2</f>
        <v/>
      </c>
      <c r="K9">
        <f>10*2</f>
        <v/>
      </c>
      <c r="L9">
        <f>11*2</f>
        <v/>
      </c>
      <c r="M9">
        <f>12*2</f>
        <v/>
      </c>
      <c r="N9">
        <f>13*2</f>
        <v/>
      </c>
      <c r="O9">
        <f>14*2</f>
        <v/>
      </c>
      <c r="P9">
        <f>15*2</f>
        <v/>
      </c>
      <c r="Q9">
        <f>16*2</f>
        <v/>
      </c>
      <c r="R9">
        <f>17*2</f>
        <v/>
      </c>
      <c r="S9">
        <f>18*2</f>
        <v/>
      </c>
      <c r="T9">
        <f>19*2</f>
        <v/>
      </c>
      <c r="U9">
        <f>20*2</f>
        <v/>
      </c>
      <c r="V9">
        <f>21*2</f>
        <v/>
      </c>
      <c r="W9">
        <f>22*2</f>
        <v/>
      </c>
      <c r="X9">
        <f>23*2</f>
        <v/>
      </c>
      <c r="Y9">
        <f>24*2</f>
        <v/>
      </c>
      <c r="Z9">
        <f>25*2</f>
        <v/>
      </c>
      <c r="AA9">
        <f>26*2</f>
        <v/>
      </c>
      <c r="AB9">
        <f>27*2</f>
        <v/>
      </c>
      <c r="AC9">
        <f>28*2</f>
        <v/>
      </c>
      <c r="AD9">
        <f>29*2</f>
        <v/>
      </c>
      <c r="AE9">
        <f>30*2</f>
        <v/>
      </c>
      <c r="AF9">
        <f>31*2</f>
        <v/>
      </c>
      <c r="AG9">
        <f>32*2</f>
        <v/>
      </c>
      <c r="AH9">
        <f>33*2</f>
        <v/>
      </c>
      <c r="AI9">
        <f>34*2</f>
        <v/>
      </c>
      <c r="AJ9">
        <f>35*2</f>
        <v/>
      </c>
      <c r="AK9">
        <f>36*2</f>
        <v/>
      </c>
      <c r="AL9">
        <f>37*2</f>
        <v/>
      </c>
      <c r="AM9">
        <f>38*2</f>
        <v/>
      </c>
    </row>
    <row r="10">
      <c r="A10" t="inlineStr">
        <is>
          <t>PROD8</t>
        </is>
      </c>
      <c r="B10">
        <f>1*2</f>
        <v/>
      </c>
      <c r="C10">
        <f>2*2</f>
        <v/>
      </c>
      <c r="D10">
        <f>3*2</f>
        <v/>
      </c>
      <c r="E10">
        <f>4*2</f>
        <v/>
      </c>
      <c r="F10">
        <f>5*2</f>
        <v/>
      </c>
      <c r="G10">
        <f>6*2</f>
        <v/>
      </c>
      <c r="H10">
        <f>7*2</f>
        <v/>
      </c>
      <c r="I10">
        <f>8*2</f>
        <v/>
      </c>
      <c r="J10">
        <f>9*2</f>
        <v/>
      </c>
      <c r="K10">
        <f>10*2</f>
        <v/>
      </c>
      <c r="L10">
        <f>11*2</f>
        <v/>
      </c>
      <c r="M10">
        <f>12*2</f>
        <v/>
      </c>
      <c r="N10">
        <f>13*2</f>
        <v/>
      </c>
      <c r="O10">
        <f>14*2</f>
        <v/>
      </c>
      <c r="P10">
        <f>15*2</f>
        <v/>
      </c>
      <c r="Q10">
        <f>16*2</f>
        <v/>
      </c>
      <c r="R10">
        <f>17*2</f>
        <v/>
      </c>
      <c r="S10">
        <f>18*2</f>
        <v/>
      </c>
      <c r="T10">
        <f>19*2</f>
        <v/>
      </c>
      <c r="U10">
        <f>20*2</f>
        <v/>
      </c>
      <c r="V10">
        <f>21*2</f>
        <v/>
      </c>
      <c r="W10">
        <f>22*2</f>
        <v/>
      </c>
      <c r="X10">
        <f>23*2</f>
        <v/>
      </c>
      <c r="Y10">
        <f>24*2</f>
        <v/>
      </c>
      <c r="Z10">
        <f>25*2</f>
        <v/>
      </c>
      <c r="AA10">
        <f>26*2</f>
        <v/>
      </c>
      <c r="AB10">
        <f>27*2</f>
        <v/>
      </c>
      <c r="AC10">
        <f>28*2</f>
        <v/>
      </c>
      <c r="AD10">
        <f>29*2</f>
        <v/>
      </c>
      <c r="AE10">
        <f>30*2</f>
        <v/>
      </c>
      <c r="AF10">
        <f>31*2</f>
        <v/>
      </c>
      <c r="AG10">
        <f>32*2</f>
        <v/>
      </c>
      <c r="AH10">
        <f>33*2</f>
        <v/>
      </c>
      <c r="AI10">
        <f>34*2</f>
        <v/>
      </c>
      <c r="AJ10">
        <f>35*2</f>
        <v/>
      </c>
      <c r="AK10">
        <f>36*2</f>
        <v/>
      </c>
      <c r="AL10">
        <f>37*2</f>
        <v/>
      </c>
      <c r="AM10">
        <f>38*2</f>
        <v/>
      </c>
    </row>
    <row r="11">
      <c r="A11" t="inlineStr">
        <is>
          <t>PROD9</t>
        </is>
      </c>
      <c r="B11">
        <f>1*2</f>
        <v/>
      </c>
      <c r="C11">
        <f>2*2</f>
        <v/>
      </c>
      <c r="D11">
        <f>3*2</f>
        <v/>
      </c>
      <c r="E11">
        <f>4*2</f>
        <v/>
      </c>
      <c r="F11">
        <f>5*2</f>
        <v/>
      </c>
      <c r="G11">
        <f>6*2</f>
        <v/>
      </c>
      <c r="H11">
        <f>7*2</f>
        <v/>
      </c>
      <c r="I11">
        <f>8*2</f>
        <v/>
      </c>
      <c r="J11">
        <f>9*2</f>
        <v/>
      </c>
      <c r="K11">
        <f>10*2</f>
        <v/>
      </c>
      <c r="L11">
        <f>11*2</f>
        <v/>
      </c>
      <c r="M11">
        <f>12*2</f>
        <v/>
      </c>
      <c r="N11">
        <f>13*2</f>
        <v/>
      </c>
      <c r="O11">
        <f>14*2</f>
        <v/>
      </c>
      <c r="P11">
        <f>15*2</f>
        <v/>
      </c>
      <c r="Q11">
        <f>16*2</f>
        <v/>
      </c>
      <c r="R11">
        <f>17*2</f>
        <v/>
      </c>
      <c r="S11">
        <f>18*2</f>
        <v/>
      </c>
      <c r="T11">
        <f>19*2</f>
        <v/>
      </c>
      <c r="U11">
        <f>20*2</f>
        <v/>
      </c>
      <c r="V11">
        <f>21*2</f>
        <v/>
      </c>
      <c r="W11">
        <f>22*2</f>
        <v/>
      </c>
      <c r="X11">
        <f>23*2</f>
        <v/>
      </c>
      <c r="Y11">
        <f>24*2</f>
        <v/>
      </c>
      <c r="Z11">
        <f>25*2</f>
        <v/>
      </c>
      <c r="AA11">
        <f>26*2</f>
        <v/>
      </c>
      <c r="AB11">
        <f>27*2</f>
        <v/>
      </c>
      <c r="AC11">
        <f>28*2</f>
        <v/>
      </c>
      <c r="AD11">
        <f>29*2</f>
        <v/>
      </c>
      <c r="AE11">
        <f>30*2</f>
        <v/>
      </c>
      <c r="AF11">
        <f>31*2</f>
        <v/>
      </c>
      <c r="AG11">
        <f>32*2</f>
        <v/>
      </c>
      <c r="AH11">
        <f>33*2</f>
        <v/>
      </c>
      <c r="AI11">
        <f>34*2</f>
        <v/>
      </c>
      <c r="AJ11">
        <f>35*2</f>
        <v/>
      </c>
      <c r="AK11">
        <f>36*2</f>
        <v/>
      </c>
      <c r="AL11">
        <f>37*2</f>
        <v/>
      </c>
      <c r="AM11">
        <f>38*2</f>
        <v/>
      </c>
    </row>
    <row r="12">
      <c r="A12" t="inlineStr">
        <is>
          <t>PROD10</t>
        </is>
      </c>
      <c r="B12">
        <f>1*2</f>
        <v/>
      </c>
      <c r="C12">
        <f>2*2</f>
        <v/>
      </c>
      <c r="D12">
        <f>3*2</f>
        <v/>
      </c>
      <c r="E12">
        <f>4*2</f>
        <v/>
      </c>
      <c r="F12">
        <f>5*2</f>
        <v/>
      </c>
      <c r="G12">
        <f>6*2</f>
        <v/>
      </c>
      <c r="H12">
        <f>7*2</f>
        <v/>
      </c>
      <c r="I12">
        <f>8*2</f>
        <v/>
      </c>
      <c r="J12">
        <f>9*2</f>
        <v/>
      </c>
      <c r="K12">
        <f>10*2</f>
        <v/>
      </c>
      <c r="L12">
        <f>11*2</f>
        <v/>
      </c>
      <c r="M12">
        <f>12*2</f>
        <v/>
      </c>
      <c r="N12">
        <f>13*2</f>
        <v/>
      </c>
      <c r="O12">
        <f>14*2</f>
        <v/>
      </c>
      <c r="P12">
        <f>15*2</f>
        <v/>
      </c>
      <c r="Q12">
        <f>16*2</f>
        <v/>
      </c>
      <c r="R12">
        <f>17*2</f>
        <v/>
      </c>
      <c r="S12">
        <f>18*2</f>
        <v/>
      </c>
      <c r="T12">
        <f>19*2</f>
        <v/>
      </c>
      <c r="U12">
        <f>20*2</f>
        <v/>
      </c>
      <c r="V12">
        <f>21*2</f>
        <v/>
      </c>
      <c r="W12">
        <f>22*2</f>
        <v/>
      </c>
      <c r="X12">
        <f>23*2</f>
        <v/>
      </c>
      <c r="Y12">
        <f>24*2</f>
        <v/>
      </c>
      <c r="Z12">
        <f>25*2</f>
        <v/>
      </c>
      <c r="AA12">
        <f>26*2</f>
        <v/>
      </c>
      <c r="AB12">
        <f>27*2</f>
        <v/>
      </c>
      <c r="AC12">
        <f>28*2</f>
        <v/>
      </c>
      <c r="AD12">
        <f>29*2</f>
        <v/>
      </c>
      <c r="AE12">
        <f>30*2</f>
        <v/>
      </c>
      <c r="AF12">
        <f>31*2</f>
        <v/>
      </c>
      <c r="AG12">
        <f>32*2</f>
        <v/>
      </c>
      <c r="AH12">
        <f>33*2</f>
        <v/>
      </c>
      <c r="AI12">
        <f>34*2</f>
        <v/>
      </c>
      <c r="AJ12">
        <f>35*2</f>
        <v/>
      </c>
      <c r="AK12">
        <f>36*2</f>
        <v/>
      </c>
      <c r="AL12">
        <f>37*2</f>
        <v/>
      </c>
      <c r="AM12">
        <f>38*2</f>
        <v/>
      </c>
    </row>
    <row r="13">
      <c r="A13" t="inlineStr">
        <is>
          <t>PROD11</t>
        </is>
      </c>
      <c r="B13">
        <f>1*2</f>
        <v/>
      </c>
      <c r="C13">
        <f>2*2</f>
        <v/>
      </c>
      <c r="D13">
        <f>3*2</f>
        <v/>
      </c>
      <c r="E13">
        <f>4*2</f>
        <v/>
      </c>
      <c r="F13">
        <f>5*2</f>
        <v/>
      </c>
      <c r="G13">
        <f>6*2</f>
        <v/>
      </c>
      <c r="H13">
        <f>7*2</f>
        <v/>
      </c>
      <c r="I13">
        <f>8*2</f>
        <v/>
      </c>
      <c r="J13">
        <f>9*2</f>
        <v/>
      </c>
      <c r="K13">
        <f>10*2</f>
        <v/>
      </c>
      <c r="L13">
        <f>11*2</f>
        <v/>
      </c>
      <c r="M13">
        <f>12*2</f>
        <v/>
      </c>
      <c r="N13">
        <f>13*2</f>
        <v/>
      </c>
      <c r="O13">
        <f>14*2</f>
        <v/>
      </c>
      <c r="P13">
        <f>15*2</f>
        <v/>
      </c>
      <c r="Q13">
        <f>16*2</f>
        <v/>
      </c>
      <c r="R13">
        <f>17*2</f>
        <v/>
      </c>
      <c r="S13">
        <f>18*2</f>
        <v/>
      </c>
      <c r="T13">
        <f>19*2</f>
        <v/>
      </c>
      <c r="U13">
        <f>20*2</f>
        <v/>
      </c>
      <c r="V13">
        <f>21*2</f>
        <v/>
      </c>
      <c r="W13">
        <f>22*2</f>
        <v/>
      </c>
      <c r="X13">
        <f>23*2</f>
        <v/>
      </c>
      <c r="Y13">
        <f>24*2</f>
        <v/>
      </c>
      <c r="Z13">
        <f>25*2</f>
        <v/>
      </c>
      <c r="AA13">
        <f>26*2</f>
        <v/>
      </c>
      <c r="AB13">
        <f>27*2</f>
        <v/>
      </c>
      <c r="AC13">
        <f>28*2</f>
        <v/>
      </c>
      <c r="AD13">
        <f>29*2</f>
        <v/>
      </c>
      <c r="AE13">
        <f>30*2</f>
        <v/>
      </c>
      <c r="AF13">
        <f>31*2</f>
        <v/>
      </c>
      <c r="AG13">
        <f>32*2</f>
        <v/>
      </c>
      <c r="AH13">
        <f>33*2</f>
        <v/>
      </c>
      <c r="AI13">
        <f>34*2</f>
        <v/>
      </c>
      <c r="AJ13">
        <f>35*2</f>
        <v/>
      </c>
      <c r="AK13">
        <f>36*2</f>
        <v/>
      </c>
      <c r="AL13">
        <f>37*2</f>
        <v/>
      </c>
      <c r="AM13">
        <f>38*2</f>
        <v/>
      </c>
    </row>
    <row r="14">
      <c r="A14" t="inlineStr">
        <is>
          <t>PROD12</t>
        </is>
      </c>
      <c r="B14">
        <f>1*2</f>
        <v/>
      </c>
      <c r="C14">
        <f>2*2</f>
        <v/>
      </c>
      <c r="D14">
        <f>3*2</f>
        <v/>
      </c>
      <c r="E14">
        <f>4*2</f>
        <v/>
      </c>
      <c r="F14">
        <f>5*2</f>
        <v/>
      </c>
      <c r="G14">
        <f>6*2</f>
        <v/>
      </c>
      <c r="H14">
        <f>7*2</f>
        <v/>
      </c>
      <c r="I14">
        <f>8*2</f>
        <v/>
      </c>
      <c r="J14">
        <f>9*2</f>
        <v/>
      </c>
      <c r="K14">
        <f>10*2</f>
        <v/>
      </c>
      <c r="L14">
        <f>11*2</f>
        <v/>
      </c>
      <c r="M14">
        <f>12*2</f>
        <v/>
      </c>
      <c r="N14">
        <f>13*2</f>
        <v/>
      </c>
      <c r="O14">
        <f>14*2</f>
        <v/>
      </c>
      <c r="P14">
        <f>15*2</f>
        <v/>
      </c>
      <c r="Q14">
        <f>16*2</f>
        <v/>
      </c>
      <c r="R14">
        <f>17*2</f>
        <v/>
      </c>
      <c r="S14">
        <f>18*2</f>
        <v/>
      </c>
      <c r="T14">
        <f>19*2</f>
        <v/>
      </c>
      <c r="U14">
        <f>20*2</f>
        <v/>
      </c>
      <c r="V14">
        <f>21*2</f>
        <v/>
      </c>
      <c r="W14">
        <f>22*2</f>
        <v/>
      </c>
      <c r="X14">
        <f>23*2</f>
        <v/>
      </c>
      <c r="Y14">
        <f>24*2</f>
        <v/>
      </c>
      <c r="Z14">
        <f>25*2</f>
        <v/>
      </c>
      <c r="AA14">
        <f>26*2</f>
        <v/>
      </c>
      <c r="AB14">
        <f>27*2</f>
        <v/>
      </c>
      <c r="AC14">
        <f>28*2</f>
        <v/>
      </c>
      <c r="AD14">
        <f>29*2</f>
        <v/>
      </c>
      <c r="AE14">
        <f>30*2</f>
        <v/>
      </c>
      <c r="AF14">
        <f>31*2</f>
        <v/>
      </c>
      <c r="AG14">
        <f>32*2</f>
        <v/>
      </c>
      <c r="AH14">
        <f>33*2</f>
        <v/>
      </c>
      <c r="AI14">
        <f>34*2</f>
        <v/>
      </c>
      <c r="AJ14">
        <f>35*2</f>
        <v/>
      </c>
      <c r="AK14">
        <f>36*2</f>
        <v/>
      </c>
      <c r="AL14">
        <f>37*2</f>
        <v/>
      </c>
      <c r="AM14">
        <f>38*2</f>
        <v/>
      </c>
    </row>
    <row r="15">
      <c r="A15" t="inlineStr">
        <is>
          <t>PROD13</t>
        </is>
      </c>
      <c r="B15">
        <f>1*2</f>
        <v/>
      </c>
      <c r="C15">
        <f>2*2</f>
        <v/>
      </c>
      <c r="D15">
        <f>3*2</f>
        <v/>
      </c>
      <c r="E15">
        <f>4*2</f>
        <v/>
      </c>
      <c r="F15">
        <f>5*2</f>
        <v/>
      </c>
      <c r="G15">
        <f>6*2</f>
        <v/>
      </c>
      <c r="H15">
        <f>7*2</f>
        <v/>
      </c>
      <c r="I15">
        <f>8*2</f>
        <v/>
      </c>
      <c r="J15">
        <f>9*2</f>
        <v/>
      </c>
      <c r="K15">
        <f>10*2</f>
        <v/>
      </c>
      <c r="L15">
        <f>11*2</f>
        <v/>
      </c>
      <c r="M15">
        <f>12*2</f>
        <v/>
      </c>
      <c r="N15">
        <f>13*2</f>
        <v/>
      </c>
      <c r="O15">
        <f>14*2</f>
        <v/>
      </c>
      <c r="P15">
        <f>15*2</f>
        <v/>
      </c>
      <c r="Q15">
        <f>16*2</f>
        <v/>
      </c>
      <c r="R15">
        <f>17*2</f>
        <v/>
      </c>
      <c r="S15">
        <f>18*2</f>
        <v/>
      </c>
      <c r="T15">
        <f>19*2</f>
        <v/>
      </c>
      <c r="U15">
        <f>20*2</f>
        <v/>
      </c>
      <c r="V15">
        <f>21*2</f>
        <v/>
      </c>
      <c r="W15">
        <f>22*2</f>
        <v/>
      </c>
      <c r="X15">
        <f>23*2</f>
        <v/>
      </c>
      <c r="Y15">
        <f>24*2</f>
        <v/>
      </c>
      <c r="Z15">
        <f>25*2</f>
        <v/>
      </c>
      <c r="AA15">
        <f>26*2</f>
        <v/>
      </c>
      <c r="AB15">
        <f>27*2</f>
        <v/>
      </c>
      <c r="AC15">
        <f>28*2</f>
        <v/>
      </c>
      <c r="AD15">
        <f>29*2</f>
        <v/>
      </c>
      <c r="AE15">
        <f>30*2</f>
        <v/>
      </c>
      <c r="AF15">
        <f>31*2</f>
        <v/>
      </c>
      <c r="AG15">
        <f>32*2</f>
        <v/>
      </c>
      <c r="AH15">
        <f>33*2</f>
        <v/>
      </c>
      <c r="AI15">
        <f>34*2</f>
        <v/>
      </c>
      <c r="AJ15">
        <f>35*2</f>
        <v/>
      </c>
      <c r="AK15">
        <f>36*2</f>
        <v/>
      </c>
      <c r="AL15">
        <f>37*2</f>
        <v/>
      </c>
      <c r="AM15">
        <f>38*2</f>
        <v/>
      </c>
    </row>
    <row r="16">
      <c r="A16" t="inlineStr">
        <is>
          <t>PROD14</t>
        </is>
      </c>
      <c r="B16">
        <f>1*2</f>
        <v/>
      </c>
      <c r="C16">
        <f>2*2</f>
        <v/>
      </c>
      <c r="D16">
        <f>3*2</f>
        <v/>
      </c>
      <c r="E16">
        <f>4*2</f>
        <v/>
      </c>
      <c r="F16">
        <f>5*2</f>
        <v/>
      </c>
      <c r="G16">
        <f>6*2</f>
        <v/>
      </c>
      <c r="H16">
        <f>7*2</f>
        <v/>
      </c>
      <c r="I16">
        <f>8*2</f>
        <v/>
      </c>
      <c r="J16">
        <f>9*2</f>
        <v/>
      </c>
      <c r="K16">
        <f>10*2</f>
        <v/>
      </c>
      <c r="L16">
        <f>11*2</f>
        <v/>
      </c>
      <c r="M16">
        <f>12*2</f>
        <v/>
      </c>
      <c r="N16">
        <f>13*2</f>
        <v/>
      </c>
      <c r="O16">
        <f>14*2</f>
        <v/>
      </c>
      <c r="P16">
        <f>15*2</f>
        <v/>
      </c>
      <c r="Q16">
        <f>16*2</f>
        <v/>
      </c>
      <c r="R16">
        <f>17*2</f>
        <v/>
      </c>
      <c r="S16">
        <f>18*2</f>
        <v/>
      </c>
      <c r="T16">
        <f>19*2</f>
        <v/>
      </c>
      <c r="U16">
        <f>20*2</f>
        <v/>
      </c>
      <c r="V16">
        <f>21*2</f>
        <v/>
      </c>
      <c r="W16">
        <f>22*2</f>
        <v/>
      </c>
      <c r="X16">
        <f>23*2</f>
        <v/>
      </c>
      <c r="Y16">
        <f>24*2</f>
        <v/>
      </c>
      <c r="Z16">
        <f>25*2</f>
        <v/>
      </c>
      <c r="AA16">
        <f>26*2</f>
        <v/>
      </c>
      <c r="AB16">
        <f>27*2</f>
        <v/>
      </c>
      <c r="AC16">
        <f>28*2</f>
        <v/>
      </c>
      <c r="AD16">
        <f>29*2</f>
        <v/>
      </c>
      <c r="AE16">
        <f>30*2</f>
        <v/>
      </c>
      <c r="AF16">
        <f>31*2</f>
        <v/>
      </c>
      <c r="AG16">
        <f>32*2</f>
        <v/>
      </c>
      <c r="AH16">
        <f>33*2</f>
        <v/>
      </c>
      <c r="AI16">
        <f>34*2</f>
        <v/>
      </c>
      <c r="AJ16">
        <f>35*2</f>
        <v/>
      </c>
      <c r="AK16">
        <f>36*2</f>
        <v/>
      </c>
      <c r="AL16">
        <f>37*2</f>
        <v/>
      </c>
      <c r="AM16">
        <f>38*2</f>
        <v/>
      </c>
    </row>
    <row r="17">
      <c r="A17" t="inlineStr">
        <is>
          <t>PROD15</t>
        </is>
      </c>
      <c r="B17">
        <f>1*2</f>
        <v/>
      </c>
      <c r="C17">
        <f>2*2</f>
        <v/>
      </c>
      <c r="D17">
        <f>3*2</f>
        <v/>
      </c>
      <c r="E17">
        <f>4*2</f>
        <v/>
      </c>
      <c r="F17">
        <f>5*2</f>
        <v/>
      </c>
      <c r="G17">
        <f>6*2</f>
        <v/>
      </c>
      <c r="H17">
        <f>7*2</f>
        <v/>
      </c>
      <c r="I17">
        <f>8*2</f>
        <v/>
      </c>
      <c r="J17">
        <f>9*2</f>
        <v/>
      </c>
      <c r="K17">
        <f>10*2</f>
        <v/>
      </c>
      <c r="L17">
        <f>11*2</f>
        <v/>
      </c>
      <c r="M17">
        <f>12*2</f>
        <v/>
      </c>
      <c r="N17">
        <f>13*2</f>
        <v/>
      </c>
      <c r="O17">
        <f>14*2</f>
        <v/>
      </c>
      <c r="P17">
        <f>15*2</f>
        <v/>
      </c>
      <c r="Q17">
        <f>16*2</f>
        <v/>
      </c>
      <c r="R17">
        <f>17*2</f>
        <v/>
      </c>
      <c r="S17">
        <f>18*2</f>
        <v/>
      </c>
      <c r="T17">
        <f>19*2</f>
        <v/>
      </c>
      <c r="U17">
        <f>20*2</f>
        <v/>
      </c>
      <c r="V17">
        <f>21*2</f>
        <v/>
      </c>
      <c r="W17">
        <f>22*2</f>
        <v/>
      </c>
      <c r="X17">
        <f>23*2</f>
        <v/>
      </c>
      <c r="Y17">
        <f>24*2</f>
        <v/>
      </c>
      <c r="Z17">
        <f>25*2</f>
        <v/>
      </c>
      <c r="AA17">
        <f>26*2</f>
        <v/>
      </c>
      <c r="AB17">
        <f>27*2</f>
        <v/>
      </c>
      <c r="AC17">
        <f>28*2</f>
        <v/>
      </c>
      <c r="AD17">
        <f>29*2</f>
        <v/>
      </c>
      <c r="AE17">
        <f>30*2</f>
        <v/>
      </c>
      <c r="AF17">
        <f>31*2</f>
        <v/>
      </c>
      <c r="AG17">
        <f>32*2</f>
        <v/>
      </c>
      <c r="AH17">
        <f>33*2</f>
        <v/>
      </c>
      <c r="AI17">
        <f>34*2</f>
        <v/>
      </c>
      <c r="AJ17">
        <f>35*2</f>
        <v/>
      </c>
      <c r="AK17">
        <f>36*2</f>
        <v/>
      </c>
      <c r="AL17">
        <f>37*2</f>
        <v/>
      </c>
      <c r="AM17">
        <f>38*2</f>
        <v/>
      </c>
    </row>
    <row r="18">
      <c r="A18" t="inlineStr">
        <is>
          <t>PROD16</t>
        </is>
      </c>
      <c r="B18">
        <f>1*2</f>
        <v/>
      </c>
      <c r="C18">
        <f>2*2</f>
        <v/>
      </c>
      <c r="D18">
        <f>3*2</f>
        <v/>
      </c>
      <c r="E18">
        <f>4*2</f>
        <v/>
      </c>
      <c r="F18">
        <f>5*2</f>
        <v/>
      </c>
      <c r="G18">
        <f>6*2</f>
        <v/>
      </c>
      <c r="H18">
        <f>7*2</f>
        <v/>
      </c>
      <c r="I18">
        <f>8*2</f>
        <v/>
      </c>
      <c r="J18">
        <f>9*2</f>
        <v/>
      </c>
      <c r="K18">
        <f>10*2</f>
        <v/>
      </c>
      <c r="L18">
        <f>11*2</f>
        <v/>
      </c>
      <c r="M18">
        <f>12*2</f>
        <v/>
      </c>
      <c r="N18">
        <f>13*2</f>
        <v/>
      </c>
      <c r="O18">
        <f>14*2</f>
        <v/>
      </c>
      <c r="P18">
        <f>15*2</f>
        <v/>
      </c>
      <c r="Q18">
        <f>16*2</f>
        <v/>
      </c>
      <c r="R18">
        <f>17*2</f>
        <v/>
      </c>
      <c r="S18">
        <f>18*2</f>
        <v/>
      </c>
      <c r="T18">
        <f>19*2</f>
        <v/>
      </c>
      <c r="U18">
        <f>20*2</f>
        <v/>
      </c>
      <c r="V18">
        <f>21*2</f>
        <v/>
      </c>
      <c r="W18">
        <f>22*2</f>
        <v/>
      </c>
      <c r="X18">
        <f>23*2</f>
        <v/>
      </c>
      <c r="Y18">
        <f>24*2</f>
        <v/>
      </c>
      <c r="Z18">
        <f>25*2</f>
        <v/>
      </c>
      <c r="AA18">
        <f>26*2</f>
        <v/>
      </c>
      <c r="AB18">
        <f>27*2</f>
        <v/>
      </c>
      <c r="AC18">
        <f>28*2</f>
        <v/>
      </c>
      <c r="AD18">
        <f>29*2</f>
        <v/>
      </c>
      <c r="AE18">
        <f>30*2</f>
        <v/>
      </c>
      <c r="AF18">
        <f>31*2</f>
        <v/>
      </c>
      <c r="AG18">
        <f>32*2</f>
        <v/>
      </c>
      <c r="AH18">
        <f>33*2</f>
        <v/>
      </c>
      <c r="AI18">
        <f>34*2</f>
        <v/>
      </c>
      <c r="AJ18">
        <f>35*2</f>
        <v/>
      </c>
      <c r="AK18">
        <f>36*2</f>
        <v/>
      </c>
      <c r="AL18">
        <f>37*2</f>
        <v/>
      </c>
      <c r="AM18">
        <f>38*2</f>
        <v/>
      </c>
    </row>
    <row r="19">
      <c r="A19" t="inlineStr">
        <is>
          <t>PROD17</t>
        </is>
      </c>
      <c r="B19">
        <f>1*2</f>
        <v/>
      </c>
      <c r="C19">
        <f>2*2</f>
        <v/>
      </c>
      <c r="D19">
        <f>3*2</f>
        <v/>
      </c>
      <c r="E19">
        <f>4*2</f>
        <v/>
      </c>
      <c r="F19">
        <f>5*2</f>
        <v/>
      </c>
      <c r="G19">
        <f>6*2</f>
        <v/>
      </c>
      <c r="H19">
        <f>7*2</f>
        <v/>
      </c>
      <c r="I19">
        <f>8*2</f>
        <v/>
      </c>
      <c r="J19">
        <f>9*2</f>
        <v/>
      </c>
      <c r="K19">
        <f>10*2</f>
        <v/>
      </c>
      <c r="L19">
        <f>11*2</f>
        <v/>
      </c>
      <c r="M19">
        <f>12*2</f>
        <v/>
      </c>
      <c r="N19">
        <f>13*2</f>
        <v/>
      </c>
      <c r="O19">
        <f>14*2</f>
        <v/>
      </c>
      <c r="P19">
        <f>15*2</f>
        <v/>
      </c>
      <c r="Q19">
        <f>16*2</f>
        <v/>
      </c>
      <c r="R19">
        <f>17*2</f>
        <v/>
      </c>
      <c r="S19">
        <f>18*2</f>
        <v/>
      </c>
      <c r="T19">
        <f>19*2</f>
        <v/>
      </c>
      <c r="U19">
        <f>20*2</f>
        <v/>
      </c>
      <c r="V19">
        <f>21*2</f>
        <v/>
      </c>
      <c r="W19">
        <f>22*2</f>
        <v/>
      </c>
      <c r="X19">
        <f>23*2</f>
        <v/>
      </c>
      <c r="Y19">
        <f>24*2</f>
        <v/>
      </c>
      <c r="Z19">
        <f>25*2</f>
        <v/>
      </c>
      <c r="AA19">
        <f>26*2</f>
        <v/>
      </c>
      <c r="AB19">
        <f>27*2</f>
        <v/>
      </c>
      <c r="AC19">
        <f>28*2</f>
        <v/>
      </c>
      <c r="AD19">
        <f>29*2</f>
        <v/>
      </c>
      <c r="AE19">
        <f>30*2</f>
        <v/>
      </c>
      <c r="AF19">
        <f>31*2</f>
        <v/>
      </c>
      <c r="AG19">
        <f>32*2</f>
        <v/>
      </c>
      <c r="AH19">
        <f>33*2</f>
        <v/>
      </c>
      <c r="AI19">
        <f>34*2</f>
        <v/>
      </c>
      <c r="AJ19">
        <f>35*2</f>
        <v/>
      </c>
      <c r="AK19">
        <f>36*2</f>
        <v/>
      </c>
      <c r="AL19">
        <f>37*2</f>
        <v/>
      </c>
      <c r="AM19">
        <f>38*2</f>
        <v/>
      </c>
    </row>
    <row r="20">
      <c r="A20" t="inlineStr">
        <is>
          <t>PROD18</t>
        </is>
      </c>
      <c r="B20">
        <f>1*2</f>
        <v/>
      </c>
      <c r="C20">
        <f>2*2</f>
        <v/>
      </c>
      <c r="D20">
        <f>3*2</f>
        <v/>
      </c>
      <c r="E20">
        <f>4*2</f>
        <v/>
      </c>
      <c r="F20">
        <f>5*2</f>
        <v/>
      </c>
      <c r="G20">
        <f>6*2</f>
        <v/>
      </c>
      <c r="H20">
        <f>7*2</f>
        <v/>
      </c>
      <c r="I20">
        <f>8*2</f>
        <v/>
      </c>
      <c r="J20">
        <f>9*2</f>
        <v/>
      </c>
      <c r="K20">
        <f>10*2</f>
        <v/>
      </c>
      <c r="L20">
        <f>11*2</f>
        <v/>
      </c>
      <c r="M20">
        <f>12*2</f>
        <v/>
      </c>
      <c r="N20">
        <f>13*2</f>
        <v/>
      </c>
      <c r="O20">
        <f>14*2</f>
        <v/>
      </c>
      <c r="P20">
        <f>15*2</f>
        <v/>
      </c>
      <c r="Q20">
        <f>16*2</f>
        <v/>
      </c>
      <c r="R20">
        <f>17*2</f>
        <v/>
      </c>
      <c r="S20">
        <f>18*2</f>
        <v/>
      </c>
      <c r="T20">
        <f>19*2</f>
        <v/>
      </c>
      <c r="U20">
        <f>20*2</f>
        <v/>
      </c>
      <c r="V20">
        <f>21*2</f>
        <v/>
      </c>
      <c r="W20">
        <f>22*2</f>
        <v/>
      </c>
      <c r="X20">
        <f>23*2</f>
        <v/>
      </c>
      <c r="Y20">
        <f>24*2</f>
        <v/>
      </c>
      <c r="Z20">
        <f>25*2</f>
        <v/>
      </c>
      <c r="AA20">
        <f>26*2</f>
        <v/>
      </c>
      <c r="AB20">
        <f>27*2</f>
        <v/>
      </c>
      <c r="AC20">
        <f>28*2</f>
        <v/>
      </c>
      <c r="AD20">
        <f>29*2</f>
        <v/>
      </c>
      <c r="AE20">
        <f>30*2</f>
        <v/>
      </c>
      <c r="AF20">
        <f>31*2</f>
        <v/>
      </c>
      <c r="AG20">
        <f>32*2</f>
        <v/>
      </c>
      <c r="AH20">
        <f>33*2</f>
        <v/>
      </c>
      <c r="AI20">
        <f>34*2</f>
        <v/>
      </c>
      <c r="AJ20">
        <f>35*2</f>
        <v/>
      </c>
      <c r="AK20">
        <f>36*2</f>
        <v/>
      </c>
      <c r="AL20">
        <f>37*2</f>
        <v/>
      </c>
      <c r="AM20">
        <f>38*2</f>
        <v/>
      </c>
    </row>
    <row r="21">
      <c r="A21" t="inlineStr">
        <is>
          <t>PROD19</t>
        </is>
      </c>
      <c r="B21">
        <f>1*2</f>
        <v/>
      </c>
      <c r="C21">
        <f>2*2</f>
        <v/>
      </c>
      <c r="D21">
        <f>3*2</f>
        <v/>
      </c>
      <c r="E21">
        <f>4*2</f>
        <v/>
      </c>
      <c r="F21">
        <f>5*2</f>
        <v/>
      </c>
      <c r="G21">
        <f>6*2</f>
        <v/>
      </c>
      <c r="H21">
        <f>7*2</f>
        <v/>
      </c>
      <c r="I21">
        <f>8*2</f>
        <v/>
      </c>
      <c r="J21">
        <f>9*2</f>
        <v/>
      </c>
      <c r="K21">
        <f>10*2</f>
        <v/>
      </c>
      <c r="L21">
        <f>11*2</f>
        <v/>
      </c>
      <c r="M21">
        <f>12*2</f>
        <v/>
      </c>
      <c r="N21">
        <f>13*2</f>
        <v/>
      </c>
      <c r="O21">
        <f>14*2</f>
        <v/>
      </c>
      <c r="P21">
        <f>15*2</f>
        <v/>
      </c>
      <c r="Q21">
        <f>16*2</f>
        <v/>
      </c>
      <c r="R21">
        <f>17*2</f>
        <v/>
      </c>
      <c r="S21">
        <f>18*2</f>
        <v/>
      </c>
      <c r="T21">
        <f>19*2</f>
        <v/>
      </c>
      <c r="U21">
        <f>20*2</f>
        <v/>
      </c>
      <c r="V21">
        <f>21*2</f>
        <v/>
      </c>
      <c r="W21">
        <f>22*2</f>
        <v/>
      </c>
      <c r="X21">
        <f>23*2</f>
        <v/>
      </c>
      <c r="Y21">
        <f>24*2</f>
        <v/>
      </c>
      <c r="Z21">
        <f>25*2</f>
        <v/>
      </c>
      <c r="AA21">
        <f>26*2</f>
        <v/>
      </c>
      <c r="AB21">
        <f>27*2</f>
        <v/>
      </c>
      <c r="AC21">
        <f>28*2</f>
        <v/>
      </c>
      <c r="AD21">
        <f>29*2</f>
        <v/>
      </c>
      <c r="AE21">
        <f>30*2</f>
        <v/>
      </c>
      <c r="AF21">
        <f>31*2</f>
        <v/>
      </c>
      <c r="AG21">
        <f>32*2</f>
        <v/>
      </c>
      <c r="AH21">
        <f>33*2</f>
        <v/>
      </c>
      <c r="AI21">
        <f>34*2</f>
        <v/>
      </c>
      <c r="AJ21">
        <f>35*2</f>
        <v/>
      </c>
      <c r="AK21">
        <f>36*2</f>
        <v/>
      </c>
      <c r="AL21">
        <f>37*2</f>
        <v/>
      </c>
      <c r="AM21">
        <f>38*2</f>
        <v/>
      </c>
    </row>
    <row r="22">
      <c r="A22" t="inlineStr">
        <is>
          <t>PROD20</t>
        </is>
      </c>
      <c r="B22">
        <f>1*2</f>
        <v/>
      </c>
      <c r="C22">
        <f>2*2</f>
        <v/>
      </c>
      <c r="D22">
        <f>3*2</f>
        <v/>
      </c>
      <c r="E22">
        <f>4*2</f>
        <v/>
      </c>
      <c r="F22">
        <f>5*2</f>
        <v/>
      </c>
      <c r="G22">
        <f>6*2</f>
        <v/>
      </c>
      <c r="H22">
        <f>7*2</f>
        <v/>
      </c>
      <c r="I22">
        <f>8*2</f>
        <v/>
      </c>
      <c r="J22">
        <f>9*2</f>
        <v/>
      </c>
      <c r="K22">
        <f>10*2</f>
        <v/>
      </c>
      <c r="L22">
        <f>11*2</f>
        <v/>
      </c>
      <c r="M22">
        <f>12*2</f>
        <v/>
      </c>
      <c r="N22">
        <f>13*2</f>
        <v/>
      </c>
      <c r="O22">
        <f>14*2</f>
        <v/>
      </c>
      <c r="P22">
        <f>15*2</f>
        <v/>
      </c>
      <c r="Q22">
        <f>16*2</f>
        <v/>
      </c>
      <c r="R22">
        <f>17*2</f>
        <v/>
      </c>
      <c r="S22">
        <f>18*2</f>
        <v/>
      </c>
      <c r="T22">
        <f>19*2</f>
        <v/>
      </c>
      <c r="U22">
        <f>20*2</f>
        <v/>
      </c>
      <c r="V22">
        <f>21*2</f>
        <v/>
      </c>
      <c r="W22">
        <f>22*2</f>
        <v/>
      </c>
      <c r="X22">
        <f>23*2</f>
        <v/>
      </c>
      <c r="Y22">
        <f>24*2</f>
        <v/>
      </c>
      <c r="Z22">
        <f>25*2</f>
        <v/>
      </c>
      <c r="AA22">
        <f>26*2</f>
        <v/>
      </c>
      <c r="AB22">
        <f>27*2</f>
        <v/>
      </c>
      <c r="AC22">
        <f>28*2</f>
        <v/>
      </c>
      <c r="AD22">
        <f>29*2</f>
        <v/>
      </c>
      <c r="AE22">
        <f>30*2</f>
        <v/>
      </c>
      <c r="AF22">
        <f>31*2</f>
        <v/>
      </c>
      <c r="AG22">
        <f>32*2</f>
        <v/>
      </c>
      <c r="AH22">
        <f>33*2</f>
        <v/>
      </c>
      <c r="AI22">
        <f>34*2</f>
        <v/>
      </c>
      <c r="AJ22">
        <f>35*2</f>
        <v/>
      </c>
      <c r="AK22">
        <f>36*2</f>
        <v/>
      </c>
      <c r="AL22">
        <f>37*2</f>
        <v/>
      </c>
      <c r="AM22">
        <f>38*2</f>
        <v/>
      </c>
    </row>
    <row r="23">
      <c r="A23" t="inlineStr">
        <is>
          <t>PROD21</t>
        </is>
      </c>
      <c r="B23">
        <f>1*2</f>
        <v/>
      </c>
      <c r="C23">
        <f>2*2</f>
        <v/>
      </c>
      <c r="D23">
        <f>3*2</f>
        <v/>
      </c>
      <c r="E23">
        <f>4*2</f>
        <v/>
      </c>
      <c r="F23">
        <f>5*2</f>
        <v/>
      </c>
      <c r="G23">
        <f>6*2</f>
        <v/>
      </c>
      <c r="H23">
        <f>7*2</f>
        <v/>
      </c>
      <c r="I23">
        <f>8*2</f>
        <v/>
      </c>
      <c r="J23">
        <f>9*2</f>
        <v/>
      </c>
      <c r="K23">
        <f>10*2</f>
        <v/>
      </c>
      <c r="L23">
        <f>11*2</f>
        <v/>
      </c>
      <c r="M23">
        <f>12*2</f>
        <v/>
      </c>
      <c r="N23">
        <f>13*2</f>
        <v/>
      </c>
      <c r="O23">
        <f>14*2</f>
        <v/>
      </c>
      <c r="P23">
        <f>15*2</f>
        <v/>
      </c>
      <c r="Q23">
        <f>16*2</f>
        <v/>
      </c>
      <c r="R23">
        <f>17*2</f>
        <v/>
      </c>
      <c r="S23">
        <f>18*2</f>
        <v/>
      </c>
      <c r="T23">
        <f>19*2</f>
        <v/>
      </c>
      <c r="U23">
        <f>20*2</f>
        <v/>
      </c>
      <c r="V23">
        <f>21*2</f>
        <v/>
      </c>
      <c r="W23">
        <f>22*2</f>
        <v/>
      </c>
      <c r="X23">
        <f>23*2</f>
        <v/>
      </c>
      <c r="Y23">
        <f>24*2</f>
        <v/>
      </c>
      <c r="Z23">
        <f>25*2</f>
        <v/>
      </c>
      <c r="AA23">
        <f>26*2</f>
        <v/>
      </c>
      <c r="AB23">
        <f>27*2</f>
        <v/>
      </c>
      <c r="AC23">
        <f>28*2</f>
        <v/>
      </c>
      <c r="AD23">
        <f>29*2</f>
        <v/>
      </c>
      <c r="AE23">
        <f>30*2</f>
        <v/>
      </c>
      <c r="AF23">
        <f>31*2</f>
        <v/>
      </c>
      <c r="AG23">
        <f>32*2</f>
        <v/>
      </c>
      <c r="AH23">
        <f>33*2</f>
        <v/>
      </c>
      <c r="AI23">
        <f>34*2</f>
        <v/>
      </c>
      <c r="AJ23">
        <f>35*2</f>
        <v/>
      </c>
      <c r="AK23">
        <f>36*2</f>
        <v/>
      </c>
      <c r="AL23">
        <f>37*2</f>
        <v/>
      </c>
      <c r="AM23">
        <f>38*2</f>
        <v/>
      </c>
    </row>
    <row r="24">
      <c r="A24" t="inlineStr">
        <is>
          <t>PROD22</t>
        </is>
      </c>
      <c r="B24">
        <f>1*2</f>
        <v/>
      </c>
      <c r="C24">
        <f>2*2</f>
        <v/>
      </c>
      <c r="D24">
        <f>3*2</f>
        <v/>
      </c>
      <c r="E24">
        <f>4*2</f>
        <v/>
      </c>
      <c r="F24">
        <f>5*2</f>
        <v/>
      </c>
      <c r="G24">
        <f>6*2</f>
        <v/>
      </c>
      <c r="H24">
        <f>7*2</f>
        <v/>
      </c>
      <c r="I24">
        <f>8*2</f>
        <v/>
      </c>
      <c r="J24">
        <f>9*2</f>
        <v/>
      </c>
      <c r="K24">
        <f>10*2</f>
        <v/>
      </c>
      <c r="L24">
        <f>11*2</f>
        <v/>
      </c>
      <c r="M24">
        <f>12*2</f>
        <v/>
      </c>
      <c r="N24">
        <f>13*2</f>
        <v/>
      </c>
      <c r="O24">
        <f>14*2</f>
        <v/>
      </c>
      <c r="P24">
        <f>15*2</f>
        <v/>
      </c>
      <c r="Q24">
        <f>16*2</f>
        <v/>
      </c>
      <c r="R24">
        <f>17*2</f>
        <v/>
      </c>
      <c r="S24">
        <f>18*2</f>
        <v/>
      </c>
      <c r="T24">
        <f>19*2</f>
        <v/>
      </c>
      <c r="U24">
        <f>20*2</f>
        <v/>
      </c>
      <c r="V24">
        <f>21*2</f>
        <v/>
      </c>
      <c r="W24">
        <f>22*2</f>
        <v/>
      </c>
      <c r="X24">
        <f>23*2</f>
        <v/>
      </c>
      <c r="Y24">
        <f>24*2</f>
        <v/>
      </c>
      <c r="Z24">
        <f>25*2</f>
        <v/>
      </c>
      <c r="AA24">
        <f>26*2</f>
        <v/>
      </c>
      <c r="AB24">
        <f>27*2</f>
        <v/>
      </c>
      <c r="AC24">
        <f>28*2</f>
        <v/>
      </c>
      <c r="AD24">
        <f>29*2</f>
        <v/>
      </c>
      <c r="AE24">
        <f>30*2</f>
        <v/>
      </c>
      <c r="AF24">
        <f>31*2</f>
        <v/>
      </c>
      <c r="AG24">
        <f>32*2</f>
        <v/>
      </c>
      <c r="AH24">
        <f>33*2</f>
        <v/>
      </c>
      <c r="AI24">
        <f>34*2</f>
        <v/>
      </c>
      <c r="AJ24">
        <f>35*2</f>
        <v/>
      </c>
      <c r="AK24">
        <f>36*2</f>
        <v/>
      </c>
      <c r="AL24">
        <f>37*2</f>
        <v/>
      </c>
      <c r="AM24">
        <f>38*2</f>
        <v/>
      </c>
    </row>
    <row r="25">
      <c r="A25" t="inlineStr">
        <is>
          <t>PROD23</t>
        </is>
      </c>
      <c r="B25">
        <f>1*2</f>
        <v/>
      </c>
      <c r="C25">
        <f>2*2</f>
        <v/>
      </c>
      <c r="D25">
        <f>3*2</f>
        <v/>
      </c>
      <c r="E25">
        <f>4*2</f>
        <v/>
      </c>
      <c r="F25">
        <f>5*2</f>
        <v/>
      </c>
      <c r="G25">
        <f>6*2</f>
        <v/>
      </c>
      <c r="H25">
        <f>7*2</f>
        <v/>
      </c>
      <c r="I25">
        <f>8*2</f>
        <v/>
      </c>
      <c r="J25">
        <f>9*2</f>
        <v/>
      </c>
      <c r="K25">
        <f>10*2</f>
        <v/>
      </c>
      <c r="L25">
        <f>11*2</f>
        <v/>
      </c>
      <c r="M25">
        <f>12*2</f>
        <v/>
      </c>
      <c r="N25">
        <f>13*2</f>
        <v/>
      </c>
      <c r="O25">
        <f>14*2</f>
        <v/>
      </c>
      <c r="P25">
        <f>15*2</f>
        <v/>
      </c>
      <c r="Q25">
        <f>16*2</f>
        <v/>
      </c>
      <c r="R25">
        <f>17*2</f>
        <v/>
      </c>
      <c r="S25">
        <f>18*2</f>
        <v/>
      </c>
      <c r="T25">
        <f>19*2</f>
        <v/>
      </c>
      <c r="U25">
        <f>20*2</f>
        <v/>
      </c>
      <c r="V25">
        <f>21*2</f>
        <v/>
      </c>
      <c r="W25">
        <f>22*2</f>
        <v/>
      </c>
      <c r="X25">
        <f>23*2</f>
        <v/>
      </c>
      <c r="Y25">
        <f>24*2</f>
        <v/>
      </c>
      <c r="Z25">
        <f>25*2</f>
        <v/>
      </c>
      <c r="AA25">
        <f>26*2</f>
        <v/>
      </c>
      <c r="AB25">
        <f>27*2</f>
        <v/>
      </c>
      <c r="AC25">
        <f>28*2</f>
        <v/>
      </c>
      <c r="AD25">
        <f>29*2</f>
        <v/>
      </c>
      <c r="AE25">
        <f>30*2</f>
        <v/>
      </c>
      <c r="AF25">
        <f>31*2</f>
        <v/>
      </c>
      <c r="AG25">
        <f>32*2</f>
        <v/>
      </c>
      <c r="AH25">
        <f>33*2</f>
        <v/>
      </c>
      <c r="AI25">
        <f>34*2</f>
        <v/>
      </c>
      <c r="AJ25">
        <f>35*2</f>
        <v/>
      </c>
      <c r="AK25">
        <f>36*2</f>
        <v/>
      </c>
      <c r="AL25">
        <f>37*2</f>
        <v/>
      </c>
      <c r="AM25">
        <f>38*2</f>
        <v/>
      </c>
    </row>
    <row r="26">
      <c r="A26" t="inlineStr">
        <is>
          <t>PROD24</t>
        </is>
      </c>
      <c r="B26">
        <f>1*2</f>
        <v/>
      </c>
      <c r="C26">
        <f>2*2</f>
        <v/>
      </c>
      <c r="D26">
        <f>3*2</f>
        <v/>
      </c>
      <c r="E26">
        <f>4*2</f>
        <v/>
      </c>
      <c r="F26">
        <f>5*2</f>
        <v/>
      </c>
      <c r="G26">
        <f>6*2</f>
        <v/>
      </c>
      <c r="H26">
        <f>7*2</f>
        <v/>
      </c>
      <c r="I26">
        <f>8*2</f>
        <v/>
      </c>
      <c r="J26">
        <f>9*2</f>
        <v/>
      </c>
      <c r="K26">
        <f>10*2</f>
        <v/>
      </c>
      <c r="L26">
        <f>11*2</f>
        <v/>
      </c>
      <c r="M26">
        <f>12*2</f>
        <v/>
      </c>
      <c r="N26">
        <f>13*2</f>
        <v/>
      </c>
      <c r="O26">
        <f>14*2</f>
        <v/>
      </c>
      <c r="P26">
        <f>15*2</f>
        <v/>
      </c>
      <c r="Q26">
        <f>16*2</f>
        <v/>
      </c>
      <c r="R26">
        <f>17*2</f>
        <v/>
      </c>
      <c r="S26">
        <f>18*2</f>
        <v/>
      </c>
      <c r="T26">
        <f>19*2</f>
        <v/>
      </c>
      <c r="U26">
        <f>20*2</f>
        <v/>
      </c>
      <c r="V26">
        <f>21*2</f>
        <v/>
      </c>
      <c r="W26">
        <f>22*2</f>
        <v/>
      </c>
      <c r="X26">
        <f>23*2</f>
        <v/>
      </c>
      <c r="Y26">
        <f>24*2</f>
        <v/>
      </c>
      <c r="Z26">
        <f>25*2</f>
        <v/>
      </c>
      <c r="AA26">
        <f>26*2</f>
        <v/>
      </c>
      <c r="AB26">
        <f>27*2</f>
        <v/>
      </c>
      <c r="AC26">
        <f>28*2</f>
        <v/>
      </c>
      <c r="AD26">
        <f>29*2</f>
        <v/>
      </c>
      <c r="AE26">
        <f>30*2</f>
        <v/>
      </c>
      <c r="AF26">
        <f>31*2</f>
        <v/>
      </c>
      <c r="AG26">
        <f>32*2</f>
        <v/>
      </c>
      <c r="AH26">
        <f>33*2</f>
        <v/>
      </c>
      <c r="AI26">
        <f>34*2</f>
        <v/>
      </c>
      <c r="AJ26">
        <f>35*2</f>
        <v/>
      </c>
      <c r="AK26">
        <f>36*2</f>
        <v/>
      </c>
      <c r="AL26">
        <f>37*2</f>
        <v/>
      </c>
      <c r="AM26">
        <f>38*2</f>
        <v/>
      </c>
    </row>
    <row r="27">
      <c r="A27" t="inlineStr">
        <is>
          <t>PROD25</t>
        </is>
      </c>
      <c r="B27">
        <f>1*2</f>
        <v/>
      </c>
      <c r="C27">
        <f>2*2</f>
        <v/>
      </c>
      <c r="D27">
        <f>3*2</f>
        <v/>
      </c>
      <c r="E27">
        <f>4*2</f>
        <v/>
      </c>
      <c r="F27">
        <f>5*2</f>
        <v/>
      </c>
      <c r="G27">
        <f>6*2</f>
        <v/>
      </c>
      <c r="H27">
        <f>7*2</f>
        <v/>
      </c>
      <c r="I27">
        <f>8*2</f>
        <v/>
      </c>
      <c r="J27">
        <f>9*2</f>
        <v/>
      </c>
      <c r="K27">
        <f>10*2</f>
        <v/>
      </c>
      <c r="L27">
        <f>11*2</f>
        <v/>
      </c>
      <c r="M27">
        <f>12*2</f>
        <v/>
      </c>
      <c r="N27">
        <f>13*2</f>
        <v/>
      </c>
      <c r="O27">
        <f>14*2</f>
        <v/>
      </c>
      <c r="P27">
        <f>15*2</f>
        <v/>
      </c>
      <c r="Q27">
        <f>16*2</f>
        <v/>
      </c>
      <c r="R27">
        <f>17*2</f>
        <v/>
      </c>
      <c r="S27">
        <f>18*2</f>
        <v/>
      </c>
      <c r="T27">
        <f>19*2</f>
        <v/>
      </c>
      <c r="U27">
        <f>20*2</f>
        <v/>
      </c>
      <c r="V27">
        <f>21*2</f>
        <v/>
      </c>
      <c r="W27">
        <f>22*2</f>
        <v/>
      </c>
      <c r="X27">
        <f>23*2</f>
        <v/>
      </c>
      <c r="Y27">
        <f>24*2</f>
        <v/>
      </c>
      <c r="Z27">
        <f>25*2</f>
        <v/>
      </c>
      <c r="AA27">
        <f>26*2</f>
        <v/>
      </c>
      <c r="AB27">
        <f>27*2</f>
        <v/>
      </c>
      <c r="AC27">
        <f>28*2</f>
        <v/>
      </c>
      <c r="AD27">
        <f>29*2</f>
        <v/>
      </c>
      <c r="AE27">
        <f>30*2</f>
        <v/>
      </c>
      <c r="AF27">
        <f>31*2</f>
        <v/>
      </c>
      <c r="AG27">
        <f>32*2</f>
        <v/>
      </c>
      <c r="AH27">
        <f>33*2</f>
        <v/>
      </c>
      <c r="AI27">
        <f>34*2</f>
        <v/>
      </c>
      <c r="AJ27">
        <f>35*2</f>
        <v/>
      </c>
      <c r="AK27">
        <f>36*2</f>
        <v/>
      </c>
      <c r="AL27">
        <f>37*2</f>
        <v/>
      </c>
      <c r="AM27">
        <f>38*2</f>
        <v/>
      </c>
    </row>
    <row r="28">
      <c r="A28" t="inlineStr">
        <is>
          <t>PROD26</t>
        </is>
      </c>
      <c r="B28">
        <f>1*2</f>
        <v/>
      </c>
      <c r="C28">
        <f>2*2</f>
        <v/>
      </c>
      <c r="D28">
        <f>3*2</f>
        <v/>
      </c>
      <c r="E28">
        <f>4*2</f>
        <v/>
      </c>
      <c r="F28">
        <f>5*2</f>
        <v/>
      </c>
      <c r="G28">
        <f>6*2</f>
        <v/>
      </c>
      <c r="H28">
        <f>7*2</f>
        <v/>
      </c>
      <c r="I28">
        <f>8*2</f>
        <v/>
      </c>
      <c r="J28">
        <f>9*2</f>
        <v/>
      </c>
      <c r="K28">
        <f>10*2</f>
        <v/>
      </c>
      <c r="L28">
        <f>11*2</f>
        <v/>
      </c>
      <c r="M28">
        <f>12*2</f>
        <v/>
      </c>
      <c r="N28">
        <f>13*2</f>
        <v/>
      </c>
      <c r="O28">
        <f>14*2</f>
        <v/>
      </c>
      <c r="P28">
        <f>15*2</f>
        <v/>
      </c>
      <c r="Q28">
        <f>16*2</f>
        <v/>
      </c>
      <c r="R28">
        <f>17*2</f>
        <v/>
      </c>
      <c r="S28">
        <f>18*2</f>
        <v/>
      </c>
      <c r="T28">
        <f>19*2</f>
        <v/>
      </c>
      <c r="U28">
        <f>20*2</f>
        <v/>
      </c>
      <c r="V28">
        <f>21*2</f>
        <v/>
      </c>
      <c r="W28">
        <f>22*2</f>
        <v/>
      </c>
      <c r="X28">
        <f>23*2</f>
        <v/>
      </c>
      <c r="Y28">
        <f>24*2</f>
        <v/>
      </c>
      <c r="Z28">
        <f>25*2</f>
        <v/>
      </c>
      <c r="AA28">
        <f>26*2</f>
        <v/>
      </c>
      <c r="AB28">
        <f>27*2</f>
        <v/>
      </c>
      <c r="AC28">
        <f>28*2</f>
        <v/>
      </c>
      <c r="AD28">
        <f>29*2</f>
        <v/>
      </c>
      <c r="AE28">
        <f>30*2</f>
        <v/>
      </c>
      <c r="AF28">
        <f>31*2</f>
        <v/>
      </c>
      <c r="AG28">
        <f>32*2</f>
        <v/>
      </c>
      <c r="AH28">
        <f>33*2</f>
        <v/>
      </c>
      <c r="AI28">
        <f>34*2</f>
        <v/>
      </c>
      <c r="AJ28">
        <f>35*2</f>
        <v/>
      </c>
      <c r="AK28">
        <f>36*2</f>
        <v/>
      </c>
      <c r="AL28">
        <f>37*2</f>
        <v/>
      </c>
      <c r="AM28">
        <f>38*2</f>
        <v/>
      </c>
    </row>
    <row r="29">
      <c r="A29" t="inlineStr">
        <is>
          <t>PROD27</t>
        </is>
      </c>
      <c r="B29">
        <f>1*2</f>
        <v/>
      </c>
      <c r="C29">
        <f>2*2</f>
        <v/>
      </c>
      <c r="D29">
        <f>3*2</f>
        <v/>
      </c>
      <c r="E29">
        <f>4*2</f>
        <v/>
      </c>
      <c r="F29">
        <f>5*2</f>
        <v/>
      </c>
      <c r="G29">
        <f>6*2</f>
        <v/>
      </c>
      <c r="H29">
        <f>7*2</f>
        <v/>
      </c>
      <c r="I29">
        <f>8*2</f>
        <v/>
      </c>
      <c r="J29">
        <f>9*2</f>
        <v/>
      </c>
      <c r="K29">
        <f>10*2</f>
        <v/>
      </c>
      <c r="L29">
        <f>11*2</f>
        <v/>
      </c>
      <c r="M29">
        <f>12*2</f>
        <v/>
      </c>
      <c r="N29">
        <f>13*2</f>
        <v/>
      </c>
      <c r="O29">
        <f>14*2</f>
        <v/>
      </c>
      <c r="P29">
        <f>15*2</f>
        <v/>
      </c>
      <c r="Q29">
        <f>16*2</f>
        <v/>
      </c>
      <c r="R29">
        <f>17*2</f>
        <v/>
      </c>
      <c r="S29">
        <f>18*2</f>
        <v/>
      </c>
      <c r="T29">
        <f>19*2</f>
        <v/>
      </c>
      <c r="U29">
        <f>20*2</f>
        <v/>
      </c>
      <c r="V29">
        <f>21*2</f>
        <v/>
      </c>
      <c r="W29">
        <f>22*2</f>
        <v/>
      </c>
      <c r="X29">
        <f>23*2</f>
        <v/>
      </c>
      <c r="Y29">
        <f>24*2</f>
        <v/>
      </c>
      <c r="Z29">
        <f>25*2</f>
        <v/>
      </c>
      <c r="AA29">
        <f>26*2</f>
        <v/>
      </c>
      <c r="AB29">
        <f>27*2</f>
        <v/>
      </c>
      <c r="AC29">
        <f>28*2</f>
        <v/>
      </c>
      <c r="AD29">
        <f>29*2</f>
        <v/>
      </c>
      <c r="AE29">
        <f>30*2</f>
        <v/>
      </c>
      <c r="AF29">
        <f>31*2</f>
        <v/>
      </c>
      <c r="AG29">
        <f>32*2</f>
        <v/>
      </c>
      <c r="AH29">
        <f>33*2</f>
        <v/>
      </c>
      <c r="AI29">
        <f>34*2</f>
        <v/>
      </c>
      <c r="AJ29">
        <f>35*2</f>
        <v/>
      </c>
      <c r="AK29">
        <f>36*2</f>
        <v/>
      </c>
      <c r="AL29">
        <f>37*2</f>
        <v/>
      </c>
      <c r="AM29">
        <f>38*2</f>
        <v/>
      </c>
    </row>
    <row r="30">
      <c r="A30" t="inlineStr">
        <is>
          <t>PROD28</t>
        </is>
      </c>
      <c r="B30">
        <f>1*2</f>
        <v/>
      </c>
      <c r="C30">
        <f>2*2</f>
        <v/>
      </c>
      <c r="D30">
        <f>3*2</f>
        <v/>
      </c>
      <c r="E30">
        <f>4*2</f>
        <v/>
      </c>
      <c r="F30">
        <f>5*2</f>
        <v/>
      </c>
      <c r="G30">
        <f>6*2</f>
        <v/>
      </c>
      <c r="H30">
        <f>7*2</f>
        <v/>
      </c>
      <c r="I30">
        <f>8*2</f>
        <v/>
      </c>
      <c r="J30">
        <f>9*2</f>
        <v/>
      </c>
      <c r="K30">
        <f>10*2</f>
        <v/>
      </c>
      <c r="L30">
        <f>11*2</f>
        <v/>
      </c>
      <c r="M30">
        <f>12*2</f>
        <v/>
      </c>
      <c r="N30">
        <f>13*2</f>
        <v/>
      </c>
      <c r="O30">
        <f>14*2</f>
        <v/>
      </c>
      <c r="P30">
        <f>15*2</f>
        <v/>
      </c>
      <c r="Q30">
        <f>16*2</f>
        <v/>
      </c>
      <c r="R30">
        <f>17*2</f>
        <v/>
      </c>
      <c r="S30">
        <f>18*2</f>
        <v/>
      </c>
      <c r="T30">
        <f>19*2</f>
        <v/>
      </c>
      <c r="U30">
        <f>20*2</f>
        <v/>
      </c>
      <c r="V30">
        <f>21*2</f>
        <v/>
      </c>
      <c r="W30">
        <f>22*2</f>
        <v/>
      </c>
      <c r="X30">
        <f>23*2</f>
        <v/>
      </c>
      <c r="Y30">
        <f>24*2</f>
        <v/>
      </c>
      <c r="Z30">
        <f>25*2</f>
        <v/>
      </c>
      <c r="AA30">
        <f>26*2</f>
        <v/>
      </c>
      <c r="AB30">
        <f>27*2</f>
        <v/>
      </c>
      <c r="AC30">
        <f>28*2</f>
        <v/>
      </c>
      <c r="AD30">
        <f>29*2</f>
        <v/>
      </c>
      <c r="AE30">
        <f>30*2</f>
        <v/>
      </c>
      <c r="AF30">
        <f>31*2</f>
        <v/>
      </c>
      <c r="AG30">
        <f>32*2</f>
        <v/>
      </c>
      <c r="AH30">
        <f>33*2</f>
        <v/>
      </c>
      <c r="AI30">
        <f>34*2</f>
        <v/>
      </c>
      <c r="AJ30">
        <f>35*2</f>
        <v/>
      </c>
      <c r="AK30">
        <f>36*2</f>
        <v/>
      </c>
      <c r="AL30">
        <f>37*2</f>
        <v/>
      </c>
      <c r="AM30">
        <f>38*2</f>
        <v/>
      </c>
    </row>
    <row r="31">
      <c r="A31" t="inlineStr">
        <is>
          <t>PROD29</t>
        </is>
      </c>
      <c r="B31">
        <f>1*2</f>
        <v/>
      </c>
      <c r="C31">
        <f>2*2</f>
        <v/>
      </c>
      <c r="D31">
        <f>3*2</f>
        <v/>
      </c>
      <c r="E31">
        <f>4*2</f>
        <v/>
      </c>
      <c r="F31">
        <f>5*2</f>
        <v/>
      </c>
      <c r="G31">
        <f>6*2</f>
        <v/>
      </c>
      <c r="H31">
        <f>7*2</f>
        <v/>
      </c>
      <c r="I31">
        <f>8*2</f>
        <v/>
      </c>
      <c r="J31">
        <f>9*2</f>
        <v/>
      </c>
      <c r="K31">
        <f>10*2</f>
        <v/>
      </c>
      <c r="L31">
        <f>11*2</f>
        <v/>
      </c>
      <c r="M31">
        <f>12*2</f>
        <v/>
      </c>
      <c r="N31">
        <f>13*2</f>
        <v/>
      </c>
      <c r="O31">
        <f>14*2</f>
        <v/>
      </c>
      <c r="P31">
        <f>15*2</f>
        <v/>
      </c>
      <c r="Q31">
        <f>16*2</f>
        <v/>
      </c>
      <c r="R31">
        <f>17*2</f>
        <v/>
      </c>
      <c r="S31">
        <f>18*2</f>
        <v/>
      </c>
      <c r="T31">
        <f>19*2</f>
        <v/>
      </c>
      <c r="U31">
        <f>20*2</f>
        <v/>
      </c>
      <c r="V31">
        <f>21*2</f>
        <v/>
      </c>
      <c r="W31">
        <f>22*2</f>
        <v/>
      </c>
      <c r="X31">
        <f>23*2</f>
        <v/>
      </c>
      <c r="Y31">
        <f>24*2</f>
        <v/>
      </c>
      <c r="Z31">
        <f>25*2</f>
        <v/>
      </c>
      <c r="AA31">
        <f>26*2</f>
        <v/>
      </c>
      <c r="AB31">
        <f>27*2</f>
        <v/>
      </c>
      <c r="AC31">
        <f>28*2</f>
        <v/>
      </c>
      <c r="AD31">
        <f>29*2</f>
        <v/>
      </c>
      <c r="AE31">
        <f>30*2</f>
        <v/>
      </c>
      <c r="AF31">
        <f>31*2</f>
        <v/>
      </c>
      <c r="AG31">
        <f>32*2</f>
        <v/>
      </c>
      <c r="AH31">
        <f>33*2</f>
        <v/>
      </c>
      <c r="AI31">
        <f>34*2</f>
        <v/>
      </c>
      <c r="AJ31">
        <f>35*2</f>
        <v/>
      </c>
      <c r="AK31">
        <f>36*2</f>
        <v/>
      </c>
      <c r="AL31">
        <f>37*2</f>
        <v/>
      </c>
      <c r="AM31">
        <f>38*2</f>
        <v/>
      </c>
    </row>
    <row r="32">
      <c r="A32" t="inlineStr">
        <is>
          <t>PROD30</t>
        </is>
      </c>
      <c r="B32">
        <f>1*2</f>
        <v/>
      </c>
      <c r="C32">
        <f>2*2</f>
        <v/>
      </c>
      <c r="D32">
        <f>3*2</f>
        <v/>
      </c>
      <c r="E32">
        <f>4*2</f>
        <v/>
      </c>
      <c r="F32">
        <f>5*2</f>
        <v/>
      </c>
      <c r="G32">
        <f>6*2</f>
        <v/>
      </c>
      <c r="H32">
        <f>7*2</f>
        <v/>
      </c>
      <c r="I32">
        <f>8*2</f>
        <v/>
      </c>
      <c r="J32">
        <f>9*2</f>
        <v/>
      </c>
      <c r="K32">
        <f>10*2</f>
        <v/>
      </c>
      <c r="L32">
        <f>11*2</f>
        <v/>
      </c>
      <c r="M32">
        <f>12*2</f>
        <v/>
      </c>
      <c r="N32">
        <f>13*2</f>
        <v/>
      </c>
      <c r="O32">
        <f>14*2</f>
        <v/>
      </c>
      <c r="P32">
        <f>15*2</f>
        <v/>
      </c>
      <c r="Q32">
        <f>16*2</f>
        <v/>
      </c>
      <c r="R32">
        <f>17*2</f>
        <v/>
      </c>
      <c r="S32">
        <f>18*2</f>
        <v/>
      </c>
      <c r="T32">
        <f>19*2</f>
        <v/>
      </c>
      <c r="U32">
        <f>20*2</f>
        <v/>
      </c>
      <c r="V32">
        <f>21*2</f>
        <v/>
      </c>
      <c r="W32">
        <f>22*2</f>
        <v/>
      </c>
      <c r="X32">
        <f>23*2</f>
        <v/>
      </c>
      <c r="Y32">
        <f>24*2</f>
        <v/>
      </c>
      <c r="Z32">
        <f>25*2</f>
        <v/>
      </c>
      <c r="AA32">
        <f>26*2</f>
        <v/>
      </c>
      <c r="AB32">
        <f>27*2</f>
        <v/>
      </c>
      <c r="AC32">
        <f>28*2</f>
        <v/>
      </c>
      <c r="AD32">
        <f>29*2</f>
        <v/>
      </c>
      <c r="AE32">
        <f>30*2</f>
        <v/>
      </c>
      <c r="AF32">
        <f>31*2</f>
        <v/>
      </c>
      <c r="AG32">
        <f>32*2</f>
        <v/>
      </c>
      <c r="AH32">
        <f>33*2</f>
        <v/>
      </c>
      <c r="AI32">
        <f>34*2</f>
        <v/>
      </c>
      <c r="AJ32">
        <f>35*2</f>
        <v/>
      </c>
      <c r="AK32">
        <f>36*2</f>
        <v/>
      </c>
      <c r="AL32">
        <f>37*2</f>
        <v/>
      </c>
      <c r="AM32">
        <f>38*2</f>
        <v/>
      </c>
    </row>
    <row r="33">
      <c r="A33" t="inlineStr">
        <is>
          <t>PROD31</t>
        </is>
      </c>
      <c r="B33">
        <f>1*2</f>
        <v/>
      </c>
      <c r="C33">
        <f>2*2</f>
        <v/>
      </c>
      <c r="D33">
        <f>3*2</f>
        <v/>
      </c>
      <c r="E33">
        <f>4*2</f>
        <v/>
      </c>
      <c r="F33">
        <f>5*2</f>
        <v/>
      </c>
      <c r="G33">
        <f>6*2</f>
        <v/>
      </c>
      <c r="H33">
        <f>7*2</f>
        <v/>
      </c>
      <c r="I33">
        <f>8*2</f>
        <v/>
      </c>
      <c r="J33">
        <f>9*2</f>
        <v/>
      </c>
      <c r="K33">
        <f>10*2</f>
        <v/>
      </c>
      <c r="L33">
        <f>11*2</f>
        <v/>
      </c>
      <c r="M33">
        <f>12*2</f>
        <v/>
      </c>
      <c r="N33">
        <f>13*2</f>
        <v/>
      </c>
      <c r="O33">
        <f>14*2</f>
        <v/>
      </c>
      <c r="P33">
        <f>15*2</f>
        <v/>
      </c>
      <c r="Q33">
        <f>16*2</f>
        <v/>
      </c>
      <c r="R33">
        <f>17*2</f>
        <v/>
      </c>
      <c r="S33">
        <f>18*2</f>
        <v/>
      </c>
      <c r="T33">
        <f>19*2</f>
        <v/>
      </c>
      <c r="U33">
        <f>20*2</f>
        <v/>
      </c>
      <c r="V33">
        <f>21*2</f>
        <v/>
      </c>
      <c r="W33">
        <f>22*2</f>
        <v/>
      </c>
      <c r="X33">
        <f>23*2</f>
        <v/>
      </c>
      <c r="Y33">
        <f>24*2</f>
        <v/>
      </c>
      <c r="Z33">
        <f>25*2</f>
        <v/>
      </c>
      <c r="AA33">
        <f>26*2</f>
        <v/>
      </c>
      <c r="AB33">
        <f>27*2</f>
        <v/>
      </c>
      <c r="AC33">
        <f>28*2</f>
        <v/>
      </c>
      <c r="AD33">
        <f>29*2</f>
        <v/>
      </c>
      <c r="AE33">
        <f>30*2</f>
        <v/>
      </c>
      <c r="AF33">
        <f>31*2</f>
        <v/>
      </c>
      <c r="AG33">
        <f>32*2</f>
        <v/>
      </c>
      <c r="AH33">
        <f>33*2</f>
        <v/>
      </c>
      <c r="AI33">
        <f>34*2</f>
        <v/>
      </c>
      <c r="AJ33">
        <f>35*2</f>
        <v/>
      </c>
      <c r="AK33">
        <f>36*2</f>
        <v/>
      </c>
      <c r="AL33">
        <f>37*2</f>
        <v/>
      </c>
      <c r="AM33">
        <f>38*2</f>
        <v/>
      </c>
    </row>
    <row r="34">
      <c r="A34" t="inlineStr">
        <is>
          <t>PROD32</t>
        </is>
      </c>
      <c r="B34">
        <f>1*2</f>
        <v/>
      </c>
      <c r="C34">
        <f>2*2</f>
        <v/>
      </c>
      <c r="D34">
        <f>3*2</f>
        <v/>
      </c>
      <c r="E34">
        <f>4*2</f>
        <v/>
      </c>
      <c r="F34">
        <f>5*2</f>
        <v/>
      </c>
      <c r="G34">
        <f>6*2</f>
        <v/>
      </c>
      <c r="H34">
        <f>7*2</f>
        <v/>
      </c>
      <c r="I34">
        <f>8*2</f>
        <v/>
      </c>
      <c r="J34">
        <f>9*2</f>
        <v/>
      </c>
      <c r="K34">
        <f>10*2</f>
        <v/>
      </c>
      <c r="L34">
        <f>11*2</f>
        <v/>
      </c>
      <c r="M34">
        <f>12*2</f>
        <v/>
      </c>
      <c r="N34">
        <f>13*2</f>
        <v/>
      </c>
      <c r="O34">
        <f>14*2</f>
        <v/>
      </c>
      <c r="P34">
        <f>15*2</f>
        <v/>
      </c>
      <c r="Q34">
        <f>16*2</f>
        <v/>
      </c>
      <c r="R34">
        <f>17*2</f>
        <v/>
      </c>
      <c r="S34">
        <f>18*2</f>
        <v/>
      </c>
      <c r="T34">
        <f>19*2</f>
        <v/>
      </c>
      <c r="U34">
        <f>20*2</f>
        <v/>
      </c>
      <c r="V34">
        <f>21*2</f>
        <v/>
      </c>
      <c r="W34">
        <f>22*2</f>
        <v/>
      </c>
      <c r="X34">
        <f>23*2</f>
        <v/>
      </c>
      <c r="Y34">
        <f>24*2</f>
        <v/>
      </c>
      <c r="Z34">
        <f>25*2</f>
        <v/>
      </c>
      <c r="AA34">
        <f>26*2</f>
        <v/>
      </c>
      <c r="AB34">
        <f>27*2</f>
        <v/>
      </c>
      <c r="AC34">
        <f>28*2</f>
        <v/>
      </c>
      <c r="AD34">
        <f>29*2</f>
        <v/>
      </c>
      <c r="AE34">
        <f>30*2</f>
        <v/>
      </c>
      <c r="AF34">
        <f>31*2</f>
        <v/>
      </c>
      <c r="AG34">
        <f>32*2</f>
        <v/>
      </c>
      <c r="AH34">
        <f>33*2</f>
        <v/>
      </c>
      <c r="AI34">
        <f>34*2</f>
        <v/>
      </c>
      <c r="AJ34">
        <f>35*2</f>
        <v/>
      </c>
      <c r="AK34">
        <f>36*2</f>
        <v/>
      </c>
      <c r="AL34">
        <f>37*2</f>
        <v/>
      </c>
      <c r="AM34">
        <f>38*2</f>
        <v/>
      </c>
    </row>
    <row r="35">
      <c r="A35" t="inlineStr">
        <is>
          <t>PROD33</t>
        </is>
      </c>
      <c r="B35">
        <f>1*2</f>
        <v/>
      </c>
      <c r="C35">
        <f>2*2</f>
        <v/>
      </c>
      <c r="D35">
        <f>3*2</f>
        <v/>
      </c>
      <c r="E35">
        <f>4*2</f>
        <v/>
      </c>
      <c r="F35">
        <f>5*2</f>
        <v/>
      </c>
      <c r="G35">
        <f>6*2</f>
        <v/>
      </c>
      <c r="H35">
        <f>7*2</f>
        <v/>
      </c>
      <c r="I35">
        <f>8*2</f>
        <v/>
      </c>
      <c r="J35">
        <f>9*2</f>
        <v/>
      </c>
      <c r="K35">
        <f>10*2</f>
        <v/>
      </c>
      <c r="L35">
        <f>11*2</f>
        <v/>
      </c>
      <c r="M35">
        <f>12*2</f>
        <v/>
      </c>
      <c r="N35">
        <f>13*2</f>
        <v/>
      </c>
      <c r="O35">
        <f>14*2</f>
        <v/>
      </c>
      <c r="P35">
        <f>15*2</f>
        <v/>
      </c>
      <c r="Q35">
        <f>16*2</f>
        <v/>
      </c>
      <c r="R35">
        <f>17*2</f>
        <v/>
      </c>
      <c r="S35">
        <f>18*2</f>
        <v/>
      </c>
      <c r="T35">
        <f>19*2</f>
        <v/>
      </c>
      <c r="U35">
        <f>20*2</f>
        <v/>
      </c>
      <c r="V35">
        <f>21*2</f>
        <v/>
      </c>
      <c r="W35">
        <f>22*2</f>
        <v/>
      </c>
      <c r="X35">
        <f>23*2</f>
        <v/>
      </c>
      <c r="Y35">
        <f>24*2</f>
        <v/>
      </c>
      <c r="Z35">
        <f>25*2</f>
        <v/>
      </c>
      <c r="AA35">
        <f>26*2</f>
        <v/>
      </c>
      <c r="AB35">
        <f>27*2</f>
        <v/>
      </c>
      <c r="AC35">
        <f>28*2</f>
        <v/>
      </c>
      <c r="AD35">
        <f>29*2</f>
        <v/>
      </c>
      <c r="AE35">
        <f>30*2</f>
        <v/>
      </c>
      <c r="AF35">
        <f>31*2</f>
        <v/>
      </c>
      <c r="AG35">
        <f>32*2</f>
        <v/>
      </c>
      <c r="AH35">
        <f>33*2</f>
        <v/>
      </c>
      <c r="AI35">
        <f>34*2</f>
        <v/>
      </c>
      <c r="AJ35">
        <f>35*2</f>
        <v/>
      </c>
      <c r="AK35">
        <f>36*2</f>
        <v/>
      </c>
      <c r="AL35">
        <f>37*2</f>
        <v/>
      </c>
      <c r="AM35">
        <f>38*2</f>
        <v/>
      </c>
    </row>
    <row r="36">
      <c r="A36" t="inlineStr">
        <is>
          <t>PROD34</t>
        </is>
      </c>
      <c r="B36">
        <f>1*2</f>
        <v/>
      </c>
      <c r="C36">
        <f>2*2</f>
        <v/>
      </c>
      <c r="D36">
        <f>3*2</f>
        <v/>
      </c>
      <c r="E36">
        <f>4*2</f>
        <v/>
      </c>
      <c r="F36">
        <f>5*2</f>
        <v/>
      </c>
      <c r="G36">
        <f>6*2</f>
        <v/>
      </c>
      <c r="H36">
        <f>7*2</f>
        <v/>
      </c>
      <c r="I36">
        <f>8*2</f>
        <v/>
      </c>
      <c r="J36">
        <f>9*2</f>
        <v/>
      </c>
      <c r="K36">
        <f>10*2</f>
        <v/>
      </c>
      <c r="L36">
        <f>11*2</f>
        <v/>
      </c>
      <c r="M36">
        <f>12*2</f>
        <v/>
      </c>
      <c r="N36">
        <f>13*2</f>
        <v/>
      </c>
      <c r="O36">
        <f>14*2</f>
        <v/>
      </c>
      <c r="P36">
        <f>15*2</f>
        <v/>
      </c>
      <c r="Q36">
        <f>16*2</f>
        <v/>
      </c>
      <c r="R36">
        <f>17*2</f>
        <v/>
      </c>
      <c r="S36">
        <f>18*2</f>
        <v/>
      </c>
      <c r="T36">
        <f>19*2</f>
        <v/>
      </c>
      <c r="U36">
        <f>20*2</f>
        <v/>
      </c>
      <c r="V36">
        <f>21*2</f>
        <v/>
      </c>
      <c r="W36">
        <f>22*2</f>
        <v/>
      </c>
      <c r="X36">
        <f>23*2</f>
        <v/>
      </c>
      <c r="Y36">
        <f>24*2</f>
        <v/>
      </c>
      <c r="Z36">
        <f>25*2</f>
        <v/>
      </c>
      <c r="AA36">
        <f>26*2</f>
        <v/>
      </c>
      <c r="AB36">
        <f>27*2</f>
        <v/>
      </c>
      <c r="AC36">
        <f>28*2</f>
        <v/>
      </c>
      <c r="AD36">
        <f>29*2</f>
        <v/>
      </c>
      <c r="AE36">
        <f>30*2</f>
        <v/>
      </c>
      <c r="AF36">
        <f>31*2</f>
        <v/>
      </c>
      <c r="AG36">
        <f>32*2</f>
        <v/>
      </c>
      <c r="AH36">
        <f>33*2</f>
        <v/>
      </c>
      <c r="AI36">
        <f>34*2</f>
        <v/>
      </c>
      <c r="AJ36">
        <f>35*2</f>
        <v/>
      </c>
      <c r="AK36">
        <f>36*2</f>
        <v/>
      </c>
      <c r="AL36">
        <f>37*2</f>
        <v/>
      </c>
      <c r="AM36">
        <f>38*2</f>
        <v/>
      </c>
    </row>
    <row r="37">
      <c r="A37" t="inlineStr">
        <is>
          <t>PROD35</t>
        </is>
      </c>
      <c r="B37">
        <f>1*2</f>
        <v/>
      </c>
      <c r="C37">
        <f>2*2</f>
        <v/>
      </c>
      <c r="D37">
        <f>3*2</f>
        <v/>
      </c>
      <c r="E37">
        <f>4*2</f>
        <v/>
      </c>
      <c r="F37">
        <f>5*2</f>
        <v/>
      </c>
      <c r="G37">
        <f>6*2</f>
        <v/>
      </c>
      <c r="H37">
        <f>7*2</f>
        <v/>
      </c>
      <c r="I37">
        <f>8*2</f>
        <v/>
      </c>
      <c r="J37">
        <f>9*2</f>
        <v/>
      </c>
      <c r="K37">
        <f>10*2</f>
        <v/>
      </c>
      <c r="L37">
        <f>11*2</f>
        <v/>
      </c>
      <c r="M37">
        <f>12*2</f>
        <v/>
      </c>
      <c r="N37">
        <f>13*2</f>
        <v/>
      </c>
      <c r="O37">
        <f>14*2</f>
        <v/>
      </c>
      <c r="P37">
        <f>15*2</f>
        <v/>
      </c>
      <c r="Q37">
        <f>16*2</f>
        <v/>
      </c>
      <c r="R37">
        <f>17*2</f>
        <v/>
      </c>
      <c r="S37">
        <f>18*2</f>
        <v/>
      </c>
      <c r="T37">
        <f>19*2</f>
        <v/>
      </c>
      <c r="U37">
        <f>20*2</f>
        <v/>
      </c>
      <c r="V37">
        <f>21*2</f>
        <v/>
      </c>
      <c r="W37">
        <f>22*2</f>
        <v/>
      </c>
      <c r="X37">
        <f>23*2</f>
        <v/>
      </c>
      <c r="Y37">
        <f>24*2</f>
        <v/>
      </c>
      <c r="Z37">
        <f>25*2</f>
        <v/>
      </c>
      <c r="AA37">
        <f>26*2</f>
        <v/>
      </c>
      <c r="AB37">
        <f>27*2</f>
        <v/>
      </c>
      <c r="AC37">
        <f>28*2</f>
        <v/>
      </c>
      <c r="AD37">
        <f>29*2</f>
        <v/>
      </c>
      <c r="AE37">
        <f>30*2</f>
        <v/>
      </c>
      <c r="AF37">
        <f>31*2</f>
        <v/>
      </c>
      <c r="AG37">
        <f>32*2</f>
        <v/>
      </c>
      <c r="AH37">
        <f>33*2</f>
        <v/>
      </c>
      <c r="AI37">
        <f>34*2</f>
        <v/>
      </c>
      <c r="AJ37">
        <f>35*2</f>
        <v/>
      </c>
      <c r="AK37">
        <f>36*2</f>
        <v/>
      </c>
      <c r="AL37">
        <f>37*2</f>
        <v/>
      </c>
      <c r="AM37">
        <f>38*2</f>
        <v/>
      </c>
    </row>
    <row r="38">
      <c r="A38" t="inlineStr">
        <is>
          <t>PROD36</t>
        </is>
      </c>
      <c r="B38">
        <f>1*2</f>
        <v/>
      </c>
      <c r="C38">
        <f>2*2</f>
        <v/>
      </c>
      <c r="D38">
        <f>3*2</f>
        <v/>
      </c>
      <c r="E38">
        <f>4*2</f>
        <v/>
      </c>
      <c r="F38">
        <f>5*2</f>
        <v/>
      </c>
      <c r="G38">
        <f>6*2</f>
        <v/>
      </c>
      <c r="H38">
        <f>7*2</f>
        <v/>
      </c>
      <c r="I38">
        <f>8*2</f>
        <v/>
      </c>
      <c r="J38">
        <f>9*2</f>
        <v/>
      </c>
      <c r="K38">
        <f>10*2</f>
        <v/>
      </c>
      <c r="L38">
        <f>11*2</f>
        <v/>
      </c>
      <c r="M38">
        <f>12*2</f>
        <v/>
      </c>
      <c r="N38">
        <f>13*2</f>
        <v/>
      </c>
      <c r="O38">
        <f>14*2</f>
        <v/>
      </c>
      <c r="P38">
        <f>15*2</f>
        <v/>
      </c>
      <c r="Q38">
        <f>16*2</f>
        <v/>
      </c>
      <c r="R38">
        <f>17*2</f>
        <v/>
      </c>
      <c r="S38">
        <f>18*2</f>
        <v/>
      </c>
      <c r="T38">
        <f>19*2</f>
        <v/>
      </c>
      <c r="U38">
        <f>20*2</f>
        <v/>
      </c>
      <c r="V38">
        <f>21*2</f>
        <v/>
      </c>
      <c r="W38">
        <f>22*2</f>
        <v/>
      </c>
      <c r="X38">
        <f>23*2</f>
        <v/>
      </c>
      <c r="Y38">
        <f>24*2</f>
        <v/>
      </c>
      <c r="Z38">
        <f>25*2</f>
        <v/>
      </c>
      <c r="AA38">
        <f>26*2</f>
        <v/>
      </c>
      <c r="AB38">
        <f>27*2</f>
        <v/>
      </c>
      <c r="AC38">
        <f>28*2</f>
        <v/>
      </c>
      <c r="AD38">
        <f>29*2</f>
        <v/>
      </c>
      <c r="AE38">
        <f>30*2</f>
        <v/>
      </c>
      <c r="AF38">
        <f>31*2</f>
        <v/>
      </c>
      <c r="AG38">
        <f>32*2</f>
        <v/>
      </c>
      <c r="AH38">
        <f>33*2</f>
        <v/>
      </c>
      <c r="AI38">
        <f>34*2</f>
        <v/>
      </c>
      <c r="AJ38">
        <f>35*2</f>
        <v/>
      </c>
      <c r="AK38">
        <f>36*2</f>
        <v/>
      </c>
      <c r="AL38">
        <f>37*2</f>
        <v/>
      </c>
      <c r="AM38">
        <f>38*2</f>
        <v/>
      </c>
    </row>
    <row r="39">
      <c r="A39" t="inlineStr">
        <is>
          <t>PROD37</t>
        </is>
      </c>
      <c r="B39">
        <f>1*2</f>
        <v/>
      </c>
      <c r="C39">
        <f>2*2</f>
        <v/>
      </c>
      <c r="D39">
        <f>3*2</f>
        <v/>
      </c>
      <c r="E39">
        <f>4*2</f>
        <v/>
      </c>
      <c r="F39">
        <f>5*2</f>
        <v/>
      </c>
      <c r="G39">
        <f>6*2</f>
        <v/>
      </c>
      <c r="H39">
        <f>7*2</f>
        <v/>
      </c>
      <c r="I39">
        <f>8*2</f>
        <v/>
      </c>
      <c r="J39">
        <f>9*2</f>
        <v/>
      </c>
      <c r="K39">
        <f>10*2</f>
        <v/>
      </c>
      <c r="L39">
        <f>11*2</f>
        <v/>
      </c>
      <c r="M39">
        <f>12*2</f>
        <v/>
      </c>
      <c r="N39">
        <f>13*2</f>
        <v/>
      </c>
      <c r="O39">
        <f>14*2</f>
        <v/>
      </c>
      <c r="P39">
        <f>15*2</f>
        <v/>
      </c>
      <c r="Q39">
        <f>16*2</f>
        <v/>
      </c>
      <c r="R39">
        <f>17*2</f>
        <v/>
      </c>
      <c r="S39">
        <f>18*2</f>
        <v/>
      </c>
      <c r="T39">
        <f>19*2</f>
        <v/>
      </c>
      <c r="U39">
        <f>20*2</f>
        <v/>
      </c>
      <c r="V39">
        <f>21*2</f>
        <v/>
      </c>
      <c r="W39">
        <f>22*2</f>
        <v/>
      </c>
      <c r="X39">
        <f>23*2</f>
        <v/>
      </c>
      <c r="Y39">
        <f>24*2</f>
        <v/>
      </c>
      <c r="Z39">
        <f>25*2</f>
        <v/>
      </c>
      <c r="AA39">
        <f>26*2</f>
        <v/>
      </c>
      <c r="AB39">
        <f>27*2</f>
        <v/>
      </c>
      <c r="AC39">
        <f>28*2</f>
        <v/>
      </c>
      <c r="AD39">
        <f>29*2</f>
        <v/>
      </c>
      <c r="AE39">
        <f>30*2</f>
        <v/>
      </c>
      <c r="AF39">
        <f>31*2</f>
        <v/>
      </c>
      <c r="AG39">
        <f>32*2</f>
        <v/>
      </c>
      <c r="AH39">
        <f>33*2</f>
        <v/>
      </c>
      <c r="AI39">
        <f>34*2</f>
        <v/>
      </c>
      <c r="AJ39">
        <f>35*2</f>
        <v/>
      </c>
      <c r="AK39">
        <f>36*2</f>
        <v/>
      </c>
      <c r="AL39">
        <f>37*2</f>
        <v/>
      </c>
      <c r="AM39">
        <f>38*2</f>
        <v/>
      </c>
    </row>
    <row r="40">
      <c r="A40" t="inlineStr">
        <is>
          <t>PROD38</t>
        </is>
      </c>
      <c r="B40">
        <f>1*2</f>
        <v/>
      </c>
      <c r="C40">
        <f>2*2</f>
        <v/>
      </c>
      <c r="D40">
        <f>3*2</f>
        <v/>
      </c>
      <c r="E40">
        <f>4*2</f>
        <v/>
      </c>
      <c r="F40">
        <f>5*2</f>
        <v/>
      </c>
      <c r="G40">
        <f>6*2</f>
        <v/>
      </c>
      <c r="H40">
        <f>7*2</f>
        <v/>
      </c>
      <c r="I40">
        <f>8*2</f>
        <v/>
      </c>
      <c r="J40">
        <f>9*2</f>
        <v/>
      </c>
      <c r="K40">
        <f>10*2</f>
        <v/>
      </c>
      <c r="L40">
        <f>11*2</f>
        <v/>
      </c>
      <c r="M40">
        <f>12*2</f>
        <v/>
      </c>
      <c r="N40">
        <f>13*2</f>
        <v/>
      </c>
      <c r="O40">
        <f>14*2</f>
        <v/>
      </c>
      <c r="P40">
        <f>15*2</f>
        <v/>
      </c>
      <c r="Q40">
        <f>16*2</f>
        <v/>
      </c>
      <c r="R40">
        <f>17*2</f>
        <v/>
      </c>
      <c r="S40">
        <f>18*2</f>
        <v/>
      </c>
      <c r="T40">
        <f>19*2</f>
        <v/>
      </c>
      <c r="U40">
        <f>20*2</f>
        <v/>
      </c>
      <c r="V40">
        <f>21*2</f>
        <v/>
      </c>
      <c r="W40">
        <f>22*2</f>
        <v/>
      </c>
      <c r="X40">
        <f>23*2</f>
        <v/>
      </c>
      <c r="Y40">
        <f>24*2</f>
        <v/>
      </c>
      <c r="Z40">
        <f>25*2</f>
        <v/>
      </c>
      <c r="AA40">
        <f>26*2</f>
        <v/>
      </c>
      <c r="AB40">
        <f>27*2</f>
        <v/>
      </c>
      <c r="AC40">
        <f>28*2</f>
        <v/>
      </c>
      <c r="AD40">
        <f>29*2</f>
        <v/>
      </c>
      <c r="AE40">
        <f>30*2</f>
        <v/>
      </c>
      <c r="AF40">
        <f>31*2</f>
        <v/>
      </c>
      <c r="AG40">
        <f>32*2</f>
        <v/>
      </c>
      <c r="AH40">
        <f>33*2</f>
        <v/>
      </c>
      <c r="AI40">
        <f>34*2</f>
        <v/>
      </c>
      <c r="AJ40">
        <f>35*2</f>
        <v/>
      </c>
      <c r="AK40">
        <f>36*2</f>
        <v/>
      </c>
      <c r="AL40">
        <f>37*2</f>
        <v/>
      </c>
      <c r="AM40">
        <f>38*2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 MATRIX (38x38)</t>
        </is>
      </c>
    </row>
    <row r="2">
      <c r="A2" t="inlineStr">
        <is>
          <t>From \ To</t>
        </is>
      </c>
      <c r="B2" t="inlineStr">
        <is>
          <t>IND1</t>
        </is>
      </c>
      <c r="C2" t="inlineStr">
        <is>
          <t>IND2</t>
        </is>
      </c>
      <c r="D2" t="inlineStr">
        <is>
          <t>IND3</t>
        </is>
      </c>
      <c r="E2" t="inlineStr">
        <is>
          <t>IND4</t>
        </is>
      </c>
      <c r="F2" t="inlineStr">
        <is>
          <t>IND5</t>
        </is>
      </c>
      <c r="G2" t="inlineStr">
        <is>
          <t>IND6</t>
        </is>
      </c>
      <c r="H2" t="inlineStr">
        <is>
          <t>IND7</t>
        </is>
      </c>
      <c r="I2" t="inlineStr">
        <is>
          <t>IND8</t>
        </is>
      </c>
      <c r="J2" t="inlineStr">
        <is>
          <t>IND9</t>
        </is>
      </c>
      <c r="K2" t="inlineStr">
        <is>
          <t>IND10</t>
        </is>
      </c>
      <c r="L2" t="inlineStr">
        <is>
          <t>IND11</t>
        </is>
      </c>
      <c r="M2" t="inlineStr">
        <is>
          <t>IND12</t>
        </is>
      </c>
      <c r="N2" t="inlineStr">
        <is>
          <t>IND13</t>
        </is>
      </c>
      <c r="O2" t="inlineStr">
        <is>
          <t>IND14</t>
        </is>
      </c>
      <c r="P2" t="inlineStr">
        <is>
          <t>IND15</t>
        </is>
      </c>
      <c r="Q2" t="inlineStr">
        <is>
          <t>IND16</t>
        </is>
      </c>
      <c r="R2" t="inlineStr">
        <is>
          <t>IND17</t>
        </is>
      </c>
      <c r="S2" t="inlineStr">
        <is>
          <t>IND18</t>
        </is>
      </c>
      <c r="T2" t="inlineStr">
        <is>
          <t>IND19</t>
        </is>
      </c>
      <c r="U2" t="inlineStr">
        <is>
          <t>IND20</t>
        </is>
      </c>
      <c r="V2" t="inlineStr">
        <is>
          <t>IND21</t>
        </is>
      </c>
      <c r="W2" t="inlineStr">
        <is>
          <t>IND22</t>
        </is>
      </c>
      <c r="X2" t="inlineStr">
        <is>
          <t>IND23</t>
        </is>
      </c>
      <c r="Y2" t="inlineStr">
        <is>
          <t>IND24</t>
        </is>
      </c>
      <c r="Z2" t="inlineStr">
        <is>
          <t>IND25</t>
        </is>
      </c>
      <c r="AA2" t="inlineStr">
        <is>
          <t>IND26</t>
        </is>
      </c>
      <c r="AB2" t="inlineStr">
        <is>
          <t>IND27</t>
        </is>
      </c>
      <c r="AC2" t="inlineStr">
        <is>
          <t>IND28</t>
        </is>
      </c>
      <c r="AD2" t="inlineStr">
        <is>
          <t>IND29</t>
        </is>
      </c>
      <c r="AE2" t="inlineStr">
        <is>
          <t>IND30</t>
        </is>
      </c>
      <c r="AF2" t="inlineStr">
        <is>
          <t>IND31</t>
        </is>
      </c>
      <c r="AG2" t="inlineStr">
        <is>
          <t>IND32</t>
        </is>
      </c>
      <c r="AH2" t="inlineStr">
        <is>
          <t>IND33</t>
        </is>
      </c>
      <c r="AI2" t="inlineStr">
        <is>
          <t>IND34</t>
        </is>
      </c>
      <c r="AJ2" t="inlineStr">
        <is>
          <t>IND35</t>
        </is>
      </c>
      <c r="AK2" t="inlineStr">
        <is>
          <t>IND36</t>
        </is>
      </c>
      <c r="AL2" t="inlineStr">
        <is>
          <t>IND37</t>
        </is>
      </c>
      <c r="AM2" t="inlineStr">
        <is>
          <t>IND38</t>
        </is>
      </c>
    </row>
    <row r="3">
      <c r="A3" t="inlineStr">
        <is>
          <t>PROD1</t>
        </is>
      </c>
      <c r="B3">
        <f>1*1.8</f>
        <v/>
      </c>
      <c r="C3">
        <f>2*1.8</f>
        <v/>
      </c>
      <c r="D3">
        <f>3*1.8</f>
        <v/>
      </c>
      <c r="E3">
        <f>4*1.8</f>
        <v/>
      </c>
      <c r="F3">
        <f>5*1.8</f>
        <v/>
      </c>
      <c r="G3">
        <f>6*1.8</f>
        <v/>
      </c>
      <c r="H3">
        <f>7*1.8</f>
        <v/>
      </c>
      <c r="I3">
        <f>8*1.8</f>
        <v/>
      </c>
      <c r="J3">
        <f>9*1.8</f>
        <v/>
      </c>
      <c r="K3">
        <f>10*1.8</f>
        <v/>
      </c>
      <c r="L3">
        <f>11*1.8</f>
        <v/>
      </c>
      <c r="M3">
        <f>12*1.8</f>
        <v/>
      </c>
      <c r="N3">
        <f>13*1.8</f>
        <v/>
      </c>
      <c r="O3">
        <f>14*1.8</f>
        <v/>
      </c>
      <c r="P3">
        <f>15*1.8</f>
        <v/>
      </c>
      <c r="Q3">
        <f>16*1.8</f>
        <v/>
      </c>
      <c r="R3">
        <f>17*1.8</f>
        <v/>
      </c>
      <c r="S3">
        <f>18*1.8</f>
        <v/>
      </c>
      <c r="T3">
        <f>19*1.8</f>
        <v/>
      </c>
      <c r="U3">
        <f>20*1.8</f>
        <v/>
      </c>
      <c r="V3">
        <f>21*1.8</f>
        <v/>
      </c>
      <c r="W3">
        <f>22*1.8</f>
        <v/>
      </c>
      <c r="X3">
        <f>23*1.8</f>
        <v/>
      </c>
      <c r="Y3">
        <f>24*1.8</f>
        <v/>
      </c>
      <c r="Z3">
        <f>25*1.8</f>
        <v/>
      </c>
      <c r="AA3">
        <f>26*1.8</f>
        <v/>
      </c>
      <c r="AB3">
        <f>27*1.8</f>
        <v/>
      </c>
      <c r="AC3">
        <f>28*1.8</f>
        <v/>
      </c>
      <c r="AD3">
        <f>29*1.8</f>
        <v/>
      </c>
      <c r="AE3">
        <f>30*1.8</f>
        <v/>
      </c>
      <c r="AF3">
        <f>31*1.8</f>
        <v/>
      </c>
      <c r="AG3">
        <f>32*1.8</f>
        <v/>
      </c>
      <c r="AH3">
        <f>33*1.8</f>
        <v/>
      </c>
      <c r="AI3">
        <f>34*1.8</f>
        <v/>
      </c>
      <c r="AJ3">
        <f>35*1.8</f>
        <v/>
      </c>
      <c r="AK3">
        <f>36*1.8</f>
        <v/>
      </c>
      <c r="AL3">
        <f>37*1.8</f>
        <v/>
      </c>
      <c r="AM3">
        <f>38*1.8</f>
        <v/>
      </c>
    </row>
    <row r="4">
      <c r="A4" t="inlineStr">
        <is>
          <t>PROD2</t>
        </is>
      </c>
      <c r="B4">
        <f>1*1.8</f>
        <v/>
      </c>
      <c r="C4">
        <f>2*1.8</f>
        <v/>
      </c>
      <c r="D4">
        <f>3*1.8</f>
        <v/>
      </c>
      <c r="E4">
        <f>4*1.8</f>
        <v/>
      </c>
      <c r="F4">
        <f>5*1.8</f>
        <v/>
      </c>
      <c r="G4">
        <f>6*1.8</f>
        <v/>
      </c>
      <c r="H4">
        <f>7*1.8</f>
        <v/>
      </c>
      <c r="I4">
        <f>8*1.8</f>
        <v/>
      </c>
      <c r="J4">
        <f>9*1.8</f>
        <v/>
      </c>
      <c r="K4">
        <f>10*1.8</f>
        <v/>
      </c>
      <c r="L4">
        <f>11*1.8</f>
        <v/>
      </c>
      <c r="M4">
        <f>12*1.8</f>
        <v/>
      </c>
      <c r="N4">
        <f>13*1.8</f>
        <v/>
      </c>
      <c r="O4">
        <f>14*1.8</f>
        <v/>
      </c>
      <c r="P4">
        <f>15*1.8</f>
        <v/>
      </c>
      <c r="Q4">
        <f>16*1.8</f>
        <v/>
      </c>
      <c r="R4">
        <f>17*1.8</f>
        <v/>
      </c>
      <c r="S4">
        <f>18*1.8</f>
        <v/>
      </c>
      <c r="T4">
        <f>19*1.8</f>
        <v/>
      </c>
      <c r="U4">
        <f>20*1.8</f>
        <v/>
      </c>
      <c r="V4">
        <f>21*1.8</f>
        <v/>
      </c>
      <c r="W4">
        <f>22*1.8</f>
        <v/>
      </c>
      <c r="X4">
        <f>23*1.8</f>
        <v/>
      </c>
      <c r="Y4">
        <f>24*1.8</f>
        <v/>
      </c>
      <c r="Z4">
        <f>25*1.8</f>
        <v/>
      </c>
      <c r="AA4">
        <f>26*1.8</f>
        <v/>
      </c>
      <c r="AB4">
        <f>27*1.8</f>
        <v/>
      </c>
      <c r="AC4">
        <f>28*1.8</f>
        <v/>
      </c>
      <c r="AD4">
        <f>29*1.8</f>
        <v/>
      </c>
      <c r="AE4">
        <f>30*1.8</f>
        <v/>
      </c>
      <c r="AF4">
        <f>31*1.8</f>
        <v/>
      </c>
      <c r="AG4">
        <f>32*1.8</f>
        <v/>
      </c>
      <c r="AH4">
        <f>33*1.8</f>
        <v/>
      </c>
      <c r="AI4">
        <f>34*1.8</f>
        <v/>
      </c>
      <c r="AJ4">
        <f>35*1.8</f>
        <v/>
      </c>
      <c r="AK4">
        <f>36*1.8</f>
        <v/>
      </c>
      <c r="AL4">
        <f>37*1.8</f>
        <v/>
      </c>
      <c r="AM4">
        <f>38*1.8</f>
        <v/>
      </c>
    </row>
    <row r="5">
      <c r="A5" t="inlineStr">
        <is>
          <t>PROD3</t>
        </is>
      </c>
      <c r="B5">
        <f>1*1.8</f>
        <v/>
      </c>
      <c r="C5">
        <f>2*1.8</f>
        <v/>
      </c>
      <c r="D5">
        <f>3*1.8</f>
        <v/>
      </c>
      <c r="E5">
        <f>4*1.8</f>
        <v/>
      </c>
      <c r="F5">
        <f>5*1.8</f>
        <v/>
      </c>
      <c r="G5">
        <f>6*1.8</f>
        <v/>
      </c>
      <c r="H5">
        <f>7*1.8</f>
        <v/>
      </c>
      <c r="I5">
        <f>8*1.8</f>
        <v/>
      </c>
      <c r="J5">
        <f>9*1.8</f>
        <v/>
      </c>
      <c r="K5">
        <f>10*1.8</f>
        <v/>
      </c>
      <c r="L5">
        <f>11*1.8</f>
        <v/>
      </c>
      <c r="M5">
        <f>12*1.8</f>
        <v/>
      </c>
      <c r="N5">
        <f>13*1.8</f>
        <v/>
      </c>
      <c r="O5">
        <f>14*1.8</f>
        <v/>
      </c>
      <c r="P5">
        <f>15*1.8</f>
        <v/>
      </c>
      <c r="Q5">
        <f>16*1.8</f>
        <v/>
      </c>
      <c r="R5">
        <f>17*1.8</f>
        <v/>
      </c>
      <c r="S5">
        <f>18*1.8</f>
        <v/>
      </c>
      <c r="T5">
        <f>19*1.8</f>
        <v/>
      </c>
      <c r="U5">
        <f>20*1.8</f>
        <v/>
      </c>
      <c r="V5">
        <f>21*1.8</f>
        <v/>
      </c>
      <c r="W5">
        <f>22*1.8</f>
        <v/>
      </c>
      <c r="X5">
        <f>23*1.8</f>
        <v/>
      </c>
      <c r="Y5">
        <f>24*1.8</f>
        <v/>
      </c>
      <c r="Z5">
        <f>25*1.8</f>
        <v/>
      </c>
      <c r="AA5">
        <f>26*1.8</f>
        <v/>
      </c>
      <c r="AB5">
        <f>27*1.8</f>
        <v/>
      </c>
      <c r="AC5">
        <f>28*1.8</f>
        <v/>
      </c>
      <c r="AD5">
        <f>29*1.8</f>
        <v/>
      </c>
      <c r="AE5">
        <f>30*1.8</f>
        <v/>
      </c>
      <c r="AF5">
        <f>31*1.8</f>
        <v/>
      </c>
      <c r="AG5">
        <f>32*1.8</f>
        <v/>
      </c>
      <c r="AH5">
        <f>33*1.8</f>
        <v/>
      </c>
      <c r="AI5">
        <f>34*1.8</f>
        <v/>
      </c>
      <c r="AJ5">
        <f>35*1.8</f>
        <v/>
      </c>
      <c r="AK5">
        <f>36*1.8</f>
        <v/>
      </c>
      <c r="AL5">
        <f>37*1.8</f>
        <v/>
      </c>
      <c r="AM5">
        <f>38*1.8</f>
        <v/>
      </c>
    </row>
    <row r="6">
      <c r="A6" t="inlineStr">
        <is>
          <t>PROD4</t>
        </is>
      </c>
      <c r="B6">
        <f>1*1.8</f>
        <v/>
      </c>
      <c r="C6">
        <f>2*1.8</f>
        <v/>
      </c>
      <c r="D6">
        <f>3*1.8</f>
        <v/>
      </c>
      <c r="E6">
        <f>4*1.8</f>
        <v/>
      </c>
      <c r="F6">
        <f>5*1.8</f>
        <v/>
      </c>
      <c r="G6">
        <f>6*1.8</f>
        <v/>
      </c>
      <c r="H6">
        <f>7*1.8</f>
        <v/>
      </c>
      <c r="I6">
        <f>8*1.8</f>
        <v/>
      </c>
      <c r="J6">
        <f>9*1.8</f>
        <v/>
      </c>
      <c r="K6">
        <f>10*1.8</f>
        <v/>
      </c>
      <c r="L6">
        <f>11*1.8</f>
        <v/>
      </c>
      <c r="M6">
        <f>12*1.8</f>
        <v/>
      </c>
      <c r="N6">
        <f>13*1.8</f>
        <v/>
      </c>
      <c r="O6">
        <f>14*1.8</f>
        <v/>
      </c>
      <c r="P6">
        <f>15*1.8</f>
        <v/>
      </c>
      <c r="Q6">
        <f>16*1.8</f>
        <v/>
      </c>
      <c r="R6">
        <f>17*1.8</f>
        <v/>
      </c>
      <c r="S6">
        <f>18*1.8</f>
        <v/>
      </c>
      <c r="T6">
        <f>19*1.8</f>
        <v/>
      </c>
      <c r="U6">
        <f>20*1.8</f>
        <v/>
      </c>
      <c r="V6">
        <f>21*1.8</f>
        <v/>
      </c>
      <c r="W6">
        <f>22*1.8</f>
        <v/>
      </c>
      <c r="X6">
        <f>23*1.8</f>
        <v/>
      </c>
      <c r="Y6">
        <f>24*1.8</f>
        <v/>
      </c>
      <c r="Z6">
        <f>25*1.8</f>
        <v/>
      </c>
      <c r="AA6">
        <f>26*1.8</f>
        <v/>
      </c>
      <c r="AB6">
        <f>27*1.8</f>
        <v/>
      </c>
      <c r="AC6">
        <f>28*1.8</f>
        <v/>
      </c>
      <c r="AD6">
        <f>29*1.8</f>
        <v/>
      </c>
      <c r="AE6">
        <f>30*1.8</f>
        <v/>
      </c>
      <c r="AF6">
        <f>31*1.8</f>
        <v/>
      </c>
      <c r="AG6">
        <f>32*1.8</f>
        <v/>
      </c>
      <c r="AH6">
        <f>33*1.8</f>
        <v/>
      </c>
      <c r="AI6">
        <f>34*1.8</f>
        <v/>
      </c>
      <c r="AJ6">
        <f>35*1.8</f>
        <v/>
      </c>
      <c r="AK6">
        <f>36*1.8</f>
        <v/>
      </c>
      <c r="AL6">
        <f>37*1.8</f>
        <v/>
      </c>
      <c r="AM6">
        <f>38*1.8</f>
        <v/>
      </c>
    </row>
    <row r="7">
      <c r="A7" t="inlineStr">
        <is>
          <t>PROD5</t>
        </is>
      </c>
      <c r="B7">
        <f>1*1.8</f>
        <v/>
      </c>
      <c r="C7">
        <f>2*1.8</f>
        <v/>
      </c>
      <c r="D7">
        <f>3*1.8</f>
        <v/>
      </c>
      <c r="E7">
        <f>4*1.8</f>
        <v/>
      </c>
      <c r="F7">
        <f>5*1.8</f>
        <v/>
      </c>
      <c r="G7">
        <f>6*1.8</f>
        <v/>
      </c>
      <c r="H7">
        <f>7*1.8</f>
        <v/>
      </c>
      <c r="I7">
        <f>8*1.8</f>
        <v/>
      </c>
      <c r="J7">
        <f>9*1.8</f>
        <v/>
      </c>
      <c r="K7">
        <f>10*1.8</f>
        <v/>
      </c>
      <c r="L7">
        <f>11*1.8</f>
        <v/>
      </c>
      <c r="M7">
        <f>12*1.8</f>
        <v/>
      </c>
      <c r="N7">
        <f>13*1.8</f>
        <v/>
      </c>
      <c r="O7">
        <f>14*1.8</f>
        <v/>
      </c>
      <c r="P7">
        <f>15*1.8</f>
        <v/>
      </c>
      <c r="Q7">
        <f>16*1.8</f>
        <v/>
      </c>
      <c r="R7">
        <f>17*1.8</f>
        <v/>
      </c>
      <c r="S7">
        <f>18*1.8</f>
        <v/>
      </c>
      <c r="T7">
        <f>19*1.8</f>
        <v/>
      </c>
      <c r="U7">
        <f>20*1.8</f>
        <v/>
      </c>
      <c r="V7">
        <f>21*1.8</f>
        <v/>
      </c>
      <c r="W7">
        <f>22*1.8</f>
        <v/>
      </c>
      <c r="X7">
        <f>23*1.8</f>
        <v/>
      </c>
      <c r="Y7">
        <f>24*1.8</f>
        <v/>
      </c>
      <c r="Z7">
        <f>25*1.8</f>
        <v/>
      </c>
      <c r="AA7">
        <f>26*1.8</f>
        <v/>
      </c>
      <c r="AB7">
        <f>27*1.8</f>
        <v/>
      </c>
      <c r="AC7">
        <f>28*1.8</f>
        <v/>
      </c>
      <c r="AD7">
        <f>29*1.8</f>
        <v/>
      </c>
      <c r="AE7">
        <f>30*1.8</f>
        <v/>
      </c>
      <c r="AF7">
        <f>31*1.8</f>
        <v/>
      </c>
      <c r="AG7">
        <f>32*1.8</f>
        <v/>
      </c>
      <c r="AH7">
        <f>33*1.8</f>
        <v/>
      </c>
      <c r="AI7">
        <f>34*1.8</f>
        <v/>
      </c>
      <c r="AJ7">
        <f>35*1.8</f>
        <v/>
      </c>
      <c r="AK7">
        <f>36*1.8</f>
        <v/>
      </c>
      <c r="AL7">
        <f>37*1.8</f>
        <v/>
      </c>
      <c r="AM7">
        <f>38*1.8</f>
        <v/>
      </c>
    </row>
    <row r="8">
      <c r="A8" t="inlineStr">
        <is>
          <t>PROD6</t>
        </is>
      </c>
      <c r="B8">
        <f>1*1.8</f>
        <v/>
      </c>
      <c r="C8">
        <f>2*1.8</f>
        <v/>
      </c>
      <c r="D8">
        <f>3*1.8</f>
        <v/>
      </c>
      <c r="E8">
        <f>4*1.8</f>
        <v/>
      </c>
      <c r="F8">
        <f>5*1.8</f>
        <v/>
      </c>
      <c r="G8">
        <f>6*1.8</f>
        <v/>
      </c>
      <c r="H8">
        <f>7*1.8</f>
        <v/>
      </c>
      <c r="I8">
        <f>8*1.8</f>
        <v/>
      </c>
      <c r="J8">
        <f>9*1.8</f>
        <v/>
      </c>
      <c r="K8">
        <f>10*1.8</f>
        <v/>
      </c>
      <c r="L8">
        <f>11*1.8</f>
        <v/>
      </c>
      <c r="M8">
        <f>12*1.8</f>
        <v/>
      </c>
      <c r="N8">
        <f>13*1.8</f>
        <v/>
      </c>
      <c r="O8">
        <f>14*1.8</f>
        <v/>
      </c>
      <c r="P8">
        <f>15*1.8</f>
        <v/>
      </c>
      <c r="Q8">
        <f>16*1.8</f>
        <v/>
      </c>
      <c r="R8">
        <f>17*1.8</f>
        <v/>
      </c>
      <c r="S8">
        <f>18*1.8</f>
        <v/>
      </c>
      <c r="T8">
        <f>19*1.8</f>
        <v/>
      </c>
      <c r="U8">
        <f>20*1.8</f>
        <v/>
      </c>
      <c r="V8">
        <f>21*1.8</f>
        <v/>
      </c>
      <c r="W8">
        <f>22*1.8</f>
        <v/>
      </c>
      <c r="X8">
        <f>23*1.8</f>
        <v/>
      </c>
      <c r="Y8">
        <f>24*1.8</f>
        <v/>
      </c>
      <c r="Z8">
        <f>25*1.8</f>
        <v/>
      </c>
      <c r="AA8">
        <f>26*1.8</f>
        <v/>
      </c>
      <c r="AB8">
        <f>27*1.8</f>
        <v/>
      </c>
      <c r="AC8">
        <f>28*1.8</f>
        <v/>
      </c>
      <c r="AD8">
        <f>29*1.8</f>
        <v/>
      </c>
      <c r="AE8">
        <f>30*1.8</f>
        <v/>
      </c>
      <c r="AF8">
        <f>31*1.8</f>
        <v/>
      </c>
      <c r="AG8">
        <f>32*1.8</f>
        <v/>
      </c>
      <c r="AH8">
        <f>33*1.8</f>
        <v/>
      </c>
      <c r="AI8">
        <f>34*1.8</f>
        <v/>
      </c>
      <c r="AJ8">
        <f>35*1.8</f>
        <v/>
      </c>
      <c r="AK8">
        <f>36*1.8</f>
        <v/>
      </c>
      <c r="AL8">
        <f>37*1.8</f>
        <v/>
      </c>
      <c r="AM8">
        <f>38*1.8</f>
        <v/>
      </c>
    </row>
    <row r="9">
      <c r="A9" t="inlineStr">
        <is>
          <t>PROD7</t>
        </is>
      </c>
      <c r="B9">
        <f>1*1.8</f>
        <v/>
      </c>
      <c r="C9">
        <f>2*1.8</f>
        <v/>
      </c>
      <c r="D9">
        <f>3*1.8</f>
        <v/>
      </c>
      <c r="E9">
        <f>4*1.8</f>
        <v/>
      </c>
      <c r="F9">
        <f>5*1.8</f>
        <v/>
      </c>
      <c r="G9">
        <f>6*1.8</f>
        <v/>
      </c>
      <c r="H9">
        <f>7*1.8</f>
        <v/>
      </c>
      <c r="I9">
        <f>8*1.8</f>
        <v/>
      </c>
      <c r="J9">
        <f>9*1.8</f>
        <v/>
      </c>
      <c r="K9">
        <f>10*1.8</f>
        <v/>
      </c>
      <c r="L9">
        <f>11*1.8</f>
        <v/>
      </c>
      <c r="M9">
        <f>12*1.8</f>
        <v/>
      </c>
      <c r="N9">
        <f>13*1.8</f>
        <v/>
      </c>
      <c r="O9">
        <f>14*1.8</f>
        <v/>
      </c>
      <c r="P9">
        <f>15*1.8</f>
        <v/>
      </c>
      <c r="Q9">
        <f>16*1.8</f>
        <v/>
      </c>
      <c r="R9">
        <f>17*1.8</f>
        <v/>
      </c>
      <c r="S9">
        <f>18*1.8</f>
        <v/>
      </c>
      <c r="T9">
        <f>19*1.8</f>
        <v/>
      </c>
      <c r="U9">
        <f>20*1.8</f>
        <v/>
      </c>
      <c r="V9">
        <f>21*1.8</f>
        <v/>
      </c>
      <c r="W9">
        <f>22*1.8</f>
        <v/>
      </c>
      <c r="X9">
        <f>23*1.8</f>
        <v/>
      </c>
      <c r="Y9">
        <f>24*1.8</f>
        <v/>
      </c>
      <c r="Z9">
        <f>25*1.8</f>
        <v/>
      </c>
      <c r="AA9">
        <f>26*1.8</f>
        <v/>
      </c>
      <c r="AB9">
        <f>27*1.8</f>
        <v/>
      </c>
      <c r="AC9">
        <f>28*1.8</f>
        <v/>
      </c>
      <c r="AD9">
        <f>29*1.8</f>
        <v/>
      </c>
      <c r="AE9">
        <f>30*1.8</f>
        <v/>
      </c>
      <c r="AF9">
        <f>31*1.8</f>
        <v/>
      </c>
      <c r="AG9">
        <f>32*1.8</f>
        <v/>
      </c>
      <c r="AH9">
        <f>33*1.8</f>
        <v/>
      </c>
      <c r="AI9">
        <f>34*1.8</f>
        <v/>
      </c>
      <c r="AJ9">
        <f>35*1.8</f>
        <v/>
      </c>
      <c r="AK9">
        <f>36*1.8</f>
        <v/>
      </c>
      <c r="AL9">
        <f>37*1.8</f>
        <v/>
      </c>
      <c r="AM9">
        <f>38*1.8</f>
        <v/>
      </c>
    </row>
    <row r="10">
      <c r="A10" t="inlineStr">
        <is>
          <t>PROD8</t>
        </is>
      </c>
      <c r="B10">
        <f>1*1.8</f>
        <v/>
      </c>
      <c r="C10">
        <f>2*1.8</f>
        <v/>
      </c>
      <c r="D10">
        <f>3*1.8</f>
        <v/>
      </c>
      <c r="E10">
        <f>4*1.8</f>
        <v/>
      </c>
      <c r="F10">
        <f>5*1.8</f>
        <v/>
      </c>
      <c r="G10">
        <f>6*1.8</f>
        <v/>
      </c>
      <c r="H10">
        <f>7*1.8</f>
        <v/>
      </c>
      <c r="I10">
        <f>8*1.8</f>
        <v/>
      </c>
      <c r="J10">
        <f>9*1.8</f>
        <v/>
      </c>
      <c r="K10">
        <f>10*1.8</f>
        <v/>
      </c>
      <c r="L10">
        <f>11*1.8</f>
        <v/>
      </c>
      <c r="M10">
        <f>12*1.8</f>
        <v/>
      </c>
      <c r="N10">
        <f>13*1.8</f>
        <v/>
      </c>
      <c r="O10">
        <f>14*1.8</f>
        <v/>
      </c>
      <c r="P10">
        <f>15*1.8</f>
        <v/>
      </c>
      <c r="Q10">
        <f>16*1.8</f>
        <v/>
      </c>
      <c r="R10">
        <f>17*1.8</f>
        <v/>
      </c>
      <c r="S10">
        <f>18*1.8</f>
        <v/>
      </c>
      <c r="T10">
        <f>19*1.8</f>
        <v/>
      </c>
      <c r="U10">
        <f>20*1.8</f>
        <v/>
      </c>
      <c r="V10">
        <f>21*1.8</f>
        <v/>
      </c>
      <c r="W10">
        <f>22*1.8</f>
        <v/>
      </c>
      <c r="X10">
        <f>23*1.8</f>
        <v/>
      </c>
      <c r="Y10">
        <f>24*1.8</f>
        <v/>
      </c>
      <c r="Z10">
        <f>25*1.8</f>
        <v/>
      </c>
      <c r="AA10">
        <f>26*1.8</f>
        <v/>
      </c>
      <c r="AB10">
        <f>27*1.8</f>
        <v/>
      </c>
      <c r="AC10">
        <f>28*1.8</f>
        <v/>
      </c>
      <c r="AD10">
        <f>29*1.8</f>
        <v/>
      </c>
      <c r="AE10">
        <f>30*1.8</f>
        <v/>
      </c>
      <c r="AF10">
        <f>31*1.8</f>
        <v/>
      </c>
      <c r="AG10">
        <f>32*1.8</f>
        <v/>
      </c>
      <c r="AH10">
        <f>33*1.8</f>
        <v/>
      </c>
      <c r="AI10">
        <f>34*1.8</f>
        <v/>
      </c>
      <c r="AJ10">
        <f>35*1.8</f>
        <v/>
      </c>
      <c r="AK10">
        <f>36*1.8</f>
        <v/>
      </c>
      <c r="AL10">
        <f>37*1.8</f>
        <v/>
      </c>
      <c r="AM10">
        <f>38*1.8</f>
        <v/>
      </c>
    </row>
    <row r="11">
      <c r="A11" t="inlineStr">
        <is>
          <t>PROD9</t>
        </is>
      </c>
      <c r="B11">
        <f>1*1.8</f>
        <v/>
      </c>
      <c r="C11">
        <f>2*1.8</f>
        <v/>
      </c>
      <c r="D11">
        <f>3*1.8</f>
        <v/>
      </c>
      <c r="E11">
        <f>4*1.8</f>
        <v/>
      </c>
      <c r="F11">
        <f>5*1.8</f>
        <v/>
      </c>
      <c r="G11">
        <f>6*1.8</f>
        <v/>
      </c>
      <c r="H11">
        <f>7*1.8</f>
        <v/>
      </c>
      <c r="I11">
        <f>8*1.8</f>
        <v/>
      </c>
      <c r="J11">
        <f>9*1.8</f>
        <v/>
      </c>
      <c r="K11">
        <f>10*1.8</f>
        <v/>
      </c>
      <c r="L11">
        <f>11*1.8</f>
        <v/>
      </c>
      <c r="M11">
        <f>12*1.8</f>
        <v/>
      </c>
      <c r="N11">
        <f>13*1.8</f>
        <v/>
      </c>
      <c r="O11">
        <f>14*1.8</f>
        <v/>
      </c>
      <c r="P11">
        <f>15*1.8</f>
        <v/>
      </c>
      <c r="Q11">
        <f>16*1.8</f>
        <v/>
      </c>
      <c r="R11">
        <f>17*1.8</f>
        <v/>
      </c>
      <c r="S11">
        <f>18*1.8</f>
        <v/>
      </c>
      <c r="T11">
        <f>19*1.8</f>
        <v/>
      </c>
      <c r="U11">
        <f>20*1.8</f>
        <v/>
      </c>
      <c r="V11">
        <f>21*1.8</f>
        <v/>
      </c>
      <c r="W11">
        <f>22*1.8</f>
        <v/>
      </c>
      <c r="X11">
        <f>23*1.8</f>
        <v/>
      </c>
      <c r="Y11">
        <f>24*1.8</f>
        <v/>
      </c>
      <c r="Z11">
        <f>25*1.8</f>
        <v/>
      </c>
      <c r="AA11">
        <f>26*1.8</f>
        <v/>
      </c>
      <c r="AB11">
        <f>27*1.8</f>
        <v/>
      </c>
      <c r="AC11">
        <f>28*1.8</f>
        <v/>
      </c>
      <c r="AD11">
        <f>29*1.8</f>
        <v/>
      </c>
      <c r="AE11">
        <f>30*1.8</f>
        <v/>
      </c>
      <c r="AF11">
        <f>31*1.8</f>
        <v/>
      </c>
      <c r="AG11">
        <f>32*1.8</f>
        <v/>
      </c>
      <c r="AH11">
        <f>33*1.8</f>
        <v/>
      </c>
      <c r="AI11">
        <f>34*1.8</f>
        <v/>
      </c>
      <c r="AJ11">
        <f>35*1.8</f>
        <v/>
      </c>
      <c r="AK11">
        <f>36*1.8</f>
        <v/>
      </c>
      <c r="AL11">
        <f>37*1.8</f>
        <v/>
      </c>
      <c r="AM11">
        <f>38*1.8</f>
        <v/>
      </c>
    </row>
    <row r="12">
      <c r="A12" t="inlineStr">
        <is>
          <t>PROD10</t>
        </is>
      </c>
      <c r="B12">
        <f>1*1.8</f>
        <v/>
      </c>
      <c r="C12">
        <f>2*1.8</f>
        <v/>
      </c>
      <c r="D12">
        <f>3*1.8</f>
        <v/>
      </c>
      <c r="E12">
        <f>4*1.8</f>
        <v/>
      </c>
      <c r="F12">
        <f>5*1.8</f>
        <v/>
      </c>
      <c r="G12">
        <f>6*1.8</f>
        <v/>
      </c>
      <c r="H12">
        <f>7*1.8</f>
        <v/>
      </c>
      <c r="I12">
        <f>8*1.8</f>
        <v/>
      </c>
      <c r="J12">
        <f>9*1.8</f>
        <v/>
      </c>
      <c r="K12">
        <f>10*1.8</f>
        <v/>
      </c>
      <c r="L12">
        <f>11*1.8</f>
        <v/>
      </c>
      <c r="M12">
        <f>12*1.8</f>
        <v/>
      </c>
      <c r="N12">
        <f>13*1.8</f>
        <v/>
      </c>
      <c r="O12">
        <f>14*1.8</f>
        <v/>
      </c>
      <c r="P12">
        <f>15*1.8</f>
        <v/>
      </c>
      <c r="Q12">
        <f>16*1.8</f>
        <v/>
      </c>
      <c r="R12">
        <f>17*1.8</f>
        <v/>
      </c>
      <c r="S12">
        <f>18*1.8</f>
        <v/>
      </c>
      <c r="T12">
        <f>19*1.8</f>
        <v/>
      </c>
      <c r="U12">
        <f>20*1.8</f>
        <v/>
      </c>
      <c r="V12">
        <f>21*1.8</f>
        <v/>
      </c>
      <c r="W12">
        <f>22*1.8</f>
        <v/>
      </c>
      <c r="X12">
        <f>23*1.8</f>
        <v/>
      </c>
      <c r="Y12">
        <f>24*1.8</f>
        <v/>
      </c>
      <c r="Z12">
        <f>25*1.8</f>
        <v/>
      </c>
      <c r="AA12">
        <f>26*1.8</f>
        <v/>
      </c>
      <c r="AB12">
        <f>27*1.8</f>
        <v/>
      </c>
      <c r="AC12">
        <f>28*1.8</f>
        <v/>
      </c>
      <c r="AD12">
        <f>29*1.8</f>
        <v/>
      </c>
      <c r="AE12">
        <f>30*1.8</f>
        <v/>
      </c>
      <c r="AF12">
        <f>31*1.8</f>
        <v/>
      </c>
      <c r="AG12">
        <f>32*1.8</f>
        <v/>
      </c>
      <c r="AH12">
        <f>33*1.8</f>
        <v/>
      </c>
      <c r="AI12">
        <f>34*1.8</f>
        <v/>
      </c>
      <c r="AJ12">
        <f>35*1.8</f>
        <v/>
      </c>
      <c r="AK12">
        <f>36*1.8</f>
        <v/>
      </c>
      <c r="AL12">
        <f>37*1.8</f>
        <v/>
      </c>
      <c r="AM12">
        <f>38*1.8</f>
        <v/>
      </c>
    </row>
    <row r="13">
      <c r="A13" t="inlineStr">
        <is>
          <t>PROD11</t>
        </is>
      </c>
      <c r="B13">
        <f>1*1.8</f>
        <v/>
      </c>
      <c r="C13">
        <f>2*1.8</f>
        <v/>
      </c>
      <c r="D13">
        <f>3*1.8</f>
        <v/>
      </c>
      <c r="E13">
        <f>4*1.8</f>
        <v/>
      </c>
      <c r="F13">
        <f>5*1.8</f>
        <v/>
      </c>
      <c r="G13">
        <f>6*1.8</f>
        <v/>
      </c>
      <c r="H13">
        <f>7*1.8</f>
        <v/>
      </c>
      <c r="I13">
        <f>8*1.8</f>
        <v/>
      </c>
      <c r="J13">
        <f>9*1.8</f>
        <v/>
      </c>
      <c r="K13">
        <f>10*1.8</f>
        <v/>
      </c>
      <c r="L13">
        <f>11*1.8</f>
        <v/>
      </c>
      <c r="M13">
        <f>12*1.8</f>
        <v/>
      </c>
      <c r="N13">
        <f>13*1.8</f>
        <v/>
      </c>
      <c r="O13">
        <f>14*1.8</f>
        <v/>
      </c>
      <c r="P13">
        <f>15*1.8</f>
        <v/>
      </c>
      <c r="Q13">
        <f>16*1.8</f>
        <v/>
      </c>
      <c r="R13">
        <f>17*1.8</f>
        <v/>
      </c>
      <c r="S13">
        <f>18*1.8</f>
        <v/>
      </c>
      <c r="T13">
        <f>19*1.8</f>
        <v/>
      </c>
      <c r="U13">
        <f>20*1.8</f>
        <v/>
      </c>
      <c r="V13">
        <f>21*1.8</f>
        <v/>
      </c>
      <c r="W13">
        <f>22*1.8</f>
        <v/>
      </c>
      <c r="X13">
        <f>23*1.8</f>
        <v/>
      </c>
      <c r="Y13">
        <f>24*1.8</f>
        <v/>
      </c>
      <c r="Z13">
        <f>25*1.8</f>
        <v/>
      </c>
      <c r="AA13">
        <f>26*1.8</f>
        <v/>
      </c>
      <c r="AB13">
        <f>27*1.8</f>
        <v/>
      </c>
      <c r="AC13">
        <f>28*1.8</f>
        <v/>
      </c>
      <c r="AD13">
        <f>29*1.8</f>
        <v/>
      </c>
      <c r="AE13">
        <f>30*1.8</f>
        <v/>
      </c>
      <c r="AF13">
        <f>31*1.8</f>
        <v/>
      </c>
      <c r="AG13">
        <f>32*1.8</f>
        <v/>
      </c>
      <c r="AH13">
        <f>33*1.8</f>
        <v/>
      </c>
      <c r="AI13">
        <f>34*1.8</f>
        <v/>
      </c>
      <c r="AJ13">
        <f>35*1.8</f>
        <v/>
      </c>
      <c r="AK13">
        <f>36*1.8</f>
        <v/>
      </c>
      <c r="AL13">
        <f>37*1.8</f>
        <v/>
      </c>
      <c r="AM13">
        <f>38*1.8</f>
        <v/>
      </c>
    </row>
    <row r="14">
      <c r="A14" t="inlineStr">
        <is>
          <t>PROD12</t>
        </is>
      </c>
      <c r="B14">
        <f>1*1.8</f>
        <v/>
      </c>
      <c r="C14">
        <f>2*1.8</f>
        <v/>
      </c>
      <c r="D14">
        <f>3*1.8</f>
        <v/>
      </c>
      <c r="E14">
        <f>4*1.8</f>
        <v/>
      </c>
      <c r="F14">
        <f>5*1.8</f>
        <v/>
      </c>
      <c r="G14">
        <f>6*1.8</f>
        <v/>
      </c>
      <c r="H14">
        <f>7*1.8</f>
        <v/>
      </c>
      <c r="I14">
        <f>8*1.8</f>
        <v/>
      </c>
      <c r="J14">
        <f>9*1.8</f>
        <v/>
      </c>
      <c r="K14">
        <f>10*1.8</f>
        <v/>
      </c>
      <c r="L14">
        <f>11*1.8</f>
        <v/>
      </c>
      <c r="M14">
        <f>12*1.8</f>
        <v/>
      </c>
      <c r="N14">
        <f>13*1.8</f>
        <v/>
      </c>
      <c r="O14">
        <f>14*1.8</f>
        <v/>
      </c>
      <c r="P14">
        <f>15*1.8</f>
        <v/>
      </c>
      <c r="Q14">
        <f>16*1.8</f>
        <v/>
      </c>
      <c r="R14">
        <f>17*1.8</f>
        <v/>
      </c>
      <c r="S14">
        <f>18*1.8</f>
        <v/>
      </c>
      <c r="T14">
        <f>19*1.8</f>
        <v/>
      </c>
      <c r="U14">
        <f>20*1.8</f>
        <v/>
      </c>
      <c r="V14">
        <f>21*1.8</f>
        <v/>
      </c>
      <c r="W14">
        <f>22*1.8</f>
        <v/>
      </c>
      <c r="X14">
        <f>23*1.8</f>
        <v/>
      </c>
      <c r="Y14">
        <f>24*1.8</f>
        <v/>
      </c>
      <c r="Z14">
        <f>25*1.8</f>
        <v/>
      </c>
      <c r="AA14">
        <f>26*1.8</f>
        <v/>
      </c>
      <c r="AB14">
        <f>27*1.8</f>
        <v/>
      </c>
      <c r="AC14">
        <f>28*1.8</f>
        <v/>
      </c>
      <c r="AD14">
        <f>29*1.8</f>
        <v/>
      </c>
      <c r="AE14">
        <f>30*1.8</f>
        <v/>
      </c>
      <c r="AF14">
        <f>31*1.8</f>
        <v/>
      </c>
      <c r="AG14">
        <f>32*1.8</f>
        <v/>
      </c>
      <c r="AH14">
        <f>33*1.8</f>
        <v/>
      </c>
      <c r="AI14">
        <f>34*1.8</f>
        <v/>
      </c>
      <c r="AJ14">
        <f>35*1.8</f>
        <v/>
      </c>
      <c r="AK14">
        <f>36*1.8</f>
        <v/>
      </c>
      <c r="AL14">
        <f>37*1.8</f>
        <v/>
      </c>
      <c r="AM14">
        <f>38*1.8</f>
        <v/>
      </c>
    </row>
    <row r="15">
      <c r="A15" t="inlineStr">
        <is>
          <t>PROD13</t>
        </is>
      </c>
      <c r="B15">
        <f>1*1.8</f>
        <v/>
      </c>
      <c r="C15">
        <f>2*1.8</f>
        <v/>
      </c>
      <c r="D15">
        <f>3*1.8</f>
        <v/>
      </c>
      <c r="E15">
        <f>4*1.8</f>
        <v/>
      </c>
      <c r="F15">
        <f>5*1.8</f>
        <v/>
      </c>
      <c r="G15">
        <f>6*1.8</f>
        <v/>
      </c>
      <c r="H15">
        <f>7*1.8</f>
        <v/>
      </c>
      <c r="I15">
        <f>8*1.8</f>
        <v/>
      </c>
      <c r="J15">
        <f>9*1.8</f>
        <v/>
      </c>
      <c r="K15">
        <f>10*1.8</f>
        <v/>
      </c>
      <c r="L15">
        <f>11*1.8</f>
        <v/>
      </c>
      <c r="M15">
        <f>12*1.8</f>
        <v/>
      </c>
      <c r="N15">
        <f>13*1.8</f>
        <v/>
      </c>
      <c r="O15">
        <f>14*1.8</f>
        <v/>
      </c>
      <c r="P15">
        <f>15*1.8</f>
        <v/>
      </c>
      <c r="Q15">
        <f>16*1.8</f>
        <v/>
      </c>
      <c r="R15">
        <f>17*1.8</f>
        <v/>
      </c>
      <c r="S15">
        <f>18*1.8</f>
        <v/>
      </c>
      <c r="T15">
        <f>19*1.8</f>
        <v/>
      </c>
      <c r="U15">
        <f>20*1.8</f>
        <v/>
      </c>
      <c r="V15">
        <f>21*1.8</f>
        <v/>
      </c>
      <c r="W15">
        <f>22*1.8</f>
        <v/>
      </c>
      <c r="X15">
        <f>23*1.8</f>
        <v/>
      </c>
      <c r="Y15">
        <f>24*1.8</f>
        <v/>
      </c>
      <c r="Z15">
        <f>25*1.8</f>
        <v/>
      </c>
      <c r="AA15">
        <f>26*1.8</f>
        <v/>
      </c>
      <c r="AB15">
        <f>27*1.8</f>
        <v/>
      </c>
      <c r="AC15">
        <f>28*1.8</f>
        <v/>
      </c>
      <c r="AD15">
        <f>29*1.8</f>
        <v/>
      </c>
      <c r="AE15">
        <f>30*1.8</f>
        <v/>
      </c>
      <c r="AF15">
        <f>31*1.8</f>
        <v/>
      </c>
      <c r="AG15">
        <f>32*1.8</f>
        <v/>
      </c>
      <c r="AH15">
        <f>33*1.8</f>
        <v/>
      </c>
      <c r="AI15">
        <f>34*1.8</f>
        <v/>
      </c>
      <c r="AJ15">
        <f>35*1.8</f>
        <v/>
      </c>
      <c r="AK15">
        <f>36*1.8</f>
        <v/>
      </c>
      <c r="AL15">
        <f>37*1.8</f>
        <v/>
      </c>
      <c r="AM15">
        <f>38*1.8</f>
        <v/>
      </c>
    </row>
    <row r="16">
      <c r="A16" t="inlineStr">
        <is>
          <t>PROD14</t>
        </is>
      </c>
      <c r="B16">
        <f>1*1.8</f>
        <v/>
      </c>
      <c r="C16">
        <f>2*1.8</f>
        <v/>
      </c>
      <c r="D16">
        <f>3*1.8</f>
        <v/>
      </c>
      <c r="E16">
        <f>4*1.8</f>
        <v/>
      </c>
      <c r="F16">
        <f>5*1.8</f>
        <v/>
      </c>
      <c r="G16">
        <f>6*1.8</f>
        <v/>
      </c>
      <c r="H16">
        <f>7*1.8</f>
        <v/>
      </c>
      <c r="I16">
        <f>8*1.8</f>
        <v/>
      </c>
      <c r="J16">
        <f>9*1.8</f>
        <v/>
      </c>
      <c r="K16">
        <f>10*1.8</f>
        <v/>
      </c>
      <c r="L16">
        <f>11*1.8</f>
        <v/>
      </c>
      <c r="M16">
        <f>12*1.8</f>
        <v/>
      </c>
      <c r="N16">
        <f>13*1.8</f>
        <v/>
      </c>
      <c r="O16">
        <f>14*1.8</f>
        <v/>
      </c>
      <c r="P16">
        <f>15*1.8</f>
        <v/>
      </c>
      <c r="Q16">
        <f>16*1.8</f>
        <v/>
      </c>
      <c r="R16">
        <f>17*1.8</f>
        <v/>
      </c>
      <c r="S16">
        <f>18*1.8</f>
        <v/>
      </c>
      <c r="T16">
        <f>19*1.8</f>
        <v/>
      </c>
      <c r="U16">
        <f>20*1.8</f>
        <v/>
      </c>
      <c r="V16">
        <f>21*1.8</f>
        <v/>
      </c>
      <c r="W16">
        <f>22*1.8</f>
        <v/>
      </c>
      <c r="X16">
        <f>23*1.8</f>
        <v/>
      </c>
      <c r="Y16">
        <f>24*1.8</f>
        <v/>
      </c>
      <c r="Z16">
        <f>25*1.8</f>
        <v/>
      </c>
      <c r="AA16">
        <f>26*1.8</f>
        <v/>
      </c>
      <c r="AB16">
        <f>27*1.8</f>
        <v/>
      </c>
      <c r="AC16">
        <f>28*1.8</f>
        <v/>
      </c>
      <c r="AD16">
        <f>29*1.8</f>
        <v/>
      </c>
      <c r="AE16">
        <f>30*1.8</f>
        <v/>
      </c>
      <c r="AF16">
        <f>31*1.8</f>
        <v/>
      </c>
      <c r="AG16">
        <f>32*1.8</f>
        <v/>
      </c>
      <c r="AH16">
        <f>33*1.8</f>
        <v/>
      </c>
      <c r="AI16">
        <f>34*1.8</f>
        <v/>
      </c>
      <c r="AJ16">
        <f>35*1.8</f>
        <v/>
      </c>
      <c r="AK16">
        <f>36*1.8</f>
        <v/>
      </c>
      <c r="AL16">
        <f>37*1.8</f>
        <v/>
      </c>
      <c r="AM16">
        <f>38*1.8</f>
        <v/>
      </c>
    </row>
    <row r="17">
      <c r="A17" t="inlineStr">
        <is>
          <t>PROD15</t>
        </is>
      </c>
      <c r="B17">
        <f>1*1.8</f>
        <v/>
      </c>
      <c r="C17">
        <f>2*1.8</f>
        <v/>
      </c>
      <c r="D17">
        <f>3*1.8</f>
        <v/>
      </c>
      <c r="E17">
        <f>4*1.8</f>
        <v/>
      </c>
      <c r="F17">
        <f>5*1.8</f>
        <v/>
      </c>
      <c r="G17">
        <f>6*1.8</f>
        <v/>
      </c>
      <c r="H17">
        <f>7*1.8</f>
        <v/>
      </c>
      <c r="I17">
        <f>8*1.8</f>
        <v/>
      </c>
      <c r="J17">
        <f>9*1.8</f>
        <v/>
      </c>
      <c r="K17">
        <f>10*1.8</f>
        <v/>
      </c>
      <c r="L17">
        <f>11*1.8</f>
        <v/>
      </c>
      <c r="M17">
        <f>12*1.8</f>
        <v/>
      </c>
      <c r="N17">
        <f>13*1.8</f>
        <v/>
      </c>
      <c r="O17">
        <f>14*1.8</f>
        <v/>
      </c>
      <c r="P17">
        <f>15*1.8</f>
        <v/>
      </c>
      <c r="Q17">
        <f>16*1.8</f>
        <v/>
      </c>
      <c r="R17">
        <f>17*1.8</f>
        <v/>
      </c>
      <c r="S17">
        <f>18*1.8</f>
        <v/>
      </c>
      <c r="T17">
        <f>19*1.8</f>
        <v/>
      </c>
      <c r="U17">
        <f>20*1.8</f>
        <v/>
      </c>
      <c r="V17">
        <f>21*1.8</f>
        <v/>
      </c>
      <c r="W17">
        <f>22*1.8</f>
        <v/>
      </c>
      <c r="X17">
        <f>23*1.8</f>
        <v/>
      </c>
      <c r="Y17">
        <f>24*1.8</f>
        <v/>
      </c>
      <c r="Z17">
        <f>25*1.8</f>
        <v/>
      </c>
      <c r="AA17">
        <f>26*1.8</f>
        <v/>
      </c>
      <c r="AB17">
        <f>27*1.8</f>
        <v/>
      </c>
      <c r="AC17">
        <f>28*1.8</f>
        <v/>
      </c>
      <c r="AD17">
        <f>29*1.8</f>
        <v/>
      </c>
      <c r="AE17">
        <f>30*1.8</f>
        <v/>
      </c>
      <c r="AF17">
        <f>31*1.8</f>
        <v/>
      </c>
      <c r="AG17">
        <f>32*1.8</f>
        <v/>
      </c>
      <c r="AH17">
        <f>33*1.8</f>
        <v/>
      </c>
      <c r="AI17">
        <f>34*1.8</f>
        <v/>
      </c>
      <c r="AJ17">
        <f>35*1.8</f>
        <v/>
      </c>
      <c r="AK17">
        <f>36*1.8</f>
        <v/>
      </c>
      <c r="AL17">
        <f>37*1.8</f>
        <v/>
      </c>
      <c r="AM17">
        <f>38*1.8</f>
        <v/>
      </c>
    </row>
    <row r="18">
      <c r="A18" t="inlineStr">
        <is>
          <t>PROD16</t>
        </is>
      </c>
      <c r="B18">
        <f>1*1.8</f>
        <v/>
      </c>
      <c r="C18">
        <f>2*1.8</f>
        <v/>
      </c>
      <c r="D18">
        <f>3*1.8</f>
        <v/>
      </c>
      <c r="E18">
        <f>4*1.8</f>
        <v/>
      </c>
      <c r="F18">
        <f>5*1.8</f>
        <v/>
      </c>
      <c r="G18">
        <f>6*1.8</f>
        <v/>
      </c>
      <c r="H18">
        <f>7*1.8</f>
        <v/>
      </c>
      <c r="I18">
        <f>8*1.8</f>
        <v/>
      </c>
      <c r="J18">
        <f>9*1.8</f>
        <v/>
      </c>
      <c r="K18">
        <f>10*1.8</f>
        <v/>
      </c>
      <c r="L18">
        <f>11*1.8</f>
        <v/>
      </c>
      <c r="M18">
        <f>12*1.8</f>
        <v/>
      </c>
      <c r="N18">
        <f>13*1.8</f>
        <v/>
      </c>
      <c r="O18">
        <f>14*1.8</f>
        <v/>
      </c>
      <c r="P18">
        <f>15*1.8</f>
        <v/>
      </c>
      <c r="Q18">
        <f>16*1.8</f>
        <v/>
      </c>
      <c r="R18">
        <f>17*1.8</f>
        <v/>
      </c>
      <c r="S18">
        <f>18*1.8</f>
        <v/>
      </c>
      <c r="T18">
        <f>19*1.8</f>
        <v/>
      </c>
      <c r="U18">
        <f>20*1.8</f>
        <v/>
      </c>
      <c r="V18">
        <f>21*1.8</f>
        <v/>
      </c>
      <c r="W18">
        <f>22*1.8</f>
        <v/>
      </c>
      <c r="X18">
        <f>23*1.8</f>
        <v/>
      </c>
      <c r="Y18">
        <f>24*1.8</f>
        <v/>
      </c>
      <c r="Z18">
        <f>25*1.8</f>
        <v/>
      </c>
      <c r="AA18">
        <f>26*1.8</f>
        <v/>
      </c>
      <c r="AB18">
        <f>27*1.8</f>
        <v/>
      </c>
      <c r="AC18">
        <f>28*1.8</f>
        <v/>
      </c>
      <c r="AD18">
        <f>29*1.8</f>
        <v/>
      </c>
      <c r="AE18">
        <f>30*1.8</f>
        <v/>
      </c>
      <c r="AF18">
        <f>31*1.8</f>
        <v/>
      </c>
      <c r="AG18">
        <f>32*1.8</f>
        <v/>
      </c>
      <c r="AH18">
        <f>33*1.8</f>
        <v/>
      </c>
      <c r="AI18">
        <f>34*1.8</f>
        <v/>
      </c>
      <c r="AJ18">
        <f>35*1.8</f>
        <v/>
      </c>
      <c r="AK18">
        <f>36*1.8</f>
        <v/>
      </c>
      <c r="AL18">
        <f>37*1.8</f>
        <v/>
      </c>
      <c r="AM18">
        <f>38*1.8</f>
        <v/>
      </c>
    </row>
    <row r="19">
      <c r="A19" t="inlineStr">
        <is>
          <t>PROD17</t>
        </is>
      </c>
      <c r="B19">
        <f>1*1.8</f>
        <v/>
      </c>
      <c r="C19">
        <f>2*1.8</f>
        <v/>
      </c>
      <c r="D19">
        <f>3*1.8</f>
        <v/>
      </c>
      <c r="E19">
        <f>4*1.8</f>
        <v/>
      </c>
      <c r="F19">
        <f>5*1.8</f>
        <v/>
      </c>
      <c r="G19">
        <f>6*1.8</f>
        <v/>
      </c>
      <c r="H19">
        <f>7*1.8</f>
        <v/>
      </c>
      <c r="I19">
        <f>8*1.8</f>
        <v/>
      </c>
      <c r="J19">
        <f>9*1.8</f>
        <v/>
      </c>
      <c r="K19">
        <f>10*1.8</f>
        <v/>
      </c>
      <c r="L19">
        <f>11*1.8</f>
        <v/>
      </c>
      <c r="M19">
        <f>12*1.8</f>
        <v/>
      </c>
      <c r="N19">
        <f>13*1.8</f>
        <v/>
      </c>
      <c r="O19">
        <f>14*1.8</f>
        <v/>
      </c>
      <c r="P19">
        <f>15*1.8</f>
        <v/>
      </c>
      <c r="Q19">
        <f>16*1.8</f>
        <v/>
      </c>
      <c r="R19">
        <f>17*1.8</f>
        <v/>
      </c>
      <c r="S19">
        <f>18*1.8</f>
        <v/>
      </c>
      <c r="T19">
        <f>19*1.8</f>
        <v/>
      </c>
      <c r="U19">
        <f>20*1.8</f>
        <v/>
      </c>
      <c r="V19">
        <f>21*1.8</f>
        <v/>
      </c>
      <c r="W19">
        <f>22*1.8</f>
        <v/>
      </c>
      <c r="X19">
        <f>23*1.8</f>
        <v/>
      </c>
      <c r="Y19">
        <f>24*1.8</f>
        <v/>
      </c>
      <c r="Z19">
        <f>25*1.8</f>
        <v/>
      </c>
      <c r="AA19">
        <f>26*1.8</f>
        <v/>
      </c>
      <c r="AB19">
        <f>27*1.8</f>
        <v/>
      </c>
      <c r="AC19">
        <f>28*1.8</f>
        <v/>
      </c>
      <c r="AD19">
        <f>29*1.8</f>
        <v/>
      </c>
      <c r="AE19">
        <f>30*1.8</f>
        <v/>
      </c>
      <c r="AF19">
        <f>31*1.8</f>
        <v/>
      </c>
      <c r="AG19">
        <f>32*1.8</f>
        <v/>
      </c>
      <c r="AH19">
        <f>33*1.8</f>
        <v/>
      </c>
      <c r="AI19">
        <f>34*1.8</f>
        <v/>
      </c>
      <c r="AJ19">
        <f>35*1.8</f>
        <v/>
      </c>
      <c r="AK19">
        <f>36*1.8</f>
        <v/>
      </c>
      <c r="AL19">
        <f>37*1.8</f>
        <v/>
      </c>
      <c r="AM19">
        <f>38*1.8</f>
        <v/>
      </c>
    </row>
    <row r="20">
      <c r="A20" t="inlineStr">
        <is>
          <t>PROD18</t>
        </is>
      </c>
      <c r="B20">
        <f>1*1.8</f>
        <v/>
      </c>
      <c r="C20">
        <f>2*1.8</f>
        <v/>
      </c>
      <c r="D20">
        <f>3*1.8</f>
        <v/>
      </c>
      <c r="E20">
        <f>4*1.8</f>
        <v/>
      </c>
      <c r="F20">
        <f>5*1.8</f>
        <v/>
      </c>
      <c r="G20">
        <f>6*1.8</f>
        <v/>
      </c>
      <c r="H20">
        <f>7*1.8</f>
        <v/>
      </c>
      <c r="I20">
        <f>8*1.8</f>
        <v/>
      </c>
      <c r="J20">
        <f>9*1.8</f>
        <v/>
      </c>
      <c r="K20">
        <f>10*1.8</f>
        <v/>
      </c>
      <c r="L20">
        <f>11*1.8</f>
        <v/>
      </c>
      <c r="M20">
        <f>12*1.8</f>
        <v/>
      </c>
      <c r="N20">
        <f>13*1.8</f>
        <v/>
      </c>
      <c r="O20">
        <f>14*1.8</f>
        <v/>
      </c>
      <c r="P20">
        <f>15*1.8</f>
        <v/>
      </c>
      <c r="Q20">
        <f>16*1.8</f>
        <v/>
      </c>
      <c r="R20">
        <f>17*1.8</f>
        <v/>
      </c>
      <c r="S20">
        <f>18*1.8</f>
        <v/>
      </c>
      <c r="T20">
        <f>19*1.8</f>
        <v/>
      </c>
      <c r="U20">
        <f>20*1.8</f>
        <v/>
      </c>
      <c r="V20">
        <f>21*1.8</f>
        <v/>
      </c>
      <c r="W20">
        <f>22*1.8</f>
        <v/>
      </c>
      <c r="X20">
        <f>23*1.8</f>
        <v/>
      </c>
      <c r="Y20">
        <f>24*1.8</f>
        <v/>
      </c>
      <c r="Z20">
        <f>25*1.8</f>
        <v/>
      </c>
      <c r="AA20">
        <f>26*1.8</f>
        <v/>
      </c>
      <c r="AB20">
        <f>27*1.8</f>
        <v/>
      </c>
      <c r="AC20">
        <f>28*1.8</f>
        <v/>
      </c>
      <c r="AD20">
        <f>29*1.8</f>
        <v/>
      </c>
      <c r="AE20">
        <f>30*1.8</f>
        <v/>
      </c>
      <c r="AF20">
        <f>31*1.8</f>
        <v/>
      </c>
      <c r="AG20">
        <f>32*1.8</f>
        <v/>
      </c>
      <c r="AH20">
        <f>33*1.8</f>
        <v/>
      </c>
      <c r="AI20">
        <f>34*1.8</f>
        <v/>
      </c>
      <c r="AJ20">
        <f>35*1.8</f>
        <v/>
      </c>
      <c r="AK20">
        <f>36*1.8</f>
        <v/>
      </c>
      <c r="AL20">
        <f>37*1.8</f>
        <v/>
      </c>
      <c r="AM20">
        <f>38*1.8</f>
        <v/>
      </c>
    </row>
    <row r="21">
      <c r="A21" t="inlineStr">
        <is>
          <t>PROD19</t>
        </is>
      </c>
      <c r="B21">
        <f>1*1.8</f>
        <v/>
      </c>
      <c r="C21">
        <f>2*1.8</f>
        <v/>
      </c>
      <c r="D21">
        <f>3*1.8</f>
        <v/>
      </c>
      <c r="E21">
        <f>4*1.8</f>
        <v/>
      </c>
      <c r="F21">
        <f>5*1.8</f>
        <v/>
      </c>
      <c r="G21">
        <f>6*1.8</f>
        <v/>
      </c>
      <c r="H21">
        <f>7*1.8</f>
        <v/>
      </c>
      <c r="I21">
        <f>8*1.8</f>
        <v/>
      </c>
      <c r="J21">
        <f>9*1.8</f>
        <v/>
      </c>
      <c r="K21">
        <f>10*1.8</f>
        <v/>
      </c>
      <c r="L21">
        <f>11*1.8</f>
        <v/>
      </c>
      <c r="M21">
        <f>12*1.8</f>
        <v/>
      </c>
      <c r="N21">
        <f>13*1.8</f>
        <v/>
      </c>
      <c r="O21">
        <f>14*1.8</f>
        <v/>
      </c>
      <c r="P21">
        <f>15*1.8</f>
        <v/>
      </c>
      <c r="Q21">
        <f>16*1.8</f>
        <v/>
      </c>
      <c r="R21">
        <f>17*1.8</f>
        <v/>
      </c>
      <c r="S21">
        <f>18*1.8</f>
        <v/>
      </c>
      <c r="T21">
        <f>19*1.8</f>
        <v/>
      </c>
      <c r="U21">
        <f>20*1.8</f>
        <v/>
      </c>
      <c r="V21">
        <f>21*1.8</f>
        <v/>
      </c>
      <c r="W21">
        <f>22*1.8</f>
        <v/>
      </c>
      <c r="X21">
        <f>23*1.8</f>
        <v/>
      </c>
      <c r="Y21">
        <f>24*1.8</f>
        <v/>
      </c>
      <c r="Z21">
        <f>25*1.8</f>
        <v/>
      </c>
      <c r="AA21">
        <f>26*1.8</f>
        <v/>
      </c>
      <c r="AB21">
        <f>27*1.8</f>
        <v/>
      </c>
      <c r="AC21">
        <f>28*1.8</f>
        <v/>
      </c>
      <c r="AD21">
        <f>29*1.8</f>
        <v/>
      </c>
      <c r="AE21">
        <f>30*1.8</f>
        <v/>
      </c>
      <c r="AF21">
        <f>31*1.8</f>
        <v/>
      </c>
      <c r="AG21">
        <f>32*1.8</f>
        <v/>
      </c>
      <c r="AH21">
        <f>33*1.8</f>
        <v/>
      </c>
      <c r="AI21">
        <f>34*1.8</f>
        <v/>
      </c>
      <c r="AJ21">
        <f>35*1.8</f>
        <v/>
      </c>
      <c r="AK21">
        <f>36*1.8</f>
        <v/>
      </c>
      <c r="AL21">
        <f>37*1.8</f>
        <v/>
      </c>
      <c r="AM21">
        <f>38*1.8</f>
        <v/>
      </c>
    </row>
    <row r="22">
      <c r="A22" t="inlineStr">
        <is>
          <t>PROD20</t>
        </is>
      </c>
      <c r="B22">
        <f>1*1.8</f>
        <v/>
      </c>
      <c r="C22">
        <f>2*1.8</f>
        <v/>
      </c>
      <c r="D22">
        <f>3*1.8</f>
        <v/>
      </c>
      <c r="E22">
        <f>4*1.8</f>
        <v/>
      </c>
      <c r="F22">
        <f>5*1.8</f>
        <v/>
      </c>
      <c r="G22">
        <f>6*1.8</f>
        <v/>
      </c>
      <c r="H22">
        <f>7*1.8</f>
        <v/>
      </c>
      <c r="I22">
        <f>8*1.8</f>
        <v/>
      </c>
      <c r="J22">
        <f>9*1.8</f>
        <v/>
      </c>
      <c r="K22">
        <f>10*1.8</f>
        <v/>
      </c>
      <c r="L22">
        <f>11*1.8</f>
        <v/>
      </c>
      <c r="M22">
        <f>12*1.8</f>
        <v/>
      </c>
      <c r="N22">
        <f>13*1.8</f>
        <v/>
      </c>
      <c r="O22">
        <f>14*1.8</f>
        <v/>
      </c>
      <c r="P22">
        <f>15*1.8</f>
        <v/>
      </c>
      <c r="Q22">
        <f>16*1.8</f>
        <v/>
      </c>
      <c r="R22">
        <f>17*1.8</f>
        <v/>
      </c>
      <c r="S22">
        <f>18*1.8</f>
        <v/>
      </c>
      <c r="T22">
        <f>19*1.8</f>
        <v/>
      </c>
      <c r="U22">
        <f>20*1.8</f>
        <v/>
      </c>
      <c r="V22">
        <f>21*1.8</f>
        <v/>
      </c>
      <c r="W22">
        <f>22*1.8</f>
        <v/>
      </c>
      <c r="X22">
        <f>23*1.8</f>
        <v/>
      </c>
      <c r="Y22">
        <f>24*1.8</f>
        <v/>
      </c>
      <c r="Z22">
        <f>25*1.8</f>
        <v/>
      </c>
      <c r="AA22">
        <f>26*1.8</f>
        <v/>
      </c>
      <c r="AB22">
        <f>27*1.8</f>
        <v/>
      </c>
      <c r="AC22">
        <f>28*1.8</f>
        <v/>
      </c>
      <c r="AD22">
        <f>29*1.8</f>
        <v/>
      </c>
      <c r="AE22">
        <f>30*1.8</f>
        <v/>
      </c>
      <c r="AF22">
        <f>31*1.8</f>
        <v/>
      </c>
      <c r="AG22">
        <f>32*1.8</f>
        <v/>
      </c>
      <c r="AH22">
        <f>33*1.8</f>
        <v/>
      </c>
      <c r="AI22">
        <f>34*1.8</f>
        <v/>
      </c>
      <c r="AJ22">
        <f>35*1.8</f>
        <v/>
      </c>
      <c r="AK22">
        <f>36*1.8</f>
        <v/>
      </c>
      <c r="AL22">
        <f>37*1.8</f>
        <v/>
      </c>
      <c r="AM22">
        <f>38*1.8</f>
        <v/>
      </c>
    </row>
    <row r="23">
      <c r="A23" t="inlineStr">
        <is>
          <t>PROD21</t>
        </is>
      </c>
      <c r="B23">
        <f>1*1.8</f>
        <v/>
      </c>
      <c r="C23">
        <f>2*1.8</f>
        <v/>
      </c>
      <c r="D23">
        <f>3*1.8</f>
        <v/>
      </c>
      <c r="E23">
        <f>4*1.8</f>
        <v/>
      </c>
      <c r="F23">
        <f>5*1.8</f>
        <v/>
      </c>
      <c r="G23">
        <f>6*1.8</f>
        <v/>
      </c>
      <c r="H23">
        <f>7*1.8</f>
        <v/>
      </c>
      <c r="I23">
        <f>8*1.8</f>
        <v/>
      </c>
      <c r="J23">
        <f>9*1.8</f>
        <v/>
      </c>
      <c r="K23">
        <f>10*1.8</f>
        <v/>
      </c>
      <c r="L23">
        <f>11*1.8</f>
        <v/>
      </c>
      <c r="M23">
        <f>12*1.8</f>
        <v/>
      </c>
      <c r="N23">
        <f>13*1.8</f>
        <v/>
      </c>
      <c r="O23">
        <f>14*1.8</f>
        <v/>
      </c>
      <c r="P23">
        <f>15*1.8</f>
        <v/>
      </c>
      <c r="Q23">
        <f>16*1.8</f>
        <v/>
      </c>
      <c r="R23">
        <f>17*1.8</f>
        <v/>
      </c>
      <c r="S23">
        <f>18*1.8</f>
        <v/>
      </c>
      <c r="T23">
        <f>19*1.8</f>
        <v/>
      </c>
      <c r="U23">
        <f>20*1.8</f>
        <v/>
      </c>
      <c r="V23">
        <f>21*1.8</f>
        <v/>
      </c>
      <c r="W23">
        <f>22*1.8</f>
        <v/>
      </c>
      <c r="X23">
        <f>23*1.8</f>
        <v/>
      </c>
      <c r="Y23">
        <f>24*1.8</f>
        <v/>
      </c>
      <c r="Z23">
        <f>25*1.8</f>
        <v/>
      </c>
      <c r="AA23">
        <f>26*1.8</f>
        <v/>
      </c>
      <c r="AB23">
        <f>27*1.8</f>
        <v/>
      </c>
      <c r="AC23">
        <f>28*1.8</f>
        <v/>
      </c>
      <c r="AD23">
        <f>29*1.8</f>
        <v/>
      </c>
      <c r="AE23">
        <f>30*1.8</f>
        <v/>
      </c>
      <c r="AF23">
        <f>31*1.8</f>
        <v/>
      </c>
      <c r="AG23">
        <f>32*1.8</f>
        <v/>
      </c>
      <c r="AH23">
        <f>33*1.8</f>
        <v/>
      </c>
      <c r="AI23">
        <f>34*1.8</f>
        <v/>
      </c>
      <c r="AJ23">
        <f>35*1.8</f>
        <v/>
      </c>
      <c r="AK23">
        <f>36*1.8</f>
        <v/>
      </c>
      <c r="AL23">
        <f>37*1.8</f>
        <v/>
      </c>
      <c r="AM23">
        <f>38*1.8</f>
        <v/>
      </c>
    </row>
    <row r="24">
      <c r="A24" t="inlineStr">
        <is>
          <t>PROD22</t>
        </is>
      </c>
      <c r="B24">
        <f>1*1.8</f>
        <v/>
      </c>
      <c r="C24">
        <f>2*1.8</f>
        <v/>
      </c>
      <c r="D24">
        <f>3*1.8</f>
        <v/>
      </c>
      <c r="E24">
        <f>4*1.8</f>
        <v/>
      </c>
      <c r="F24">
        <f>5*1.8</f>
        <v/>
      </c>
      <c r="G24">
        <f>6*1.8</f>
        <v/>
      </c>
      <c r="H24">
        <f>7*1.8</f>
        <v/>
      </c>
      <c r="I24">
        <f>8*1.8</f>
        <v/>
      </c>
      <c r="J24">
        <f>9*1.8</f>
        <v/>
      </c>
      <c r="K24">
        <f>10*1.8</f>
        <v/>
      </c>
      <c r="L24">
        <f>11*1.8</f>
        <v/>
      </c>
      <c r="M24">
        <f>12*1.8</f>
        <v/>
      </c>
      <c r="N24">
        <f>13*1.8</f>
        <v/>
      </c>
      <c r="O24">
        <f>14*1.8</f>
        <v/>
      </c>
      <c r="P24">
        <f>15*1.8</f>
        <v/>
      </c>
      <c r="Q24">
        <f>16*1.8</f>
        <v/>
      </c>
      <c r="R24">
        <f>17*1.8</f>
        <v/>
      </c>
      <c r="S24">
        <f>18*1.8</f>
        <v/>
      </c>
      <c r="T24">
        <f>19*1.8</f>
        <v/>
      </c>
      <c r="U24">
        <f>20*1.8</f>
        <v/>
      </c>
      <c r="V24">
        <f>21*1.8</f>
        <v/>
      </c>
      <c r="W24">
        <f>22*1.8</f>
        <v/>
      </c>
      <c r="X24">
        <f>23*1.8</f>
        <v/>
      </c>
      <c r="Y24">
        <f>24*1.8</f>
        <v/>
      </c>
      <c r="Z24">
        <f>25*1.8</f>
        <v/>
      </c>
      <c r="AA24">
        <f>26*1.8</f>
        <v/>
      </c>
      <c r="AB24">
        <f>27*1.8</f>
        <v/>
      </c>
      <c r="AC24">
        <f>28*1.8</f>
        <v/>
      </c>
      <c r="AD24">
        <f>29*1.8</f>
        <v/>
      </c>
      <c r="AE24">
        <f>30*1.8</f>
        <v/>
      </c>
      <c r="AF24">
        <f>31*1.8</f>
        <v/>
      </c>
      <c r="AG24">
        <f>32*1.8</f>
        <v/>
      </c>
      <c r="AH24">
        <f>33*1.8</f>
        <v/>
      </c>
      <c r="AI24">
        <f>34*1.8</f>
        <v/>
      </c>
      <c r="AJ24">
        <f>35*1.8</f>
        <v/>
      </c>
      <c r="AK24">
        <f>36*1.8</f>
        <v/>
      </c>
      <c r="AL24">
        <f>37*1.8</f>
        <v/>
      </c>
      <c r="AM24">
        <f>38*1.8</f>
        <v/>
      </c>
    </row>
    <row r="25">
      <c r="A25" t="inlineStr">
        <is>
          <t>PROD23</t>
        </is>
      </c>
      <c r="B25">
        <f>1*1.8</f>
        <v/>
      </c>
      <c r="C25">
        <f>2*1.8</f>
        <v/>
      </c>
      <c r="D25">
        <f>3*1.8</f>
        <v/>
      </c>
      <c r="E25">
        <f>4*1.8</f>
        <v/>
      </c>
      <c r="F25">
        <f>5*1.8</f>
        <v/>
      </c>
      <c r="G25">
        <f>6*1.8</f>
        <v/>
      </c>
      <c r="H25">
        <f>7*1.8</f>
        <v/>
      </c>
      <c r="I25">
        <f>8*1.8</f>
        <v/>
      </c>
      <c r="J25">
        <f>9*1.8</f>
        <v/>
      </c>
      <c r="K25">
        <f>10*1.8</f>
        <v/>
      </c>
      <c r="L25">
        <f>11*1.8</f>
        <v/>
      </c>
      <c r="M25">
        <f>12*1.8</f>
        <v/>
      </c>
      <c r="N25">
        <f>13*1.8</f>
        <v/>
      </c>
      <c r="O25">
        <f>14*1.8</f>
        <v/>
      </c>
      <c r="P25">
        <f>15*1.8</f>
        <v/>
      </c>
      <c r="Q25">
        <f>16*1.8</f>
        <v/>
      </c>
      <c r="R25">
        <f>17*1.8</f>
        <v/>
      </c>
      <c r="S25">
        <f>18*1.8</f>
        <v/>
      </c>
      <c r="T25">
        <f>19*1.8</f>
        <v/>
      </c>
      <c r="U25">
        <f>20*1.8</f>
        <v/>
      </c>
      <c r="V25">
        <f>21*1.8</f>
        <v/>
      </c>
      <c r="W25">
        <f>22*1.8</f>
        <v/>
      </c>
      <c r="X25">
        <f>23*1.8</f>
        <v/>
      </c>
      <c r="Y25">
        <f>24*1.8</f>
        <v/>
      </c>
      <c r="Z25">
        <f>25*1.8</f>
        <v/>
      </c>
      <c r="AA25">
        <f>26*1.8</f>
        <v/>
      </c>
      <c r="AB25">
        <f>27*1.8</f>
        <v/>
      </c>
      <c r="AC25">
        <f>28*1.8</f>
        <v/>
      </c>
      <c r="AD25">
        <f>29*1.8</f>
        <v/>
      </c>
      <c r="AE25">
        <f>30*1.8</f>
        <v/>
      </c>
      <c r="AF25">
        <f>31*1.8</f>
        <v/>
      </c>
      <c r="AG25">
        <f>32*1.8</f>
        <v/>
      </c>
      <c r="AH25">
        <f>33*1.8</f>
        <v/>
      </c>
      <c r="AI25">
        <f>34*1.8</f>
        <v/>
      </c>
      <c r="AJ25">
        <f>35*1.8</f>
        <v/>
      </c>
      <c r="AK25">
        <f>36*1.8</f>
        <v/>
      </c>
      <c r="AL25">
        <f>37*1.8</f>
        <v/>
      </c>
      <c r="AM25">
        <f>38*1.8</f>
        <v/>
      </c>
    </row>
    <row r="26">
      <c r="A26" t="inlineStr">
        <is>
          <t>PROD24</t>
        </is>
      </c>
      <c r="B26">
        <f>1*1.8</f>
        <v/>
      </c>
      <c r="C26">
        <f>2*1.8</f>
        <v/>
      </c>
      <c r="D26">
        <f>3*1.8</f>
        <v/>
      </c>
      <c r="E26">
        <f>4*1.8</f>
        <v/>
      </c>
      <c r="F26">
        <f>5*1.8</f>
        <v/>
      </c>
      <c r="G26">
        <f>6*1.8</f>
        <v/>
      </c>
      <c r="H26">
        <f>7*1.8</f>
        <v/>
      </c>
      <c r="I26">
        <f>8*1.8</f>
        <v/>
      </c>
      <c r="J26">
        <f>9*1.8</f>
        <v/>
      </c>
      <c r="K26">
        <f>10*1.8</f>
        <v/>
      </c>
      <c r="L26">
        <f>11*1.8</f>
        <v/>
      </c>
      <c r="M26">
        <f>12*1.8</f>
        <v/>
      </c>
      <c r="N26">
        <f>13*1.8</f>
        <v/>
      </c>
      <c r="O26">
        <f>14*1.8</f>
        <v/>
      </c>
      <c r="P26">
        <f>15*1.8</f>
        <v/>
      </c>
      <c r="Q26">
        <f>16*1.8</f>
        <v/>
      </c>
      <c r="R26">
        <f>17*1.8</f>
        <v/>
      </c>
      <c r="S26">
        <f>18*1.8</f>
        <v/>
      </c>
      <c r="T26">
        <f>19*1.8</f>
        <v/>
      </c>
      <c r="U26">
        <f>20*1.8</f>
        <v/>
      </c>
      <c r="V26">
        <f>21*1.8</f>
        <v/>
      </c>
      <c r="W26">
        <f>22*1.8</f>
        <v/>
      </c>
      <c r="X26">
        <f>23*1.8</f>
        <v/>
      </c>
      <c r="Y26">
        <f>24*1.8</f>
        <v/>
      </c>
      <c r="Z26">
        <f>25*1.8</f>
        <v/>
      </c>
      <c r="AA26">
        <f>26*1.8</f>
        <v/>
      </c>
      <c r="AB26">
        <f>27*1.8</f>
        <v/>
      </c>
      <c r="AC26">
        <f>28*1.8</f>
        <v/>
      </c>
      <c r="AD26">
        <f>29*1.8</f>
        <v/>
      </c>
      <c r="AE26">
        <f>30*1.8</f>
        <v/>
      </c>
      <c r="AF26">
        <f>31*1.8</f>
        <v/>
      </c>
      <c r="AG26">
        <f>32*1.8</f>
        <v/>
      </c>
      <c r="AH26">
        <f>33*1.8</f>
        <v/>
      </c>
      <c r="AI26">
        <f>34*1.8</f>
        <v/>
      </c>
      <c r="AJ26">
        <f>35*1.8</f>
        <v/>
      </c>
      <c r="AK26">
        <f>36*1.8</f>
        <v/>
      </c>
      <c r="AL26">
        <f>37*1.8</f>
        <v/>
      </c>
      <c r="AM26">
        <f>38*1.8</f>
        <v/>
      </c>
    </row>
    <row r="27">
      <c r="A27" t="inlineStr">
        <is>
          <t>PROD25</t>
        </is>
      </c>
      <c r="B27">
        <f>1*1.8</f>
        <v/>
      </c>
      <c r="C27">
        <f>2*1.8</f>
        <v/>
      </c>
      <c r="D27">
        <f>3*1.8</f>
        <v/>
      </c>
      <c r="E27">
        <f>4*1.8</f>
        <v/>
      </c>
      <c r="F27">
        <f>5*1.8</f>
        <v/>
      </c>
      <c r="G27">
        <f>6*1.8</f>
        <v/>
      </c>
      <c r="H27">
        <f>7*1.8</f>
        <v/>
      </c>
      <c r="I27">
        <f>8*1.8</f>
        <v/>
      </c>
      <c r="J27">
        <f>9*1.8</f>
        <v/>
      </c>
      <c r="K27">
        <f>10*1.8</f>
        <v/>
      </c>
      <c r="L27">
        <f>11*1.8</f>
        <v/>
      </c>
      <c r="M27">
        <f>12*1.8</f>
        <v/>
      </c>
      <c r="N27">
        <f>13*1.8</f>
        <v/>
      </c>
      <c r="O27">
        <f>14*1.8</f>
        <v/>
      </c>
      <c r="P27">
        <f>15*1.8</f>
        <v/>
      </c>
      <c r="Q27">
        <f>16*1.8</f>
        <v/>
      </c>
      <c r="R27">
        <f>17*1.8</f>
        <v/>
      </c>
      <c r="S27">
        <f>18*1.8</f>
        <v/>
      </c>
      <c r="T27">
        <f>19*1.8</f>
        <v/>
      </c>
      <c r="U27">
        <f>20*1.8</f>
        <v/>
      </c>
      <c r="V27">
        <f>21*1.8</f>
        <v/>
      </c>
      <c r="W27">
        <f>22*1.8</f>
        <v/>
      </c>
      <c r="X27">
        <f>23*1.8</f>
        <v/>
      </c>
      <c r="Y27">
        <f>24*1.8</f>
        <v/>
      </c>
      <c r="Z27">
        <f>25*1.8</f>
        <v/>
      </c>
      <c r="AA27">
        <f>26*1.8</f>
        <v/>
      </c>
      <c r="AB27">
        <f>27*1.8</f>
        <v/>
      </c>
      <c r="AC27">
        <f>28*1.8</f>
        <v/>
      </c>
      <c r="AD27">
        <f>29*1.8</f>
        <v/>
      </c>
      <c r="AE27">
        <f>30*1.8</f>
        <v/>
      </c>
      <c r="AF27">
        <f>31*1.8</f>
        <v/>
      </c>
      <c r="AG27">
        <f>32*1.8</f>
        <v/>
      </c>
      <c r="AH27">
        <f>33*1.8</f>
        <v/>
      </c>
      <c r="AI27">
        <f>34*1.8</f>
        <v/>
      </c>
      <c r="AJ27">
        <f>35*1.8</f>
        <v/>
      </c>
      <c r="AK27">
        <f>36*1.8</f>
        <v/>
      </c>
      <c r="AL27">
        <f>37*1.8</f>
        <v/>
      </c>
      <c r="AM27">
        <f>38*1.8</f>
        <v/>
      </c>
    </row>
    <row r="28">
      <c r="A28" t="inlineStr">
        <is>
          <t>PROD26</t>
        </is>
      </c>
      <c r="B28">
        <f>1*1.8</f>
        <v/>
      </c>
      <c r="C28">
        <f>2*1.8</f>
        <v/>
      </c>
      <c r="D28">
        <f>3*1.8</f>
        <v/>
      </c>
      <c r="E28">
        <f>4*1.8</f>
        <v/>
      </c>
      <c r="F28">
        <f>5*1.8</f>
        <v/>
      </c>
      <c r="G28">
        <f>6*1.8</f>
        <v/>
      </c>
      <c r="H28">
        <f>7*1.8</f>
        <v/>
      </c>
      <c r="I28">
        <f>8*1.8</f>
        <v/>
      </c>
      <c r="J28">
        <f>9*1.8</f>
        <v/>
      </c>
      <c r="K28">
        <f>10*1.8</f>
        <v/>
      </c>
      <c r="L28">
        <f>11*1.8</f>
        <v/>
      </c>
      <c r="M28">
        <f>12*1.8</f>
        <v/>
      </c>
      <c r="N28">
        <f>13*1.8</f>
        <v/>
      </c>
      <c r="O28">
        <f>14*1.8</f>
        <v/>
      </c>
      <c r="P28">
        <f>15*1.8</f>
        <v/>
      </c>
      <c r="Q28">
        <f>16*1.8</f>
        <v/>
      </c>
      <c r="R28">
        <f>17*1.8</f>
        <v/>
      </c>
      <c r="S28">
        <f>18*1.8</f>
        <v/>
      </c>
      <c r="T28">
        <f>19*1.8</f>
        <v/>
      </c>
      <c r="U28">
        <f>20*1.8</f>
        <v/>
      </c>
      <c r="V28">
        <f>21*1.8</f>
        <v/>
      </c>
      <c r="W28">
        <f>22*1.8</f>
        <v/>
      </c>
      <c r="X28">
        <f>23*1.8</f>
        <v/>
      </c>
      <c r="Y28">
        <f>24*1.8</f>
        <v/>
      </c>
      <c r="Z28">
        <f>25*1.8</f>
        <v/>
      </c>
      <c r="AA28">
        <f>26*1.8</f>
        <v/>
      </c>
      <c r="AB28">
        <f>27*1.8</f>
        <v/>
      </c>
      <c r="AC28">
        <f>28*1.8</f>
        <v/>
      </c>
      <c r="AD28">
        <f>29*1.8</f>
        <v/>
      </c>
      <c r="AE28">
        <f>30*1.8</f>
        <v/>
      </c>
      <c r="AF28">
        <f>31*1.8</f>
        <v/>
      </c>
      <c r="AG28">
        <f>32*1.8</f>
        <v/>
      </c>
      <c r="AH28">
        <f>33*1.8</f>
        <v/>
      </c>
      <c r="AI28">
        <f>34*1.8</f>
        <v/>
      </c>
      <c r="AJ28">
        <f>35*1.8</f>
        <v/>
      </c>
      <c r="AK28">
        <f>36*1.8</f>
        <v/>
      </c>
      <c r="AL28">
        <f>37*1.8</f>
        <v/>
      </c>
      <c r="AM28">
        <f>38*1.8</f>
        <v/>
      </c>
    </row>
    <row r="29">
      <c r="A29" t="inlineStr">
        <is>
          <t>PROD27</t>
        </is>
      </c>
      <c r="B29">
        <f>1*1.8</f>
        <v/>
      </c>
      <c r="C29">
        <f>2*1.8</f>
        <v/>
      </c>
      <c r="D29">
        <f>3*1.8</f>
        <v/>
      </c>
      <c r="E29">
        <f>4*1.8</f>
        <v/>
      </c>
      <c r="F29">
        <f>5*1.8</f>
        <v/>
      </c>
      <c r="G29">
        <f>6*1.8</f>
        <v/>
      </c>
      <c r="H29">
        <f>7*1.8</f>
        <v/>
      </c>
      <c r="I29">
        <f>8*1.8</f>
        <v/>
      </c>
      <c r="J29">
        <f>9*1.8</f>
        <v/>
      </c>
      <c r="K29">
        <f>10*1.8</f>
        <v/>
      </c>
      <c r="L29">
        <f>11*1.8</f>
        <v/>
      </c>
      <c r="M29">
        <f>12*1.8</f>
        <v/>
      </c>
      <c r="N29">
        <f>13*1.8</f>
        <v/>
      </c>
      <c r="O29">
        <f>14*1.8</f>
        <v/>
      </c>
      <c r="P29">
        <f>15*1.8</f>
        <v/>
      </c>
      <c r="Q29">
        <f>16*1.8</f>
        <v/>
      </c>
      <c r="R29">
        <f>17*1.8</f>
        <v/>
      </c>
      <c r="S29">
        <f>18*1.8</f>
        <v/>
      </c>
      <c r="T29">
        <f>19*1.8</f>
        <v/>
      </c>
      <c r="U29">
        <f>20*1.8</f>
        <v/>
      </c>
      <c r="V29">
        <f>21*1.8</f>
        <v/>
      </c>
      <c r="W29">
        <f>22*1.8</f>
        <v/>
      </c>
      <c r="X29">
        <f>23*1.8</f>
        <v/>
      </c>
      <c r="Y29">
        <f>24*1.8</f>
        <v/>
      </c>
      <c r="Z29">
        <f>25*1.8</f>
        <v/>
      </c>
      <c r="AA29">
        <f>26*1.8</f>
        <v/>
      </c>
      <c r="AB29">
        <f>27*1.8</f>
        <v/>
      </c>
      <c r="AC29">
        <f>28*1.8</f>
        <v/>
      </c>
      <c r="AD29">
        <f>29*1.8</f>
        <v/>
      </c>
      <c r="AE29">
        <f>30*1.8</f>
        <v/>
      </c>
      <c r="AF29">
        <f>31*1.8</f>
        <v/>
      </c>
      <c r="AG29">
        <f>32*1.8</f>
        <v/>
      </c>
      <c r="AH29">
        <f>33*1.8</f>
        <v/>
      </c>
      <c r="AI29">
        <f>34*1.8</f>
        <v/>
      </c>
      <c r="AJ29">
        <f>35*1.8</f>
        <v/>
      </c>
      <c r="AK29">
        <f>36*1.8</f>
        <v/>
      </c>
      <c r="AL29">
        <f>37*1.8</f>
        <v/>
      </c>
      <c r="AM29">
        <f>38*1.8</f>
        <v/>
      </c>
    </row>
    <row r="30">
      <c r="A30" t="inlineStr">
        <is>
          <t>PROD28</t>
        </is>
      </c>
      <c r="B30">
        <f>1*1.8</f>
        <v/>
      </c>
      <c r="C30">
        <f>2*1.8</f>
        <v/>
      </c>
      <c r="D30">
        <f>3*1.8</f>
        <v/>
      </c>
      <c r="E30">
        <f>4*1.8</f>
        <v/>
      </c>
      <c r="F30">
        <f>5*1.8</f>
        <v/>
      </c>
      <c r="G30">
        <f>6*1.8</f>
        <v/>
      </c>
      <c r="H30">
        <f>7*1.8</f>
        <v/>
      </c>
      <c r="I30">
        <f>8*1.8</f>
        <v/>
      </c>
      <c r="J30">
        <f>9*1.8</f>
        <v/>
      </c>
      <c r="K30">
        <f>10*1.8</f>
        <v/>
      </c>
      <c r="L30">
        <f>11*1.8</f>
        <v/>
      </c>
      <c r="M30">
        <f>12*1.8</f>
        <v/>
      </c>
      <c r="N30">
        <f>13*1.8</f>
        <v/>
      </c>
      <c r="O30">
        <f>14*1.8</f>
        <v/>
      </c>
      <c r="P30">
        <f>15*1.8</f>
        <v/>
      </c>
      <c r="Q30">
        <f>16*1.8</f>
        <v/>
      </c>
      <c r="R30">
        <f>17*1.8</f>
        <v/>
      </c>
      <c r="S30">
        <f>18*1.8</f>
        <v/>
      </c>
      <c r="T30">
        <f>19*1.8</f>
        <v/>
      </c>
      <c r="U30">
        <f>20*1.8</f>
        <v/>
      </c>
      <c r="V30">
        <f>21*1.8</f>
        <v/>
      </c>
      <c r="W30">
        <f>22*1.8</f>
        <v/>
      </c>
      <c r="X30">
        <f>23*1.8</f>
        <v/>
      </c>
      <c r="Y30">
        <f>24*1.8</f>
        <v/>
      </c>
      <c r="Z30">
        <f>25*1.8</f>
        <v/>
      </c>
      <c r="AA30">
        <f>26*1.8</f>
        <v/>
      </c>
      <c r="AB30">
        <f>27*1.8</f>
        <v/>
      </c>
      <c r="AC30">
        <f>28*1.8</f>
        <v/>
      </c>
      <c r="AD30">
        <f>29*1.8</f>
        <v/>
      </c>
      <c r="AE30">
        <f>30*1.8</f>
        <v/>
      </c>
      <c r="AF30">
        <f>31*1.8</f>
        <v/>
      </c>
      <c r="AG30">
        <f>32*1.8</f>
        <v/>
      </c>
      <c r="AH30">
        <f>33*1.8</f>
        <v/>
      </c>
      <c r="AI30">
        <f>34*1.8</f>
        <v/>
      </c>
      <c r="AJ30">
        <f>35*1.8</f>
        <v/>
      </c>
      <c r="AK30">
        <f>36*1.8</f>
        <v/>
      </c>
      <c r="AL30">
        <f>37*1.8</f>
        <v/>
      </c>
      <c r="AM30">
        <f>38*1.8</f>
        <v/>
      </c>
    </row>
    <row r="31">
      <c r="A31" t="inlineStr">
        <is>
          <t>PROD29</t>
        </is>
      </c>
      <c r="B31">
        <f>1*1.8</f>
        <v/>
      </c>
      <c r="C31">
        <f>2*1.8</f>
        <v/>
      </c>
      <c r="D31">
        <f>3*1.8</f>
        <v/>
      </c>
      <c r="E31">
        <f>4*1.8</f>
        <v/>
      </c>
      <c r="F31">
        <f>5*1.8</f>
        <v/>
      </c>
      <c r="G31">
        <f>6*1.8</f>
        <v/>
      </c>
      <c r="H31">
        <f>7*1.8</f>
        <v/>
      </c>
      <c r="I31">
        <f>8*1.8</f>
        <v/>
      </c>
      <c r="J31">
        <f>9*1.8</f>
        <v/>
      </c>
      <c r="K31">
        <f>10*1.8</f>
        <v/>
      </c>
      <c r="L31">
        <f>11*1.8</f>
        <v/>
      </c>
      <c r="M31">
        <f>12*1.8</f>
        <v/>
      </c>
      <c r="N31">
        <f>13*1.8</f>
        <v/>
      </c>
      <c r="O31">
        <f>14*1.8</f>
        <v/>
      </c>
      <c r="P31">
        <f>15*1.8</f>
        <v/>
      </c>
      <c r="Q31">
        <f>16*1.8</f>
        <v/>
      </c>
      <c r="R31">
        <f>17*1.8</f>
        <v/>
      </c>
      <c r="S31">
        <f>18*1.8</f>
        <v/>
      </c>
      <c r="T31">
        <f>19*1.8</f>
        <v/>
      </c>
      <c r="U31">
        <f>20*1.8</f>
        <v/>
      </c>
      <c r="V31">
        <f>21*1.8</f>
        <v/>
      </c>
      <c r="W31">
        <f>22*1.8</f>
        <v/>
      </c>
      <c r="X31">
        <f>23*1.8</f>
        <v/>
      </c>
      <c r="Y31">
        <f>24*1.8</f>
        <v/>
      </c>
      <c r="Z31">
        <f>25*1.8</f>
        <v/>
      </c>
      <c r="AA31">
        <f>26*1.8</f>
        <v/>
      </c>
      <c r="AB31">
        <f>27*1.8</f>
        <v/>
      </c>
      <c r="AC31">
        <f>28*1.8</f>
        <v/>
      </c>
      <c r="AD31">
        <f>29*1.8</f>
        <v/>
      </c>
      <c r="AE31">
        <f>30*1.8</f>
        <v/>
      </c>
      <c r="AF31">
        <f>31*1.8</f>
        <v/>
      </c>
      <c r="AG31">
        <f>32*1.8</f>
        <v/>
      </c>
      <c r="AH31">
        <f>33*1.8</f>
        <v/>
      </c>
      <c r="AI31">
        <f>34*1.8</f>
        <v/>
      </c>
      <c r="AJ31">
        <f>35*1.8</f>
        <v/>
      </c>
      <c r="AK31">
        <f>36*1.8</f>
        <v/>
      </c>
      <c r="AL31">
        <f>37*1.8</f>
        <v/>
      </c>
      <c r="AM31">
        <f>38*1.8</f>
        <v/>
      </c>
    </row>
    <row r="32">
      <c r="A32" t="inlineStr">
        <is>
          <t>PROD30</t>
        </is>
      </c>
      <c r="B32">
        <f>1*1.8</f>
        <v/>
      </c>
      <c r="C32">
        <f>2*1.8</f>
        <v/>
      </c>
      <c r="D32">
        <f>3*1.8</f>
        <v/>
      </c>
      <c r="E32">
        <f>4*1.8</f>
        <v/>
      </c>
      <c r="F32">
        <f>5*1.8</f>
        <v/>
      </c>
      <c r="G32">
        <f>6*1.8</f>
        <v/>
      </c>
      <c r="H32">
        <f>7*1.8</f>
        <v/>
      </c>
      <c r="I32">
        <f>8*1.8</f>
        <v/>
      </c>
      <c r="J32">
        <f>9*1.8</f>
        <v/>
      </c>
      <c r="K32">
        <f>10*1.8</f>
        <v/>
      </c>
      <c r="L32">
        <f>11*1.8</f>
        <v/>
      </c>
      <c r="M32">
        <f>12*1.8</f>
        <v/>
      </c>
      <c r="N32">
        <f>13*1.8</f>
        <v/>
      </c>
      <c r="O32">
        <f>14*1.8</f>
        <v/>
      </c>
      <c r="P32">
        <f>15*1.8</f>
        <v/>
      </c>
      <c r="Q32">
        <f>16*1.8</f>
        <v/>
      </c>
      <c r="R32">
        <f>17*1.8</f>
        <v/>
      </c>
      <c r="S32">
        <f>18*1.8</f>
        <v/>
      </c>
      <c r="T32">
        <f>19*1.8</f>
        <v/>
      </c>
      <c r="U32">
        <f>20*1.8</f>
        <v/>
      </c>
      <c r="V32">
        <f>21*1.8</f>
        <v/>
      </c>
      <c r="W32">
        <f>22*1.8</f>
        <v/>
      </c>
      <c r="X32">
        <f>23*1.8</f>
        <v/>
      </c>
      <c r="Y32">
        <f>24*1.8</f>
        <v/>
      </c>
      <c r="Z32">
        <f>25*1.8</f>
        <v/>
      </c>
      <c r="AA32">
        <f>26*1.8</f>
        <v/>
      </c>
      <c r="AB32">
        <f>27*1.8</f>
        <v/>
      </c>
      <c r="AC32">
        <f>28*1.8</f>
        <v/>
      </c>
      <c r="AD32">
        <f>29*1.8</f>
        <v/>
      </c>
      <c r="AE32">
        <f>30*1.8</f>
        <v/>
      </c>
      <c r="AF32">
        <f>31*1.8</f>
        <v/>
      </c>
      <c r="AG32">
        <f>32*1.8</f>
        <v/>
      </c>
      <c r="AH32">
        <f>33*1.8</f>
        <v/>
      </c>
      <c r="AI32">
        <f>34*1.8</f>
        <v/>
      </c>
      <c r="AJ32">
        <f>35*1.8</f>
        <v/>
      </c>
      <c r="AK32">
        <f>36*1.8</f>
        <v/>
      </c>
      <c r="AL32">
        <f>37*1.8</f>
        <v/>
      </c>
      <c r="AM32">
        <f>38*1.8</f>
        <v/>
      </c>
    </row>
    <row r="33">
      <c r="A33" t="inlineStr">
        <is>
          <t>PROD31</t>
        </is>
      </c>
      <c r="B33">
        <f>1*1.8</f>
        <v/>
      </c>
      <c r="C33">
        <f>2*1.8</f>
        <v/>
      </c>
      <c r="D33">
        <f>3*1.8</f>
        <v/>
      </c>
      <c r="E33">
        <f>4*1.8</f>
        <v/>
      </c>
      <c r="F33">
        <f>5*1.8</f>
        <v/>
      </c>
      <c r="G33">
        <f>6*1.8</f>
        <v/>
      </c>
      <c r="H33">
        <f>7*1.8</f>
        <v/>
      </c>
      <c r="I33">
        <f>8*1.8</f>
        <v/>
      </c>
      <c r="J33">
        <f>9*1.8</f>
        <v/>
      </c>
      <c r="K33">
        <f>10*1.8</f>
        <v/>
      </c>
      <c r="L33">
        <f>11*1.8</f>
        <v/>
      </c>
      <c r="M33">
        <f>12*1.8</f>
        <v/>
      </c>
      <c r="N33">
        <f>13*1.8</f>
        <v/>
      </c>
      <c r="O33">
        <f>14*1.8</f>
        <v/>
      </c>
      <c r="P33">
        <f>15*1.8</f>
        <v/>
      </c>
      <c r="Q33">
        <f>16*1.8</f>
        <v/>
      </c>
      <c r="R33">
        <f>17*1.8</f>
        <v/>
      </c>
      <c r="S33">
        <f>18*1.8</f>
        <v/>
      </c>
      <c r="T33">
        <f>19*1.8</f>
        <v/>
      </c>
      <c r="U33">
        <f>20*1.8</f>
        <v/>
      </c>
      <c r="V33">
        <f>21*1.8</f>
        <v/>
      </c>
      <c r="W33">
        <f>22*1.8</f>
        <v/>
      </c>
      <c r="X33">
        <f>23*1.8</f>
        <v/>
      </c>
      <c r="Y33">
        <f>24*1.8</f>
        <v/>
      </c>
      <c r="Z33">
        <f>25*1.8</f>
        <v/>
      </c>
      <c r="AA33">
        <f>26*1.8</f>
        <v/>
      </c>
      <c r="AB33">
        <f>27*1.8</f>
        <v/>
      </c>
      <c r="AC33">
        <f>28*1.8</f>
        <v/>
      </c>
      <c r="AD33">
        <f>29*1.8</f>
        <v/>
      </c>
      <c r="AE33">
        <f>30*1.8</f>
        <v/>
      </c>
      <c r="AF33">
        <f>31*1.8</f>
        <v/>
      </c>
      <c r="AG33">
        <f>32*1.8</f>
        <v/>
      </c>
      <c r="AH33">
        <f>33*1.8</f>
        <v/>
      </c>
      <c r="AI33">
        <f>34*1.8</f>
        <v/>
      </c>
      <c r="AJ33">
        <f>35*1.8</f>
        <v/>
      </c>
      <c r="AK33">
        <f>36*1.8</f>
        <v/>
      </c>
      <c r="AL33">
        <f>37*1.8</f>
        <v/>
      </c>
      <c r="AM33">
        <f>38*1.8</f>
        <v/>
      </c>
    </row>
    <row r="34">
      <c r="A34" t="inlineStr">
        <is>
          <t>PROD32</t>
        </is>
      </c>
      <c r="B34">
        <f>1*1.8</f>
        <v/>
      </c>
      <c r="C34">
        <f>2*1.8</f>
        <v/>
      </c>
      <c r="D34">
        <f>3*1.8</f>
        <v/>
      </c>
      <c r="E34">
        <f>4*1.8</f>
        <v/>
      </c>
      <c r="F34">
        <f>5*1.8</f>
        <v/>
      </c>
      <c r="G34">
        <f>6*1.8</f>
        <v/>
      </c>
      <c r="H34">
        <f>7*1.8</f>
        <v/>
      </c>
      <c r="I34">
        <f>8*1.8</f>
        <v/>
      </c>
      <c r="J34">
        <f>9*1.8</f>
        <v/>
      </c>
      <c r="K34">
        <f>10*1.8</f>
        <v/>
      </c>
      <c r="L34">
        <f>11*1.8</f>
        <v/>
      </c>
      <c r="M34">
        <f>12*1.8</f>
        <v/>
      </c>
      <c r="N34">
        <f>13*1.8</f>
        <v/>
      </c>
      <c r="O34">
        <f>14*1.8</f>
        <v/>
      </c>
      <c r="P34">
        <f>15*1.8</f>
        <v/>
      </c>
      <c r="Q34">
        <f>16*1.8</f>
        <v/>
      </c>
      <c r="R34">
        <f>17*1.8</f>
        <v/>
      </c>
      <c r="S34">
        <f>18*1.8</f>
        <v/>
      </c>
      <c r="T34">
        <f>19*1.8</f>
        <v/>
      </c>
      <c r="U34">
        <f>20*1.8</f>
        <v/>
      </c>
      <c r="V34">
        <f>21*1.8</f>
        <v/>
      </c>
      <c r="W34">
        <f>22*1.8</f>
        <v/>
      </c>
      <c r="X34">
        <f>23*1.8</f>
        <v/>
      </c>
      <c r="Y34">
        <f>24*1.8</f>
        <v/>
      </c>
      <c r="Z34">
        <f>25*1.8</f>
        <v/>
      </c>
      <c r="AA34">
        <f>26*1.8</f>
        <v/>
      </c>
      <c r="AB34">
        <f>27*1.8</f>
        <v/>
      </c>
      <c r="AC34">
        <f>28*1.8</f>
        <v/>
      </c>
      <c r="AD34">
        <f>29*1.8</f>
        <v/>
      </c>
      <c r="AE34">
        <f>30*1.8</f>
        <v/>
      </c>
      <c r="AF34">
        <f>31*1.8</f>
        <v/>
      </c>
      <c r="AG34">
        <f>32*1.8</f>
        <v/>
      </c>
      <c r="AH34">
        <f>33*1.8</f>
        <v/>
      </c>
      <c r="AI34">
        <f>34*1.8</f>
        <v/>
      </c>
      <c r="AJ34">
        <f>35*1.8</f>
        <v/>
      </c>
      <c r="AK34">
        <f>36*1.8</f>
        <v/>
      </c>
      <c r="AL34">
        <f>37*1.8</f>
        <v/>
      </c>
      <c r="AM34">
        <f>38*1.8</f>
        <v/>
      </c>
    </row>
    <row r="35">
      <c r="A35" t="inlineStr">
        <is>
          <t>PROD33</t>
        </is>
      </c>
      <c r="B35">
        <f>1*1.8</f>
        <v/>
      </c>
      <c r="C35">
        <f>2*1.8</f>
        <v/>
      </c>
      <c r="D35">
        <f>3*1.8</f>
        <v/>
      </c>
      <c r="E35">
        <f>4*1.8</f>
        <v/>
      </c>
      <c r="F35">
        <f>5*1.8</f>
        <v/>
      </c>
      <c r="G35">
        <f>6*1.8</f>
        <v/>
      </c>
      <c r="H35">
        <f>7*1.8</f>
        <v/>
      </c>
      <c r="I35">
        <f>8*1.8</f>
        <v/>
      </c>
      <c r="J35">
        <f>9*1.8</f>
        <v/>
      </c>
      <c r="K35">
        <f>10*1.8</f>
        <v/>
      </c>
      <c r="L35">
        <f>11*1.8</f>
        <v/>
      </c>
      <c r="M35">
        <f>12*1.8</f>
        <v/>
      </c>
      <c r="N35">
        <f>13*1.8</f>
        <v/>
      </c>
      <c r="O35">
        <f>14*1.8</f>
        <v/>
      </c>
      <c r="P35">
        <f>15*1.8</f>
        <v/>
      </c>
      <c r="Q35">
        <f>16*1.8</f>
        <v/>
      </c>
      <c r="R35">
        <f>17*1.8</f>
        <v/>
      </c>
      <c r="S35">
        <f>18*1.8</f>
        <v/>
      </c>
      <c r="T35">
        <f>19*1.8</f>
        <v/>
      </c>
      <c r="U35">
        <f>20*1.8</f>
        <v/>
      </c>
      <c r="V35">
        <f>21*1.8</f>
        <v/>
      </c>
      <c r="W35">
        <f>22*1.8</f>
        <v/>
      </c>
      <c r="X35">
        <f>23*1.8</f>
        <v/>
      </c>
      <c r="Y35">
        <f>24*1.8</f>
        <v/>
      </c>
      <c r="Z35">
        <f>25*1.8</f>
        <v/>
      </c>
      <c r="AA35">
        <f>26*1.8</f>
        <v/>
      </c>
      <c r="AB35">
        <f>27*1.8</f>
        <v/>
      </c>
      <c r="AC35">
        <f>28*1.8</f>
        <v/>
      </c>
      <c r="AD35">
        <f>29*1.8</f>
        <v/>
      </c>
      <c r="AE35">
        <f>30*1.8</f>
        <v/>
      </c>
      <c r="AF35">
        <f>31*1.8</f>
        <v/>
      </c>
      <c r="AG35">
        <f>32*1.8</f>
        <v/>
      </c>
      <c r="AH35">
        <f>33*1.8</f>
        <v/>
      </c>
      <c r="AI35">
        <f>34*1.8</f>
        <v/>
      </c>
      <c r="AJ35">
        <f>35*1.8</f>
        <v/>
      </c>
      <c r="AK35">
        <f>36*1.8</f>
        <v/>
      </c>
      <c r="AL35">
        <f>37*1.8</f>
        <v/>
      </c>
      <c r="AM35">
        <f>38*1.8</f>
        <v/>
      </c>
    </row>
    <row r="36">
      <c r="A36" t="inlineStr">
        <is>
          <t>PROD34</t>
        </is>
      </c>
      <c r="B36">
        <f>1*1.8</f>
        <v/>
      </c>
      <c r="C36">
        <f>2*1.8</f>
        <v/>
      </c>
      <c r="D36">
        <f>3*1.8</f>
        <v/>
      </c>
      <c r="E36">
        <f>4*1.8</f>
        <v/>
      </c>
      <c r="F36">
        <f>5*1.8</f>
        <v/>
      </c>
      <c r="G36">
        <f>6*1.8</f>
        <v/>
      </c>
      <c r="H36">
        <f>7*1.8</f>
        <v/>
      </c>
      <c r="I36">
        <f>8*1.8</f>
        <v/>
      </c>
      <c r="J36">
        <f>9*1.8</f>
        <v/>
      </c>
      <c r="K36">
        <f>10*1.8</f>
        <v/>
      </c>
      <c r="L36">
        <f>11*1.8</f>
        <v/>
      </c>
      <c r="M36">
        <f>12*1.8</f>
        <v/>
      </c>
      <c r="N36">
        <f>13*1.8</f>
        <v/>
      </c>
      <c r="O36">
        <f>14*1.8</f>
        <v/>
      </c>
      <c r="P36">
        <f>15*1.8</f>
        <v/>
      </c>
      <c r="Q36">
        <f>16*1.8</f>
        <v/>
      </c>
      <c r="R36">
        <f>17*1.8</f>
        <v/>
      </c>
      <c r="S36">
        <f>18*1.8</f>
        <v/>
      </c>
      <c r="T36">
        <f>19*1.8</f>
        <v/>
      </c>
      <c r="U36">
        <f>20*1.8</f>
        <v/>
      </c>
      <c r="V36">
        <f>21*1.8</f>
        <v/>
      </c>
      <c r="W36">
        <f>22*1.8</f>
        <v/>
      </c>
      <c r="X36">
        <f>23*1.8</f>
        <v/>
      </c>
      <c r="Y36">
        <f>24*1.8</f>
        <v/>
      </c>
      <c r="Z36">
        <f>25*1.8</f>
        <v/>
      </c>
      <c r="AA36">
        <f>26*1.8</f>
        <v/>
      </c>
      <c r="AB36">
        <f>27*1.8</f>
        <v/>
      </c>
      <c r="AC36">
        <f>28*1.8</f>
        <v/>
      </c>
      <c r="AD36">
        <f>29*1.8</f>
        <v/>
      </c>
      <c r="AE36">
        <f>30*1.8</f>
        <v/>
      </c>
      <c r="AF36">
        <f>31*1.8</f>
        <v/>
      </c>
      <c r="AG36">
        <f>32*1.8</f>
        <v/>
      </c>
      <c r="AH36">
        <f>33*1.8</f>
        <v/>
      </c>
      <c r="AI36">
        <f>34*1.8</f>
        <v/>
      </c>
      <c r="AJ36">
        <f>35*1.8</f>
        <v/>
      </c>
      <c r="AK36">
        <f>36*1.8</f>
        <v/>
      </c>
      <c r="AL36">
        <f>37*1.8</f>
        <v/>
      </c>
      <c r="AM36">
        <f>38*1.8</f>
        <v/>
      </c>
    </row>
    <row r="37">
      <c r="A37" t="inlineStr">
        <is>
          <t>PROD35</t>
        </is>
      </c>
      <c r="B37">
        <f>1*1.8</f>
        <v/>
      </c>
      <c r="C37">
        <f>2*1.8</f>
        <v/>
      </c>
      <c r="D37">
        <f>3*1.8</f>
        <v/>
      </c>
      <c r="E37">
        <f>4*1.8</f>
        <v/>
      </c>
      <c r="F37">
        <f>5*1.8</f>
        <v/>
      </c>
      <c r="G37">
        <f>6*1.8</f>
        <v/>
      </c>
      <c r="H37">
        <f>7*1.8</f>
        <v/>
      </c>
      <c r="I37">
        <f>8*1.8</f>
        <v/>
      </c>
      <c r="J37">
        <f>9*1.8</f>
        <v/>
      </c>
      <c r="K37">
        <f>10*1.8</f>
        <v/>
      </c>
      <c r="L37">
        <f>11*1.8</f>
        <v/>
      </c>
      <c r="M37">
        <f>12*1.8</f>
        <v/>
      </c>
      <c r="N37">
        <f>13*1.8</f>
        <v/>
      </c>
      <c r="O37">
        <f>14*1.8</f>
        <v/>
      </c>
      <c r="P37">
        <f>15*1.8</f>
        <v/>
      </c>
      <c r="Q37">
        <f>16*1.8</f>
        <v/>
      </c>
      <c r="R37">
        <f>17*1.8</f>
        <v/>
      </c>
      <c r="S37">
        <f>18*1.8</f>
        <v/>
      </c>
      <c r="T37">
        <f>19*1.8</f>
        <v/>
      </c>
      <c r="U37">
        <f>20*1.8</f>
        <v/>
      </c>
      <c r="V37">
        <f>21*1.8</f>
        <v/>
      </c>
      <c r="W37">
        <f>22*1.8</f>
        <v/>
      </c>
      <c r="X37">
        <f>23*1.8</f>
        <v/>
      </c>
      <c r="Y37">
        <f>24*1.8</f>
        <v/>
      </c>
      <c r="Z37">
        <f>25*1.8</f>
        <v/>
      </c>
      <c r="AA37">
        <f>26*1.8</f>
        <v/>
      </c>
      <c r="AB37">
        <f>27*1.8</f>
        <v/>
      </c>
      <c r="AC37">
        <f>28*1.8</f>
        <v/>
      </c>
      <c r="AD37">
        <f>29*1.8</f>
        <v/>
      </c>
      <c r="AE37">
        <f>30*1.8</f>
        <v/>
      </c>
      <c r="AF37">
        <f>31*1.8</f>
        <v/>
      </c>
      <c r="AG37">
        <f>32*1.8</f>
        <v/>
      </c>
      <c r="AH37">
        <f>33*1.8</f>
        <v/>
      </c>
      <c r="AI37">
        <f>34*1.8</f>
        <v/>
      </c>
      <c r="AJ37">
        <f>35*1.8</f>
        <v/>
      </c>
      <c r="AK37">
        <f>36*1.8</f>
        <v/>
      </c>
      <c r="AL37">
        <f>37*1.8</f>
        <v/>
      </c>
      <c r="AM37">
        <f>38*1.8</f>
        <v/>
      </c>
    </row>
    <row r="38">
      <c r="A38" t="inlineStr">
        <is>
          <t>PROD36</t>
        </is>
      </c>
      <c r="B38">
        <f>1*1.8</f>
        <v/>
      </c>
      <c r="C38">
        <f>2*1.8</f>
        <v/>
      </c>
      <c r="D38">
        <f>3*1.8</f>
        <v/>
      </c>
      <c r="E38">
        <f>4*1.8</f>
        <v/>
      </c>
      <c r="F38">
        <f>5*1.8</f>
        <v/>
      </c>
      <c r="G38">
        <f>6*1.8</f>
        <v/>
      </c>
      <c r="H38">
        <f>7*1.8</f>
        <v/>
      </c>
      <c r="I38">
        <f>8*1.8</f>
        <v/>
      </c>
      <c r="J38">
        <f>9*1.8</f>
        <v/>
      </c>
      <c r="K38">
        <f>10*1.8</f>
        <v/>
      </c>
      <c r="L38">
        <f>11*1.8</f>
        <v/>
      </c>
      <c r="M38">
        <f>12*1.8</f>
        <v/>
      </c>
      <c r="N38">
        <f>13*1.8</f>
        <v/>
      </c>
      <c r="O38">
        <f>14*1.8</f>
        <v/>
      </c>
      <c r="P38">
        <f>15*1.8</f>
        <v/>
      </c>
      <c r="Q38">
        <f>16*1.8</f>
        <v/>
      </c>
      <c r="R38">
        <f>17*1.8</f>
        <v/>
      </c>
      <c r="S38">
        <f>18*1.8</f>
        <v/>
      </c>
      <c r="T38">
        <f>19*1.8</f>
        <v/>
      </c>
      <c r="U38">
        <f>20*1.8</f>
        <v/>
      </c>
      <c r="V38">
        <f>21*1.8</f>
        <v/>
      </c>
      <c r="W38">
        <f>22*1.8</f>
        <v/>
      </c>
      <c r="X38">
        <f>23*1.8</f>
        <v/>
      </c>
      <c r="Y38">
        <f>24*1.8</f>
        <v/>
      </c>
      <c r="Z38">
        <f>25*1.8</f>
        <v/>
      </c>
      <c r="AA38">
        <f>26*1.8</f>
        <v/>
      </c>
      <c r="AB38">
        <f>27*1.8</f>
        <v/>
      </c>
      <c r="AC38">
        <f>28*1.8</f>
        <v/>
      </c>
      <c r="AD38">
        <f>29*1.8</f>
        <v/>
      </c>
      <c r="AE38">
        <f>30*1.8</f>
        <v/>
      </c>
      <c r="AF38">
        <f>31*1.8</f>
        <v/>
      </c>
      <c r="AG38">
        <f>32*1.8</f>
        <v/>
      </c>
      <c r="AH38">
        <f>33*1.8</f>
        <v/>
      </c>
      <c r="AI38">
        <f>34*1.8</f>
        <v/>
      </c>
      <c r="AJ38">
        <f>35*1.8</f>
        <v/>
      </c>
      <c r="AK38">
        <f>36*1.8</f>
        <v/>
      </c>
      <c r="AL38">
        <f>37*1.8</f>
        <v/>
      </c>
      <c r="AM38">
        <f>38*1.8</f>
        <v/>
      </c>
    </row>
    <row r="39">
      <c r="A39" t="inlineStr">
        <is>
          <t>PROD37</t>
        </is>
      </c>
      <c r="B39">
        <f>1*1.8</f>
        <v/>
      </c>
      <c r="C39">
        <f>2*1.8</f>
        <v/>
      </c>
      <c r="D39">
        <f>3*1.8</f>
        <v/>
      </c>
      <c r="E39">
        <f>4*1.8</f>
        <v/>
      </c>
      <c r="F39">
        <f>5*1.8</f>
        <v/>
      </c>
      <c r="G39">
        <f>6*1.8</f>
        <v/>
      </c>
      <c r="H39">
        <f>7*1.8</f>
        <v/>
      </c>
      <c r="I39">
        <f>8*1.8</f>
        <v/>
      </c>
      <c r="J39">
        <f>9*1.8</f>
        <v/>
      </c>
      <c r="K39">
        <f>10*1.8</f>
        <v/>
      </c>
      <c r="L39">
        <f>11*1.8</f>
        <v/>
      </c>
      <c r="M39">
        <f>12*1.8</f>
        <v/>
      </c>
      <c r="N39">
        <f>13*1.8</f>
        <v/>
      </c>
      <c r="O39">
        <f>14*1.8</f>
        <v/>
      </c>
      <c r="P39">
        <f>15*1.8</f>
        <v/>
      </c>
      <c r="Q39">
        <f>16*1.8</f>
        <v/>
      </c>
      <c r="R39">
        <f>17*1.8</f>
        <v/>
      </c>
      <c r="S39">
        <f>18*1.8</f>
        <v/>
      </c>
      <c r="T39">
        <f>19*1.8</f>
        <v/>
      </c>
      <c r="U39">
        <f>20*1.8</f>
        <v/>
      </c>
      <c r="V39">
        <f>21*1.8</f>
        <v/>
      </c>
      <c r="W39">
        <f>22*1.8</f>
        <v/>
      </c>
      <c r="X39">
        <f>23*1.8</f>
        <v/>
      </c>
      <c r="Y39">
        <f>24*1.8</f>
        <v/>
      </c>
      <c r="Z39">
        <f>25*1.8</f>
        <v/>
      </c>
      <c r="AA39">
        <f>26*1.8</f>
        <v/>
      </c>
      <c r="AB39">
        <f>27*1.8</f>
        <v/>
      </c>
      <c r="AC39">
        <f>28*1.8</f>
        <v/>
      </c>
      <c r="AD39">
        <f>29*1.8</f>
        <v/>
      </c>
      <c r="AE39">
        <f>30*1.8</f>
        <v/>
      </c>
      <c r="AF39">
        <f>31*1.8</f>
        <v/>
      </c>
      <c r="AG39">
        <f>32*1.8</f>
        <v/>
      </c>
      <c r="AH39">
        <f>33*1.8</f>
        <v/>
      </c>
      <c r="AI39">
        <f>34*1.8</f>
        <v/>
      </c>
      <c r="AJ39">
        <f>35*1.8</f>
        <v/>
      </c>
      <c r="AK39">
        <f>36*1.8</f>
        <v/>
      </c>
      <c r="AL39">
        <f>37*1.8</f>
        <v/>
      </c>
      <c r="AM39">
        <f>38*1.8</f>
        <v/>
      </c>
    </row>
    <row r="40">
      <c r="A40" t="inlineStr">
        <is>
          <t>PROD38</t>
        </is>
      </c>
      <c r="B40">
        <f>1*1.8</f>
        <v/>
      </c>
      <c r="C40">
        <f>2*1.8</f>
        <v/>
      </c>
      <c r="D40">
        <f>3*1.8</f>
        <v/>
      </c>
      <c r="E40">
        <f>4*1.8</f>
        <v/>
      </c>
      <c r="F40">
        <f>5*1.8</f>
        <v/>
      </c>
      <c r="G40">
        <f>6*1.8</f>
        <v/>
      </c>
      <c r="H40">
        <f>7*1.8</f>
        <v/>
      </c>
      <c r="I40">
        <f>8*1.8</f>
        <v/>
      </c>
      <c r="J40">
        <f>9*1.8</f>
        <v/>
      </c>
      <c r="K40">
        <f>10*1.8</f>
        <v/>
      </c>
      <c r="L40">
        <f>11*1.8</f>
        <v/>
      </c>
      <c r="M40">
        <f>12*1.8</f>
        <v/>
      </c>
      <c r="N40">
        <f>13*1.8</f>
        <v/>
      </c>
      <c r="O40">
        <f>14*1.8</f>
        <v/>
      </c>
      <c r="P40">
        <f>15*1.8</f>
        <v/>
      </c>
      <c r="Q40">
        <f>16*1.8</f>
        <v/>
      </c>
      <c r="R40">
        <f>17*1.8</f>
        <v/>
      </c>
      <c r="S40">
        <f>18*1.8</f>
        <v/>
      </c>
      <c r="T40">
        <f>19*1.8</f>
        <v/>
      </c>
      <c r="U40">
        <f>20*1.8</f>
        <v/>
      </c>
      <c r="V40">
        <f>21*1.8</f>
        <v/>
      </c>
      <c r="W40">
        <f>22*1.8</f>
        <v/>
      </c>
      <c r="X40">
        <f>23*1.8</f>
        <v/>
      </c>
      <c r="Y40">
        <f>24*1.8</f>
        <v/>
      </c>
      <c r="Z40">
        <f>25*1.8</f>
        <v/>
      </c>
      <c r="AA40">
        <f>26*1.8</f>
        <v/>
      </c>
      <c r="AB40">
        <f>27*1.8</f>
        <v/>
      </c>
      <c r="AC40">
        <f>28*1.8</f>
        <v/>
      </c>
      <c r="AD40">
        <f>29*1.8</f>
        <v/>
      </c>
      <c r="AE40">
        <f>30*1.8</f>
        <v/>
      </c>
      <c r="AF40">
        <f>31*1.8</f>
        <v/>
      </c>
      <c r="AG40">
        <f>32*1.8</f>
        <v/>
      </c>
      <c r="AH40">
        <f>33*1.8</f>
        <v/>
      </c>
      <c r="AI40">
        <f>34*1.8</f>
        <v/>
      </c>
      <c r="AJ40">
        <f>35*1.8</f>
        <v/>
      </c>
      <c r="AK40">
        <f>36*1.8</f>
        <v/>
      </c>
      <c r="AL40">
        <f>37*1.8</f>
        <v/>
      </c>
      <c r="AM40">
        <f>38*1.8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SUT CALCULATION</t>
        </is>
      </c>
    </row>
    <row r="3">
      <c r="A3" t="inlineStr">
        <is>
          <t>Item</t>
        </is>
      </c>
      <c r="B3" t="inlineStr">
        <is>
          <t>Million GEL</t>
        </is>
      </c>
      <c r="C3" t="inlineStr">
        <is>
          <t>Link to</t>
        </is>
      </c>
      <c r="D3" t="inlineStr">
        <is>
          <t>Formula/Value</t>
        </is>
      </c>
      <c r="E3" t="inlineStr">
        <is>
          <t>Notes</t>
        </is>
      </c>
    </row>
    <row r="5">
      <c r="A5" t="inlineStr">
        <is>
          <t>Total Domestic Production</t>
        </is>
      </c>
      <c r="B5">
        <f>SUMPRODUCT(SUPPLY.B3:AM40)</f>
        <v/>
      </c>
      <c r="C5">
        <f>SUMPRODUCT(SUPPLY.B3:AM40)</f>
        <v/>
      </c>
    </row>
    <row r="6">
      <c r="A6" t="inlineStr">
        <is>
          <t>Total Imports</t>
        </is>
      </c>
      <c r="B6" t="inlineStr">
        <is>
          <t>5000</t>
        </is>
      </c>
      <c r="C6" t="inlineStr">
        <is>
          <t>From Geostat</t>
        </is>
      </c>
    </row>
    <row r="7">
      <c r="A7" t="inlineStr">
        <is>
          <t>Total Supply</t>
        </is>
      </c>
      <c r="B7">
        <f>B5+B6</f>
        <v/>
      </c>
      <c r="C7">
        <f>SUMPRODUCT(SUPPLY.B3:AM40)+B6</f>
        <v/>
      </c>
    </row>
    <row r="8">
      <c r="A8" t="inlineStr">
        <is>
          <t>Import Share</t>
        </is>
      </c>
      <c r="B8" s="2">
        <f>B6/B7</f>
        <v/>
      </c>
    </row>
    <row r="10">
      <c r="A10" t="inlineStr">
        <is>
          <t>Investment Import Content</t>
        </is>
      </c>
      <c r="B10" s="2">
        <f>B8*0.8</f>
        <v/>
      </c>
    </row>
    <row r="12">
      <c r="A12" t="inlineStr">
        <is>
          <t>Estimated Import Content Share (Cell C46)</t>
        </is>
      </c>
      <c r="C12" t="inlineStr">
        <is>
          <t>C46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 ACCOUNTS - INVESTMENT SHOCK ANALYSIS</t>
        </is>
      </c>
    </row>
    <row r="2">
      <c r="A2" t="inlineStr">
        <is>
          <t>Georgia 2026-2033</t>
        </is>
      </c>
    </row>
    <row r="3">
      <c r="C3" t="inlineStr">
        <is>
          <t>Year</t>
        </is>
      </c>
      <c r="D3" t="n">
        <v>2026</v>
      </c>
      <c r="E3" t="n">
        <v>2027</v>
      </c>
      <c r="F3" t="n">
        <v>2028</v>
      </c>
      <c r="G3" t="n">
        <v>2029</v>
      </c>
      <c r="H3" t="n">
        <v>2030</v>
      </c>
      <c r="I3" t="n">
        <v>2031</v>
      </c>
      <c r="J3" t="n">
        <v>2032</v>
      </c>
      <c r="K3" t="n">
        <v>2033</v>
      </c>
    </row>
    <row r="4">
      <c r="C4" t="inlineStr">
        <is>
          <t>Real GDP (WEO)</t>
        </is>
      </c>
      <c r="D4" s="3">
        <f>WEO_Data.B13</f>
        <v/>
      </c>
      <c r="E4" s="3">
        <f>WEO_Data.B14</f>
        <v/>
      </c>
      <c r="F4" s="3">
        <f>WEO_Data.B15</f>
        <v/>
      </c>
      <c r="G4" s="3">
        <f>WEO_Data.B16</f>
        <v/>
      </c>
      <c r="H4" s="3">
        <f>WEO_Data.B17</f>
        <v/>
      </c>
      <c r="I4" s="3">
        <f>WEO_Data.B18</f>
        <v/>
      </c>
      <c r="J4" s="3">
        <f>WEO_Data.B19</f>
        <v/>
      </c>
      <c r="K4" s="3">
        <f>WEO_Data.B20</f>
        <v/>
      </c>
    </row>
    <row r="5">
      <c r="C5" t="inlineStr">
        <is>
          <t>GDP Deflator (WEO)</t>
        </is>
      </c>
      <c r="D5" s="3">
        <f>WEO_Data.D13</f>
        <v/>
      </c>
      <c r="E5" s="3">
        <f>WEO_Data.D14</f>
        <v/>
      </c>
      <c r="F5" s="3">
        <f>WEO_Data.D15</f>
        <v/>
      </c>
      <c r="G5" s="3">
        <f>WEO_Data.D16</f>
        <v/>
      </c>
      <c r="H5" s="3">
        <f>WEO_Data.D17</f>
        <v/>
      </c>
      <c r="I5" s="3">
        <f>WEO_Data.D18</f>
        <v/>
      </c>
      <c r="J5" s="3">
        <f>WEO_Data.D19</f>
        <v/>
      </c>
      <c r="K5" s="3">
        <f>WEO_Data.D20</f>
        <v/>
      </c>
    </row>
    <row r="6">
      <c r="D6" s="3" t="n"/>
      <c r="E6" s="3" t="n"/>
      <c r="F6" s="3" t="n"/>
      <c r="G6" s="3" t="n"/>
      <c r="H6" s="3" t="n"/>
      <c r="I6" s="3" t="n"/>
      <c r="J6" s="3" t="n"/>
      <c r="K6" s="3" t="n"/>
    </row>
    <row r="7">
      <c r="A7" t="inlineStr">
        <is>
          <t>Investment Project (8 years, 6.5 bln USD)</t>
        </is>
      </c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A8" t="inlineStr">
        <is>
          <t>Nominal USD (mln)</t>
        </is>
      </c>
      <c r="C8" t="inlineStr">
        <is>
          <t>Year 0</t>
        </is>
      </c>
      <c r="D8" s="3" t="n">
        <v>2026</v>
      </c>
      <c r="E8" s="3" t="n">
        <v>2027</v>
      </c>
      <c r="F8" s="3" t="n">
        <v>2028</v>
      </c>
      <c r="G8" s="3" t="n">
        <v>2029</v>
      </c>
      <c r="H8" s="3" t="n">
        <v>2030</v>
      </c>
      <c r="I8" s="3" t="n">
        <v>2031</v>
      </c>
      <c r="J8" s="3" t="n">
        <v>2032</v>
      </c>
      <c r="K8" s="3" t="n">
        <v>2033</v>
      </c>
    </row>
    <row r="9">
      <c r="B9" t="inlineStr">
        <is>
          <t>Investment (mln USD)</t>
        </is>
      </c>
      <c r="D9" s="3" t="n">
        <v>0</v>
      </c>
      <c r="E9" s="3" t="n">
        <v>406.25</v>
      </c>
      <c r="F9" s="3" t="n">
        <v>650</v>
      </c>
      <c r="G9" s="3" t="n">
        <v>812.5</v>
      </c>
      <c r="H9" s="3" t="n">
        <v>731.25</v>
      </c>
      <c r="I9" s="3" t="n">
        <v>568.75</v>
      </c>
      <c r="J9" s="3" t="n">
        <v>406.25</v>
      </c>
      <c r="K9" s="3" t="n">
        <v>243.75</v>
      </c>
    </row>
    <row r="10">
      <c r="B10" t="inlineStr">
        <is>
          <t>Exchange Rate</t>
        </is>
      </c>
      <c r="D10" s="3">
        <f>B31</f>
        <v/>
      </c>
      <c r="E10" s="3">
        <f>B31</f>
        <v/>
      </c>
      <c r="F10" s="3">
        <f>B31</f>
        <v/>
      </c>
      <c r="G10" s="3">
        <f>B31</f>
        <v/>
      </c>
      <c r="H10" s="3">
        <f>B31</f>
        <v/>
      </c>
      <c r="I10" s="3">
        <f>B31</f>
        <v/>
      </c>
      <c r="J10" s="3">
        <f>B31</f>
        <v/>
      </c>
      <c r="K10" s="3">
        <f>B31</f>
        <v/>
      </c>
    </row>
    <row r="11">
      <c r="B11" t="inlineStr">
        <is>
          <t>Investment (mln GEL)</t>
        </is>
      </c>
      <c r="D11" s="3">
        <f>D9*D10</f>
        <v/>
      </c>
      <c r="E11" s="3">
        <f>E9*E10</f>
        <v/>
      </c>
      <c r="F11" s="3">
        <f>F9*F10</f>
        <v/>
      </c>
      <c r="G11" s="3">
        <f>G9*G10</f>
        <v/>
      </c>
      <c r="H11" s="3">
        <f>H9*H10</f>
        <v/>
      </c>
      <c r="I11" s="3">
        <f>I9*I10</f>
        <v/>
      </c>
      <c r="J11" s="3">
        <f>J9*J10</f>
        <v/>
      </c>
      <c r="K11" s="3">
        <f>K9*K10</f>
        <v/>
      </c>
    </row>
    <row r="12">
      <c r="B12" t="inlineStr">
        <is>
          <t>Investment Deflator (GDP Deflator)</t>
        </is>
      </c>
      <c r="D12" s="3">
        <f>D5</f>
        <v/>
      </c>
      <c r="E12" s="3">
        <f>E5</f>
        <v/>
      </c>
      <c r="F12" s="3">
        <f>F5</f>
        <v/>
      </c>
      <c r="G12" s="3">
        <f>G5</f>
        <v/>
      </c>
      <c r="H12" s="3">
        <f>H5</f>
        <v/>
      </c>
      <c r="I12" s="3">
        <f>I5</f>
        <v/>
      </c>
      <c r="J12" s="3">
        <f>J5</f>
        <v/>
      </c>
      <c r="K12" s="3">
        <f>K5</f>
        <v/>
      </c>
    </row>
    <row r="13">
      <c r="B13" t="inlineStr">
        <is>
          <t>Real Investment (mln GEL, 2015 prices)</t>
        </is>
      </c>
      <c r="D13" s="4">
        <f>D11/(D12/100)</f>
        <v/>
      </c>
      <c r="E13" s="4">
        <f>E11/(E12/100)</f>
        <v/>
      </c>
      <c r="F13" s="4">
        <f>F11/(F12/100)</f>
        <v/>
      </c>
      <c r="G13" s="4">
        <f>G11/(G12/100)</f>
        <v/>
      </c>
      <c r="H13" s="4">
        <f>H11/(H12/100)</f>
        <v/>
      </c>
      <c r="I13" s="4">
        <f>I11/(I12/100)</f>
        <v/>
      </c>
      <c r="J13" s="4">
        <f>J11/(J12/100)</f>
        <v/>
      </c>
      <c r="K13" s="4">
        <f>K11/(K12/100)</f>
        <v/>
      </c>
    </row>
    <row r="14">
      <c r="D14" s="3" t="n"/>
      <c r="E14" s="3" t="n"/>
      <c r="F14" s="3" t="n"/>
      <c r="G14" s="3" t="n"/>
      <c r="H14" s="3" t="n"/>
      <c r="I14" s="3" t="n"/>
      <c r="J14" s="3" t="n"/>
      <c r="K14" s="3" t="n"/>
    </row>
    <row r="15">
      <c r="B15" t="inlineStr">
        <is>
          <t>Demand Multiplier</t>
        </is>
      </c>
      <c r="D15" s="3">
        <f>B32</f>
        <v/>
      </c>
      <c r="E15" s="3" t="n"/>
      <c r="F15" s="3" t="n"/>
      <c r="G15" s="3" t="n"/>
      <c r="H15" s="3" t="n"/>
      <c r="I15" s="3" t="n"/>
      <c r="J15" s="3" t="n"/>
      <c r="K15" s="3" t="n"/>
    </row>
    <row r="16">
      <c r="B16" t="inlineStr">
        <is>
          <t>Direct Effect (mln GEL)</t>
        </is>
      </c>
      <c r="D16" s="3">
        <f>D11</f>
        <v/>
      </c>
      <c r="E16" s="3">
        <f>E11</f>
        <v/>
      </c>
      <c r="F16" s="3">
        <f>F11</f>
        <v/>
      </c>
      <c r="G16" s="3">
        <f>G11</f>
        <v/>
      </c>
      <c r="H16" s="3">
        <f>H11</f>
        <v/>
      </c>
      <c r="I16" s="3">
        <f>I11</f>
        <v/>
      </c>
      <c r="J16" s="3">
        <f>J11</f>
        <v/>
      </c>
      <c r="K16" s="3">
        <f>K11</f>
        <v/>
      </c>
    </row>
    <row r="17">
      <c r="B17" t="inlineStr">
        <is>
          <t>Indirect Effect (mln GEL)</t>
        </is>
      </c>
      <c r="D17" s="3">
        <f>D16*B32</f>
        <v/>
      </c>
      <c r="E17" s="3">
        <f>E16*B32</f>
        <v/>
      </c>
      <c r="F17" s="3">
        <f>F16*B32</f>
        <v/>
      </c>
      <c r="G17" s="3">
        <f>G16*B32</f>
        <v/>
      </c>
      <c r="H17" s="3">
        <f>H16*B32</f>
        <v/>
      </c>
      <c r="I17" s="3">
        <f>I16*B32</f>
        <v/>
      </c>
      <c r="J17" s="3">
        <f>J16*B32</f>
        <v/>
      </c>
      <c r="K17" s="3">
        <f>K16*B32</f>
        <v/>
      </c>
    </row>
    <row r="18">
      <c r="B18" t="inlineStr">
        <is>
          <t>Total GDP Effect (mln GEL)</t>
        </is>
      </c>
      <c r="D18" s="3">
        <f>D16+D17</f>
        <v/>
      </c>
      <c r="E18" s="3">
        <f>E16+E17</f>
        <v/>
      </c>
      <c r="F18" s="3">
        <f>F16+F17</f>
        <v/>
      </c>
      <c r="G18" s="3">
        <f>G16+G17</f>
        <v/>
      </c>
      <c r="H18" s="3">
        <f>H16+H17</f>
        <v/>
      </c>
      <c r="I18" s="3">
        <f>I16+I17</f>
        <v/>
      </c>
      <c r="J18" s="3">
        <f>J16+J17</f>
        <v/>
      </c>
      <c r="K18" s="3">
        <f>K16+K17</f>
        <v/>
      </c>
    </row>
    <row r="19">
      <c r="D19" s="3" t="n"/>
      <c r="E19" s="3" t="n"/>
      <c r="F19" s="3" t="n"/>
      <c r="G19" s="3" t="n"/>
      <c r="H19" s="3" t="n"/>
      <c r="I19" s="3" t="n"/>
      <c r="J19" s="3" t="n"/>
      <c r="K19" s="3" t="n"/>
    </row>
    <row r="20">
      <c r="B20" t="inlineStr">
        <is>
          <t>Import Content</t>
        </is>
      </c>
      <c r="D20" s="3">
        <f>B33</f>
        <v/>
      </c>
      <c r="E20" s="3">
        <f>B33</f>
        <v/>
      </c>
      <c r="F20" s="3">
        <f>B33</f>
        <v/>
      </c>
      <c r="G20" s="3">
        <f>B33</f>
        <v/>
      </c>
      <c r="H20" s="3">
        <f>B33</f>
        <v/>
      </c>
      <c r="I20" s="3">
        <f>B33</f>
        <v/>
      </c>
      <c r="J20" s="3">
        <f>B33</f>
        <v/>
      </c>
      <c r="K20" s="3">
        <f>B33</f>
        <v/>
      </c>
    </row>
    <row r="21">
      <c r="B21" t="inlineStr">
        <is>
          <t>Import Leakage (mln GEL)</t>
        </is>
      </c>
      <c r="D21" s="3">
        <f>D18*D20</f>
        <v/>
      </c>
      <c r="E21" s="3">
        <f>E18*E20</f>
        <v/>
      </c>
      <c r="F21" s="3">
        <f>F18*F20</f>
        <v/>
      </c>
      <c r="G21" s="3">
        <f>G18*G20</f>
        <v/>
      </c>
      <c r="H21" s="3">
        <f>H18*H20</f>
        <v/>
      </c>
      <c r="I21" s="3">
        <f>I18*I20</f>
        <v/>
      </c>
      <c r="J21" s="3">
        <f>J18*J20</f>
        <v/>
      </c>
      <c r="K21" s="3">
        <f>K18*K20</f>
        <v/>
      </c>
    </row>
    <row r="22">
      <c r="B22" t="inlineStr">
        <is>
          <t>Domestic Content (mln GEL)</t>
        </is>
      </c>
      <c r="D22" s="3">
        <f>D18-D21</f>
        <v/>
      </c>
      <c r="E22" s="3">
        <f>E18-E21</f>
        <v/>
      </c>
      <c r="F22" s="3">
        <f>F18-F21</f>
        <v/>
      </c>
      <c r="G22" s="3">
        <f>G18-G21</f>
        <v/>
      </c>
      <c r="H22" s="3">
        <f>H18-H21</f>
        <v/>
      </c>
      <c r="I22" s="3">
        <f>I18-I21</f>
        <v/>
      </c>
      <c r="J22" s="3">
        <f>J18-J21</f>
        <v/>
      </c>
      <c r="K22" s="3">
        <f>K18-K21</f>
        <v/>
      </c>
    </row>
    <row r="23">
      <c r="D23" s="3" t="n"/>
      <c r="E23" s="3" t="n"/>
      <c r="F23" s="3" t="n"/>
      <c r="G23" s="3" t="n"/>
      <c r="H23" s="3" t="n"/>
      <c r="I23" s="3" t="n"/>
      <c r="J23" s="3" t="n"/>
      <c r="K23" s="3" t="n"/>
    </row>
    <row r="24">
      <c r="B24" t="inlineStr">
        <is>
          <t>Nominal GDP (mln GEL, WEO)</t>
        </is>
      </c>
      <c r="D24" s="3">
        <f>WEO_Data.G13</f>
        <v/>
      </c>
      <c r="E24" s="3">
        <f>WEO_Data.G14</f>
        <v/>
      </c>
      <c r="F24" s="3">
        <f>WEO_Data.G15</f>
        <v/>
      </c>
      <c r="G24" s="3">
        <f>WEO_Data.G16</f>
        <v/>
      </c>
      <c r="H24" s="3">
        <f>WEO_Data.G17</f>
        <v/>
      </c>
      <c r="I24" s="3">
        <f>WEO_Data.G18</f>
        <v/>
      </c>
      <c r="J24" s="3">
        <f>WEO_Data.G19</f>
        <v/>
      </c>
      <c r="K24" s="3">
        <f>WEO_Data.G20</f>
        <v/>
      </c>
    </row>
    <row r="25">
      <c r="B25" t="inlineStr">
        <is>
          <t>GDP Impact (%)</t>
        </is>
      </c>
      <c r="D25" s="4">
        <f>D22/D24*100</f>
        <v/>
      </c>
      <c r="E25" s="4">
        <f>E22/E24*100</f>
        <v/>
      </c>
      <c r="F25" s="4">
        <f>F22/F24*100</f>
        <v/>
      </c>
      <c r="G25" s="4">
        <f>G22/G24*100</f>
        <v/>
      </c>
      <c r="H25" s="4">
        <f>H22/H24*100</f>
        <v/>
      </c>
      <c r="I25" s="4">
        <f>I22/I24*100</f>
        <v/>
      </c>
      <c r="J25" s="4">
        <f>J22/J24*100</f>
        <v/>
      </c>
      <c r="K25" s="4">
        <f>K22/K24*100</f>
        <v/>
      </c>
    </row>
    <row r="30">
      <c r="A30" t="inlineStr">
        <is>
          <t>ASSUMPTIONS</t>
        </is>
      </c>
    </row>
    <row r="31">
      <c r="A31" t="inlineStr">
        <is>
          <t>Exchange Rate (GEL/USD)</t>
        </is>
      </c>
      <c r="B31" t="n">
        <v>2.746</v>
      </c>
    </row>
    <row r="32">
      <c r="A32" t="inlineStr">
        <is>
          <t>Demand Multiplier</t>
        </is>
      </c>
      <c r="B32" t="n">
        <v>0.8</v>
      </c>
    </row>
    <row r="33">
      <c r="A33" t="inlineStr">
        <is>
          <t>Import Content Share</t>
        </is>
      </c>
      <c r="B33" s="2">
        <f>SUT Calc.B10</f>
        <v/>
      </c>
    </row>
    <row r="34">
      <c r="A34" t="inlineStr">
        <is>
          <t>Project Allocation</t>
        </is>
      </c>
      <c r="B34" t="inlineStr">
        <is>
          <t>Bell Shape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2 - DEMAND MULTIPLIER = 1.0</t>
        </is>
      </c>
    </row>
    <row r="2">
      <c r="A2" t="inlineStr">
        <is>
          <t>Georgia 2026-2033</t>
        </is>
      </c>
    </row>
    <row r="3">
      <c r="C3">
        <f>NA.C3</f>
        <v/>
      </c>
      <c r="D3">
        <f>NA.D3</f>
        <v/>
      </c>
      <c r="E3">
        <f>NA.E3</f>
        <v/>
      </c>
      <c r="F3">
        <f>NA.F3</f>
        <v/>
      </c>
      <c r="G3">
        <f>NA.G3</f>
        <v/>
      </c>
      <c r="H3">
        <f>NA.H3</f>
        <v/>
      </c>
      <c r="I3">
        <f>NA.I3</f>
        <v/>
      </c>
      <c r="J3">
        <f>NA.J3</f>
        <v/>
      </c>
      <c r="K3">
        <f>NA.K3</f>
        <v/>
      </c>
    </row>
    <row r="4">
      <c r="C4">
        <f>NA.C4</f>
        <v/>
      </c>
      <c r="D4">
        <f>NA.D4</f>
        <v/>
      </c>
      <c r="E4">
        <f>NA.E4</f>
        <v/>
      </c>
      <c r="F4">
        <f>NA.F4</f>
        <v/>
      </c>
      <c r="G4">
        <f>NA.G4</f>
        <v/>
      </c>
      <c r="H4">
        <f>NA.H4</f>
        <v/>
      </c>
      <c r="I4">
        <f>NA.I4</f>
        <v/>
      </c>
      <c r="J4">
        <f>NA.J4</f>
        <v/>
      </c>
      <c r="K4">
        <f>NA.K4</f>
        <v/>
      </c>
    </row>
    <row r="5">
      <c r="C5">
        <f>NA.C5</f>
        <v/>
      </c>
      <c r="D5">
        <f>NA.D5</f>
        <v/>
      </c>
      <c r="E5">
        <f>NA.E5</f>
        <v/>
      </c>
      <c r="F5">
        <f>NA.F5</f>
        <v/>
      </c>
      <c r="G5">
        <f>NA.G5</f>
        <v/>
      </c>
      <c r="H5">
        <f>NA.H5</f>
        <v/>
      </c>
      <c r="I5">
        <f>NA.I5</f>
        <v/>
      </c>
      <c r="J5">
        <f>NA.J5</f>
        <v/>
      </c>
      <c r="K5">
        <f>NA.K5</f>
        <v/>
      </c>
    </row>
    <row r="6">
      <c r="C6">
        <f>NA.C6</f>
        <v/>
      </c>
      <c r="D6">
        <f>NA.D6</f>
        <v/>
      </c>
      <c r="E6">
        <f>NA.E6</f>
        <v/>
      </c>
      <c r="F6">
        <f>NA.F6</f>
        <v/>
      </c>
      <c r="G6">
        <f>NA.G6</f>
        <v/>
      </c>
      <c r="H6">
        <f>NA.H6</f>
        <v/>
      </c>
      <c r="I6">
        <f>NA.I6</f>
        <v/>
      </c>
      <c r="J6">
        <f>NA.J6</f>
        <v/>
      </c>
      <c r="K6">
        <f>NA.K6</f>
        <v/>
      </c>
    </row>
    <row r="7">
      <c r="C7">
        <f>NA.C7</f>
        <v/>
      </c>
      <c r="D7">
        <f>NA.D7</f>
        <v/>
      </c>
      <c r="E7">
        <f>NA.E7</f>
        <v/>
      </c>
      <c r="F7">
        <f>NA.F7</f>
        <v/>
      </c>
      <c r="G7">
        <f>NA.G7</f>
        <v/>
      </c>
      <c r="H7">
        <f>NA.H7</f>
        <v/>
      </c>
      <c r="I7">
        <f>NA.I7</f>
        <v/>
      </c>
      <c r="J7">
        <f>NA.J7</f>
        <v/>
      </c>
      <c r="K7">
        <f>NA.K7</f>
        <v/>
      </c>
    </row>
    <row r="8">
      <c r="C8">
        <f>NA.C8</f>
        <v/>
      </c>
      <c r="D8">
        <f>NA.D8</f>
        <v/>
      </c>
      <c r="E8">
        <f>NA.E8</f>
        <v/>
      </c>
      <c r="F8">
        <f>NA.F8</f>
        <v/>
      </c>
      <c r="G8">
        <f>NA.G8</f>
        <v/>
      </c>
      <c r="H8">
        <f>NA.H8</f>
        <v/>
      </c>
      <c r="I8">
        <f>NA.I8</f>
        <v/>
      </c>
      <c r="J8">
        <f>NA.J8</f>
        <v/>
      </c>
      <c r="K8">
        <f>NA.K8</f>
        <v/>
      </c>
    </row>
    <row r="9">
      <c r="C9">
        <f>NA.C9</f>
        <v/>
      </c>
      <c r="D9">
        <f>NA.D9</f>
        <v/>
      </c>
      <c r="E9">
        <f>NA.E9</f>
        <v/>
      </c>
      <c r="F9">
        <f>NA.F9</f>
        <v/>
      </c>
      <c r="G9">
        <f>NA.G9</f>
        <v/>
      </c>
      <c r="H9">
        <f>NA.H9</f>
        <v/>
      </c>
      <c r="I9">
        <f>NA.I9</f>
        <v/>
      </c>
      <c r="J9">
        <f>NA.J9</f>
        <v/>
      </c>
      <c r="K9">
        <f>NA.K9</f>
        <v/>
      </c>
    </row>
    <row r="10">
      <c r="C10">
        <f>NA.C10</f>
        <v/>
      </c>
      <c r="D10">
        <f>NA.D10</f>
        <v/>
      </c>
      <c r="E10">
        <f>NA.E10</f>
        <v/>
      </c>
      <c r="F10">
        <f>NA.F10</f>
        <v/>
      </c>
      <c r="G10">
        <f>NA.G10</f>
        <v/>
      </c>
      <c r="H10">
        <f>NA.H10</f>
        <v/>
      </c>
      <c r="I10">
        <f>NA.I10</f>
        <v/>
      </c>
      <c r="J10">
        <f>NA.J10</f>
        <v/>
      </c>
      <c r="K10">
        <f>NA.K10</f>
        <v/>
      </c>
    </row>
    <row r="11">
      <c r="C11">
        <f>NA.C11</f>
        <v/>
      </c>
      <c r="D11">
        <f>NA.D11</f>
        <v/>
      </c>
      <c r="E11">
        <f>NA.E11</f>
        <v/>
      </c>
      <c r="F11">
        <f>NA.F11</f>
        <v/>
      </c>
      <c r="G11">
        <f>NA.G11</f>
        <v/>
      </c>
      <c r="H11">
        <f>NA.H11</f>
        <v/>
      </c>
      <c r="I11">
        <f>NA.I11</f>
        <v/>
      </c>
      <c r="J11">
        <f>NA.J11</f>
        <v/>
      </c>
      <c r="K11">
        <f>NA.K11</f>
        <v/>
      </c>
    </row>
    <row r="12">
      <c r="C12">
        <f>NA.C12</f>
        <v/>
      </c>
      <c r="D12">
        <f>NA.D12</f>
        <v/>
      </c>
      <c r="E12">
        <f>NA.E12</f>
        <v/>
      </c>
      <c r="F12">
        <f>NA.F12</f>
        <v/>
      </c>
      <c r="G12">
        <f>NA.G12</f>
        <v/>
      </c>
      <c r="H12">
        <f>NA.H12</f>
        <v/>
      </c>
      <c r="I12">
        <f>NA.I12</f>
        <v/>
      </c>
      <c r="J12">
        <f>NA.J12</f>
        <v/>
      </c>
      <c r="K12">
        <f>NA.K12</f>
        <v/>
      </c>
    </row>
    <row r="13">
      <c r="C13">
        <f>NA.C13</f>
        <v/>
      </c>
      <c r="D13">
        <f>NA.D13</f>
        <v/>
      </c>
      <c r="E13">
        <f>NA.E13</f>
        <v/>
      </c>
      <c r="F13">
        <f>NA.F13</f>
        <v/>
      </c>
      <c r="G13">
        <f>NA.G13</f>
        <v/>
      </c>
      <c r="H13">
        <f>NA.H13</f>
        <v/>
      </c>
      <c r="I13">
        <f>NA.I13</f>
        <v/>
      </c>
      <c r="J13">
        <f>NA.J13</f>
        <v/>
      </c>
      <c r="K13">
        <f>NA.K13</f>
        <v/>
      </c>
    </row>
    <row r="14">
      <c r="C14">
        <f>NA.C14</f>
        <v/>
      </c>
      <c r="D14">
        <f>NA.D14</f>
        <v/>
      </c>
      <c r="E14">
        <f>NA.E14</f>
        <v/>
      </c>
      <c r="F14">
        <f>NA.F14</f>
        <v/>
      </c>
      <c r="G14">
        <f>NA.G14</f>
        <v/>
      </c>
      <c r="H14">
        <f>NA.H14</f>
        <v/>
      </c>
      <c r="I14">
        <f>NA.I14</f>
        <v/>
      </c>
      <c r="J14">
        <f>NA.J14</f>
        <v/>
      </c>
      <c r="K14">
        <f>NA.K14</f>
        <v/>
      </c>
    </row>
    <row r="15">
      <c r="C15">
        <f>NA.C15</f>
        <v/>
      </c>
      <c r="D15">
        <f>NA.D15</f>
        <v/>
      </c>
      <c r="E15">
        <f>NA.E15</f>
        <v/>
      </c>
      <c r="F15">
        <f>NA.F15</f>
        <v/>
      </c>
      <c r="G15">
        <f>NA.G15</f>
        <v/>
      </c>
      <c r="H15">
        <f>NA.H15</f>
        <v/>
      </c>
      <c r="I15">
        <f>NA.I15</f>
        <v/>
      </c>
      <c r="J15">
        <f>NA.J15</f>
        <v/>
      </c>
      <c r="K15">
        <f>NA.K15</f>
        <v/>
      </c>
    </row>
    <row r="16">
      <c r="C16">
        <f>NA.C16</f>
        <v/>
      </c>
      <c r="D16">
        <f>NA.D16</f>
        <v/>
      </c>
      <c r="E16">
        <f>NA.E16</f>
        <v/>
      </c>
      <c r="F16">
        <f>NA.F16</f>
        <v/>
      </c>
      <c r="G16">
        <f>NA.G16</f>
        <v/>
      </c>
      <c r="H16">
        <f>NA.H16</f>
        <v/>
      </c>
      <c r="I16">
        <f>NA.I16</f>
        <v/>
      </c>
      <c r="J16">
        <f>NA.J16</f>
        <v/>
      </c>
      <c r="K16">
        <f>NA.K16</f>
        <v/>
      </c>
    </row>
    <row r="17">
      <c r="C17">
        <f>NA.C17</f>
        <v/>
      </c>
      <c r="D17">
        <f>NA.D17</f>
        <v/>
      </c>
      <c r="E17">
        <f>NA.E17</f>
        <v/>
      </c>
      <c r="F17">
        <f>NA.F17</f>
        <v/>
      </c>
      <c r="G17">
        <f>NA.G17</f>
        <v/>
      </c>
      <c r="H17">
        <f>NA.H17</f>
        <v/>
      </c>
      <c r="I17">
        <f>NA.I17</f>
        <v/>
      </c>
      <c r="J17">
        <f>NA.J17</f>
        <v/>
      </c>
      <c r="K17">
        <f>NA.K17</f>
        <v/>
      </c>
    </row>
    <row r="18">
      <c r="C18">
        <f>NA.C18</f>
        <v/>
      </c>
      <c r="D18">
        <f>NA.D18</f>
        <v/>
      </c>
      <c r="E18">
        <f>NA.E18</f>
        <v/>
      </c>
      <c r="F18">
        <f>NA.F18</f>
        <v/>
      </c>
      <c r="G18">
        <f>NA.G18</f>
        <v/>
      </c>
      <c r="H18">
        <f>NA.H18</f>
        <v/>
      </c>
      <c r="I18">
        <f>NA.I18</f>
        <v/>
      </c>
      <c r="J18">
        <f>NA.J18</f>
        <v/>
      </c>
      <c r="K18">
        <f>NA.K18</f>
        <v/>
      </c>
    </row>
    <row r="19">
      <c r="C19">
        <f>NA.C19</f>
        <v/>
      </c>
      <c r="D19">
        <f>NA.D19</f>
        <v/>
      </c>
      <c r="E19">
        <f>NA.E19</f>
        <v/>
      </c>
      <c r="F19">
        <f>NA.F19</f>
        <v/>
      </c>
      <c r="G19">
        <f>NA.G19</f>
        <v/>
      </c>
      <c r="H19">
        <f>NA.H19</f>
        <v/>
      </c>
      <c r="I19">
        <f>NA.I19</f>
        <v/>
      </c>
      <c r="J19">
        <f>NA.J19</f>
        <v/>
      </c>
      <c r="K19">
        <f>NA.K19</f>
        <v/>
      </c>
    </row>
    <row r="20">
      <c r="C20">
        <f>NA.C20</f>
        <v/>
      </c>
      <c r="D20">
        <f>NA.D20</f>
        <v/>
      </c>
      <c r="E20">
        <f>NA.E20</f>
        <v/>
      </c>
      <c r="F20">
        <f>NA.F20</f>
        <v/>
      </c>
      <c r="G20">
        <f>NA.G20</f>
        <v/>
      </c>
      <c r="H20">
        <f>NA.H20</f>
        <v/>
      </c>
      <c r="I20">
        <f>NA.I20</f>
        <v/>
      </c>
      <c r="J20">
        <f>NA.J20</f>
        <v/>
      </c>
      <c r="K20">
        <f>NA.K20</f>
        <v/>
      </c>
    </row>
    <row r="21">
      <c r="C21">
        <f>NA.C21</f>
        <v/>
      </c>
      <c r="D21">
        <f>NA.D21</f>
        <v/>
      </c>
      <c r="E21">
        <f>NA.E21</f>
        <v/>
      </c>
      <c r="F21">
        <f>NA.F21</f>
        <v/>
      </c>
      <c r="G21">
        <f>NA.G21</f>
        <v/>
      </c>
      <c r="H21">
        <f>NA.H21</f>
        <v/>
      </c>
      <c r="I21">
        <f>NA.I21</f>
        <v/>
      </c>
      <c r="J21">
        <f>NA.J21</f>
        <v/>
      </c>
      <c r="K21">
        <f>NA.K21</f>
        <v/>
      </c>
    </row>
    <row r="22">
      <c r="C22">
        <f>NA.C22</f>
        <v/>
      </c>
      <c r="D22">
        <f>NA.D22</f>
        <v/>
      </c>
      <c r="E22">
        <f>NA.E22</f>
        <v/>
      </c>
      <c r="F22">
        <f>NA.F22</f>
        <v/>
      </c>
      <c r="G22">
        <f>NA.G22</f>
        <v/>
      </c>
      <c r="H22">
        <f>NA.H22</f>
        <v/>
      </c>
      <c r="I22">
        <f>NA.I22</f>
        <v/>
      </c>
      <c r="J22">
        <f>NA.J22</f>
        <v/>
      </c>
      <c r="K22">
        <f>NA.K22</f>
        <v/>
      </c>
    </row>
    <row r="23">
      <c r="C23">
        <f>NA.C23</f>
        <v/>
      </c>
      <c r="D23">
        <f>NA.D23</f>
        <v/>
      </c>
      <c r="E23">
        <f>NA.E23</f>
        <v/>
      </c>
      <c r="F23">
        <f>NA.F23</f>
        <v/>
      </c>
      <c r="G23">
        <f>NA.G23</f>
        <v/>
      </c>
      <c r="H23">
        <f>NA.H23</f>
        <v/>
      </c>
      <c r="I23">
        <f>NA.I23</f>
        <v/>
      </c>
      <c r="J23">
        <f>NA.J23</f>
        <v/>
      </c>
      <c r="K23">
        <f>NA.K23</f>
        <v/>
      </c>
    </row>
    <row r="24">
      <c r="C24">
        <f>NA.C24</f>
        <v/>
      </c>
      <c r="D24">
        <f>NA.D24</f>
        <v/>
      </c>
      <c r="E24">
        <f>NA.E24</f>
        <v/>
      </c>
      <c r="F24">
        <f>NA.F24</f>
        <v/>
      </c>
      <c r="G24">
        <f>NA.G24</f>
        <v/>
      </c>
      <c r="H24">
        <f>NA.H24</f>
        <v/>
      </c>
      <c r="I24">
        <f>NA.I24</f>
        <v/>
      </c>
      <c r="J24">
        <f>NA.J24</f>
        <v/>
      </c>
      <c r="K24">
        <f>NA.K24</f>
        <v/>
      </c>
    </row>
    <row r="25">
      <c r="C25">
        <f>NA.C25</f>
        <v/>
      </c>
      <c r="D25">
        <f>NA.D25</f>
        <v/>
      </c>
      <c r="E25">
        <f>NA.E25</f>
        <v/>
      </c>
      <c r="F25">
        <f>NA.F25</f>
        <v/>
      </c>
      <c r="G25">
        <f>NA.G25</f>
        <v/>
      </c>
      <c r="H25">
        <f>NA.H25</f>
        <v/>
      </c>
      <c r="I25">
        <f>NA.I25</f>
        <v/>
      </c>
      <c r="J25">
        <f>NA.J25</f>
        <v/>
      </c>
      <c r="K25">
        <f>NA.K25</f>
        <v/>
      </c>
    </row>
    <row r="30">
      <c r="A30" t="inlineStr">
        <is>
          <t>ASSUMPTIONS</t>
        </is>
      </c>
    </row>
    <row r="31">
      <c r="A31" t="inlineStr">
        <is>
          <t>Exchange Rate (GEL/USD)</t>
        </is>
      </c>
      <c r="B31" t="n">
        <v>2.746</v>
      </c>
    </row>
    <row r="32">
      <c r="A32" t="inlineStr">
        <is>
          <t>Demand Multiplier</t>
        </is>
      </c>
      <c r="B32" t="n">
        <v>1</v>
      </c>
    </row>
    <row r="33">
      <c r="A33" t="inlineStr">
        <is>
          <t>Import Content Share</t>
        </is>
      </c>
      <c r="B33" s="2">
        <f>SUT Calc.B10</f>
        <v/>
      </c>
    </row>
    <row r="34">
      <c r="A34" t="inlineStr">
        <is>
          <t>Project Allocation</t>
        </is>
      </c>
      <c r="B34" t="inlineStr">
        <is>
          <t>Bell Shape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3 - IMPORT CONTENT = 0.5</t>
        </is>
      </c>
    </row>
    <row r="2">
      <c r="A2" t="inlineStr">
        <is>
          <t>Georgia 2026-2033</t>
        </is>
      </c>
    </row>
    <row r="3">
      <c r="C3">
        <f>NA.C3</f>
        <v/>
      </c>
      <c r="D3">
        <f>NA.D3</f>
        <v/>
      </c>
      <c r="E3">
        <f>NA.E3</f>
        <v/>
      </c>
      <c r="F3">
        <f>NA.F3</f>
        <v/>
      </c>
      <c r="G3">
        <f>NA.G3</f>
        <v/>
      </c>
      <c r="H3">
        <f>NA.H3</f>
        <v/>
      </c>
      <c r="I3">
        <f>NA.I3</f>
        <v/>
      </c>
      <c r="J3">
        <f>NA.J3</f>
        <v/>
      </c>
      <c r="K3">
        <f>NA.K3</f>
        <v/>
      </c>
    </row>
    <row r="4">
      <c r="C4">
        <f>NA.C4</f>
        <v/>
      </c>
      <c r="D4">
        <f>NA.D4</f>
        <v/>
      </c>
      <c r="E4">
        <f>NA.E4</f>
        <v/>
      </c>
      <c r="F4">
        <f>NA.F4</f>
        <v/>
      </c>
      <c r="G4">
        <f>NA.G4</f>
        <v/>
      </c>
      <c r="H4">
        <f>NA.H4</f>
        <v/>
      </c>
      <c r="I4">
        <f>NA.I4</f>
        <v/>
      </c>
      <c r="J4">
        <f>NA.J4</f>
        <v/>
      </c>
      <c r="K4">
        <f>NA.K4</f>
        <v/>
      </c>
    </row>
    <row r="5">
      <c r="C5">
        <f>NA.C5</f>
        <v/>
      </c>
      <c r="D5">
        <f>NA.D5</f>
        <v/>
      </c>
      <c r="E5">
        <f>NA.E5</f>
        <v/>
      </c>
      <c r="F5">
        <f>NA.F5</f>
        <v/>
      </c>
      <c r="G5">
        <f>NA.G5</f>
        <v/>
      </c>
      <c r="H5">
        <f>NA.H5</f>
        <v/>
      </c>
      <c r="I5">
        <f>NA.I5</f>
        <v/>
      </c>
      <c r="J5">
        <f>NA.J5</f>
        <v/>
      </c>
      <c r="K5">
        <f>NA.K5</f>
        <v/>
      </c>
    </row>
    <row r="6">
      <c r="C6">
        <f>NA.C6</f>
        <v/>
      </c>
      <c r="D6">
        <f>NA.D6</f>
        <v/>
      </c>
      <c r="E6">
        <f>NA.E6</f>
        <v/>
      </c>
      <c r="F6">
        <f>NA.F6</f>
        <v/>
      </c>
      <c r="G6">
        <f>NA.G6</f>
        <v/>
      </c>
      <c r="H6">
        <f>NA.H6</f>
        <v/>
      </c>
      <c r="I6">
        <f>NA.I6</f>
        <v/>
      </c>
      <c r="J6">
        <f>NA.J6</f>
        <v/>
      </c>
      <c r="K6">
        <f>NA.K6</f>
        <v/>
      </c>
    </row>
    <row r="7">
      <c r="C7">
        <f>NA.C7</f>
        <v/>
      </c>
      <c r="D7">
        <f>NA.D7</f>
        <v/>
      </c>
      <c r="E7">
        <f>NA.E7</f>
        <v/>
      </c>
      <c r="F7">
        <f>NA.F7</f>
        <v/>
      </c>
      <c r="G7">
        <f>NA.G7</f>
        <v/>
      </c>
      <c r="H7">
        <f>NA.H7</f>
        <v/>
      </c>
      <c r="I7">
        <f>NA.I7</f>
        <v/>
      </c>
      <c r="J7">
        <f>NA.J7</f>
        <v/>
      </c>
      <c r="K7">
        <f>NA.K7</f>
        <v/>
      </c>
    </row>
    <row r="8">
      <c r="C8">
        <f>NA.C8</f>
        <v/>
      </c>
      <c r="D8">
        <f>NA.D8</f>
        <v/>
      </c>
      <c r="E8">
        <f>NA.E8</f>
        <v/>
      </c>
      <c r="F8">
        <f>NA.F8</f>
        <v/>
      </c>
      <c r="G8">
        <f>NA.G8</f>
        <v/>
      </c>
      <c r="H8">
        <f>NA.H8</f>
        <v/>
      </c>
      <c r="I8">
        <f>NA.I8</f>
        <v/>
      </c>
      <c r="J8">
        <f>NA.J8</f>
        <v/>
      </c>
      <c r="K8">
        <f>NA.K8</f>
        <v/>
      </c>
    </row>
    <row r="9">
      <c r="C9">
        <f>NA.C9</f>
        <v/>
      </c>
      <c r="D9">
        <f>NA.D9</f>
        <v/>
      </c>
      <c r="E9">
        <f>NA.E9</f>
        <v/>
      </c>
      <c r="F9">
        <f>NA.F9</f>
        <v/>
      </c>
      <c r="G9">
        <f>NA.G9</f>
        <v/>
      </c>
      <c r="H9">
        <f>NA.H9</f>
        <v/>
      </c>
      <c r="I9">
        <f>NA.I9</f>
        <v/>
      </c>
      <c r="J9">
        <f>NA.J9</f>
        <v/>
      </c>
      <c r="K9">
        <f>NA.K9</f>
        <v/>
      </c>
    </row>
    <row r="10">
      <c r="C10">
        <f>NA.C10</f>
        <v/>
      </c>
      <c r="D10">
        <f>NA.D10</f>
        <v/>
      </c>
      <c r="E10">
        <f>NA.E10</f>
        <v/>
      </c>
      <c r="F10">
        <f>NA.F10</f>
        <v/>
      </c>
      <c r="G10">
        <f>NA.G10</f>
        <v/>
      </c>
      <c r="H10">
        <f>NA.H10</f>
        <v/>
      </c>
      <c r="I10">
        <f>NA.I10</f>
        <v/>
      </c>
      <c r="J10">
        <f>NA.J10</f>
        <v/>
      </c>
      <c r="K10">
        <f>NA.K10</f>
        <v/>
      </c>
    </row>
    <row r="11">
      <c r="C11">
        <f>NA.C11</f>
        <v/>
      </c>
      <c r="D11">
        <f>NA.D11</f>
        <v/>
      </c>
      <c r="E11">
        <f>NA.E11</f>
        <v/>
      </c>
      <c r="F11">
        <f>NA.F11</f>
        <v/>
      </c>
      <c r="G11">
        <f>NA.G11</f>
        <v/>
      </c>
      <c r="H11">
        <f>NA.H11</f>
        <v/>
      </c>
      <c r="I11">
        <f>NA.I11</f>
        <v/>
      </c>
      <c r="J11">
        <f>NA.J11</f>
        <v/>
      </c>
      <c r="K11">
        <f>NA.K11</f>
        <v/>
      </c>
    </row>
    <row r="12">
      <c r="C12">
        <f>NA.C12</f>
        <v/>
      </c>
      <c r="D12">
        <f>NA.D12</f>
        <v/>
      </c>
      <c r="E12">
        <f>NA.E12</f>
        <v/>
      </c>
      <c r="F12">
        <f>NA.F12</f>
        <v/>
      </c>
      <c r="G12">
        <f>NA.G12</f>
        <v/>
      </c>
      <c r="H12">
        <f>NA.H12</f>
        <v/>
      </c>
      <c r="I12">
        <f>NA.I12</f>
        <v/>
      </c>
      <c r="J12">
        <f>NA.J12</f>
        <v/>
      </c>
      <c r="K12">
        <f>NA.K12</f>
        <v/>
      </c>
    </row>
    <row r="13">
      <c r="C13">
        <f>NA.C13</f>
        <v/>
      </c>
      <c r="D13">
        <f>NA.D13</f>
        <v/>
      </c>
      <c r="E13">
        <f>NA.E13</f>
        <v/>
      </c>
      <c r="F13">
        <f>NA.F13</f>
        <v/>
      </c>
      <c r="G13">
        <f>NA.G13</f>
        <v/>
      </c>
      <c r="H13">
        <f>NA.H13</f>
        <v/>
      </c>
      <c r="I13">
        <f>NA.I13</f>
        <v/>
      </c>
      <c r="J13">
        <f>NA.J13</f>
        <v/>
      </c>
      <c r="K13">
        <f>NA.K13</f>
        <v/>
      </c>
    </row>
    <row r="14">
      <c r="C14">
        <f>NA.C14</f>
        <v/>
      </c>
      <c r="D14">
        <f>NA.D14</f>
        <v/>
      </c>
      <c r="E14">
        <f>NA.E14</f>
        <v/>
      </c>
      <c r="F14">
        <f>NA.F14</f>
        <v/>
      </c>
      <c r="G14">
        <f>NA.G14</f>
        <v/>
      </c>
      <c r="H14">
        <f>NA.H14</f>
        <v/>
      </c>
      <c r="I14">
        <f>NA.I14</f>
        <v/>
      </c>
      <c r="J14">
        <f>NA.J14</f>
        <v/>
      </c>
      <c r="K14">
        <f>NA.K14</f>
        <v/>
      </c>
    </row>
    <row r="15">
      <c r="C15">
        <f>NA.C15</f>
        <v/>
      </c>
      <c r="D15">
        <f>NA.D15</f>
        <v/>
      </c>
      <c r="E15">
        <f>NA.E15</f>
        <v/>
      </c>
      <c r="F15">
        <f>NA.F15</f>
        <v/>
      </c>
      <c r="G15">
        <f>NA.G15</f>
        <v/>
      </c>
      <c r="H15">
        <f>NA.H15</f>
        <v/>
      </c>
      <c r="I15">
        <f>NA.I15</f>
        <v/>
      </c>
      <c r="J15">
        <f>NA.J15</f>
        <v/>
      </c>
      <c r="K15">
        <f>NA.K15</f>
        <v/>
      </c>
    </row>
    <row r="16">
      <c r="C16">
        <f>NA.C16</f>
        <v/>
      </c>
      <c r="D16">
        <f>NA.D16</f>
        <v/>
      </c>
      <c r="E16">
        <f>NA.E16</f>
        <v/>
      </c>
      <c r="F16">
        <f>NA.F16</f>
        <v/>
      </c>
      <c r="G16">
        <f>NA.G16</f>
        <v/>
      </c>
      <c r="H16">
        <f>NA.H16</f>
        <v/>
      </c>
      <c r="I16">
        <f>NA.I16</f>
        <v/>
      </c>
      <c r="J16">
        <f>NA.J16</f>
        <v/>
      </c>
      <c r="K16">
        <f>NA.K16</f>
        <v/>
      </c>
    </row>
    <row r="17">
      <c r="C17">
        <f>NA.C17</f>
        <v/>
      </c>
      <c r="D17">
        <f>NA.D17</f>
        <v/>
      </c>
      <c r="E17">
        <f>NA.E17</f>
        <v/>
      </c>
      <c r="F17">
        <f>NA.F17</f>
        <v/>
      </c>
      <c r="G17">
        <f>NA.G17</f>
        <v/>
      </c>
      <c r="H17">
        <f>NA.H17</f>
        <v/>
      </c>
      <c r="I17">
        <f>NA.I17</f>
        <v/>
      </c>
      <c r="J17">
        <f>NA.J17</f>
        <v/>
      </c>
      <c r="K17">
        <f>NA.K17</f>
        <v/>
      </c>
    </row>
    <row r="18">
      <c r="C18">
        <f>NA.C18</f>
        <v/>
      </c>
      <c r="D18">
        <f>NA.D18</f>
        <v/>
      </c>
      <c r="E18">
        <f>NA.E18</f>
        <v/>
      </c>
      <c r="F18">
        <f>NA.F18</f>
        <v/>
      </c>
      <c r="G18">
        <f>NA.G18</f>
        <v/>
      </c>
      <c r="H18">
        <f>NA.H18</f>
        <v/>
      </c>
      <c r="I18">
        <f>NA.I18</f>
        <v/>
      </c>
      <c r="J18">
        <f>NA.J18</f>
        <v/>
      </c>
      <c r="K18">
        <f>NA.K18</f>
        <v/>
      </c>
    </row>
    <row r="19">
      <c r="C19">
        <f>NA.C19</f>
        <v/>
      </c>
      <c r="D19">
        <f>NA.D19</f>
        <v/>
      </c>
      <c r="E19">
        <f>NA.E19</f>
        <v/>
      </c>
      <c r="F19">
        <f>NA.F19</f>
        <v/>
      </c>
      <c r="G19">
        <f>NA.G19</f>
        <v/>
      </c>
      <c r="H19">
        <f>NA.H19</f>
        <v/>
      </c>
      <c r="I19">
        <f>NA.I19</f>
        <v/>
      </c>
      <c r="J19">
        <f>NA.J19</f>
        <v/>
      </c>
      <c r="K19">
        <f>NA.K19</f>
        <v/>
      </c>
    </row>
    <row r="20">
      <c r="C20">
        <f>NA.C20</f>
        <v/>
      </c>
      <c r="D20">
        <f>NA.D20</f>
        <v/>
      </c>
      <c r="E20">
        <f>NA.E20</f>
        <v/>
      </c>
      <c r="F20">
        <f>NA.F20</f>
        <v/>
      </c>
      <c r="G20">
        <f>NA.G20</f>
        <v/>
      </c>
      <c r="H20">
        <f>NA.H20</f>
        <v/>
      </c>
      <c r="I20">
        <f>NA.I20</f>
        <v/>
      </c>
      <c r="J20">
        <f>NA.J20</f>
        <v/>
      </c>
      <c r="K20">
        <f>NA.K20</f>
        <v/>
      </c>
    </row>
    <row r="21">
      <c r="C21">
        <f>NA.C21</f>
        <v/>
      </c>
      <c r="D21">
        <f>NA.D21</f>
        <v/>
      </c>
      <c r="E21">
        <f>NA.E21</f>
        <v/>
      </c>
      <c r="F21">
        <f>NA.F21</f>
        <v/>
      </c>
      <c r="G21">
        <f>NA.G21</f>
        <v/>
      </c>
      <c r="H21">
        <f>NA.H21</f>
        <v/>
      </c>
      <c r="I21">
        <f>NA.I21</f>
        <v/>
      </c>
      <c r="J21">
        <f>NA.J21</f>
        <v/>
      </c>
      <c r="K21">
        <f>NA.K21</f>
        <v/>
      </c>
    </row>
    <row r="22">
      <c r="C22">
        <f>NA.C22</f>
        <v/>
      </c>
      <c r="D22">
        <f>NA.D22</f>
        <v/>
      </c>
      <c r="E22">
        <f>NA.E22</f>
        <v/>
      </c>
      <c r="F22">
        <f>NA.F22</f>
        <v/>
      </c>
      <c r="G22">
        <f>NA.G22</f>
        <v/>
      </c>
      <c r="H22">
        <f>NA.H22</f>
        <v/>
      </c>
      <c r="I22">
        <f>NA.I22</f>
        <v/>
      </c>
      <c r="J22">
        <f>NA.J22</f>
        <v/>
      </c>
      <c r="K22">
        <f>NA.K22</f>
        <v/>
      </c>
    </row>
    <row r="23">
      <c r="C23">
        <f>NA.C23</f>
        <v/>
      </c>
      <c r="D23">
        <f>NA.D23</f>
        <v/>
      </c>
      <c r="E23">
        <f>NA.E23</f>
        <v/>
      </c>
      <c r="F23">
        <f>NA.F23</f>
        <v/>
      </c>
      <c r="G23">
        <f>NA.G23</f>
        <v/>
      </c>
      <c r="H23">
        <f>NA.H23</f>
        <v/>
      </c>
      <c r="I23">
        <f>NA.I23</f>
        <v/>
      </c>
      <c r="J23">
        <f>NA.J23</f>
        <v/>
      </c>
      <c r="K23">
        <f>NA.K23</f>
        <v/>
      </c>
    </row>
    <row r="24">
      <c r="C24">
        <f>NA.C24</f>
        <v/>
      </c>
      <c r="D24">
        <f>NA.D24</f>
        <v/>
      </c>
      <c r="E24">
        <f>NA.E24</f>
        <v/>
      </c>
      <c r="F24">
        <f>NA.F24</f>
        <v/>
      </c>
      <c r="G24">
        <f>NA.G24</f>
        <v/>
      </c>
      <c r="H24">
        <f>NA.H24</f>
        <v/>
      </c>
      <c r="I24">
        <f>NA.I24</f>
        <v/>
      </c>
      <c r="J24">
        <f>NA.J24</f>
        <v/>
      </c>
      <c r="K24">
        <f>NA.K24</f>
        <v/>
      </c>
    </row>
    <row r="25">
      <c r="C25">
        <f>NA.C25</f>
        <v/>
      </c>
      <c r="D25">
        <f>NA.D25</f>
        <v/>
      </c>
      <c r="E25">
        <f>NA.E25</f>
        <v/>
      </c>
      <c r="F25">
        <f>NA.F25</f>
        <v/>
      </c>
      <c r="G25">
        <f>NA.G25</f>
        <v/>
      </c>
      <c r="H25">
        <f>NA.H25</f>
        <v/>
      </c>
      <c r="I25">
        <f>NA.I25</f>
        <v/>
      </c>
      <c r="J25">
        <f>NA.J25</f>
        <v/>
      </c>
      <c r="K25">
        <f>NA.K25</f>
        <v/>
      </c>
    </row>
    <row r="30">
      <c r="A30" t="inlineStr">
        <is>
          <t>ASSUMPTIONS</t>
        </is>
      </c>
    </row>
    <row r="31">
      <c r="A31" t="inlineStr">
        <is>
          <t>Exchange Rate (GEL/USD)</t>
        </is>
      </c>
      <c r="B31" t="n">
        <v>2.746</v>
      </c>
    </row>
    <row r="32">
      <c r="A32" t="inlineStr">
        <is>
          <t>Demand Multiplier</t>
        </is>
      </c>
      <c r="B32" t="n">
        <v>0.8</v>
      </c>
    </row>
    <row r="33">
      <c r="A33" t="inlineStr">
        <is>
          <t>Import Content Share</t>
        </is>
      </c>
      <c r="B33" s="2" t="n">
        <v>0.5</v>
      </c>
    </row>
    <row r="34">
      <c r="A34" t="inlineStr">
        <is>
          <t>Project Allocation</t>
        </is>
      </c>
      <c r="B34" t="inlineStr">
        <is>
          <t>Bell Shape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2026-01-27T04:46:26Z</dcterms:created>
  <dcterms:modified xmlns:dcterms="http://purl.org/dc/terms/" xmlns:xsi="http://www.w3.org/2001/XMLSchema-instance" xsi:type="dcterms:W3CDTF">2026-01-27T04:46:26Z</dcterms:modified>
</cp:coreProperties>
</file>