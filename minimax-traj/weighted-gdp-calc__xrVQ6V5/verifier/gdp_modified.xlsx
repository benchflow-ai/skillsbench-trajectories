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Data" sheetId="2" state="visible" r:id="rId2"/>
  </sheets>
  <externalReferences>
    <externalReference xmlns:r="http://schemas.openxmlformats.org/officeDocument/2006/relationships"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INDEX(Data!$K$21:$L$26,MATCH("466BXGS_BP6.A",Data!$B$21:$B$26,0),MATCH(H9,Data!$K$4:$L$4,0))</f>
        <v/>
      </c>
      <c r="I12" s="19">
        <f>INDEX(Data!$K$21:$L$26,MATCH("466BXGS_BP6.A",Data!$B$21:$B$26,0),MATCH(I9,Data!$K$4:$L$4,0))</f>
        <v/>
      </c>
      <c r="J12" s="19">
        <f>INDEX(Data!$K$21:$L$26,MATCH("466BXGS_BP6.A",Data!$B$21:$B$26,0),MATCH(J9,Data!$K$4:$L$4,0))</f>
        <v/>
      </c>
      <c r="K12" s="19">
        <f>Data!$K$40</f>
        <v/>
      </c>
      <c r="L12" s="20">
        <f>Data!$L$40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INDEX(Data!$K$21:$L$26,MATCH("419BXGS_BP6.A",Data!$B$21:$B$26,0),MATCH(H9,Data!$K$4:$L$4,0))</f>
        <v/>
      </c>
      <c r="I13" s="4">
        <f>INDEX(Data!$K$21:$L$26,MATCH("419BXGS_BP6.A",Data!$B$21:$B$26,0),MATCH(I9,Data!$K$4:$L$4,0))</f>
        <v/>
      </c>
      <c r="J13" s="4">
        <f>INDEX(Data!$K$21:$L$26,MATCH("419BXGS_BP6.A",Data!$B$21:$B$26,0),MATCH(J9,Data!$K$4:$L$4,0))</f>
        <v/>
      </c>
      <c r="K13" s="4">
        <f>Data!$K$35</f>
        <v/>
      </c>
      <c r="L13" s="5">
        <f>Data!$L$35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INDEX(Data!$K$21:$L$26,MATCH("443BXGS_BP6.A",Data!$B$21:$B$26,0),MATCH(H9,Data!$K$4:$L$4,0))</f>
        <v/>
      </c>
      <c r="I14" s="4">
        <f>INDEX(Data!$K$21:$L$26,MATCH("443BXGS_BP6.A",Data!$B$21:$B$26,0),MATCH(I9,Data!$K$4:$L$4,0))</f>
        <v/>
      </c>
      <c r="J14" s="4">
        <f>INDEX(Data!$K$21:$L$26,MATCH("443BXGS_BP6.A",Data!$B$21:$B$26,0),MATCH(J9,Data!$K$4:$L$4,0))</f>
        <v/>
      </c>
      <c r="K14" s="4">
        <f>Data!$K$36</f>
        <v/>
      </c>
      <c r="L14" s="5">
        <f>Data!$L$36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INDEX(Data!$K$21:$L$26,MATCH("453BXGS_BP6.A",Data!$B$21:$B$26,0),MATCH(H9,Data!$K$4:$L$4,0))</f>
        <v/>
      </c>
      <c r="I15" s="4">
        <f>INDEX(Data!$K$21:$L$26,MATCH("453BXGS_BP6.A",Data!$B$21:$B$26,0),MATCH(I9,Data!$K$4:$L$4,0))</f>
        <v/>
      </c>
      <c r="J15" s="4">
        <f>INDEX(Data!$K$21:$L$26,MATCH("453BXGS_BP6.A",Data!$B$21:$B$26,0),MATCH(J9,Data!$K$4:$L$4,0))</f>
        <v/>
      </c>
      <c r="K15" s="4">
        <f>Data!$K$38</f>
        <v/>
      </c>
      <c r="L15" s="5">
        <f>Data!$L$38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INDEX(Data!$K$21:$L$26,MATCH("449BXGS_BP6.A",Data!$B$21:$B$26,0),MATCH(H9,Data!$K$4:$L$4,0))</f>
        <v/>
      </c>
      <c r="I16" s="4">
        <f>INDEX(Data!$K$21:$L$26,MATCH("449BXGS_BP6.A",Data!$B$21:$B$26,0),MATCH(I9,Data!$K$4:$L$4,0))</f>
        <v/>
      </c>
      <c r="J16" s="4">
        <f>INDEX(Data!$K$21:$L$26,MATCH("449BXGS_BP6.A",Data!$B$21:$B$26,0),MATCH(J9,Data!$K$4:$L$4,0))</f>
        <v/>
      </c>
      <c r="K16" s="4">
        <f>Data!$K$37</f>
        <v/>
      </c>
      <c r="L16" s="5">
        <f>Data!$L$37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INDEX(Data!$K$21:$L$26,MATCH("456BXGS_BP6.A",Data!$B$21:$B$26,0),MATCH(H9,Data!$K$4:$L$4,0))</f>
        <v/>
      </c>
      <c r="I17" s="6">
        <f>INDEX(Data!$K$21:$L$26,MATCH("456BXGS_BP6.A",Data!$B$21:$B$26,0),MATCH(I9,Data!$K$4:$L$4,0))</f>
        <v/>
      </c>
      <c r="J17" s="6">
        <f>INDEX(Data!$K$21:$L$26,MATCH("456BXGS_BP6.A",Data!$B$21:$B$26,0),MATCH(J9,Data!$K$4:$L$4,0))</f>
        <v/>
      </c>
      <c r="K17" s="6">
        <f>Data!$K$39</f>
        <v/>
      </c>
      <c r="L17" s="7">
        <f>Data!$L$39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 t="n"/>
      <c r="I19" s="19" t="n"/>
      <c r="J19" s="19" t="n"/>
      <c r="K19" s="19">
        <f>Data!$K$33</f>
        <v/>
      </c>
      <c r="L19" s="20">
        <f>Data!$L$33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 t="n"/>
      <c r="I20" s="4" t="n"/>
      <c r="J20" s="4" t="n"/>
      <c r="K20" s="4">
        <f>Data!$K$28</f>
        <v/>
      </c>
      <c r="L20" s="5">
        <f>Data!$L$28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 t="n"/>
      <c r="I21" s="4" t="n"/>
      <c r="J21" s="4" t="n"/>
      <c r="K21" s="4">
        <f>Data!$K$29</f>
        <v/>
      </c>
      <c r="L21" s="5">
        <f>Data!$L$29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 t="n"/>
      <c r="I22" s="4" t="n"/>
      <c r="J22" s="4" t="n"/>
      <c r="K22" s="4">
        <f>Data!$K$31</f>
        <v/>
      </c>
      <c r="L22" s="5">
        <f>Data!$L$31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 t="n"/>
      <c r="I23" s="4" t="n"/>
      <c r="J23" s="4" t="n"/>
      <c r="K23" s="4">
        <f>Data!$K$30</f>
        <v/>
      </c>
      <c r="L23" s="5">
        <f>Data!$L$30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 t="n"/>
      <c r="I24" s="6" t="n"/>
      <c r="J24" s="6" t="n"/>
      <c r="K24" s="6">
        <f>Data!$K$32</f>
        <v/>
      </c>
      <c r="L24" s="7">
        <f>Data!$L$32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 t="n"/>
      <c r="I26" s="19" t="n"/>
      <c r="J26" s="19" t="n"/>
      <c r="K26" s="19">
        <f>Data!$K$40</f>
        <v/>
      </c>
      <c r="L26" s="20">
        <f>Data!$L$40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 t="n"/>
      <c r="I27" s="4" t="n"/>
      <c r="J27" s="4" t="n"/>
      <c r="K27" s="4">
        <f>Data!$K$35</f>
        <v/>
      </c>
      <c r="L27" s="5">
        <f>Data!$L$35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 t="n"/>
      <c r="I28" s="4" t="n"/>
      <c r="J28" s="4" t="n"/>
      <c r="K28" s="4">
        <f>Data!$K$36</f>
        <v/>
      </c>
      <c r="L28" s="5">
        <f>Data!$L$36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 t="n"/>
      <c r="I29" s="4" t="n"/>
      <c r="J29" s="4" t="n"/>
      <c r="K29" s="4">
        <f>Data!$K$38</f>
        <v/>
      </c>
      <c r="L29" s="5">
        <f>Data!$L$38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 t="n"/>
      <c r="I30" s="4" t="n"/>
      <c r="J30" s="4" t="n"/>
      <c r="K30" s="4">
        <f>Data!$K$37</f>
        <v/>
      </c>
      <c r="L30" s="5">
        <f>Data!$L$37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 t="n"/>
      <c r="I31" s="6" t="n"/>
      <c r="J31" s="6" t="n"/>
      <c r="K31" s="6">
        <f>Data!$K$39</f>
        <v/>
      </c>
      <c r="L31" s="7">
        <f>Data!$L$39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 t="n"/>
      <c r="I35" s="19" t="n"/>
      <c r="J35" s="19" t="n"/>
      <c r="K35" s="19">
        <f>(K12 - K19) / K26 * 100</f>
        <v/>
      </c>
      <c r="L35" s="20">
        <f>(L12 - L19) / L26 * 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 t="n"/>
      <c r="I36" s="4" t="n"/>
      <c r="J36" s="4" t="n"/>
      <c r="K36" s="4">
        <f>(K13 - K20) / K27 * 100</f>
        <v/>
      </c>
      <c r="L36" s="5">
        <f>(L13 - L20) / L27 * 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 t="n"/>
      <c r="I37" s="4" t="n"/>
      <c r="J37" s="4" t="n"/>
      <c r="K37" s="4">
        <f>(K14 - K21) / K28 * 100</f>
        <v/>
      </c>
      <c r="L37" s="5">
        <f>(L14 - L21) / L28 * 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 t="n"/>
      <c r="I38" s="4" t="n"/>
      <c r="J38" s="4" t="n"/>
      <c r="K38" s="4">
        <f>(K15 - K22) / K29 * 100</f>
        <v/>
      </c>
      <c r="L38" s="5">
        <f>(L15 - L22) / L29 * 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 t="n"/>
      <c r="I39" s="4" t="n"/>
      <c r="J39" s="4" t="n"/>
      <c r="K39" s="4">
        <f>(K16 - K23) / K30 * 100</f>
        <v/>
      </c>
      <c r="L39" s="5">
        <f>(L16 - L23) / L30 * 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 t="n"/>
      <c r="I40" s="6" t="n"/>
      <c r="J40" s="6" t="n"/>
      <c r="K40" s="6">
        <f>(K17 - K24) / K31 * 100</f>
        <v/>
      </c>
      <c r="L40" s="7">
        <f>(L17 - L24) / L31 * 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 t="n"/>
      <c r="J42" s="19" t="n"/>
      <c r="K42" s="19" t="n"/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 t="n"/>
      <c r="J43" s="4" t="n"/>
      <c r="K43" s="4" t="n"/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 t="n"/>
      <c r="J44" s="4" t="n"/>
      <c r="K44" s="4" t="n"/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 t="n"/>
      <c r="J45" s="4" t="n"/>
      <c r="K45" s="4" t="n"/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 t="n"/>
      <c r="J46" s="4" t="n"/>
      <c r="K46" s="4" t="n"/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 t="n"/>
      <c r="J47" s="6" t="n"/>
      <c r="K47" s="6" t="n"/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 t="n"/>
      <c r="J50" s="26" t="n"/>
      <c r="K50" s="26" t="n"/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randrawis</dc:creator>
  <dcterms:created xmlns:dcterms="http://purl.org/dc/terms/" xmlns:xsi="http://www.w3.org/2001/XMLSchema-instance" xsi:type="dcterms:W3CDTF">2015-06-04T18:44:20Z</dcterms:created>
  <dcterms:modified xmlns:dcterms="http://purl.org/dc/terms/" xmlns:xsi="http://www.w3.org/2001/XMLSchema-instance" xsi:type="dcterms:W3CDTF">2026-01-26T14:18:32Z</dcterms:modified>
  <cp:lastModifiedBy>Shuyi Wang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20240205172632264</vt:lpwstr>
  </property>
  <property name="ContentTypeId" fmtid="{D5CDD505-2E9C-101B-9397-08002B2CF9AE}" pid="3">
    <vt:lpwstr xmlns:vt="http://schemas.openxmlformats.org/officeDocument/2006/docPropsVTypes">0x01010058118BABD0ED6D468048C8451BAF473B</vt:lpwstr>
  </property>
  <property name="MSIP_Label_0c07ed86-5dc5-4593-ad03-a8684b843815_Enabled" fmtid="{D5CDD505-2E9C-101B-9397-08002B2CF9AE}" pid="4">
    <vt:lpwstr xmlns:vt="http://schemas.openxmlformats.org/officeDocument/2006/docPropsVTypes">true</vt:lpwstr>
  </property>
  <property name="MSIP_Label_0c07ed86-5dc5-4593-ad03-a8684b843815_SetDate" fmtid="{D5CDD505-2E9C-101B-9397-08002B2CF9AE}" pid="5">
    <vt:lpwstr xmlns:vt="http://schemas.openxmlformats.org/officeDocument/2006/docPropsVTypes">2023-11-14T17:08:03Z</vt:lpwstr>
  </property>
  <property name="MSIP_Label_0c07ed86-5dc5-4593-ad03-a8684b843815_Method" fmtid="{D5CDD505-2E9C-101B-9397-08002B2CF9AE}" pid="6">
    <vt:lpwstr xmlns:vt="http://schemas.openxmlformats.org/officeDocument/2006/docPropsVTypes">Standard</vt:lpwstr>
  </property>
  <property name="MSIP_Label_0c07ed86-5dc5-4593-ad03-a8684b843815_Name" fmtid="{D5CDD505-2E9C-101B-9397-08002B2CF9AE}" pid="7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8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9">
    <vt:lpwstr xmlns:vt="http://schemas.openxmlformats.org/officeDocument/2006/docPropsVTypes">24bec2d1-44c6-4ed5-9b3d-52c7f6152fa7</vt:lpwstr>
  </property>
  <property name="MSIP_Label_0c07ed86-5dc5-4593-ad03-a8684b843815_ContentBits" fmtid="{D5CDD505-2E9C-101B-9397-08002B2CF9AE}" pid="10">
    <vt:lpwstr xmlns:vt="http://schemas.openxmlformats.org/officeDocument/2006/docPropsVTypes">0</vt:lpwstr>
  </property>
  <property name="{A44787D4-0540-4523-9961-78E4036D8C6D}" fmtid="{D5CDD505-2E9C-101B-9397-08002B2CF9AE}" pid="11">
    <vt:lpwstr xmlns:vt="http://schemas.openxmlformats.org/officeDocument/2006/docPropsVTypes">{60978490-20C9-401C-A761-F61539A64994}</vt:lpwstr>
  </property>
</Properties>
</file>