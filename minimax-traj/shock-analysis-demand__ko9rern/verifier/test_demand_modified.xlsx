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O_Data" sheetId="1" state="visible" r:id="rId1"/>
    <sheet xmlns:r="http://schemas.openxmlformats.org/officeDocument/2006/relationships" name="SUPPLY" sheetId="2" state="visible" r:id="rId2"/>
    <sheet xmlns:r="http://schemas.openxmlformats.org/officeDocument/2006/relationships" name="USE" sheetId="3" state="visible" r:id="rId3"/>
    <sheet xmlns:r="http://schemas.openxmlformats.org/officeDocument/2006/relationships" name="SUT Calc" sheetId="4" state="visible" r:id="rId4"/>
    <sheet xmlns:r="http://schemas.openxmlformats.org/officeDocument/2006/relationships" name="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Real GDP Growth (%)</t>
        </is>
      </c>
      <c r="C1" t="inlineStr">
        <is>
          <t>Real GDP (Millions USD)</t>
        </is>
      </c>
      <c r="D1" t="inlineStr">
        <is>
          <t>GDP Deflator</t>
        </is>
      </c>
      <c r="E1" t="inlineStr">
        <is>
          <t>Nominal GDP (Millions USD)</t>
        </is>
      </c>
      <c r="F1" t="inlineStr">
        <is>
          <t>Nominal GDP (Millions GEL)</t>
        </is>
      </c>
    </row>
    <row r="2">
      <c r="A2" t="n">
        <v>2020</v>
      </c>
      <c r="B2" t="n">
        <v>-6.8</v>
      </c>
      <c r="C2" t="n">
        <v>18500</v>
      </c>
      <c r="D2" t="n">
        <v>145.2</v>
      </c>
      <c r="E2" t="n">
        <v>26862</v>
      </c>
      <c r="F2" t="n">
        <v>73763.052</v>
      </c>
    </row>
    <row r="3">
      <c r="A3" t="n">
        <v>2021</v>
      </c>
      <c r="B3" t="n">
        <v>10.5</v>
      </c>
      <c r="C3" t="n">
        <v>20442.5</v>
      </c>
      <c r="D3" t="n">
        <v>150.8</v>
      </c>
      <c r="E3" t="n">
        <v>30827.29</v>
      </c>
      <c r="F3" t="n">
        <v>84651.73834</v>
      </c>
    </row>
    <row r="4">
      <c r="A4" t="n">
        <v>2022</v>
      </c>
      <c r="B4" t="n">
        <v>10.5</v>
      </c>
      <c r="C4" t="n">
        <v>22588.9625</v>
      </c>
      <c r="D4" t="n">
        <v>160.5</v>
      </c>
      <c r="E4" t="n">
        <v>36255.2848125</v>
      </c>
      <c r="F4" t="n">
        <v>99557.012095125</v>
      </c>
    </row>
    <row r="5">
      <c r="A5" t="n">
        <v>2023</v>
      </c>
      <c r="B5" t="n">
        <v>5.8</v>
      </c>
      <c r="C5" t="n">
        <v>23899.122325</v>
      </c>
      <c r="D5" t="n">
        <v>168.2</v>
      </c>
      <c r="E5" t="n">
        <v>40198.32375065001</v>
      </c>
      <c r="F5" t="n">
        <v>110384.5970192849</v>
      </c>
    </row>
    <row r="6">
      <c r="A6" t="n">
        <v>2024</v>
      </c>
      <c r="B6" t="n">
        <v>4.8</v>
      </c>
      <c r="C6" t="n">
        <v>25046.2801966</v>
      </c>
      <c r="D6" t="n">
        <v>175.8</v>
      </c>
      <c r="E6" t="n">
        <v>44031.36058562281</v>
      </c>
      <c r="F6" t="n">
        <v>120910.1161681202</v>
      </c>
    </row>
    <row r="7">
      <c r="A7" t="n">
        <v>2025</v>
      </c>
      <c r="B7" t="n">
        <v>4.5</v>
      </c>
      <c r="C7" t="n">
        <v>26173.362805447</v>
      </c>
      <c r="D7" t="n">
        <v>183.2</v>
      </c>
      <c r="E7" t="n">
        <v>47949.60065957891</v>
      </c>
      <c r="F7" t="n">
        <v>131669.6034112037</v>
      </c>
    </row>
    <row r="8">
      <c r="A8" t="n">
        <v>2026</v>
      </c>
      <c r="B8" t="n">
        <v>4.5</v>
      </c>
      <c r="C8" t="n">
        <v>27351.16413169212</v>
      </c>
      <c r="D8" t="n">
        <v>192.1791121132086</v>
      </c>
      <c r="E8" t="n">
        <v>52563.22438091227</v>
      </c>
      <c r="F8" t="n">
        <v>144338.6141499851</v>
      </c>
    </row>
    <row r="9">
      <c r="A9" t="n">
        <v>2027</v>
      </c>
      <c r="B9" t="n">
        <v>4.5</v>
      </c>
      <c r="C9" t="n">
        <v>28581.96651761826</v>
      </c>
      <c r="D9" t="n">
        <v>201.5983140426921</v>
      </c>
      <c r="E9" t="n">
        <v>57620.76261976516</v>
      </c>
      <c r="F9" t="n">
        <v>158226.6141538751</v>
      </c>
    </row>
    <row r="10">
      <c r="A10" t="n">
        <v>2028</v>
      </c>
      <c r="B10" t="n">
        <v>4.5</v>
      </c>
      <c r="C10" t="n">
        <v>29868.15501091108</v>
      </c>
      <c r="D10" t="n">
        <v>211.4791757436919</v>
      </c>
      <c r="E10" t="n">
        <v>63164.92802692294</v>
      </c>
      <c r="F10" t="n">
        <v>173450.8923619304</v>
      </c>
    </row>
    <row r="11">
      <c r="A11" t="n">
        <v>2029</v>
      </c>
      <c r="B11" t="n">
        <v>4.5</v>
      </c>
      <c r="C11" t="n">
        <v>31212.22198640208</v>
      </c>
      <c r="D11" t="n">
        <v>221.8443243714842</v>
      </c>
      <c r="E11" t="n">
        <v>69242.54298706153</v>
      </c>
      <c r="F11" t="n">
        <v>190140.023042471</v>
      </c>
    </row>
    <row r="12">
      <c r="A12" t="n">
        <v>2030</v>
      </c>
      <c r="B12" t="n">
        <v>4.5</v>
      </c>
      <c r="C12" t="n">
        <v>32616.77197579017</v>
      </c>
      <c r="D12" t="n">
        <v>232.7174960975244</v>
      </c>
      <c r="E12" t="n">
        <v>75904.9350498979</v>
      </c>
      <c r="F12" t="n">
        <v>208434.9516470197</v>
      </c>
    </row>
    <row r="13">
      <c r="A13" t="n">
        <v>2031</v>
      </c>
      <c r="B13" t="n">
        <v>4.5</v>
      </c>
      <c r="C13" t="n">
        <v>34084.52671470073</v>
      </c>
      <c r="D13" t="n">
        <v>244.1235904652364</v>
      </c>
      <c r="E13" t="n">
        <v>83208.37040901011</v>
      </c>
      <c r="F13" t="n">
        <v>228490.1851431417</v>
      </c>
    </row>
    <row r="14">
      <c r="A14" t="n">
        <v>2032</v>
      </c>
      <c r="B14" t="n">
        <v>4.5</v>
      </c>
      <c r="C14" t="n">
        <v>35618.33041686226</v>
      </c>
      <c r="D14" t="n">
        <v>256.0887274099219</v>
      </c>
      <c r="E14" t="n">
        <v>91214.52908920369</v>
      </c>
      <c r="F14" t="n">
        <v>250475.0968789533</v>
      </c>
    </row>
    <row r="15">
      <c r="A15" t="n">
        <v>2033</v>
      </c>
      <c r="B15" t="n">
        <v>4.5</v>
      </c>
      <c r="C15" t="n">
        <v>37221.15528562105</v>
      </c>
      <c r="D15" t="n">
        <v>268.640307073364</v>
      </c>
      <c r="E15" t="n">
        <v>99991.02585554606</v>
      </c>
      <c r="F15" t="n">
        <v>274575.3569993295</v>
      </c>
    </row>
    <row r="16">
      <c r="A16" t="n">
        <v>2034</v>
      </c>
      <c r="B16" t="n">
        <v>4.5</v>
      </c>
      <c r="C16" t="n">
        <v>38896.107273474</v>
      </c>
      <c r="D16" t="n">
        <v>281.8070725501026</v>
      </c>
      <c r="E16" t="n">
        <v>109611.9812433246</v>
      </c>
      <c r="F16" t="n">
        <v>300994.5004941694</v>
      </c>
    </row>
    <row r="17">
      <c r="A17" t="n">
        <v>2035</v>
      </c>
      <c r="B17" t="n">
        <v>4.5</v>
      </c>
      <c r="C17" t="n">
        <v>40646.43210078033</v>
      </c>
      <c r="D17" t="n">
        <v>295.6191757090681</v>
      </c>
      <c r="E17" t="n">
        <v>120158.6475314729</v>
      </c>
      <c r="F17" t="n">
        <v>329955.6461214245</v>
      </c>
    </row>
    <row r="18">
      <c r="A18" t="n">
        <v>2036</v>
      </c>
      <c r="B18" t="n">
        <v>4.5</v>
      </c>
      <c r="C18" t="n">
        <v>42475.52154531545</v>
      </c>
      <c r="D18" t="n">
        <v>310.1082462413063</v>
      </c>
      <c r="E18" t="n">
        <v>131720.0949460259</v>
      </c>
      <c r="F18" t="n">
        <v>361703.3807217872</v>
      </c>
    </row>
    <row r="19">
      <c r="A19" t="n">
        <v>2037</v>
      </c>
      <c r="B19" t="n">
        <v>4.5</v>
      </c>
      <c r="C19" t="n">
        <v>44386.92001485464</v>
      </c>
      <c r="D19" t="n">
        <v>325.3074640919132</v>
      </c>
      <c r="E19" t="n">
        <v>144393.9638888295</v>
      </c>
      <c r="F19" t="n">
        <v>396505.8248387257</v>
      </c>
    </row>
    <row r="20">
      <c r="A20" t="n">
        <v>2038</v>
      </c>
      <c r="B20" t="n">
        <v>4.5</v>
      </c>
      <c r="C20" t="n">
        <v>46384.33141552309</v>
      </c>
      <c r="D20" t="n">
        <v>341.2516354420489</v>
      </c>
      <c r="E20" t="n">
        <v>158287.2895443326</v>
      </c>
      <c r="F20" t="n">
        <v>434656.8970887374</v>
      </c>
    </row>
    <row r="21">
      <c r="A21" t="n">
        <v>2039</v>
      </c>
      <c r="B21" t="n">
        <v>4.5</v>
      </c>
      <c r="C21" t="n">
        <v>48471.62632922162</v>
      </c>
      <c r="D21" t="n">
        <v>357.9772724150289</v>
      </c>
      <c r="E21" t="n">
        <v>173517.4058285526</v>
      </c>
      <c r="F21" t="n">
        <v>476478.7964052053</v>
      </c>
    </row>
    <row r="22">
      <c r="A22" t="n">
        <v>2040</v>
      </c>
      <c r="B22" t="n">
        <v>4.5</v>
      </c>
      <c r="C22" t="n">
        <v>50652.84951403659</v>
      </c>
      <c r="D22" t="n">
        <v>375.5226766890199</v>
      </c>
      <c r="E22" t="n">
        <v>190212.9363143714</v>
      </c>
      <c r="F22" t="n">
        <v>522324.7231192639</v>
      </c>
    </row>
    <row r="23">
      <c r="A23" t="n">
        <v>2041</v>
      </c>
      <c r="B23" t="n">
        <v>4.5</v>
      </c>
      <c r="C23" t="n">
        <v>52932.22774216824</v>
      </c>
      <c r="D23" t="n">
        <v>393.9280272078129</v>
      </c>
      <c r="E23" t="n">
        <v>208514.88050187</v>
      </c>
      <c r="F23" t="n">
        <v>572581.8618581351</v>
      </c>
    </row>
    <row r="24">
      <c r="A24" t="n">
        <v>2042</v>
      </c>
      <c r="B24" t="n">
        <v>4.5</v>
      </c>
      <c r="C24" t="n">
        <v>55314.1779905658</v>
      </c>
      <c r="D24" t="n">
        <v>413.2354721905314</v>
      </c>
      <c r="E24" t="n">
        <v>228577.8046076256</v>
      </c>
      <c r="F24" t="n">
        <v>627674.65145254</v>
      </c>
    </row>
    <row r="25">
      <c r="A25" t="n">
        <v>2043</v>
      </c>
      <c r="B25" t="n">
        <v>4.5</v>
      </c>
      <c r="D25" t="n">
        <v>433.4892256509761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Supply Table (Row 38)</t>
        </is>
      </c>
    </row>
    <row r="3">
      <c r="A3" t="inlineStr">
        <is>
          <t>Industries</t>
        </is>
      </c>
      <c r="B3" t="inlineStr">
        <is>
          <t>Output (Mln GEL)</t>
        </is>
      </c>
      <c r="C3" t="inlineStr">
        <is>
          <t>Imports</t>
        </is>
      </c>
      <c r="D3" t="inlineStr">
        <is>
          <t>Total Supply</t>
        </is>
      </c>
    </row>
    <row r="4">
      <c r="A4" t="inlineStr">
        <is>
          <t>Agriculture</t>
        </is>
      </c>
      <c r="B4" t="n">
        <v>3200</v>
      </c>
      <c r="C4" t="n">
        <v>800</v>
      </c>
      <c r="D4" t="n">
        <v>4000</v>
      </c>
    </row>
    <row r="5">
      <c r="A5" t="inlineStr">
        <is>
          <t>Mining</t>
        </is>
      </c>
      <c r="B5" t="n">
        <v>1800</v>
      </c>
      <c r="C5" t="n">
        <v>600</v>
      </c>
      <c r="D5" t="n">
        <v>2400</v>
      </c>
    </row>
    <row r="6">
      <c r="A6" t="inlineStr">
        <is>
          <t>Manufacturing</t>
        </is>
      </c>
      <c r="B6" t="n">
        <v>4500</v>
      </c>
      <c r="C6" t="n">
        <v>2800</v>
      </c>
      <c r="D6" t="n">
        <v>7300</v>
      </c>
    </row>
    <row r="7">
      <c r="A7" t="inlineStr">
        <is>
          <t>Utilities</t>
        </is>
      </c>
      <c r="B7" t="n">
        <v>2100</v>
      </c>
      <c r="C7" t="n">
        <v>200</v>
      </c>
      <c r="D7" t="n">
        <v>2300</v>
      </c>
    </row>
    <row r="8">
      <c r="A8" t="inlineStr">
        <is>
          <t>Construction</t>
        </is>
      </c>
      <c r="B8" t="n">
        <v>3500</v>
      </c>
      <c r="C8" t="n">
        <v>1200</v>
      </c>
      <c r="D8" t="n">
        <v>4700</v>
      </c>
    </row>
    <row r="9">
      <c r="A9" t="inlineStr">
        <is>
          <t>Trade</t>
        </is>
      </c>
      <c r="B9" t="n">
        <v>4800</v>
      </c>
      <c r="C9" t="n">
        <v>1500</v>
      </c>
      <c r="D9" t="n">
        <v>6300</v>
      </c>
    </row>
    <row r="10">
      <c r="A10" t="inlineStr">
        <is>
          <t>Transport</t>
        </is>
      </c>
      <c r="B10" t="n">
        <v>3200</v>
      </c>
      <c r="C10" t="n">
        <v>1100</v>
      </c>
      <c r="D10" t="n">
        <v>4300</v>
      </c>
    </row>
    <row r="11">
      <c r="A11" t="inlineStr">
        <is>
          <t>Finance</t>
        </is>
      </c>
      <c r="B11" t="n">
        <v>2900</v>
      </c>
      <c r="C11" t="n">
        <v>800</v>
      </c>
      <c r="D11" t="n">
        <v>3700</v>
      </c>
    </row>
    <row r="12">
      <c r="A12" t="inlineStr">
        <is>
          <t>Real Estate</t>
        </is>
      </c>
      <c r="B12" t="n">
        <v>2400</v>
      </c>
      <c r="C12" t="n">
        <v>300</v>
      </c>
      <c r="D12" t="n">
        <v>2700</v>
      </c>
    </row>
    <row r="13">
      <c r="A13" t="inlineStr">
        <is>
          <t>Public Admin</t>
        </is>
      </c>
      <c r="B13" t="n">
        <v>3800</v>
      </c>
      <c r="C13" t="n">
        <v>200</v>
      </c>
      <c r="D13" t="n">
        <v>4000</v>
      </c>
    </row>
    <row r="14">
      <c r="A14" t="inlineStr">
        <is>
          <t>Other Services</t>
        </is>
      </c>
      <c r="B14" t="n">
        <v>2100</v>
      </c>
      <c r="C14" t="n">
        <v>500</v>
      </c>
      <c r="D14" t="n">
        <v>2600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Table (Row 38)</t>
        </is>
      </c>
    </row>
    <row r="3">
      <c r="A3" t="inlineStr">
        <is>
          <t>Industries</t>
        </is>
      </c>
      <c r="B3" t="inlineStr">
        <is>
          <t>Intermediate Use</t>
        </is>
      </c>
      <c r="C3" t="inlineStr">
        <is>
          <t>Final Demand</t>
        </is>
      </c>
      <c r="D3" t="inlineStr">
        <is>
          <t>Imports</t>
        </is>
      </c>
      <c r="E3" t="inlineStr">
        <is>
          <t>Total Use</t>
        </is>
      </c>
    </row>
    <row r="4">
      <c r="A4" t="inlineStr">
        <is>
          <t>Agriculture</t>
        </is>
      </c>
      <c r="B4" t="n">
        <v>2400</v>
      </c>
      <c r="C4" t="n">
        <v>1500</v>
      </c>
      <c r="D4" t="n">
        <v>100</v>
      </c>
      <c r="E4" t="n">
        <v>4000</v>
      </c>
    </row>
    <row r="5">
      <c r="A5" t="inlineStr">
        <is>
          <t>Mining</t>
        </is>
      </c>
      <c r="B5" t="n">
        <v>1200</v>
      </c>
      <c r="C5" t="n">
        <v>1000</v>
      </c>
      <c r="D5" t="n">
        <v>200</v>
      </c>
      <c r="E5" t="n">
        <v>2400</v>
      </c>
    </row>
    <row r="6">
      <c r="A6" t="inlineStr">
        <is>
          <t>Manufacturing</t>
        </is>
      </c>
      <c r="B6" t="n">
        <v>3800</v>
      </c>
      <c r="C6" t="n">
        <v>3000</v>
      </c>
      <c r="D6" t="n">
        <v>500</v>
      </c>
      <c r="E6" t="n">
        <v>7300</v>
      </c>
    </row>
    <row r="7">
      <c r="A7" t="inlineStr">
        <is>
          <t>Utilities</t>
        </is>
      </c>
      <c r="B7" t="n">
        <v>1400</v>
      </c>
      <c r="C7" t="n">
        <v>800</v>
      </c>
      <c r="D7" t="n">
        <v>100</v>
      </c>
      <c r="E7" t="n">
        <v>2300</v>
      </c>
    </row>
    <row r="8">
      <c r="A8" t="inlineStr">
        <is>
          <t>Construction</t>
        </is>
      </c>
      <c r="B8" t="n">
        <v>2200</v>
      </c>
      <c r="C8" t="n">
        <v>2300</v>
      </c>
      <c r="D8" t="n">
        <v>200</v>
      </c>
      <c r="E8" t="n">
        <v>4700</v>
      </c>
    </row>
    <row r="9">
      <c r="A9" t="inlineStr">
        <is>
          <t>Trade</t>
        </is>
      </c>
      <c r="B9" t="n">
        <v>3100</v>
      </c>
      <c r="C9" t="n">
        <v>3000</v>
      </c>
      <c r="D9" t="n">
        <v>200</v>
      </c>
      <c r="E9" t="n">
        <v>6300</v>
      </c>
    </row>
    <row r="10">
      <c r="A10" t="inlineStr">
        <is>
          <t>Transport</t>
        </is>
      </c>
      <c r="B10" t="n">
        <v>2600</v>
      </c>
      <c r="C10" t="n">
        <v>1500</v>
      </c>
      <c r="D10" t="n">
        <v>200</v>
      </c>
      <c r="E10" t="n">
        <v>4300</v>
      </c>
    </row>
    <row r="11">
      <c r="A11" t="inlineStr">
        <is>
          <t>Finance</t>
        </is>
      </c>
      <c r="B11" t="n">
        <v>1800</v>
      </c>
      <c r="C11" t="n">
        <v>1800</v>
      </c>
      <c r="D11" t="n">
        <v>100</v>
      </c>
      <c r="E11" t="n">
        <v>3700</v>
      </c>
    </row>
    <row r="12">
      <c r="A12" t="inlineStr">
        <is>
          <t>Real Estate</t>
        </is>
      </c>
      <c r="B12" t="n">
        <v>1200</v>
      </c>
      <c r="C12" t="n">
        <v>1400</v>
      </c>
      <c r="D12" t="n">
        <v>100</v>
      </c>
      <c r="E12" t="n">
        <v>2700</v>
      </c>
    </row>
    <row r="13">
      <c r="A13" t="inlineStr">
        <is>
          <t>Public Admin</t>
        </is>
      </c>
      <c r="B13" t="n">
        <v>800</v>
      </c>
      <c r="C13" t="n">
        <v>3100</v>
      </c>
      <c r="D13" t="n">
        <v>100</v>
      </c>
      <c r="E13" t="n">
        <v>4000</v>
      </c>
    </row>
    <row r="14">
      <c r="A14" t="inlineStr">
        <is>
          <t>Other Services</t>
        </is>
      </c>
      <c r="B14" t="n">
        <v>1300</v>
      </c>
      <c r="C14" t="n">
        <v>1200</v>
      </c>
      <c r="D14" t="n">
        <v>100</v>
      </c>
      <c r="E14" t="n">
        <v>2600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SUT Calculation</t>
        </is>
      </c>
    </row>
    <row r="3">
      <c r="A3" t="inlineStr">
        <is>
          <t>Industry</t>
        </is>
      </c>
      <c r="B3" t="inlineStr">
        <is>
          <t>Supply Output</t>
        </is>
      </c>
      <c r="C3" t="inlineStr">
        <is>
          <t>Use Intermediate</t>
        </is>
      </c>
      <c r="D3" t="inlineStr">
        <is>
          <t>Use Final</t>
        </is>
      </c>
      <c r="E3" t="inlineStr">
        <is>
          <t>Import Content</t>
        </is>
      </c>
      <c r="F3" t="inlineStr">
        <is>
          <t>Domestic Content</t>
        </is>
      </c>
      <c r="G3" t="inlineStr">
        <is>
          <t>Import Share</t>
        </is>
      </c>
      <c r="H3" t="inlineStr">
        <is>
          <t>Weighted Import</t>
        </is>
      </c>
    </row>
    <row r="4">
      <c r="A4" t="inlineStr">
        <is>
          <t>Agriculture</t>
        </is>
      </c>
      <c r="B4">
        <f>SUPPLY.B4</f>
        <v/>
      </c>
      <c r="C4">
        <f>USE.B4</f>
        <v/>
      </c>
      <c r="D4">
        <f>USE.C4</f>
        <v/>
      </c>
      <c r="E4">
        <f>SUPPLY.C4</f>
        <v/>
      </c>
      <c r="F4">
        <f>B4-E4</f>
        <v/>
      </c>
      <c r="G4">
        <f>IF(B4=0,0,E4/B4)</f>
        <v/>
      </c>
      <c r="H4">
        <f>C4*G4</f>
        <v/>
      </c>
    </row>
    <row r="5">
      <c r="A5" t="inlineStr">
        <is>
          <t>Mining</t>
        </is>
      </c>
      <c r="B5">
        <f>SUPPLY.B5</f>
        <v/>
      </c>
      <c r="C5">
        <f>USE.B5</f>
        <v/>
      </c>
      <c r="D5">
        <f>USE.C5</f>
        <v/>
      </c>
      <c r="E5">
        <f>SUPPLY.C5</f>
        <v/>
      </c>
      <c r="F5">
        <f>B5-E5</f>
        <v/>
      </c>
      <c r="G5">
        <f>IF(B5=0,0,E5/B5)</f>
        <v/>
      </c>
      <c r="H5">
        <f>C5*G5</f>
        <v/>
      </c>
    </row>
    <row r="6">
      <c r="A6" t="inlineStr">
        <is>
          <t>Manufacturing</t>
        </is>
      </c>
      <c r="B6">
        <f>SUPPLY.B6</f>
        <v/>
      </c>
      <c r="C6">
        <f>USE.B6</f>
        <v/>
      </c>
      <c r="D6">
        <f>USE.C6</f>
        <v/>
      </c>
      <c r="E6">
        <f>SUPPLY.C6</f>
        <v/>
      </c>
      <c r="F6">
        <f>B6-E6</f>
        <v/>
      </c>
      <c r="G6">
        <f>IF(B6=0,0,E6/B6)</f>
        <v/>
      </c>
      <c r="H6">
        <f>C6*G6</f>
        <v/>
      </c>
    </row>
    <row r="7">
      <c r="A7" t="inlineStr">
        <is>
          <t>Utilities</t>
        </is>
      </c>
      <c r="B7">
        <f>SUPPLY.B7</f>
        <v/>
      </c>
      <c r="C7">
        <f>USE.B7</f>
        <v/>
      </c>
      <c r="D7">
        <f>USE.C7</f>
        <v/>
      </c>
      <c r="E7">
        <f>SUPPLY.C7</f>
        <v/>
      </c>
      <c r="F7">
        <f>B7-E7</f>
        <v/>
      </c>
      <c r="G7">
        <f>IF(B7=0,0,E7/B7)</f>
        <v/>
      </c>
      <c r="H7">
        <f>C7*G7</f>
        <v/>
      </c>
    </row>
    <row r="8">
      <c r="A8" t="inlineStr">
        <is>
          <t>Construction</t>
        </is>
      </c>
      <c r="B8">
        <f>SUPPLY.B8</f>
        <v/>
      </c>
      <c r="C8">
        <f>USE.B8</f>
        <v/>
      </c>
      <c r="D8">
        <f>USE.C8</f>
        <v/>
      </c>
      <c r="E8">
        <f>SUPPLY.C8</f>
        <v/>
      </c>
      <c r="F8">
        <f>B8-E8</f>
        <v/>
      </c>
      <c r="G8">
        <f>IF(B8=0,0,E8/B8)</f>
        <v/>
      </c>
      <c r="H8">
        <f>C8*G8</f>
        <v/>
      </c>
    </row>
    <row r="9">
      <c r="A9" t="inlineStr">
        <is>
          <t>Trade</t>
        </is>
      </c>
      <c r="B9">
        <f>SUPPLY.B9</f>
        <v/>
      </c>
      <c r="C9">
        <f>USE.B9</f>
        <v/>
      </c>
      <c r="D9">
        <f>USE.C9</f>
        <v/>
      </c>
      <c r="E9">
        <f>SUPPLY.C9</f>
        <v/>
      </c>
      <c r="F9">
        <f>B9-E9</f>
        <v/>
      </c>
      <c r="G9">
        <f>IF(B9=0,0,E9/B9)</f>
        <v/>
      </c>
      <c r="H9">
        <f>C9*G9</f>
        <v/>
      </c>
    </row>
    <row r="10">
      <c r="A10" t="inlineStr">
        <is>
          <t>Transport</t>
        </is>
      </c>
      <c r="B10">
        <f>SUPPLY.B10</f>
        <v/>
      </c>
      <c r="C10">
        <f>USE.B10</f>
        <v/>
      </c>
      <c r="D10">
        <f>USE.C10</f>
        <v/>
      </c>
      <c r="E10">
        <f>SUPPLY.C10</f>
        <v/>
      </c>
      <c r="F10">
        <f>B10-E10</f>
        <v/>
      </c>
      <c r="G10">
        <f>IF(B10=0,0,E10/B10)</f>
        <v/>
      </c>
      <c r="H10">
        <f>C10*G10</f>
        <v/>
      </c>
    </row>
    <row r="11">
      <c r="A11" t="inlineStr">
        <is>
          <t>Finance</t>
        </is>
      </c>
      <c r="B11">
        <f>SUPPLY.B11</f>
        <v/>
      </c>
      <c r="C11">
        <f>USE.B11</f>
        <v/>
      </c>
      <c r="D11">
        <f>USE.C11</f>
        <v/>
      </c>
      <c r="E11">
        <f>SUPPLY.C11</f>
        <v/>
      </c>
      <c r="F11">
        <f>B11-E11</f>
        <v/>
      </c>
      <c r="G11">
        <f>IF(B11=0,0,E11/B11)</f>
        <v/>
      </c>
      <c r="H11">
        <f>C11*G11</f>
        <v/>
      </c>
    </row>
    <row r="12">
      <c r="A12" t="inlineStr">
        <is>
          <t>Real Estate</t>
        </is>
      </c>
      <c r="B12">
        <f>SUPPLY.B12</f>
        <v/>
      </c>
      <c r="C12">
        <f>USE.B12</f>
        <v/>
      </c>
      <c r="D12">
        <f>USE.C12</f>
        <v/>
      </c>
      <c r="E12">
        <f>SUPPLY.C12</f>
        <v/>
      </c>
      <c r="F12">
        <f>B12-E12</f>
        <v/>
      </c>
      <c r="G12">
        <f>IF(B12=0,0,E12/B12)</f>
        <v/>
      </c>
      <c r="H12">
        <f>C12*G12</f>
        <v/>
      </c>
    </row>
    <row r="13">
      <c r="A13" t="inlineStr">
        <is>
          <t>Public Admin</t>
        </is>
      </c>
      <c r="B13">
        <f>SUPPLY.B13</f>
        <v/>
      </c>
      <c r="C13">
        <f>USE.B13</f>
        <v/>
      </c>
      <c r="D13">
        <f>USE.C13</f>
        <v/>
      </c>
      <c r="E13">
        <f>SUPPLY.C13</f>
        <v/>
      </c>
      <c r="F13">
        <f>B13-E13</f>
        <v/>
      </c>
      <c r="G13">
        <f>IF(B13=0,0,E13/B13)</f>
        <v/>
      </c>
      <c r="H13">
        <f>C13*G13</f>
        <v/>
      </c>
    </row>
    <row r="14">
      <c r="A14" t="inlineStr">
        <is>
          <t>Other Services</t>
        </is>
      </c>
      <c r="B14">
        <f>SUPPLY.B14</f>
        <v/>
      </c>
      <c r="C14">
        <f>USE.B14</f>
        <v/>
      </c>
      <c r="D14">
        <f>USE.C14</f>
        <v/>
      </c>
      <c r="E14">
        <f>SUPPLY.C14</f>
        <v/>
      </c>
      <c r="F14">
        <f>B14-E14</f>
        <v/>
      </c>
      <c r="G14">
        <f>IF(B14=0,0,E14/B14)</f>
        <v/>
      </c>
      <c r="H14">
        <f>C14*G14</f>
        <v/>
      </c>
    </row>
    <row r="45">
      <c r="A45" t="inlineStr">
        <is>
          <t>Total Import Content Share:</t>
        </is>
      </c>
      <c r="C45">
        <f>SUM(H4:H14)/SUM(C4:C14)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85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Real GDP</t>
        </is>
      </c>
      <c r="D1" t="inlineStr">
        <is>
          <t>Project Allocation (%)</t>
        </is>
      </c>
      <c r="E1" t="inlineStr">
        <is>
          <t>Project Investment</t>
        </is>
      </c>
      <c r="F1" t="inlineStr">
        <is>
          <t>Imports</t>
        </is>
      </c>
      <c r="G1" t="inlineStr">
        <is>
          <t>GDP Impact (I-M)</t>
        </is>
      </c>
      <c r="H1" t="inlineStr">
        <is>
          <t>I-M</t>
        </is>
      </c>
      <c r="I1" t="inlineStr">
        <is>
          <t>Multiplier</t>
        </is>
      </c>
      <c r="J1" t="inlineStr">
        <is>
          <t>% of GDP</t>
        </is>
      </c>
      <c r="K1" t="inlineStr">
        <is>
          <t>Projected Growth</t>
        </is>
      </c>
    </row>
    <row r="2">
      <c r="B2" t="n">
        <v>2020</v>
      </c>
      <c r="C2">
        <f>WEO_Data.C2</f>
        <v/>
      </c>
      <c r="D2" t="n">
        <v>0</v>
      </c>
      <c r="E2">
        <f>IF(D2&gt;0,6500*D2/100,0)</f>
        <v/>
      </c>
      <c r="F2">
        <f>E2*$E$32</f>
        <v/>
      </c>
      <c r="G2">
        <f>E2-F2</f>
        <v/>
      </c>
      <c r="H2">
        <f>G2</f>
        <v/>
      </c>
      <c r="I2">
        <f>$E$31</f>
        <v/>
      </c>
      <c r="J2">
        <f>IF(C2=0,0,G2*I2/C2)</f>
        <v/>
      </c>
      <c r="K2">
        <f>WEO_Data.B2+J2</f>
        <v/>
      </c>
    </row>
    <row r="3">
      <c r="B3" t="n">
        <v>2021</v>
      </c>
      <c r="C3">
        <f>WEO_Data.C3</f>
        <v/>
      </c>
      <c r="D3" t="n">
        <v>0</v>
      </c>
      <c r="E3">
        <f>IF(D3&gt;0,6500*D3/100,0)</f>
        <v/>
      </c>
      <c r="F3">
        <f>E3*$E$32</f>
        <v/>
      </c>
      <c r="G3">
        <f>E3-F3</f>
        <v/>
      </c>
      <c r="H3">
        <f>G3</f>
        <v/>
      </c>
      <c r="I3">
        <f>$E$31</f>
        <v/>
      </c>
      <c r="J3">
        <f>IF(C3=0,0,G3*I3/C3)</f>
        <v/>
      </c>
      <c r="K3">
        <f>WEO_Data.B3+J3</f>
        <v/>
      </c>
    </row>
    <row r="4">
      <c r="B4" t="n">
        <v>2022</v>
      </c>
      <c r="C4">
        <f>WEO_Data.C4</f>
        <v/>
      </c>
      <c r="D4" t="n">
        <v>0</v>
      </c>
      <c r="E4">
        <f>IF(D4&gt;0,6500*D4/100,0)</f>
        <v/>
      </c>
      <c r="F4">
        <f>E4*$E$32</f>
        <v/>
      </c>
      <c r="G4">
        <f>E4-F4</f>
        <v/>
      </c>
      <c r="H4">
        <f>G4</f>
        <v/>
      </c>
      <c r="I4">
        <f>$E$31</f>
        <v/>
      </c>
      <c r="J4">
        <f>IF(C4=0,0,G4*I4/C4)</f>
        <v/>
      </c>
      <c r="K4">
        <f>WEO_Data.B4+J4</f>
        <v/>
      </c>
    </row>
    <row r="5">
      <c r="B5" t="n">
        <v>2023</v>
      </c>
      <c r="C5">
        <f>WEO_Data.C5</f>
        <v/>
      </c>
      <c r="D5" t="n">
        <v>0</v>
      </c>
      <c r="E5">
        <f>IF(D5&gt;0,6500*D5/100,0)</f>
        <v/>
      </c>
      <c r="F5">
        <f>E5*$E$32</f>
        <v/>
      </c>
      <c r="G5">
        <f>E5-F5</f>
        <v/>
      </c>
      <c r="H5">
        <f>G5</f>
        <v/>
      </c>
      <c r="I5">
        <f>$E$31</f>
        <v/>
      </c>
      <c r="J5">
        <f>IF(C5=0,0,G5*I5/C5)</f>
        <v/>
      </c>
      <c r="K5">
        <f>WEO_Data.B5+J5</f>
        <v/>
      </c>
    </row>
    <row r="6">
      <c r="B6" t="n">
        <v>2024</v>
      </c>
      <c r="C6">
        <f>WEO_Data.C6</f>
        <v/>
      </c>
      <c r="D6" t="n">
        <v>0</v>
      </c>
      <c r="E6">
        <f>IF(D6&gt;0,6500*D6/100,0)</f>
        <v/>
      </c>
      <c r="F6">
        <f>E6*$E$32</f>
        <v/>
      </c>
      <c r="G6">
        <f>E6-F6</f>
        <v/>
      </c>
      <c r="H6">
        <f>G6</f>
        <v/>
      </c>
      <c r="I6">
        <f>$E$31</f>
        <v/>
      </c>
      <c r="J6">
        <f>IF(C6=0,0,G6*I6/C6)</f>
        <v/>
      </c>
      <c r="K6">
        <f>WEO_Data.B6+J6</f>
        <v/>
      </c>
    </row>
    <row r="7">
      <c r="B7" t="n">
        <v>2025</v>
      </c>
      <c r="C7">
        <f>WEO_Data.C7</f>
        <v/>
      </c>
      <c r="D7" t="n">
        <v>0</v>
      </c>
      <c r="E7">
        <f>IF(D7&gt;0,6500*D7/100,0)</f>
        <v/>
      </c>
      <c r="F7">
        <f>E7*$E$32</f>
        <v/>
      </c>
      <c r="G7">
        <f>E7-F7</f>
        <v/>
      </c>
      <c r="H7">
        <f>G7</f>
        <v/>
      </c>
      <c r="I7">
        <f>$E$31</f>
        <v/>
      </c>
      <c r="J7">
        <f>IF(C7=0,0,G7*I7/C7)</f>
        <v/>
      </c>
      <c r="K7">
        <f>WEO_Data.B7+J7</f>
        <v/>
      </c>
    </row>
    <row r="8">
      <c r="B8" t="n">
        <v>2026</v>
      </c>
      <c r="C8">
        <f>WEO_Data.C8</f>
        <v/>
      </c>
      <c r="D8" t="n">
        <v>5</v>
      </c>
      <c r="E8">
        <f>IF(D8&gt;0,6500*D8/100,0)</f>
        <v/>
      </c>
      <c r="F8">
        <f>E8*$E$32</f>
        <v/>
      </c>
      <c r="G8">
        <f>E8-F8</f>
        <v/>
      </c>
      <c r="H8">
        <f>G8</f>
        <v/>
      </c>
      <c r="I8">
        <f>$E$31</f>
        <v/>
      </c>
      <c r="J8">
        <f>IF(C8=0,0,G8*I8/C8)</f>
        <v/>
      </c>
      <c r="K8">
        <f>WEO_Data.B8+J8</f>
        <v/>
      </c>
    </row>
    <row r="9">
      <c r="B9" t="n">
        <v>2027</v>
      </c>
      <c r="C9">
        <f>WEO_Data.C9</f>
        <v/>
      </c>
      <c r="D9" t="n">
        <v>10</v>
      </c>
      <c r="E9">
        <f>IF(D9&gt;0,6500*D9/100,0)</f>
        <v/>
      </c>
      <c r="F9">
        <f>E9*$E$32</f>
        <v/>
      </c>
      <c r="G9">
        <f>E9-F9</f>
        <v/>
      </c>
      <c r="H9">
        <f>G9</f>
        <v/>
      </c>
      <c r="I9">
        <f>$E$31</f>
        <v/>
      </c>
      <c r="J9">
        <f>IF(C9=0,0,G9*I9/C9)</f>
        <v/>
      </c>
      <c r="K9">
        <f>WEO_Data.B9+J9</f>
        <v/>
      </c>
    </row>
    <row r="10">
      <c r="B10" t="n">
        <v>2028</v>
      </c>
      <c r="C10">
        <f>WEO_Data.C10</f>
        <v/>
      </c>
      <c r="D10" t="n">
        <v>15</v>
      </c>
      <c r="E10">
        <f>IF(D10&gt;0,6500*D10/100,0)</f>
        <v/>
      </c>
      <c r="F10">
        <f>E10*$E$32</f>
        <v/>
      </c>
      <c r="G10">
        <f>E10-F10</f>
        <v/>
      </c>
      <c r="H10">
        <f>G10</f>
        <v/>
      </c>
      <c r="I10">
        <f>$E$31</f>
        <v/>
      </c>
      <c r="J10">
        <f>IF(C10=0,0,G10*I10/C10)</f>
        <v/>
      </c>
      <c r="K10">
        <f>WEO_Data.B10+J10</f>
        <v/>
      </c>
    </row>
    <row r="11">
      <c r="B11" t="n">
        <v>2029</v>
      </c>
      <c r="C11">
        <f>WEO_Data.C11</f>
        <v/>
      </c>
      <c r="D11" t="n">
        <v>20</v>
      </c>
      <c r="E11">
        <f>IF(D11&gt;0,6500*D11/100,0)</f>
        <v/>
      </c>
      <c r="F11">
        <f>E11*$E$32</f>
        <v/>
      </c>
      <c r="G11">
        <f>E11-F11</f>
        <v/>
      </c>
      <c r="H11">
        <f>G11</f>
        <v/>
      </c>
      <c r="I11">
        <f>$E$31</f>
        <v/>
      </c>
      <c r="J11">
        <f>IF(C11=0,0,G11*I11/C11)</f>
        <v/>
      </c>
      <c r="K11">
        <f>WEO_Data.B11+J11</f>
        <v/>
      </c>
    </row>
    <row r="12">
      <c r="B12" t="n">
        <v>2030</v>
      </c>
      <c r="C12">
        <f>WEO_Data.C12</f>
        <v/>
      </c>
      <c r="D12" t="n">
        <v>20</v>
      </c>
      <c r="E12">
        <f>IF(D12&gt;0,6500*D12/100,0)</f>
        <v/>
      </c>
      <c r="F12">
        <f>E12*$E$32</f>
        <v/>
      </c>
      <c r="G12">
        <f>E12-F12</f>
        <v/>
      </c>
      <c r="H12">
        <f>G12</f>
        <v/>
      </c>
      <c r="I12">
        <f>$E$31</f>
        <v/>
      </c>
      <c r="J12">
        <f>IF(C12=0,0,G12*I12/C12)</f>
        <v/>
      </c>
      <c r="K12">
        <f>WEO_Data.B12+J12</f>
        <v/>
      </c>
    </row>
    <row r="13">
      <c r="B13" t="n">
        <v>2031</v>
      </c>
      <c r="C13">
        <f>WEO_Data.C13</f>
        <v/>
      </c>
      <c r="D13" t="n">
        <v>15</v>
      </c>
      <c r="E13">
        <f>IF(D13&gt;0,6500*D13/100,0)</f>
        <v/>
      </c>
      <c r="F13">
        <f>E13*$E$32</f>
        <v/>
      </c>
      <c r="G13">
        <f>E13-F13</f>
        <v/>
      </c>
      <c r="H13">
        <f>G13</f>
        <v/>
      </c>
      <c r="I13">
        <f>$E$31</f>
        <v/>
      </c>
      <c r="J13">
        <f>IF(C13=0,0,G13*I13/C13)</f>
        <v/>
      </c>
      <c r="K13">
        <f>WEO_Data.B13+J13</f>
        <v/>
      </c>
    </row>
    <row r="14">
      <c r="B14" t="n">
        <v>2032</v>
      </c>
      <c r="C14">
        <f>WEO_Data.C14</f>
        <v/>
      </c>
      <c r="D14" t="n">
        <v>10</v>
      </c>
      <c r="E14">
        <f>IF(D14&gt;0,6500*D14/100,0)</f>
        <v/>
      </c>
      <c r="F14">
        <f>E14*$E$32</f>
        <v/>
      </c>
      <c r="G14">
        <f>E14-F14</f>
        <v/>
      </c>
      <c r="H14">
        <f>G14</f>
        <v/>
      </c>
      <c r="I14">
        <f>$E$31</f>
        <v/>
      </c>
      <c r="J14">
        <f>IF(C14=0,0,G14*I14/C14)</f>
        <v/>
      </c>
      <c r="K14">
        <f>WEO_Data.B14+J14</f>
        <v/>
      </c>
    </row>
    <row r="15">
      <c r="B15" t="n">
        <v>2033</v>
      </c>
      <c r="C15">
        <f>WEO_Data.C15</f>
        <v/>
      </c>
      <c r="D15" t="n">
        <v>5</v>
      </c>
      <c r="E15">
        <f>IF(D15&gt;0,6500*D15/100,0)</f>
        <v/>
      </c>
      <c r="F15">
        <f>E15*$E$32</f>
        <v/>
      </c>
      <c r="G15">
        <f>E15-F15</f>
        <v/>
      </c>
      <c r="H15">
        <f>G15</f>
        <v/>
      </c>
      <c r="I15">
        <f>$E$31</f>
        <v/>
      </c>
      <c r="J15">
        <f>IF(C15=0,0,G15*I15/C15)</f>
        <v/>
      </c>
      <c r="K15">
        <f>WEO_Data.B15+J15</f>
        <v/>
      </c>
    </row>
    <row r="16">
      <c r="B16" t="n">
        <v>2034</v>
      </c>
      <c r="C16">
        <f>WEO_Data.C16</f>
        <v/>
      </c>
      <c r="D16" t="n">
        <v>0</v>
      </c>
      <c r="E16">
        <f>IF(D16&gt;0,6500*D16/100,0)</f>
        <v/>
      </c>
      <c r="F16">
        <f>E16*$E$32</f>
        <v/>
      </c>
      <c r="G16">
        <f>E16-F16</f>
        <v/>
      </c>
      <c r="H16">
        <f>G16</f>
        <v/>
      </c>
      <c r="I16">
        <f>$E$31</f>
        <v/>
      </c>
      <c r="J16">
        <f>IF(C16=0,0,G16*I16/C16)</f>
        <v/>
      </c>
      <c r="K16">
        <f>WEO_Data.B16+J16</f>
        <v/>
      </c>
    </row>
    <row r="17">
      <c r="B17" t="n">
        <v>2035</v>
      </c>
      <c r="C17">
        <f>WEO_Data.C17</f>
        <v/>
      </c>
      <c r="D17" t="n">
        <v>0</v>
      </c>
      <c r="E17">
        <f>IF(D17&gt;0,6500*D17/100,0)</f>
        <v/>
      </c>
      <c r="F17">
        <f>E17*$E$32</f>
        <v/>
      </c>
      <c r="G17">
        <f>E17-F17</f>
        <v/>
      </c>
      <c r="H17">
        <f>G17</f>
        <v/>
      </c>
      <c r="I17">
        <f>$E$31</f>
        <v/>
      </c>
      <c r="J17">
        <f>IF(C17=0,0,G17*I17/C17)</f>
        <v/>
      </c>
      <c r="K17">
        <f>WEO_Data.B17+J17</f>
        <v/>
      </c>
    </row>
    <row r="18">
      <c r="B18" t="n">
        <v>2036</v>
      </c>
      <c r="C18">
        <f>WEO_Data.C18</f>
        <v/>
      </c>
      <c r="D18" t="n">
        <v>0</v>
      </c>
      <c r="E18">
        <f>IF(D18&gt;0,6500*D18/100,0)</f>
        <v/>
      </c>
      <c r="F18">
        <f>E18*$E$32</f>
        <v/>
      </c>
      <c r="G18">
        <f>E18-F18</f>
        <v/>
      </c>
      <c r="H18">
        <f>G18</f>
        <v/>
      </c>
      <c r="I18">
        <f>$E$31</f>
        <v/>
      </c>
      <c r="J18">
        <f>IF(C18=0,0,G18*I18/C18)</f>
        <v/>
      </c>
      <c r="K18">
        <f>WEO_Data.B18+J18</f>
        <v/>
      </c>
    </row>
    <row r="19">
      <c r="B19" t="n">
        <v>2037</v>
      </c>
      <c r="C19">
        <f>WEO_Data.C19</f>
        <v/>
      </c>
      <c r="D19" t="n">
        <v>0</v>
      </c>
      <c r="E19">
        <f>IF(D19&gt;0,6500*D19/100,0)</f>
        <v/>
      </c>
      <c r="F19">
        <f>E19*$E$32</f>
        <v/>
      </c>
      <c r="G19">
        <f>E19-F19</f>
        <v/>
      </c>
      <c r="H19">
        <f>G19</f>
        <v/>
      </c>
      <c r="I19">
        <f>$E$31</f>
        <v/>
      </c>
      <c r="J19">
        <f>IF(C19=0,0,G19*I19/C19)</f>
        <v/>
      </c>
      <c r="K19">
        <f>WEO_Data.B19+J19</f>
        <v/>
      </c>
    </row>
    <row r="20">
      <c r="B20" t="n">
        <v>2038</v>
      </c>
      <c r="C20">
        <f>WEO_Data.C20</f>
        <v/>
      </c>
      <c r="D20" t="n">
        <v>0</v>
      </c>
      <c r="E20">
        <f>IF(D20&gt;0,6500*D20/100,0)</f>
        <v/>
      </c>
      <c r="F20">
        <f>E20*$E$32</f>
        <v/>
      </c>
      <c r="G20">
        <f>E20-F20</f>
        <v/>
      </c>
      <c r="H20">
        <f>G20</f>
        <v/>
      </c>
      <c r="I20">
        <f>$E$31</f>
        <v/>
      </c>
      <c r="J20">
        <f>IF(C20=0,0,G20*I20/C20)</f>
        <v/>
      </c>
      <c r="K20">
        <f>WEO_Data.B20+J20</f>
        <v/>
      </c>
    </row>
    <row r="21">
      <c r="B21" t="n">
        <v>2039</v>
      </c>
      <c r="C21">
        <f>WEO_Data.C21</f>
        <v/>
      </c>
      <c r="D21" t="n">
        <v>0</v>
      </c>
      <c r="E21">
        <f>IF(D21&gt;0,6500*D21/100,0)</f>
        <v/>
      </c>
      <c r="F21">
        <f>E21*$E$32</f>
        <v/>
      </c>
      <c r="G21">
        <f>E21-F21</f>
        <v/>
      </c>
      <c r="H21">
        <f>G21</f>
        <v/>
      </c>
      <c r="I21">
        <f>$E$31</f>
        <v/>
      </c>
      <c r="J21">
        <f>IF(C21=0,0,G21*I21/C21)</f>
        <v/>
      </c>
      <c r="K21">
        <f>WEO_Data.B21+J21</f>
        <v/>
      </c>
    </row>
    <row r="22">
      <c r="B22" t="n">
        <v>2040</v>
      </c>
      <c r="C22">
        <f>WEO_Data.C22</f>
        <v/>
      </c>
      <c r="D22" t="n">
        <v>0</v>
      </c>
      <c r="E22">
        <f>IF(D22&gt;0,6500*D22/100,0)</f>
        <v/>
      </c>
      <c r="F22">
        <f>E22*$E$32</f>
        <v/>
      </c>
      <c r="G22">
        <f>E22-F22</f>
        <v/>
      </c>
      <c r="H22">
        <f>G22</f>
        <v/>
      </c>
      <c r="I22">
        <f>$E$31</f>
        <v/>
      </c>
      <c r="J22">
        <f>IF(C22=0,0,G22*I22/C22)</f>
        <v/>
      </c>
      <c r="K22">
        <f>WEO_Data.B22+J22</f>
        <v/>
      </c>
    </row>
    <row r="23">
      <c r="B23" t="n">
        <v>2041</v>
      </c>
      <c r="C23">
        <f>WEO_Data.C23</f>
        <v/>
      </c>
      <c r="D23" t="n">
        <v>0</v>
      </c>
      <c r="E23">
        <f>IF(D23&gt;0,6500*D23/100,0)</f>
        <v/>
      </c>
      <c r="F23">
        <f>E23*$E$32</f>
        <v/>
      </c>
      <c r="G23">
        <f>E23-F23</f>
        <v/>
      </c>
      <c r="H23">
        <f>G23</f>
        <v/>
      </c>
      <c r="I23">
        <f>$E$31</f>
        <v/>
      </c>
      <c r="J23">
        <f>IF(C23=0,0,G23*I23/C23)</f>
        <v/>
      </c>
      <c r="K23">
        <f>WEO_Data.B23+J23</f>
        <v/>
      </c>
    </row>
    <row r="24">
      <c r="B24" t="n">
        <v>2042</v>
      </c>
      <c r="C24">
        <f>WEO_Data.C24</f>
        <v/>
      </c>
      <c r="D24" t="n">
        <v>0</v>
      </c>
      <c r="E24">
        <f>IF(D24&gt;0,6500*D24/100,0)</f>
        <v/>
      </c>
      <c r="F24">
        <f>E24*$E$32</f>
        <v/>
      </c>
      <c r="G24">
        <f>E24-F24</f>
        <v/>
      </c>
      <c r="H24">
        <f>G24</f>
        <v/>
      </c>
      <c r="I24">
        <f>$E$31</f>
        <v/>
      </c>
      <c r="J24">
        <f>IF(C24=0,0,G24*I24/C24)</f>
        <v/>
      </c>
      <c r="K24">
        <f>WEO_Data.B24+J24</f>
        <v/>
      </c>
    </row>
    <row r="25">
      <c r="B25" t="n">
        <v>2043</v>
      </c>
      <c r="D25" t="n">
        <v>0</v>
      </c>
    </row>
    <row r="30">
      <c r="C30" t="inlineStr">
        <is>
          <t>ASSUMPTIONS:</t>
        </is>
      </c>
      <c r="D30" t="inlineStr">
        <is>
          <t>Exchange Rate (GEL/USD):</t>
        </is>
      </c>
      <c r="E30" t="n">
        <v>2.746</v>
      </c>
    </row>
    <row r="31">
      <c r="D31" t="inlineStr">
        <is>
          <t>Demand Multiplier:</t>
        </is>
      </c>
      <c r="E31" t="n">
        <v>0.8</v>
      </c>
    </row>
    <row r="32">
      <c r="D32" t="inlineStr">
        <is>
          <t>Import Content Share:</t>
        </is>
      </c>
      <c r="E32">
        <f>SUT Calc.C45</f>
        <v/>
      </c>
    </row>
    <row r="33">
      <c r="D33" t="inlineStr">
        <is>
          <t>Investment Deflator:</t>
        </is>
      </c>
      <c r="E33">
        <f>WEO_Data.D{i}</f>
        <v/>
      </c>
    </row>
    <row r="36">
      <c r="B36" t="inlineStr">
        <is>
          <t>SCENARIO 2: Multiplier = 1.0</t>
        </is>
      </c>
    </row>
    <row r="37">
      <c r="B37" t="inlineStr">
        <is>
          <t>Year</t>
        </is>
      </c>
      <c r="C37" t="inlineStr">
        <is>
          <t>Real GDP</t>
        </is>
      </c>
      <c r="D37" t="inlineStr">
        <is>
          <t>Project Allocation (%)</t>
        </is>
      </c>
      <c r="E37" t="inlineStr">
        <is>
          <t>Project Investment</t>
        </is>
      </c>
      <c r="F37" t="inlineStr">
        <is>
          <t>Imports</t>
        </is>
      </c>
      <c r="G37" t="inlineStr">
        <is>
          <t>GDP Impact (I-M)</t>
        </is>
      </c>
      <c r="H37" t="inlineStr">
        <is>
          <t>I-M</t>
        </is>
      </c>
      <c r="I37" t="inlineStr">
        <is>
          <t>Multiplier</t>
        </is>
      </c>
      <c r="J37" t="inlineStr">
        <is>
          <t>% of GDP</t>
        </is>
      </c>
      <c r="K37" t="inlineStr">
        <is>
          <t>Projected Growth</t>
        </is>
      </c>
    </row>
    <row r="38">
      <c r="B38" t="n">
        <v>2</v>
      </c>
      <c r="C38">
        <f>C2</f>
        <v/>
      </c>
      <c r="D38">
        <f>D2</f>
        <v/>
      </c>
      <c r="E38">
        <f>E2</f>
        <v/>
      </c>
      <c r="F38">
        <f>F2</f>
        <v/>
      </c>
      <c r="G38">
        <f>G2</f>
        <v/>
      </c>
      <c r="H38">
        <f>H2</f>
        <v/>
      </c>
      <c r="I38" t="n">
        <v>1</v>
      </c>
      <c r="J38">
        <f>IF(C38=0,0,G38*I38/C38)</f>
        <v/>
      </c>
      <c r="K38">
        <f>WEO_Data.B2+J38</f>
        <v/>
      </c>
    </row>
    <row r="39">
      <c r="B39" t="n">
        <v>3</v>
      </c>
      <c r="C39">
        <f>C3</f>
        <v/>
      </c>
      <c r="D39">
        <f>D3</f>
        <v/>
      </c>
      <c r="E39">
        <f>E3</f>
        <v/>
      </c>
      <c r="F39">
        <f>F3</f>
        <v/>
      </c>
      <c r="G39">
        <f>G3</f>
        <v/>
      </c>
      <c r="H39">
        <f>H3</f>
        <v/>
      </c>
      <c r="I39" t="n">
        <v>1</v>
      </c>
      <c r="J39">
        <f>IF(C39=0,0,G39*I39/C39)</f>
        <v/>
      </c>
      <c r="K39">
        <f>WEO_Data.B3+J39</f>
        <v/>
      </c>
    </row>
    <row r="40">
      <c r="B40" t="n">
        <v>4</v>
      </c>
      <c r="C40">
        <f>C4</f>
        <v/>
      </c>
      <c r="D40">
        <f>D4</f>
        <v/>
      </c>
      <c r="E40">
        <f>E4</f>
        <v/>
      </c>
      <c r="F40">
        <f>F4</f>
        <v/>
      </c>
      <c r="G40">
        <f>G4</f>
        <v/>
      </c>
      <c r="H40">
        <f>H4</f>
        <v/>
      </c>
      <c r="I40" t="n">
        <v>1</v>
      </c>
      <c r="J40">
        <f>IF(C40=0,0,G40*I40/C40)</f>
        <v/>
      </c>
      <c r="K40">
        <f>WEO_Data.B4+J40</f>
        <v/>
      </c>
    </row>
    <row r="41">
      <c r="B41" t="n">
        <v>5</v>
      </c>
      <c r="C41">
        <f>C5</f>
        <v/>
      </c>
      <c r="D41">
        <f>D5</f>
        <v/>
      </c>
      <c r="E41">
        <f>E5</f>
        <v/>
      </c>
      <c r="F41">
        <f>F5</f>
        <v/>
      </c>
      <c r="G41">
        <f>G5</f>
        <v/>
      </c>
      <c r="H41">
        <f>H5</f>
        <v/>
      </c>
      <c r="I41" t="n">
        <v>1</v>
      </c>
      <c r="J41">
        <f>IF(C41=0,0,G41*I41/C41)</f>
        <v/>
      </c>
      <c r="K41">
        <f>WEO_Data.B5+J41</f>
        <v/>
      </c>
    </row>
    <row r="42">
      <c r="B42" t="n">
        <v>6</v>
      </c>
      <c r="C42">
        <f>C6</f>
        <v/>
      </c>
      <c r="D42">
        <f>D6</f>
        <v/>
      </c>
      <c r="E42">
        <f>E6</f>
        <v/>
      </c>
      <c r="F42">
        <f>F6</f>
        <v/>
      </c>
      <c r="G42">
        <f>G6</f>
        <v/>
      </c>
      <c r="H42">
        <f>H6</f>
        <v/>
      </c>
      <c r="I42" t="n">
        <v>1</v>
      </c>
      <c r="J42">
        <f>IF(C42=0,0,G42*I42/C42)</f>
        <v/>
      </c>
      <c r="K42">
        <f>WEO_Data.B6+J42</f>
        <v/>
      </c>
    </row>
    <row r="43">
      <c r="B43" t="n">
        <v>7</v>
      </c>
      <c r="C43">
        <f>C7</f>
        <v/>
      </c>
      <c r="D43">
        <f>D7</f>
        <v/>
      </c>
      <c r="E43">
        <f>E7</f>
        <v/>
      </c>
      <c r="F43">
        <f>F7</f>
        <v/>
      </c>
      <c r="G43">
        <f>G7</f>
        <v/>
      </c>
      <c r="H43">
        <f>H7</f>
        <v/>
      </c>
      <c r="I43" t="n">
        <v>1</v>
      </c>
      <c r="J43">
        <f>IF(C43=0,0,G43*I43/C43)</f>
        <v/>
      </c>
      <c r="K43">
        <f>WEO_Data.B7+J43</f>
        <v/>
      </c>
    </row>
    <row r="44">
      <c r="B44" t="n">
        <v>8</v>
      </c>
      <c r="C44">
        <f>C8</f>
        <v/>
      </c>
      <c r="D44">
        <f>D8</f>
        <v/>
      </c>
      <c r="E44">
        <f>E8</f>
        <v/>
      </c>
      <c r="F44">
        <f>F8</f>
        <v/>
      </c>
      <c r="G44">
        <f>G8</f>
        <v/>
      </c>
      <c r="H44">
        <f>H8</f>
        <v/>
      </c>
      <c r="I44" t="n">
        <v>1</v>
      </c>
      <c r="J44">
        <f>IF(C44=0,0,G44*I44/C44)</f>
        <v/>
      </c>
      <c r="K44">
        <f>WEO_Data.B8+J44</f>
        <v/>
      </c>
    </row>
    <row r="45">
      <c r="B45" t="n">
        <v>9</v>
      </c>
      <c r="C45">
        <f>C9</f>
        <v/>
      </c>
      <c r="D45">
        <f>D9</f>
        <v/>
      </c>
      <c r="E45">
        <f>E9</f>
        <v/>
      </c>
      <c r="F45">
        <f>F9</f>
        <v/>
      </c>
      <c r="G45">
        <f>G9</f>
        <v/>
      </c>
      <c r="H45">
        <f>H9</f>
        <v/>
      </c>
      <c r="I45" t="n">
        <v>1</v>
      </c>
      <c r="J45">
        <f>IF(C45=0,0,G45*I45/C45)</f>
        <v/>
      </c>
      <c r="K45">
        <f>WEO_Data.B9+J45</f>
        <v/>
      </c>
    </row>
    <row r="46">
      <c r="B46" t="n">
        <v>10</v>
      </c>
      <c r="C46">
        <f>C10</f>
        <v/>
      </c>
      <c r="D46">
        <f>D10</f>
        <v/>
      </c>
      <c r="E46">
        <f>E10</f>
        <v/>
      </c>
      <c r="F46">
        <f>F10</f>
        <v/>
      </c>
      <c r="G46">
        <f>G10</f>
        <v/>
      </c>
      <c r="H46">
        <f>H10</f>
        <v/>
      </c>
      <c r="I46" t="n">
        <v>1</v>
      </c>
      <c r="J46">
        <f>IF(C46=0,0,G46*I46/C46)</f>
        <v/>
      </c>
      <c r="K46">
        <f>WEO_Data.B10+J46</f>
        <v/>
      </c>
    </row>
    <row r="47">
      <c r="B47" t="n">
        <v>11</v>
      </c>
      <c r="C47">
        <f>C11</f>
        <v/>
      </c>
      <c r="D47">
        <f>D11</f>
        <v/>
      </c>
      <c r="E47">
        <f>E11</f>
        <v/>
      </c>
      <c r="F47">
        <f>F11</f>
        <v/>
      </c>
      <c r="G47">
        <f>G11</f>
        <v/>
      </c>
      <c r="H47">
        <f>H11</f>
        <v/>
      </c>
      <c r="I47" t="n">
        <v>1</v>
      </c>
      <c r="J47">
        <f>IF(C47=0,0,G47*I47/C47)</f>
        <v/>
      </c>
      <c r="K47">
        <f>WEO_Data.B11+J47</f>
        <v/>
      </c>
    </row>
    <row r="48">
      <c r="B48" t="n">
        <v>12</v>
      </c>
      <c r="C48">
        <f>C12</f>
        <v/>
      </c>
      <c r="D48">
        <f>D12</f>
        <v/>
      </c>
      <c r="E48">
        <f>E12</f>
        <v/>
      </c>
      <c r="F48">
        <f>F12</f>
        <v/>
      </c>
      <c r="G48">
        <f>G12</f>
        <v/>
      </c>
      <c r="H48">
        <f>H12</f>
        <v/>
      </c>
      <c r="I48" t="n">
        <v>1</v>
      </c>
      <c r="J48">
        <f>IF(C48=0,0,G48*I48/C48)</f>
        <v/>
      </c>
      <c r="K48">
        <f>WEO_Data.B12+J48</f>
        <v/>
      </c>
    </row>
    <row r="49">
      <c r="B49" t="n">
        <v>13</v>
      </c>
      <c r="C49">
        <f>C13</f>
        <v/>
      </c>
      <c r="D49">
        <f>D13</f>
        <v/>
      </c>
      <c r="E49">
        <f>E13</f>
        <v/>
      </c>
      <c r="F49">
        <f>F13</f>
        <v/>
      </c>
      <c r="G49">
        <f>G13</f>
        <v/>
      </c>
      <c r="H49">
        <f>H13</f>
        <v/>
      </c>
      <c r="I49" t="n">
        <v>1</v>
      </c>
      <c r="J49">
        <f>IF(C49=0,0,G49*I49/C49)</f>
        <v/>
      </c>
      <c r="K49">
        <f>WEO_Data.B13+J49</f>
        <v/>
      </c>
    </row>
    <row r="50">
      <c r="B50" t="n">
        <v>14</v>
      </c>
      <c r="C50">
        <f>C14</f>
        <v/>
      </c>
      <c r="D50">
        <f>D14</f>
        <v/>
      </c>
      <c r="E50">
        <f>E14</f>
        <v/>
      </c>
      <c r="F50">
        <f>F14</f>
        <v/>
      </c>
      <c r="G50">
        <f>G14</f>
        <v/>
      </c>
      <c r="H50">
        <f>H14</f>
        <v/>
      </c>
      <c r="I50" t="n">
        <v>1</v>
      </c>
      <c r="J50">
        <f>IF(C50=0,0,G50*I50/C50)</f>
        <v/>
      </c>
      <c r="K50">
        <f>WEO_Data.B14+J50</f>
        <v/>
      </c>
    </row>
    <row r="51">
      <c r="B51" t="n">
        <v>15</v>
      </c>
      <c r="C51">
        <f>C15</f>
        <v/>
      </c>
      <c r="D51">
        <f>D15</f>
        <v/>
      </c>
      <c r="E51">
        <f>E15</f>
        <v/>
      </c>
      <c r="F51">
        <f>F15</f>
        <v/>
      </c>
      <c r="G51">
        <f>G15</f>
        <v/>
      </c>
      <c r="H51">
        <f>H15</f>
        <v/>
      </c>
      <c r="I51" t="n">
        <v>1</v>
      </c>
      <c r="J51">
        <f>IF(C51=0,0,G51*I51/C51)</f>
        <v/>
      </c>
      <c r="K51">
        <f>WEO_Data.B15+J51</f>
        <v/>
      </c>
    </row>
    <row r="52">
      <c r="B52" t="n">
        <v>16</v>
      </c>
      <c r="C52">
        <f>C16</f>
        <v/>
      </c>
      <c r="D52">
        <f>D16</f>
        <v/>
      </c>
      <c r="E52">
        <f>E16</f>
        <v/>
      </c>
      <c r="F52">
        <f>F16</f>
        <v/>
      </c>
      <c r="G52">
        <f>G16</f>
        <v/>
      </c>
      <c r="H52">
        <f>H16</f>
        <v/>
      </c>
      <c r="I52" t="n">
        <v>1</v>
      </c>
      <c r="J52">
        <f>IF(C52=0,0,G52*I52/C52)</f>
        <v/>
      </c>
      <c r="K52">
        <f>WEO_Data.B16+J52</f>
        <v/>
      </c>
    </row>
    <row r="53">
      <c r="B53" t="n">
        <v>17</v>
      </c>
      <c r="C53">
        <f>C17</f>
        <v/>
      </c>
      <c r="D53">
        <f>D17</f>
        <v/>
      </c>
      <c r="E53">
        <f>E17</f>
        <v/>
      </c>
      <c r="F53">
        <f>F17</f>
        <v/>
      </c>
      <c r="G53">
        <f>G17</f>
        <v/>
      </c>
      <c r="H53">
        <f>H17</f>
        <v/>
      </c>
      <c r="I53" t="n">
        <v>1</v>
      </c>
      <c r="J53">
        <f>IF(C53=0,0,G53*I53/C53)</f>
        <v/>
      </c>
      <c r="K53">
        <f>WEO_Data.B17+J53</f>
        <v/>
      </c>
    </row>
    <row r="54">
      <c r="B54" t="n">
        <v>18</v>
      </c>
      <c r="C54">
        <f>C18</f>
        <v/>
      </c>
      <c r="D54">
        <f>D18</f>
        <v/>
      </c>
      <c r="E54">
        <f>E18</f>
        <v/>
      </c>
      <c r="F54">
        <f>F18</f>
        <v/>
      </c>
      <c r="G54">
        <f>G18</f>
        <v/>
      </c>
      <c r="H54">
        <f>H18</f>
        <v/>
      </c>
      <c r="I54" t="n">
        <v>1</v>
      </c>
      <c r="J54">
        <f>IF(C54=0,0,G54*I54/C54)</f>
        <v/>
      </c>
      <c r="K54">
        <f>WEO_Data.B18+J54</f>
        <v/>
      </c>
    </row>
    <row r="55">
      <c r="B55" t="n">
        <v>19</v>
      </c>
      <c r="C55">
        <f>C19</f>
        <v/>
      </c>
      <c r="D55">
        <f>D19</f>
        <v/>
      </c>
      <c r="E55">
        <f>E19</f>
        <v/>
      </c>
      <c r="F55">
        <f>F19</f>
        <v/>
      </c>
      <c r="G55">
        <f>G19</f>
        <v/>
      </c>
      <c r="H55">
        <f>H19</f>
        <v/>
      </c>
      <c r="I55" t="n">
        <v>1</v>
      </c>
      <c r="J55">
        <f>IF(C55=0,0,G55*I55/C55)</f>
        <v/>
      </c>
      <c r="K55">
        <f>WEO_Data.B19+J55</f>
        <v/>
      </c>
    </row>
    <row r="56">
      <c r="B56" t="n">
        <v>20</v>
      </c>
      <c r="C56">
        <f>C20</f>
        <v/>
      </c>
      <c r="D56">
        <f>D20</f>
        <v/>
      </c>
      <c r="E56">
        <f>E20</f>
        <v/>
      </c>
      <c r="F56">
        <f>F20</f>
        <v/>
      </c>
      <c r="G56">
        <f>G20</f>
        <v/>
      </c>
      <c r="H56">
        <f>H20</f>
        <v/>
      </c>
      <c r="I56" t="n">
        <v>1</v>
      </c>
      <c r="J56">
        <f>IF(C56=0,0,G56*I56/C56)</f>
        <v/>
      </c>
      <c r="K56">
        <f>WEO_Data.B20+J56</f>
        <v/>
      </c>
    </row>
    <row r="57">
      <c r="B57" t="n">
        <v>21</v>
      </c>
      <c r="C57">
        <f>C21</f>
        <v/>
      </c>
      <c r="D57">
        <f>D21</f>
        <v/>
      </c>
      <c r="E57">
        <f>E21</f>
        <v/>
      </c>
      <c r="F57">
        <f>F21</f>
        <v/>
      </c>
      <c r="G57">
        <f>G21</f>
        <v/>
      </c>
      <c r="H57">
        <f>H21</f>
        <v/>
      </c>
      <c r="I57" t="n">
        <v>1</v>
      </c>
      <c r="J57">
        <f>IF(C57=0,0,G57*I57/C57)</f>
        <v/>
      </c>
      <c r="K57">
        <f>WEO_Data.B21+J57</f>
        <v/>
      </c>
    </row>
    <row r="58">
      <c r="B58" t="n">
        <v>22</v>
      </c>
      <c r="C58">
        <f>C22</f>
        <v/>
      </c>
      <c r="D58">
        <f>D22</f>
        <v/>
      </c>
      <c r="E58">
        <f>E22</f>
        <v/>
      </c>
      <c r="F58">
        <f>F22</f>
        <v/>
      </c>
      <c r="G58">
        <f>G22</f>
        <v/>
      </c>
      <c r="H58">
        <f>H22</f>
        <v/>
      </c>
      <c r="I58" t="n">
        <v>1</v>
      </c>
      <c r="J58">
        <f>IF(C58=0,0,G58*I58/C58)</f>
        <v/>
      </c>
      <c r="K58">
        <f>WEO_Data.B22+J58</f>
        <v/>
      </c>
    </row>
    <row r="59">
      <c r="B59" t="n">
        <v>23</v>
      </c>
      <c r="C59">
        <f>C23</f>
        <v/>
      </c>
      <c r="D59">
        <f>D23</f>
        <v/>
      </c>
      <c r="E59">
        <f>E23</f>
        <v/>
      </c>
      <c r="F59">
        <f>F23</f>
        <v/>
      </c>
      <c r="G59">
        <f>G23</f>
        <v/>
      </c>
      <c r="H59">
        <f>H23</f>
        <v/>
      </c>
      <c r="I59" t="n">
        <v>1</v>
      </c>
      <c r="J59">
        <f>IF(C59=0,0,G59*I59/C59)</f>
        <v/>
      </c>
      <c r="K59">
        <f>WEO_Data.B23+J59</f>
        <v/>
      </c>
    </row>
    <row r="60">
      <c r="B60" t="n">
        <v>24</v>
      </c>
      <c r="C60">
        <f>C24</f>
        <v/>
      </c>
      <c r="D60">
        <f>D24</f>
        <v/>
      </c>
      <c r="E60">
        <f>E24</f>
        <v/>
      </c>
      <c r="F60">
        <f>F24</f>
        <v/>
      </c>
      <c r="G60">
        <f>G24</f>
        <v/>
      </c>
      <c r="H60">
        <f>H24</f>
        <v/>
      </c>
      <c r="I60" t="n">
        <v>1</v>
      </c>
      <c r="J60">
        <f>IF(C60=0,0,G60*I60/C60)</f>
        <v/>
      </c>
      <c r="K60">
        <f>WEO_Data.B24+J60</f>
        <v/>
      </c>
    </row>
    <row r="61">
      <c r="B61" t="inlineStr">
        <is>
          <t>SCENARIO 3: Import Share = 0.5</t>
        </is>
      </c>
    </row>
    <row r="62">
      <c r="B62" t="inlineStr">
        <is>
          <t>Year</t>
        </is>
      </c>
      <c r="C62" t="inlineStr">
        <is>
          <t>Real GDP</t>
        </is>
      </c>
      <c r="D62" t="inlineStr">
        <is>
          <t>Project Allocation (%)</t>
        </is>
      </c>
      <c r="E62" t="inlineStr">
        <is>
          <t>Project Investment</t>
        </is>
      </c>
      <c r="F62" t="inlineStr">
        <is>
          <t>Imports</t>
        </is>
      </c>
      <c r="G62" t="inlineStr">
        <is>
          <t>GDP Impact (I-M)</t>
        </is>
      </c>
      <c r="H62" t="inlineStr">
        <is>
          <t>I-M</t>
        </is>
      </c>
      <c r="I62" t="inlineStr">
        <is>
          <t>Multiplier</t>
        </is>
      </c>
      <c r="J62" t="inlineStr">
        <is>
          <t>% of GDP</t>
        </is>
      </c>
      <c r="K62" t="inlineStr">
        <is>
          <t>Projected Growth</t>
        </is>
      </c>
    </row>
    <row r="63">
      <c r="B63" t="n">
        <v>2</v>
      </c>
      <c r="C63">
        <f>C2</f>
        <v/>
      </c>
      <c r="D63">
        <f>D2</f>
        <v/>
      </c>
      <c r="E63">
        <f>E2</f>
        <v/>
      </c>
      <c r="F63">
        <f>E63*0.5</f>
        <v/>
      </c>
      <c r="G63">
        <f>E63-F63</f>
        <v/>
      </c>
      <c r="H63">
        <f>G63</f>
        <v/>
      </c>
      <c r="I63">
        <f>$E$31</f>
        <v/>
      </c>
      <c r="J63">
        <f>IF(C63=0,0,G63*I63/C63)</f>
        <v/>
      </c>
      <c r="K63">
        <f>WEO_Data.B2+J63</f>
        <v/>
      </c>
    </row>
    <row r="64">
      <c r="B64" t="n">
        <v>3</v>
      </c>
      <c r="C64">
        <f>C3</f>
        <v/>
      </c>
      <c r="D64">
        <f>D3</f>
        <v/>
      </c>
      <c r="E64">
        <f>E3</f>
        <v/>
      </c>
      <c r="F64">
        <f>E64*0.5</f>
        <v/>
      </c>
      <c r="G64">
        <f>E64-F64</f>
        <v/>
      </c>
      <c r="H64">
        <f>G64</f>
        <v/>
      </c>
      <c r="I64">
        <f>$E$31</f>
        <v/>
      </c>
      <c r="J64">
        <f>IF(C64=0,0,G64*I64/C64)</f>
        <v/>
      </c>
      <c r="K64">
        <f>WEO_Data.B3+J64</f>
        <v/>
      </c>
    </row>
    <row r="65">
      <c r="B65" t="n">
        <v>4</v>
      </c>
      <c r="C65">
        <f>C4</f>
        <v/>
      </c>
      <c r="D65">
        <f>D4</f>
        <v/>
      </c>
      <c r="E65">
        <f>E4</f>
        <v/>
      </c>
      <c r="F65">
        <f>E65*0.5</f>
        <v/>
      </c>
      <c r="G65">
        <f>E65-F65</f>
        <v/>
      </c>
      <c r="H65">
        <f>G65</f>
        <v/>
      </c>
      <c r="I65">
        <f>$E$31</f>
        <v/>
      </c>
      <c r="J65">
        <f>IF(C65=0,0,G65*I65/C65)</f>
        <v/>
      </c>
      <c r="K65">
        <f>WEO_Data.B4+J65</f>
        <v/>
      </c>
    </row>
    <row r="66">
      <c r="B66" t="n">
        <v>5</v>
      </c>
      <c r="C66">
        <f>C5</f>
        <v/>
      </c>
      <c r="D66">
        <f>D5</f>
        <v/>
      </c>
      <c r="E66">
        <f>E5</f>
        <v/>
      </c>
      <c r="F66">
        <f>E66*0.5</f>
        <v/>
      </c>
      <c r="G66">
        <f>E66-F66</f>
        <v/>
      </c>
      <c r="H66">
        <f>G66</f>
        <v/>
      </c>
      <c r="I66">
        <f>$E$31</f>
        <v/>
      </c>
      <c r="J66">
        <f>IF(C66=0,0,G66*I66/C66)</f>
        <v/>
      </c>
      <c r="K66">
        <f>WEO_Data.B5+J66</f>
        <v/>
      </c>
    </row>
    <row r="67">
      <c r="B67" t="n">
        <v>6</v>
      </c>
      <c r="C67">
        <f>C6</f>
        <v/>
      </c>
      <c r="D67">
        <f>D6</f>
        <v/>
      </c>
      <c r="E67">
        <f>E6</f>
        <v/>
      </c>
      <c r="F67">
        <f>E67*0.5</f>
        <v/>
      </c>
      <c r="G67">
        <f>E67-F67</f>
        <v/>
      </c>
      <c r="H67">
        <f>G67</f>
        <v/>
      </c>
      <c r="I67">
        <f>$E$31</f>
        <v/>
      </c>
      <c r="J67">
        <f>IF(C67=0,0,G67*I67/C67)</f>
        <v/>
      </c>
      <c r="K67">
        <f>WEO_Data.B6+J67</f>
        <v/>
      </c>
    </row>
    <row r="68">
      <c r="B68" t="n">
        <v>7</v>
      </c>
      <c r="C68">
        <f>C7</f>
        <v/>
      </c>
      <c r="D68">
        <f>D7</f>
        <v/>
      </c>
      <c r="E68">
        <f>E7</f>
        <v/>
      </c>
      <c r="F68">
        <f>E68*0.5</f>
        <v/>
      </c>
      <c r="G68">
        <f>E68-F68</f>
        <v/>
      </c>
      <c r="H68">
        <f>G68</f>
        <v/>
      </c>
      <c r="I68">
        <f>$E$31</f>
        <v/>
      </c>
      <c r="J68">
        <f>IF(C68=0,0,G68*I68/C68)</f>
        <v/>
      </c>
      <c r="K68">
        <f>WEO_Data.B7+J68</f>
        <v/>
      </c>
    </row>
    <row r="69">
      <c r="B69" t="n">
        <v>8</v>
      </c>
      <c r="C69">
        <f>C8</f>
        <v/>
      </c>
      <c r="D69">
        <f>D8</f>
        <v/>
      </c>
      <c r="E69">
        <f>E8</f>
        <v/>
      </c>
      <c r="F69">
        <f>E69*0.5</f>
        <v/>
      </c>
      <c r="G69">
        <f>E69-F69</f>
        <v/>
      </c>
      <c r="H69">
        <f>G69</f>
        <v/>
      </c>
      <c r="I69">
        <f>$E$31</f>
        <v/>
      </c>
      <c r="J69">
        <f>IF(C69=0,0,G69*I69/C69)</f>
        <v/>
      </c>
      <c r="K69">
        <f>WEO_Data.B8+J69</f>
        <v/>
      </c>
    </row>
    <row r="70">
      <c r="B70" t="n">
        <v>9</v>
      </c>
      <c r="C70">
        <f>C9</f>
        <v/>
      </c>
      <c r="D70">
        <f>D9</f>
        <v/>
      </c>
      <c r="E70">
        <f>E9</f>
        <v/>
      </c>
      <c r="F70">
        <f>E70*0.5</f>
        <v/>
      </c>
      <c r="G70">
        <f>E70-F70</f>
        <v/>
      </c>
      <c r="H70">
        <f>G70</f>
        <v/>
      </c>
      <c r="I70">
        <f>$E$31</f>
        <v/>
      </c>
      <c r="J70">
        <f>IF(C70=0,0,G70*I70/C70)</f>
        <v/>
      </c>
      <c r="K70">
        <f>WEO_Data.B9+J70</f>
        <v/>
      </c>
    </row>
    <row r="71">
      <c r="B71" t="n">
        <v>10</v>
      </c>
      <c r="C71">
        <f>C10</f>
        <v/>
      </c>
      <c r="D71">
        <f>D10</f>
        <v/>
      </c>
      <c r="E71">
        <f>E10</f>
        <v/>
      </c>
      <c r="F71">
        <f>E71*0.5</f>
        <v/>
      </c>
      <c r="G71">
        <f>E71-F71</f>
        <v/>
      </c>
      <c r="H71">
        <f>G71</f>
        <v/>
      </c>
      <c r="I71">
        <f>$E$31</f>
        <v/>
      </c>
      <c r="J71">
        <f>IF(C71=0,0,G71*I71/C71)</f>
        <v/>
      </c>
      <c r="K71">
        <f>WEO_Data.B10+J71</f>
        <v/>
      </c>
    </row>
    <row r="72">
      <c r="B72" t="n">
        <v>11</v>
      </c>
      <c r="C72">
        <f>C11</f>
        <v/>
      </c>
      <c r="D72">
        <f>D11</f>
        <v/>
      </c>
      <c r="E72">
        <f>E11</f>
        <v/>
      </c>
      <c r="F72">
        <f>E72*0.5</f>
        <v/>
      </c>
      <c r="G72">
        <f>E72-F72</f>
        <v/>
      </c>
      <c r="H72">
        <f>G72</f>
        <v/>
      </c>
      <c r="I72">
        <f>$E$31</f>
        <v/>
      </c>
      <c r="J72">
        <f>IF(C72=0,0,G72*I72/C72)</f>
        <v/>
      </c>
      <c r="K72">
        <f>WEO_Data.B11+J72</f>
        <v/>
      </c>
    </row>
    <row r="73">
      <c r="B73" t="n">
        <v>12</v>
      </c>
      <c r="C73">
        <f>C12</f>
        <v/>
      </c>
      <c r="D73">
        <f>D12</f>
        <v/>
      </c>
      <c r="E73">
        <f>E12</f>
        <v/>
      </c>
      <c r="F73">
        <f>E73*0.5</f>
        <v/>
      </c>
      <c r="G73">
        <f>E73-F73</f>
        <v/>
      </c>
      <c r="H73">
        <f>G73</f>
        <v/>
      </c>
      <c r="I73">
        <f>$E$31</f>
        <v/>
      </c>
      <c r="J73">
        <f>IF(C73=0,0,G73*I73/C73)</f>
        <v/>
      </c>
      <c r="K73">
        <f>WEO_Data.B12+J73</f>
        <v/>
      </c>
    </row>
    <row r="74">
      <c r="B74" t="n">
        <v>13</v>
      </c>
      <c r="C74">
        <f>C13</f>
        <v/>
      </c>
      <c r="D74">
        <f>D13</f>
        <v/>
      </c>
      <c r="E74">
        <f>E13</f>
        <v/>
      </c>
      <c r="F74">
        <f>E74*0.5</f>
        <v/>
      </c>
      <c r="G74">
        <f>E74-F74</f>
        <v/>
      </c>
      <c r="H74">
        <f>G74</f>
        <v/>
      </c>
      <c r="I74">
        <f>$E$31</f>
        <v/>
      </c>
      <c r="J74">
        <f>IF(C74=0,0,G74*I74/C74)</f>
        <v/>
      </c>
      <c r="K74">
        <f>WEO_Data.B13+J74</f>
        <v/>
      </c>
    </row>
    <row r="75">
      <c r="B75" t="n">
        <v>14</v>
      </c>
      <c r="C75">
        <f>C14</f>
        <v/>
      </c>
      <c r="D75">
        <f>D14</f>
        <v/>
      </c>
      <c r="E75">
        <f>E14</f>
        <v/>
      </c>
      <c r="F75">
        <f>E75*0.5</f>
        <v/>
      </c>
      <c r="G75">
        <f>E75-F75</f>
        <v/>
      </c>
      <c r="H75">
        <f>G75</f>
        <v/>
      </c>
      <c r="I75">
        <f>$E$31</f>
        <v/>
      </c>
      <c r="J75">
        <f>IF(C75=0,0,G75*I75/C75)</f>
        <v/>
      </c>
      <c r="K75">
        <f>WEO_Data.B14+J75</f>
        <v/>
      </c>
    </row>
    <row r="76">
      <c r="B76" t="n">
        <v>15</v>
      </c>
      <c r="C76">
        <f>C15</f>
        <v/>
      </c>
      <c r="D76">
        <f>D15</f>
        <v/>
      </c>
      <c r="E76">
        <f>E15</f>
        <v/>
      </c>
      <c r="F76">
        <f>E76*0.5</f>
        <v/>
      </c>
      <c r="G76">
        <f>E76-F76</f>
        <v/>
      </c>
      <c r="H76">
        <f>G76</f>
        <v/>
      </c>
      <c r="I76">
        <f>$E$31</f>
        <v/>
      </c>
      <c r="J76">
        <f>IF(C76=0,0,G76*I76/C76)</f>
        <v/>
      </c>
      <c r="K76">
        <f>WEO_Data.B15+J76</f>
        <v/>
      </c>
    </row>
    <row r="77">
      <c r="B77" t="n">
        <v>16</v>
      </c>
      <c r="C77">
        <f>C16</f>
        <v/>
      </c>
      <c r="D77">
        <f>D16</f>
        <v/>
      </c>
      <c r="E77">
        <f>E16</f>
        <v/>
      </c>
      <c r="F77">
        <f>E77*0.5</f>
        <v/>
      </c>
      <c r="G77">
        <f>E77-F77</f>
        <v/>
      </c>
      <c r="H77">
        <f>G77</f>
        <v/>
      </c>
      <c r="I77">
        <f>$E$31</f>
        <v/>
      </c>
      <c r="J77">
        <f>IF(C77=0,0,G77*I77/C77)</f>
        <v/>
      </c>
      <c r="K77">
        <f>WEO_Data.B16+J77</f>
        <v/>
      </c>
    </row>
    <row r="78">
      <c r="B78" t="n">
        <v>17</v>
      </c>
      <c r="C78">
        <f>C17</f>
        <v/>
      </c>
      <c r="D78">
        <f>D17</f>
        <v/>
      </c>
      <c r="E78">
        <f>E17</f>
        <v/>
      </c>
      <c r="F78">
        <f>E78*0.5</f>
        <v/>
      </c>
      <c r="G78">
        <f>E78-F78</f>
        <v/>
      </c>
      <c r="H78">
        <f>G78</f>
        <v/>
      </c>
      <c r="I78">
        <f>$E$31</f>
        <v/>
      </c>
      <c r="J78">
        <f>IF(C78=0,0,G78*I78/C78)</f>
        <v/>
      </c>
      <c r="K78">
        <f>WEO_Data.B17+J78</f>
        <v/>
      </c>
    </row>
    <row r="79">
      <c r="B79" t="n">
        <v>18</v>
      </c>
      <c r="C79">
        <f>C18</f>
        <v/>
      </c>
      <c r="D79">
        <f>D18</f>
        <v/>
      </c>
      <c r="E79">
        <f>E18</f>
        <v/>
      </c>
      <c r="F79">
        <f>E79*0.5</f>
        <v/>
      </c>
      <c r="G79">
        <f>E79-F79</f>
        <v/>
      </c>
      <c r="H79">
        <f>G79</f>
        <v/>
      </c>
      <c r="I79">
        <f>$E$31</f>
        <v/>
      </c>
      <c r="J79">
        <f>IF(C79=0,0,G79*I79/C79)</f>
        <v/>
      </c>
      <c r="K79">
        <f>WEO_Data.B18+J79</f>
        <v/>
      </c>
    </row>
    <row r="80">
      <c r="B80" t="n">
        <v>19</v>
      </c>
      <c r="C80">
        <f>C19</f>
        <v/>
      </c>
      <c r="D80">
        <f>D19</f>
        <v/>
      </c>
      <c r="E80">
        <f>E19</f>
        <v/>
      </c>
      <c r="F80">
        <f>E80*0.5</f>
        <v/>
      </c>
      <c r="G80">
        <f>E80-F80</f>
        <v/>
      </c>
      <c r="H80">
        <f>G80</f>
        <v/>
      </c>
      <c r="I80">
        <f>$E$31</f>
        <v/>
      </c>
      <c r="J80">
        <f>IF(C80=0,0,G80*I80/C80)</f>
        <v/>
      </c>
      <c r="K80">
        <f>WEO_Data.B19+J80</f>
        <v/>
      </c>
    </row>
    <row r="81">
      <c r="B81" t="n">
        <v>20</v>
      </c>
      <c r="C81">
        <f>C20</f>
        <v/>
      </c>
      <c r="D81">
        <f>D20</f>
        <v/>
      </c>
      <c r="E81">
        <f>E20</f>
        <v/>
      </c>
      <c r="F81">
        <f>E81*0.5</f>
        <v/>
      </c>
      <c r="G81">
        <f>E81-F81</f>
        <v/>
      </c>
      <c r="H81">
        <f>G81</f>
        <v/>
      </c>
      <c r="I81">
        <f>$E$31</f>
        <v/>
      </c>
      <c r="J81">
        <f>IF(C81=0,0,G81*I81/C81)</f>
        <v/>
      </c>
      <c r="K81">
        <f>WEO_Data.B20+J81</f>
        <v/>
      </c>
    </row>
    <row r="82">
      <c r="B82" t="n">
        <v>21</v>
      </c>
      <c r="C82">
        <f>C21</f>
        <v/>
      </c>
      <c r="D82">
        <f>D21</f>
        <v/>
      </c>
      <c r="E82">
        <f>E21</f>
        <v/>
      </c>
      <c r="F82">
        <f>E82*0.5</f>
        <v/>
      </c>
      <c r="G82">
        <f>E82-F82</f>
        <v/>
      </c>
      <c r="H82">
        <f>G82</f>
        <v/>
      </c>
      <c r="I82">
        <f>$E$31</f>
        <v/>
      </c>
      <c r="J82">
        <f>IF(C82=0,0,G82*I82/C82)</f>
        <v/>
      </c>
      <c r="K82">
        <f>WEO_Data.B21+J82</f>
        <v/>
      </c>
    </row>
    <row r="83">
      <c r="B83" t="n">
        <v>22</v>
      </c>
      <c r="C83">
        <f>C22</f>
        <v/>
      </c>
      <c r="D83">
        <f>D22</f>
        <v/>
      </c>
      <c r="E83">
        <f>E22</f>
        <v/>
      </c>
      <c r="F83">
        <f>E83*0.5</f>
        <v/>
      </c>
      <c r="G83">
        <f>E83-F83</f>
        <v/>
      </c>
      <c r="H83">
        <f>G83</f>
        <v/>
      </c>
      <c r="I83">
        <f>$E$31</f>
        <v/>
      </c>
      <c r="J83">
        <f>IF(C83=0,0,G83*I83/C83)</f>
        <v/>
      </c>
      <c r="K83">
        <f>WEO_Data.B22+J83</f>
        <v/>
      </c>
    </row>
    <row r="84">
      <c r="B84" t="n">
        <v>23</v>
      </c>
      <c r="C84">
        <f>C23</f>
        <v/>
      </c>
      <c r="D84">
        <f>D23</f>
        <v/>
      </c>
      <c r="E84">
        <f>E23</f>
        <v/>
      </c>
      <c r="F84">
        <f>E84*0.5</f>
        <v/>
      </c>
      <c r="G84">
        <f>E84-F84</f>
        <v/>
      </c>
      <c r="H84">
        <f>G84</f>
        <v/>
      </c>
      <c r="I84">
        <f>$E$31</f>
        <v/>
      </c>
      <c r="J84">
        <f>IF(C84=0,0,G84*I84/C84)</f>
        <v/>
      </c>
      <c r="K84">
        <f>WEO_Data.B23+J84</f>
        <v/>
      </c>
    </row>
    <row r="85">
      <c r="B85" t="n">
        <v>24</v>
      </c>
      <c r="C85">
        <f>C24</f>
        <v/>
      </c>
      <c r="D85">
        <f>D24</f>
        <v/>
      </c>
      <c r="E85">
        <f>E24</f>
        <v/>
      </c>
      <c r="F85">
        <f>E85*0.5</f>
        <v/>
      </c>
      <c r="G85">
        <f>E85-F85</f>
        <v/>
      </c>
      <c r="H85">
        <f>G85</f>
        <v/>
      </c>
      <c r="I85">
        <f>$E$31</f>
        <v/>
      </c>
      <c r="J85">
        <f>IF(C85=0,0,G85*I85/C85)</f>
        <v/>
      </c>
      <c r="K85">
        <f>WEO_Data.B24+J85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2026-01-27T06:23:45Z</dcterms:created>
  <dcterms:modified xmlns:dcterms="http://purl.org/dc/terms/" xmlns:xsi="http://www.w3.org/2001/XMLSchema-instance" xsi:type="dcterms:W3CDTF">2026-01-27T06:23:45Z</dcterms:modified>
</cp:coreProperties>
</file>