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Data" sheetId="2" state="visible" r:id="rId2"/>
  </sheets>
  <externalReferences>
    <externalReference xmlns:r="http://schemas.openxmlformats.org/officeDocument/2006/relationships"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INDEX(Data!$H$21:$M$40,MATCH(1,(Data!$D$21:$D$40="BXGS_BP6")*(Data!$B$21:$B$40=466),0),MATCH(H$9,Data!$H$4:$M$4,0))</f>
        <v/>
      </c>
      <c r="I12" s="19">
        <f>INDEX(Data!$H$21:$M$40,MATCH(1,(Data!$D$21:$D$40="BXGS_BP6")*(Data!$B$21:$B$40=466),0),MATCH(I$9,Data!$H$4:$M$4,0))</f>
        <v/>
      </c>
      <c r="J12" s="19">
        <f>INDEX(Data!$H$21:$M$40,MATCH(1,(Data!$D$21:$D$40="BXGS_BP6")*(Data!$B$21:$B$40=466),0),MATCH(J$9,Data!$H$4:$M$4,0))</f>
        <v/>
      </c>
      <c r="K12" s="19">
        <f>INDEX(Data!$H$21:$M$40,MATCH(1,(Data!$D$21:$D$40="BXGS_BP6")*(Data!$B$21:$B$40=466),0),MATCH(K$9,Data!$H$4:$M$4,0))</f>
        <v/>
      </c>
      <c r="L12" s="20">
        <f>INDEX(Data!$H$21:$M$40,MATCH(1,(Data!$D$21:$D$40="BXGS_BP6")*(Data!$B$21:$B$40=466),0),MATCH(L$9,Data!$H$4:$M$4,0))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INDEX(Data!$H$21:$M$40,MATCH(1,(Data!$D$21:$D$40="BXGS_BP6")*(Data!$B$21:$B$40=419),0),MATCH(H$9,Data!$H$4:$M$4,0))</f>
        <v/>
      </c>
      <c r="I13" s="4">
        <f>INDEX(Data!$H$21:$M$40,MATCH(1,(Data!$D$21:$D$40="BXGS_BP6")*(Data!$B$21:$B$40=419),0),MATCH(I$9,Data!$H$4:$M$4,0))</f>
        <v/>
      </c>
      <c r="J13" s="4">
        <f>INDEX(Data!$H$21:$M$40,MATCH(1,(Data!$D$21:$D$40="BXGS_BP6")*(Data!$B$21:$B$40=419),0),MATCH(J$9,Data!$H$4:$M$4,0))</f>
        <v/>
      </c>
      <c r="K13" s="4">
        <f>INDEX(Data!$H$21:$M$40,MATCH(1,(Data!$D$21:$D$40="BXGS_BP6")*(Data!$B$21:$B$40=419),0),MATCH(K$9,Data!$H$4:$M$4,0))</f>
        <v/>
      </c>
      <c r="L13" s="5">
        <f>INDEX(Data!$H$21:$M$40,MATCH(1,(Data!$D$21:$D$40="BXGS_BP6")*(Data!$B$21:$B$40=419),0),MATCH(L$9,Data!$H$4:$M$4,0))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INDEX(Data!$H$21:$M$40,MATCH(1,(Data!$D$21:$D$40="BXGS_BP6")*(Data!$B$21:$B$40=443),0),MATCH(H$9,Data!$H$4:$M$4,0))</f>
        <v/>
      </c>
      <c r="I14" s="4">
        <f>INDEX(Data!$H$21:$M$40,MATCH(1,(Data!$D$21:$D$40="BXGS_BP6")*(Data!$B$21:$B$40=443),0),MATCH(I$9,Data!$H$4:$M$4,0))</f>
        <v/>
      </c>
      <c r="J14" s="4">
        <f>INDEX(Data!$H$21:$M$40,MATCH(1,(Data!$D$21:$D$40="BXGS_BP6")*(Data!$B$21:$B$40=443),0),MATCH(J$9,Data!$H$4:$M$4,0))</f>
        <v/>
      </c>
      <c r="K14" s="4">
        <f>INDEX(Data!$H$21:$M$40,MATCH(1,(Data!$D$21:$D$40="BXGS_BP6")*(Data!$B$21:$B$40=443),0),MATCH(K$9,Data!$H$4:$M$4,0))</f>
        <v/>
      </c>
      <c r="L14" s="5">
        <f>INDEX(Data!$H$21:$M$40,MATCH(1,(Data!$D$21:$D$40="BXGS_BP6")*(Data!$B$21:$B$40=443),0),MATCH(L$9,Data!$H$4:$M$4,0))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INDEX(Data!$H$21:$M$40,MATCH(1,(Data!$D$21:$D$40="BXGS_BP6")*(Data!$B$21:$B$40=453),0),MATCH(H$9,Data!$H$4:$M$4,0))</f>
        <v/>
      </c>
      <c r="I15" s="4">
        <f>INDEX(Data!$H$21:$M$40,MATCH(1,(Data!$D$21:$D$40="BXGS_BP6")*(Data!$B$21:$B$40=453),0),MATCH(I$9,Data!$H$4:$M$4,0))</f>
        <v/>
      </c>
      <c r="J15" s="4">
        <f>INDEX(Data!$H$21:$M$40,MATCH(1,(Data!$D$21:$D$40="BXGS_BP6")*(Data!$B$21:$B$40=453),0),MATCH(J$9,Data!$H$4:$M$4,0))</f>
        <v/>
      </c>
      <c r="K15" s="4">
        <f>INDEX(Data!$H$21:$M$40,MATCH(1,(Data!$D$21:$D$40="BXGS_BP6")*(Data!$B$21:$B$40=453),0),MATCH(K$9,Data!$H$4:$M$4,0))</f>
        <v/>
      </c>
      <c r="L15" s="5">
        <f>INDEX(Data!$H$21:$M$40,MATCH(1,(Data!$D$21:$D$40="BXGS_BP6")*(Data!$B$21:$B$40=453),0),MATCH(L$9,Data!$H$4:$M$4,0))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INDEX(Data!$H$21:$M$40,MATCH(1,(Data!$D$21:$D$40="BXGS_BP6")*(Data!$B$21:$B$40=449),0),MATCH(H$9,Data!$H$4:$M$4,0))</f>
        <v/>
      </c>
      <c r="I16" s="4">
        <f>INDEX(Data!$H$21:$M$40,MATCH(1,(Data!$D$21:$D$40="BXGS_BP6")*(Data!$B$21:$B$40=449),0),MATCH(I$9,Data!$H$4:$M$4,0))</f>
        <v/>
      </c>
      <c r="J16" s="4">
        <f>INDEX(Data!$H$21:$M$40,MATCH(1,(Data!$D$21:$D$40="BXGS_BP6")*(Data!$B$21:$B$40=449),0),MATCH(J$9,Data!$H$4:$M$4,0))</f>
        <v/>
      </c>
      <c r="K16" s="4">
        <f>INDEX(Data!$H$21:$M$40,MATCH(1,(Data!$D$21:$D$40="BXGS_BP6")*(Data!$B$21:$B$40=449),0),MATCH(K$9,Data!$H$4:$M$4,0))</f>
        <v/>
      </c>
      <c r="L16" s="5">
        <f>INDEX(Data!$H$21:$M$40,MATCH(1,(Data!$D$21:$D$40="BXGS_BP6")*(Data!$B$21:$B$40=449),0),MATCH(L$9,Data!$H$4:$M$4,0))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INDEX(Data!$H$21:$M$40,MATCH(1,(Data!$D$21:$D$40="BXGS_BP6")*(Data!$B$21:$B$40=456),0),MATCH(H$9,Data!$H$4:$M$4,0))</f>
        <v/>
      </c>
      <c r="I17" s="6">
        <f>INDEX(Data!$H$21:$M$40,MATCH(1,(Data!$D$21:$D$40="BXGS_BP6")*(Data!$B$21:$B$40=456),0),MATCH(I$9,Data!$H$4:$M$4,0))</f>
        <v/>
      </c>
      <c r="J17" s="6">
        <f>INDEX(Data!$H$21:$M$40,MATCH(1,(Data!$D$21:$D$40="BXGS_BP6")*(Data!$B$21:$B$40=456),0),MATCH(J$9,Data!$H$4:$M$4,0))</f>
        <v/>
      </c>
      <c r="K17" s="6">
        <f>INDEX(Data!$H$21:$M$40,MATCH(1,(Data!$D$21:$D$40="BXGS_BP6")*(Data!$B$21:$B$40=456),0),MATCH(K$9,Data!$H$4:$M$4,0))</f>
        <v/>
      </c>
      <c r="L17" s="7">
        <f>INDEX(Data!$H$21:$M$40,MATCH(1,(Data!$D$21:$D$40="BXGS_BP6")*(Data!$B$21:$B$40=456),0),MATCH(L$9,Data!$H$4:$M$4,0))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INDEX(Data!$H$21:$M$40,MATCH(1,(Data!$D$21:$D$40="BMGS_BP6")*(Data!$B$21:$B$40=466),0),MATCH(H$9,Data!$H$4:$M$4,0))</f>
        <v/>
      </c>
      <c r="I19" s="19">
        <f>INDEX(Data!$H$21:$M$40,MATCH(1,(Data!$D$21:$D$40="BMGS_BP6")*(Data!$B$21:$B$40=466),0),MATCH(I$9,Data!$H$4:$M$4,0))</f>
        <v/>
      </c>
      <c r="J19" s="19">
        <f>INDEX(Data!$H$21:$M$40,MATCH(1,(Data!$D$21:$D$40="BMGS_BP6")*(Data!$B$21:$B$40=466),0),MATCH(J$9,Data!$H$4:$M$4,0))</f>
        <v/>
      </c>
      <c r="K19" s="19">
        <f>INDEX(Data!$H$21:$M$40,MATCH(1,(Data!$D$21:$D$40="BMGS_BP6")*(Data!$B$21:$B$40=466),0),MATCH(K$9,Data!$H$4:$M$4,0))</f>
        <v/>
      </c>
      <c r="L19" s="20">
        <f>INDEX(Data!$H$21:$M$40,MATCH(1,(Data!$D$21:$D$40="BMGS_BP6")*(Data!$B$21:$B$40=466),0),MATCH(L$9,Data!$H$4:$M$4,0))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INDEX(Data!$H$21:$M$40,MATCH(1,(Data!$D$21:$D$40="BMGS_BP6")*(Data!$B$21:$B$40=419),0),MATCH(H$9,Data!$H$4:$M$4,0))</f>
        <v/>
      </c>
      <c r="I20" s="4">
        <f>INDEX(Data!$H$21:$M$40,MATCH(1,(Data!$D$21:$D$40="BMGS_BP6")*(Data!$B$21:$B$40=419),0),MATCH(I$9,Data!$H$4:$M$4,0))</f>
        <v/>
      </c>
      <c r="J20" s="4">
        <f>INDEX(Data!$H$21:$M$40,MATCH(1,(Data!$D$21:$D$40="BMGS_BP6")*(Data!$B$21:$B$40=419),0),MATCH(J$9,Data!$H$4:$M$4,0))</f>
        <v/>
      </c>
      <c r="K20" s="4">
        <f>INDEX(Data!$H$21:$M$40,MATCH(1,(Data!$D$21:$D$40="BMGS_BP6")*(Data!$B$21:$B$40=419),0),MATCH(K$9,Data!$H$4:$M$4,0))</f>
        <v/>
      </c>
      <c r="L20" s="5">
        <f>INDEX(Data!$H$21:$M$40,MATCH(1,(Data!$D$21:$D$40="BMGS_BP6")*(Data!$B$21:$B$40=419),0),MATCH(L$9,Data!$H$4:$M$4,0))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INDEX(Data!$H$21:$M$40,MATCH(1,(Data!$D$21:$D$40="BMGS_BP6")*(Data!$B$21:$B$40=443),0),MATCH(H$9,Data!$H$4:$M$4,0))</f>
        <v/>
      </c>
      <c r="I21" s="4">
        <f>INDEX(Data!$H$21:$M$40,MATCH(1,(Data!$D$21:$D$40="BMGS_BP6")*(Data!$B$21:$B$40=443),0),MATCH(I$9,Data!$H$4:$M$4,0))</f>
        <v/>
      </c>
      <c r="J21" s="4">
        <f>INDEX(Data!$H$21:$M$40,MATCH(1,(Data!$D$21:$D$40="BMGS_BP6")*(Data!$B$21:$B$40=443),0),MATCH(J$9,Data!$H$4:$M$4,0))</f>
        <v/>
      </c>
      <c r="K21" s="4">
        <f>INDEX(Data!$H$21:$M$40,MATCH(1,(Data!$D$21:$D$40="BMGS_BP6")*(Data!$B$21:$B$40=443),0),MATCH(K$9,Data!$H$4:$M$4,0))</f>
        <v/>
      </c>
      <c r="L21" s="5">
        <f>INDEX(Data!$H$21:$M$40,MATCH(1,(Data!$D$21:$D$40="BMGS_BP6")*(Data!$B$21:$B$40=443),0),MATCH(L$9,Data!$H$4:$M$4,0))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INDEX(Data!$H$21:$M$40,MATCH(1,(Data!$D$21:$D$40="BMGS_BP6")*(Data!$B$21:$B$40=453),0),MATCH(H$9,Data!$H$4:$M$4,0))</f>
        <v/>
      </c>
      <c r="I22" s="4">
        <f>INDEX(Data!$H$21:$M$40,MATCH(1,(Data!$D$21:$D$40="BMGS_BP6")*(Data!$B$21:$B$40=453),0),MATCH(I$9,Data!$H$4:$M$4,0))</f>
        <v/>
      </c>
      <c r="J22" s="4">
        <f>INDEX(Data!$H$21:$M$40,MATCH(1,(Data!$D$21:$D$40="BMGS_BP6")*(Data!$B$21:$B$40=453),0),MATCH(J$9,Data!$H$4:$M$4,0))</f>
        <v/>
      </c>
      <c r="K22" s="4">
        <f>INDEX(Data!$H$21:$M$40,MATCH(1,(Data!$D$21:$D$40="BMGS_BP6")*(Data!$B$21:$B$40=453),0),MATCH(K$9,Data!$H$4:$M$4,0))</f>
        <v/>
      </c>
      <c r="L22" s="5">
        <f>INDEX(Data!$H$21:$M$40,MATCH(1,(Data!$D$21:$D$40="BMGS_BP6")*(Data!$B$21:$B$40=453),0),MATCH(L$9,Data!$H$4:$M$4,0))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INDEX(Data!$H$21:$M$40,MATCH(1,(Data!$D$21:$D$40="BMGS_BP6")*(Data!$B$21:$B$40=449),0),MATCH(H$9,Data!$H$4:$M$4,0))</f>
        <v/>
      </c>
      <c r="I23" s="4">
        <f>INDEX(Data!$H$21:$M$40,MATCH(1,(Data!$D$21:$D$40="BMGS_BP6")*(Data!$B$21:$B$40=449),0),MATCH(I$9,Data!$H$4:$M$4,0))</f>
        <v/>
      </c>
      <c r="J23" s="4">
        <f>INDEX(Data!$H$21:$M$40,MATCH(1,(Data!$D$21:$D$40="BMGS_BP6")*(Data!$B$21:$B$40=449),0),MATCH(J$9,Data!$H$4:$M$4,0))</f>
        <v/>
      </c>
      <c r="K23" s="4">
        <f>INDEX(Data!$H$21:$M$40,MATCH(1,(Data!$D$21:$D$40="BMGS_BP6")*(Data!$B$21:$B$40=449),0),MATCH(K$9,Data!$H$4:$M$4,0))</f>
        <v/>
      </c>
      <c r="L23" s="5">
        <f>INDEX(Data!$H$21:$M$40,MATCH(1,(Data!$D$21:$D$40="BMGS_BP6")*(Data!$B$21:$B$40=449),0),MATCH(L$9,Data!$H$4:$M$4,0))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INDEX(Data!$H$21:$M$40,MATCH(1,(Data!$D$21:$D$40="BMGS_BP6")*(Data!$B$21:$B$40=456),0),MATCH(H$9,Data!$H$4:$M$4,0))</f>
        <v/>
      </c>
      <c r="I24" s="6">
        <f>INDEX(Data!$H$21:$M$40,MATCH(1,(Data!$D$21:$D$40="BMGS_BP6")*(Data!$B$21:$B$40=456),0),MATCH(I$9,Data!$H$4:$M$4,0))</f>
        <v/>
      </c>
      <c r="J24" s="6">
        <f>INDEX(Data!$H$21:$M$40,MATCH(1,(Data!$D$21:$D$40="BMGS_BP6")*(Data!$B$21:$B$40=456),0),MATCH(J$9,Data!$H$4:$M$4,0))</f>
        <v/>
      </c>
      <c r="K24" s="6">
        <f>INDEX(Data!$H$21:$M$40,MATCH(1,(Data!$D$21:$D$40="BMGS_BP6")*(Data!$B$21:$B$40=456),0),MATCH(K$9,Data!$H$4:$M$4,0))</f>
        <v/>
      </c>
      <c r="L24" s="7">
        <f>INDEX(Data!$H$21:$M$40,MATCH(1,(Data!$D$21:$D$40="BMGS_BP6")*(Data!$B$21:$B$40=456),0),MATCH(L$9,Data!$H$4:$M$4,0))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INDEX(Data!$H$21:$M$40,MATCH(1,(Data!$D$21:$D$40="NGDPD")*(Data!$B$21:$B$40=466),0),MATCH(H$9,Data!$H$4:$M$4,0))</f>
        <v/>
      </c>
      <c r="I26" s="19">
        <f>INDEX(Data!$H$21:$M$40,MATCH(1,(Data!$D$21:$D$40="NGDPD")*(Data!$B$21:$B$40=466),0),MATCH(I$9,Data!$H$4:$M$4,0))</f>
        <v/>
      </c>
      <c r="J26" s="19">
        <f>INDEX(Data!$H$21:$M$40,MATCH(1,(Data!$D$21:$D$40="NGDPD")*(Data!$B$21:$B$40=466),0),MATCH(J$9,Data!$H$4:$M$4,0))</f>
        <v/>
      </c>
      <c r="K26" s="19">
        <f>INDEX(Data!$H$21:$M$40,MATCH(1,(Data!$D$21:$D$40="NGDPD")*(Data!$B$21:$B$40=466),0),MATCH(K$9,Data!$H$4:$M$4,0))</f>
        <v/>
      </c>
      <c r="L26" s="20">
        <f>INDEX(Data!$H$21:$M$40,MATCH(1,(Data!$D$21:$D$40="NGDPD")*(Data!$B$21:$B$40=466),0),MATCH(L$9,Data!$H$4:$M$4,0))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INDEX(Data!$H$21:$M$40,MATCH(1,(Data!$D$21:$D$40="NGDPD")*(Data!$B$21:$B$40=419),0),MATCH(H$9,Data!$H$4:$M$4,0))</f>
        <v/>
      </c>
      <c r="I27" s="4">
        <f>INDEX(Data!$H$21:$M$40,MATCH(1,(Data!$D$21:$D$40="NGDPD")*(Data!$B$21:$B$40=419),0),MATCH(I$9,Data!$H$4:$M$4,0))</f>
        <v/>
      </c>
      <c r="J27" s="4">
        <f>INDEX(Data!$H$21:$M$40,MATCH(1,(Data!$D$21:$D$40="NGDPD")*(Data!$B$21:$B$40=419),0),MATCH(J$9,Data!$H$4:$M$4,0))</f>
        <v/>
      </c>
      <c r="K27" s="4">
        <f>INDEX(Data!$H$21:$M$40,MATCH(1,(Data!$D$21:$D$40="NGDPD")*(Data!$B$21:$B$40=419),0),MATCH(K$9,Data!$H$4:$M$4,0))</f>
        <v/>
      </c>
      <c r="L27" s="5">
        <f>INDEX(Data!$H$21:$M$40,MATCH(1,(Data!$D$21:$D$40="NGDPD")*(Data!$B$21:$B$40=419),0),MATCH(L$9,Data!$H$4:$M$4,0))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INDEX(Data!$H$21:$M$40,MATCH(1,(Data!$D$21:$D$40="NGDPD")*(Data!$B$21:$B$40=443),0),MATCH(H$9,Data!$H$4:$M$4,0))</f>
        <v/>
      </c>
      <c r="I28" s="4">
        <f>INDEX(Data!$H$21:$M$40,MATCH(1,(Data!$D$21:$D$40="NGDPD")*(Data!$B$21:$B$40=443),0),MATCH(I$9,Data!$H$4:$M$4,0))</f>
        <v/>
      </c>
      <c r="J28" s="4">
        <f>INDEX(Data!$H$21:$M$40,MATCH(1,(Data!$D$21:$D$40="NGDPD")*(Data!$B$21:$B$40=443),0),MATCH(J$9,Data!$H$4:$M$4,0))</f>
        <v/>
      </c>
      <c r="K28" s="4">
        <f>INDEX(Data!$H$21:$M$40,MATCH(1,(Data!$D$21:$D$40="NGDPD")*(Data!$B$21:$B$40=443),0),MATCH(K$9,Data!$H$4:$M$4,0))</f>
        <v/>
      </c>
      <c r="L28" s="5">
        <f>INDEX(Data!$H$21:$M$40,MATCH(1,(Data!$D$21:$D$40="NGDPD")*(Data!$B$21:$B$40=443),0),MATCH(L$9,Data!$H$4:$M$4,0))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INDEX(Data!$H$21:$M$40,MATCH(1,(Data!$D$21:$D$40="NGDPD")*(Data!$B$21:$B$40=453),0),MATCH(H$9,Data!$H$4:$M$4,0))</f>
        <v/>
      </c>
      <c r="I29" s="4">
        <f>INDEX(Data!$H$21:$M$40,MATCH(1,(Data!$D$21:$D$40="NGDPD")*(Data!$B$21:$B$40=453),0),MATCH(I$9,Data!$H$4:$M$4,0))</f>
        <v/>
      </c>
      <c r="J29" s="4">
        <f>INDEX(Data!$H$21:$M$40,MATCH(1,(Data!$D$21:$D$40="NGDPD")*(Data!$B$21:$B$40=453),0),MATCH(J$9,Data!$H$4:$M$4,0))</f>
        <v/>
      </c>
      <c r="K29" s="4">
        <f>INDEX(Data!$H$21:$M$40,MATCH(1,(Data!$D$21:$D$40="NGDPD")*(Data!$B$21:$B$40=453),0),MATCH(K$9,Data!$H$4:$M$4,0))</f>
        <v/>
      </c>
      <c r="L29" s="5">
        <f>INDEX(Data!$H$21:$M$40,MATCH(1,(Data!$D$21:$D$40="NGDPD")*(Data!$B$21:$B$40=453),0),MATCH(L$9,Data!$H$4:$M$4,0))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INDEX(Data!$H$21:$M$40,MATCH(1,(Data!$D$21:$D$40="NGDPD")*(Data!$B$21:$B$40=449),0),MATCH(H$9,Data!$H$4:$M$4,0))</f>
        <v/>
      </c>
      <c r="I30" s="4">
        <f>INDEX(Data!$H$21:$M$40,MATCH(1,(Data!$D$21:$D$40="NGDPD")*(Data!$B$21:$B$40=449),0),MATCH(I$9,Data!$H$4:$M$4,0))</f>
        <v/>
      </c>
      <c r="J30" s="4">
        <f>INDEX(Data!$H$21:$M$40,MATCH(1,(Data!$D$21:$D$40="NGDPD")*(Data!$B$21:$B$40=449),0),MATCH(J$9,Data!$H$4:$M$4,0))</f>
        <v/>
      </c>
      <c r="K30" s="4">
        <f>INDEX(Data!$H$21:$M$40,MATCH(1,(Data!$D$21:$D$40="NGDPD")*(Data!$B$21:$B$40=449),0),MATCH(K$9,Data!$H$4:$M$4,0))</f>
        <v/>
      </c>
      <c r="L30" s="5">
        <f>INDEX(Data!$H$21:$M$40,MATCH(1,(Data!$D$21:$D$40="NGDPD")*(Data!$B$21:$B$40=449),0),MATCH(L$9,Data!$H$4:$M$4,0))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INDEX(Data!$H$21:$M$40,MATCH(1,(Data!$D$21:$D$40="NGDPD")*(Data!$B$21:$B$40=456),0),MATCH(H$9,Data!$H$4:$M$4,0))</f>
        <v/>
      </c>
      <c r="I31" s="6">
        <f>INDEX(Data!$H$21:$M$40,MATCH(1,(Data!$D$21:$D$40="NGDPD")*(Data!$B$21:$B$40=456),0),MATCH(I$9,Data!$H$4:$M$4,0))</f>
        <v/>
      </c>
      <c r="J31" s="6">
        <f>INDEX(Data!$H$21:$M$40,MATCH(1,(Data!$D$21:$D$40="NGDPD")*(Data!$B$21:$B$40=456),0),MATCH(J$9,Data!$H$4:$M$4,0))</f>
        <v/>
      </c>
      <c r="K31" s="6">
        <f>INDEX(Data!$H$21:$M$40,MATCH(1,(Data!$D$21:$D$40="NGDPD")*(Data!$B$21:$B$40=456),0),MATCH(K$9,Data!$H$4:$M$4,0))</f>
        <v/>
      </c>
      <c r="L31" s="7">
        <f>INDEX(Data!$H$21:$M$40,MATCH(1,(Data!$D$21:$D$40="NGDPD")*(Data!$B$21:$B$40=456),0),MATCH(L$9,Data!$H$4:$M$4,0))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 t="inlineStr">
        <is>
          <t>Minimum</t>
        </is>
      </c>
      <c r="I42" s="19">
        <f>MIN(H35:L40)</f>
        <v/>
      </c>
      <c r="J42" s="19" t="n"/>
      <c r="K42" s="19" t="n"/>
      <c r="L42" s="20" t="n"/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 t="inlineStr">
        <is>
          <t>Maximum</t>
        </is>
      </c>
      <c r="I43" s="4">
        <f>MAX(H35:L40)</f>
        <v/>
      </c>
      <c r="J43" s="4" t="n"/>
      <c r="K43" s="4" t="n"/>
      <c r="L43" s="5" t="n"/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 t="inlineStr">
        <is>
          <t>Median</t>
        </is>
      </c>
      <c r="I44" s="4">
        <f>MEDIAN(H35:L40)</f>
        <v/>
      </c>
      <c r="J44" s="4" t="n"/>
      <c r="K44" s="4" t="n"/>
      <c r="L44" s="5" t="n"/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 t="inlineStr">
        <is>
          <t>Mean</t>
        </is>
      </c>
      <c r="I45" s="4">
        <f>AVERAGE(H35:L40)</f>
        <v/>
      </c>
      <c r="J45" s="4" t="n"/>
      <c r="K45" s="4" t="n"/>
      <c r="L45" s="5" t="n"/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 t="inlineStr">
        <is>
          <t>25th Percentile</t>
        </is>
      </c>
      <c r="I46" s="4">
        <f>PERCENTILE(H35:L40,0.25)</f>
        <v/>
      </c>
      <c r="J46" s="4" t="n"/>
      <c r="K46" s="4" t="n"/>
      <c r="L46" s="5" t="n"/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 t="inlineStr">
        <is>
          <t>75th Percentile</t>
        </is>
      </c>
      <c r="I47" s="6">
        <f>PERCENTILE(H35:L40,0.75)</f>
        <v/>
      </c>
      <c r="J47" s="6" t="n"/>
      <c r="K47" s="6" t="n"/>
      <c r="L47" s="7" t="n"/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inlineStr">
        <is>
          <t>Weighted Mean (SUMPRODUCT)</t>
        </is>
      </c>
      <c r="I49" s="1">
        <f>SUMPRODUCT(H35:L40,H31:L31)/SUM(H31:L31)</f>
        <v/>
      </c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 t="n"/>
      <c r="I50" s="26" t="n"/>
      <c r="J50" s="26" t="n"/>
      <c r="K50" s="26" t="n"/>
      <c r="L50" s="27" t="n"/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randrawis</dc:creator>
  <dcterms:created xmlns:dcterms="http://purl.org/dc/terms/" xmlns:xsi="http://www.w3.org/2001/XMLSchema-instance" xsi:type="dcterms:W3CDTF">2015-06-04T18:44:20Z</dcterms:created>
  <dcterms:modified xmlns:dcterms="http://purl.org/dc/terms/" xmlns:xsi="http://www.w3.org/2001/XMLSchema-instance" xsi:type="dcterms:W3CDTF">2026-01-26T16:21:16Z</dcterms:modified>
  <cp:lastModifiedBy>Shuyi Wang</cp:lastModifiedBy>
</cp:coreProperties>
</file>

<file path=docProps/custom.xml><?xml version="1.0" encoding="utf-8"?>
<Properties xmlns="http://schemas.openxmlformats.org/officeDocument/2006/custom-properties">
  <property name="eDOCS AutoSave" fmtid="{D5CDD505-2E9C-101B-9397-08002B2CF9AE}" pid="2">
    <vt:lpwstr xmlns:vt="http://schemas.openxmlformats.org/officeDocument/2006/docPropsVTypes">20240205172632264</vt:lpwstr>
  </property>
  <property name="ContentTypeId" fmtid="{D5CDD505-2E9C-101B-9397-08002B2CF9AE}" pid="3">
    <vt:lpwstr xmlns:vt="http://schemas.openxmlformats.org/officeDocument/2006/docPropsVTypes">0x01010058118BABD0ED6D468048C8451BAF473B</vt:lpwstr>
  </property>
  <property name="MSIP_Label_0c07ed86-5dc5-4593-ad03-a8684b843815_Enabled" fmtid="{D5CDD505-2E9C-101B-9397-08002B2CF9AE}" pid="4">
    <vt:lpwstr xmlns:vt="http://schemas.openxmlformats.org/officeDocument/2006/docPropsVTypes">true</vt:lpwstr>
  </property>
  <property name="MSIP_Label_0c07ed86-5dc5-4593-ad03-a8684b843815_SetDate" fmtid="{D5CDD505-2E9C-101B-9397-08002B2CF9AE}" pid="5">
    <vt:lpwstr xmlns:vt="http://schemas.openxmlformats.org/officeDocument/2006/docPropsVTypes">2023-11-14T17:08:03Z</vt:lpwstr>
  </property>
  <property name="MSIP_Label_0c07ed86-5dc5-4593-ad03-a8684b843815_Method" fmtid="{D5CDD505-2E9C-101B-9397-08002B2CF9AE}" pid="6">
    <vt:lpwstr xmlns:vt="http://schemas.openxmlformats.org/officeDocument/2006/docPropsVTypes">Standard</vt:lpwstr>
  </property>
  <property name="MSIP_Label_0c07ed86-5dc5-4593-ad03-a8684b843815_Name" fmtid="{D5CDD505-2E9C-101B-9397-08002B2CF9AE}" pid="7">
    <vt:lpwstr xmlns:vt="http://schemas.openxmlformats.org/officeDocument/2006/docPropsVTypes">0c07ed86-5dc5-4593-ad03-a8684b843815</vt:lpwstr>
  </property>
  <property name="MSIP_Label_0c07ed86-5dc5-4593-ad03-a8684b843815_SiteId" fmtid="{D5CDD505-2E9C-101B-9397-08002B2CF9AE}" pid="8">
    <vt:lpwstr xmlns:vt="http://schemas.openxmlformats.org/officeDocument/2006/docPropsVTypes">8085fa43-302e-45bd-b171-a6648c3b6be7</vt:lpwstr>
  </property>
  <property name="MSIP_Label_0c07ed86-5dc5-4593-ad03-a8684b843815_ActionId" fmtid="{D5CDD505-2E9C-101B-9397-08002B2CF9AE}" pid="9">
    <vt:lpwstr xmlns:vt="http://schemas.openxmlformats.org/officeDocument/2006/docPropsVTypes">24bec2d1-44c6-4ed5-9b3d-52c7f6152fa7</vt:lpwstr>
  </property>
  <property name="MSIP_Label_0c07ed86-5dc5-4593-ad03-a8684b843815_ContentBits" fmtid="{D5CDD505-2E9C-101B-9397-08002B2CF9AE}" pid="10">
    <vt:lpwstr xmlns:vt="http://schemas.openxmlformats.org/officeDocument/2006/docPropsVTypes">0</vt:lpwstr>
  </property>
  <property name="{A44787D4-0540-4523-9961-78E4036D8C6D}" fmtid="{D5CDD505-2E9C-101B-9397-08002B2CF9AE}" pid="11">
    <vt:lpwstr xmlns:vt="http://schemas.openxmlformats.org/officeDocument/2006/docPropsVTypes">{60978490-20C9-401C-A761-F61539A64994}</vt:lpwstr>
  </property>
</Properties>
</file>