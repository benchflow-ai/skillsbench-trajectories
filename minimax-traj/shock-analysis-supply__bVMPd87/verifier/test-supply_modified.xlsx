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WT" sheetId="1" state="visible" r:id="rId1"/>
    <sheet xmlns:r="http://schemas.openxmlformats.org/officeDocument/2006/relationships" name="WEO_Data" sheetId="2" state="visible" r:id="rId2"/>
    <sheet xmlns:r="http://schemas.openxmlformats.org/officeDocument/2006/relationships" name="CFC data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Inves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 GDP (millions 2017 USD)</t>
        </is>
      </c>
      <c r="C1" s="1" t="inlineStr">
        <is>
          <t>Capital Stock (millions 2017 USD)</t>
        </is>
      </c>
    </row>
    <row r="2">
      <c r="A2" t="n">
        <v>2000</v>
      </c>
      <c r="B2" t="n">
        <v>25425.16796875</v>
      </c>
      <c r="C2" t="n">
        <v>0.6453172564506531</v>
      </c>
    </row>
    <row r="3">
      <c r="A3" t="n">
        <v>2001</v>
      </c>
      <c r="B3" t="n">
        <v>26646.9609375</v>
      </c>
      <c r="C3" t="n">
        <v>0.6508181691169739</v>
      </c>
    </row>
    <row r="4">
      <c r="A4" t="n">
        <v>2002</v>
      </c>
      <c r="B4" t="n">
        <v>28105.572265625</v>
      </c>
      <c r="C4" t="n">
        <v>0.6517155170440674</v>
      </c>
    </row>
    <row r="5">
      <c r="A5" t="n">
        <v>2003</v>
      </c>
      <c r="B5" t="n">
        <v>31213.515625</v>
      </c>
      <c r="C5" t="n">
        <v>0.6589947938919067</v>
      </c>
    </row>
    <row r="6">
      <c r="A6" t="n">
        <v>2004</v>
      </c>
      <c r="B6" t="n">
        <v>33022.64453125</v>
      </c>
      <c r="C6" t="n">
        <v>0.676426887512207</v>
      </c>
    </row>
    <row r="7">
      <c r="A7" t="n">
        <v>2005</v>
      </c>
      <c r="B7" t="n">
        <v>36188.953125</v>
      </c>
      <c r="C7" t="n">
        <v>0.6979640126228333</v>
      </c>
    </row>
    <row r="8">
      <c r="A8" t="n">
        <v>2006</v>
      </c>
      <c r="B8" t="n">
        <v>39598.22265625</v>
      </c>
      <c r="C8" t="n">
        <v>0.7200320363044739</v>
      </c>
    </row>
    <row r="9">
      <c r="A9" t="n">
        <v>2007</v>
      </c>
      <c r="B9" t="n">
        <v>44579.19140625</v>
      </c>
      <c r="C9" t="n">
        <v>0.7452630996704102</v>
      </c>
    </row>
    <row r="10">
      <c r="A10" t="n">
        <v>2008</v>
      </c>
      <c r="B10" t="n">
        <v>45657.16015625</v>
      </c>
      <c r="C10" t="n">
        <v>0.7592312097549438</v>
      </c>
    </row>
    <row r="11">
      <c r="A11" t="n">
        <v>2009</v>
      </c>
      <c r="B11" t="n">
        <v>43990.6328125</v>
      </c>
      <c r="C11" t="n">
        <v>0.7521092295646667</v>
      </c>
    </row>
    <row r="12">
      <c r="A12" t="n">
        <v>2010</v>
      </c>
      <c r="B12" t="n">
        <v>46739.7890625</v>
      </c>
      <c r="C12" t="n">
        <v>0.7580080628395081</v>
      </c>
    </row>
    <row r="13">
      <c r="A13" t="n">
        <v>2011</v>
      </c>
      <c r="B13" t="n">
        <v>50455.2109375</v>
      </c>
      <c r="C13" t="n">
        <v>0.7690709233283997</v>
      </c>
    </row>
    <row r="14">
      <c r="A14" t="n">
        <v>2012</v>
      </c>
      <c r="B14" t="n">
        <v>53774.6796875</v>
      </c>
      <c r="C14" t="n">
        <v>0.782711386680603</v>
      </c>
    </row>
    <row r="15">
      <c r="A15" t="n">
        <v>2013</v>
      </c>
      <c r="B15" t="n">
        <v>56535.23046875</v>
      </c>
      <c r="C15" t="n">
        <v>0.7915836572647095</v>
      </c>
    </row>
    <row r="16">
      <c r="A16" t="n">
        <v>2014</v>
      </c>
      <c r="B16" t="n">
        <v>58847.86328125</v>
      </c>
      <c r="C16" t="n">
        <v>0.8123663067817688</v>
      </c>
    </row>
    <row r="17">
      <c r="A17" t="n">
        <v>2015</v>
      </c>
      <c r="B17" t="n">
        <v>60819.7421875</v>
      </c>
      <c r="C17" t="n">
        <v>0.8418498635292053</v>
      </c>
    </row>
    <row r="18">
      <c r="A18" t="n">
        <v>2016</v>
      </c>
      <c r="B18" t="n">
        <v>62917.9765625</v>
      </c>
      <c r="C18" t="n">
        <v>0.8752861022949219</v>
      </c>
    </row>
    <row r="19">
      <c r="A19" t="n">
        <v>2017</v>
      </c>
      <c r="B19" t="n">
        <v>66165.234375</v>
      </c>
      <c r="C19" t="n">
        <v>0.9098354578018188</v>
      </c>
    </row>
    <row r="20">
      <c r="A20" t="n">
        <v>2018</v>
      </c>
      <c r="B20" t="n">
        <v>70176.296875</v>
      </c>
      <c r="C20" t="n">
        <v>0.9388478398323059</v>
      </c>
    </row>
    <row r="21">
      <c r="A21" t="n">
        <v>2019</v>
      </c>
      <c r="B21" t="n">
        <v>73951.9765625</v>
      </c>
      <c r="C21" t="n">
        <v>0.9702340960502625</v>
      </c>
    </row>
    <row r="22">
      <c r="A22" t="n">
        <v>2020</v>
      </c>
      <c r="B22" t="n">
        <v>69299.46875</v>
      </c>
      <c r="C22" t="n">
        <v>0.9879248142242432</v>
      </c>
    </row>
    <row r="23">
      <c r="A23" t="n">
        <v>2021</v>
      </c>
      <c r="B23" t="n">
        <v>76675.71875</v>
      </c>
      <c r="C23" t="n">
        <v>1</v>
      </c>
    </row>
    <row r="24">
      <c r="A24" t="n">
        <v>2022</v>
      </c>
      <c r="B24" t="n">
        <v>85079.0234375</v>
      </c>
      <c r="C24" t="n">
        <v>1.017875075340271</v>
      </c>
    </row>
    <row r="25">
      <c r="A25" t="n">
        <v>2023</v>
      </c>
      <c r="B25" t="n">
        <v>91437.8125</v>
      </c>
      <c r="C25" t="n">
        <v>1.054265975952148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 GDP Level</t>
        </is>
      </c>
      <c r="C1" s="1" t="inlineStr">
        <is>
          <t>Real GDP Growth Rate (%)</t>
        </is>
      </c>
    </row>
    <row r="2">
      <c r="A2" t="n">
        <v>2000</v>
      </c>
      <c r="B2" t="n">
        <v>25425.16796875</v>
      </c>
      <c r="C2" t="n">
        <v>1.8</v>
      </c>
    </row>
    <row r="3">
      <c r="A3" t="n">
        <v>2001</v>
      </c>
      <c r="B3" t="n">
        <v>25882.8203125</v>
      </c>
      <c r="C3" t="n">
        <v>5.3</v>
      </c>
    </row>
    <row r="4">
      <c r="A4" t="n">
        <v>2002</v>
      </c>
      <c r="B4" t="n">
        <v>27254.609375</v>
      </c>
      <c r="C4" t="n">
        <v>5.5</v>
      </c>
    </row>
    <row r="5">
      <c r="A5" t="n">
        <v>2003</v>
      </c>
      <c r="B5" t="n">
        <v>28753.611328125</v>
      </c>
      <c r="C5" t="n">
        <v>7.1</v>
      </c>
    </row>
    <row r="6">
      <c r="A6" t="n">
        <v>2004</v>
      </c>
      <c r="B6" t="n">
        <v>30795.1171875</v>
      </c>
      <c r="C6" t="n">
        <v>9.4</v>
      </c>
    </row>
    <row r="7">
      <c r="A7" t="n">
        <v>2005</v>
      </c>
      <c r="B7" t="n">
        <v>33689.859375</v>
      </c>
      <c r="C7" t="n">
        <v>4.7</v>
      </c>
    </row>
    <row r="8">
      <c r="A8" t="n">
        <v>2006</v>
      </c>
      <c r="B8" t="n">
        <v>35273.28515625</v>
      </c>
      <c r="C8" t="n">
        <v>2.6</v>
      </c>
    </row>
    <row r="9">
      <c r="A9" t="n">
        <v>2007</v>
      </c>
      <c r="B9" t="n">
        <v>36190.390625</v>
      </c>
      <c r="C9" t="n">
        <v>6.4</v>
      </c>
    </row>
    <row r="10">
      <c r="A10" t="n">
        <v>2008</v>
      </c>
      <c r="B10" t="n">
        <v>38506.57421875</v>
      </c>
      <c r="C10" t="n">
        <v>-3.7</v>
      </c>
    </row>
    <row r="11">
      <c r="A11" t="n">
        <v>2009</v>
      </c>
      <c r="B11" t="n">
        <v>37081.83203125</v>
      </c>
      <c r="C11" t="n">
        <v>6.2</v>
      </c>
    </row>
    <row r="12">
      <c r="A12" t="n">
        <v>2010</v>
      </c>
      <c r="B12" t="n">
        <v>39380.90625</v>
      </c>
      <c r="C12" t="n">
        <v>5</v>
      </c>
    </row>
    <row r="13">
      <c r="A13" t="n">
        <v>2011</v>
      </c>
      <c r="B13" t="n">
        <v>41349.94921875</v>
      </c>
      <c r="C13" t="n">
        <v>4.6</v>
      </c>
    </row>
    <row r="14">
      <c r="A14" t="n">
        <v>2012</v>
      </c>
      <c r="B14" t="n">
        <v>43252.046875</v>
      </c>
      <c r="C14" t="n">
        <v>2.1</v>
      </c>
    </row>
    <row r="15">
      <c r="A15" t="n">
        <v>2013</v>
      </c>
      <c r="B15" t="n">
        <v>44160.33984375</v>
      </c>
      <c r="C15" t="n">
        <v>2.8</v>
      </c>
    </row>
    <row r="16">
      <c r="A16" t="n">
        <v>2014</v>
      </c>
      <c r="B16" t="n">
        <v>45396.828125</v>
      </c>
      <c r="C16" t="n">
        <v>4.5</v>
      </c>
    </row>
    <row r="17">
      <c r="A17" t="n">
        <v>2015</v>
      </c>
      <c r="B17" t="n">
        <v>47439.68359375</v>
      </c>
      <c r="C17" t="n">
        <v>4.3</v>
      </c>
    </row>
    <row r="18">
      <c r="A18" t="n">
        <v>2016</v>
      </c>
      <c r="B18" t="n">
        <v>49479.58984375</v>
      </c>
      <c r="C18" t="n">
        <v>4.8</v>
      </c>
    </row>
    <row r="19">
      <c r="A19" t="n">
        <v>2017</v>
      </c>
      <c r="B19" t="n">
        <v>51854.609375</v>
      </c>
      <c r="C19" t="n">
        <v>5</v>
      </c>
    </row>
    <row r="20">
      <c r="A20" t="n">
        <v>2018</v>
      </c>
      <c r="B20" t="n">
        <v>54447.3359375</v>
      </c>
      <c r="C20" t="n">
        <v>4.9</v>
      </c>
    </row>
    <row r="21">
      <c r="A21" t="n">
        <v>2019</v>
      </c>
      <c r="B21" t="n">
        <v>57115.2578125</v>
      </c>
      <c r="C21" t="n">
        <v>4.7</v>
      </c>
    </row>
    <row r="22">
      <c r="A22" t="n">
        <v>2020</v>
      </c>
      <c r="B22" t="n">
        <v>59799.6796875</v>
      </c>
      <c r="C22" t="n">
        <v>-5.8</v>
      </c>
    </row>
    <row r="23">
      <c r="A23" t="n">
        <v>2021</v>
      </c>
      <c r="B23" t="n">
        <v>56331.296875</v>
      </c>
      <c r="C23" t="n">
        <v>10.6</v>
      </c>
    </row>
    <row r="24">
      <c r="A24" t="n">
        <v>2022</v>
      </c>
      <c r="B24" t="n">
        <v>62302.41015625</v>
      </c>
      <c r="C24" t="n">
        <v>11</v>
      </c>
    </row>
    <row r="25">
      <c r="A25" t="n">
        <v>2023</v>
      </c>
      <c r="B25" t="n">
        <v>69155.6796875</v>
      </c>
      <c r="C25" t="n">
        <v>7.5</v>
      </c>
    </row>
    <row r="26">
      <c r="A26" t="n">
        <v>2024</v>
      </c>
      <c r="B26" t="n">
        <v>74342.359375</v>
      </c>
      <c r="C26" t="n">
        <v>5.5</v>
      </c>
    </row>
    <row r="27">
      <c r="A27" t="n">
        <v>2025</v>
      </c>
      <c r="B27" t="n">
        <v>78431.1875</v>
      </c>
      <c r="C27" t="n">
        <v>5</v>
      </c>
    </row>
    <row r="28">
      <c r="A28" t="n">
        <v>2026</v>
      </c>
      <c r="B28" t="n">
        <v>82352.7421875</v>
      </c>
      <c r="C28" t="n">
        <v>5</v>
      </c>
    </row>
    <row r="29">
      <c r="A29" t="n">
        <v>2027</v>
      </c>
      <c r="B29" t="n">
        <v>86470.375</v>
      </c>
      <c r="C2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Capital Stock (millions 2017 USD)</t>
        </is>
      </c>
      <c r="C1" s="1" t="inlineStr">
        <is>
          <t>Consumption of Fixed Capital</t>
        </is>
      </c>
      <c r="D1" t="inlineStr">
        <is>
          <t>Depreciation Rate</t>
        </is>
      </c>
      <c r="E1" t="inlineStr">
        <is>
          <t>Formula</t>
        </is>
      </c>
    </row>
    <row r="2">
      <c r="A2" t="n">
        <v>2000</v>
      </c>
      <c r="B2">
        <f>PWT.C2</f>
        <v/>
      </c>
      <c r="C2" t="n">
        <v>500</v>
      </c>
    </row>
    <row r="3">
      <c r="A3" t="n">
        <v>2001</v>
      </c>
      <c r="B3">
        <f>PWT.C3</f>
        <v/>
      </c>
      <c r="C3" t="n">
        <v>600</v>
      </c>
    </row>
    <row r="4">
      <c r="A4" t="n">
        <v>2002</v>
      </c>
      <c r="B4">
        <f>PWT.C4</f>
        <v/>
      </c>
      <c r="C4" t="n">
        <v>0.03159761056303978</v>
      </c>
      <c r="D4" t="n">
        <v>0.03159761056303978</v>
      </c>
    </row>
    <row r="5">
      <c r="A5" t="n">
        <v>2003</v>
      </c>
      <c r="B5">
        <f>PWT.C5</f>
        <v/>
      </c>
      <c r="C5" t="n">
        <v>0.03126375004649162</v>
      </c>
      <c r="D5" t="n">
        <v>0.03126375004649162</v>
      </c>
    </row>
    <row r="6">
      <c r="A6" t="n">
        <v>2004</v>
      </c>
      <c r="B6">
        <f>PWT.C6</f>
        <v/>
      </c>
      <c r="C6" t="n">
        <v>0.03168779239058495</v>
      </c>
      <c r="D6" t="n">
        <v>0.03168779239058495</v>
      </c>
      <c r="E6">
        <f>CFC_t / K_{t-1}</f>
        <v/>
      </c>
    </row>
    <row r="7">
      <c r="A7" t="n">
        <v>2005</v>
      </c>
      <c r="B7">
        <f>PWT.C7</f>
        <v/>
      </c>
      <c r="C7" t="n">
        <v>0.03293894976377487</v>
      </c>
      <c r="D7" t="n">
        <v>0.03293894976377487</v>
      </c>
      <c r="E7">
        <f>CFC_t / K_{t-1}</f>
        <v/>
      </c>
    </row>
    <row r="8">
      <c r="A8" t="n">
        <v>2006</v>
      </c>
      <c r="B8">
        <f>PWT.C8</f>
        <v/>
      </c>
      <c r="C8" t="n">
        <v>0.03444431722164154</v>
      </c>
      <c r="D8" t="n">
        <v>0.03444431722164154</v>
      </c>
      <c r="E8">
        <f>CFC_t / K_{t-1}</f>
        <v/>
      </c>
    </row>
    <row r="9">
      <c r="A9" t="n">
        <v>2007</v>
      </c>
      <c r="B9">
        <f>PWT.C9</f>
        <v/>
      </c>
      <c r="C9" t="n">
        <v>0.03606323525309563</v>
      </c>
      <c r="D9" t="n">
        <v>0.03606323525309563</v>
      </c>
      <c r="E9">
        <f>CFC_t / K_{t-1}</f>
        <v/>
      </c>
    </row>
    <row r="10">
      <c r="A10" t="n">
        <v>2008</v>
      </c>
      <c r="B10">
        <f>PWT.C10</f>
        <v/>
      </c>
      <c r="C10" t="n">
        <v>0.03733829408884048</v>
      </c>
      <c r="D10" t="n">
        <v>0.03733829408884048</v>
      </c>
      <c r="E10">
        <f>CFC_t / K_{t-1}</f>
        <v/>
      </c>
    </row>
    <row r="11">
      <c r="A11" t="n">
        <v>2009</v>
      </c>
      <c r="B11">
        <f>PWT.C11</f>
        <v/>
      </c>
      <c r="C11" t="n">
        <v>0.03752446174621582</v>
      </c>
      <c r="D11" t="n">
        <v>0.03752446174621582</v>
      </c>
      <c r="E11">
        <f>CFC_t / K_{t-1}</f>
        <v/>
      </c>
    </row>
    <row r="12">
      <c r="A12" t="n">
        <v>2010</v>
      </c>
      <c r="B12">
        <f>PWT.C12</f>
        <v/>
      </c>
      <c r="C12" t="n">
        <v>0.03722433373332024</v>
      </c>
      <c r="D12" t="n">
        <v>0.03722433373332024</v>
      </c>
      <c r="E12">
        <f>CFC_t / K_{t-1}</f>
        <v/>
      </c>
    </row>
    <row r="13">
      <c r="A13" t="n">
        <v>2011</v>
      </c>
      <c r="B13">
        <f>PWT.C13</f>
        <v/>
      </c>
      <c r="C13" t="n">
        <v>0.03718682378530502</v>
      </c>
      <c r="D13" t="n">
        <v>0.03718682378530502</v>
      </c>
      <c r="E13">
        <f>CFC_t / K_{t-1}</f>
        <v/>
      </c>
    </row>
    <row r="14">
      <c r="A14" t="n">
        <v>2012</v>
      </c>
      <c r="B14">
        <f>PWT.C14</f>
        <v/>
      </c>
      <c r="C14" t="n">
        <v>0.03718920424580574</v>
      </c>
      <c r="D14" t="n">
        <v>0.03718920424580574</v>
      </c>
      <c r="E14">
        <f>CFC_t / K_{t-1}</f>
        <v/>
      </c>
    </row>
    <row r="15">
      <c r="A15" t="n">
        <v>2013</v>
      </c>
      <c r="B15">
        <f>PWT.C15</f>
        <v/>
      </c>
      <c r="C15" t="n">
        <v>0.03723656386137009</v>
      </c>
      <c r="D15" t="n">
        <v>0.03723656386137009</v>
      </c>
      <c r="E15">
        <f>CFC_t / K_{t-1}</f>
        <v/>
      </c>
    </row>
    <row r="16">
      <c r="A16" t="n">
        <v>2014</v>
      </c>
      <c r="B16">
        <f>PWT.C16</f>
        <v/>
      </c>
      <c r="C16" t="n">
        <v>0.03755883872509003</v>
      </c>
      <c r="D16" t="n">
        <v>0.03755883872509003</v>
      </c>
      <c r="E16">
        <f>CFC_t / K_{t-1}</f>
        <v/>
      </c>
    </row>
    <row r="17">
      <c r="A17" t="n">
        <v>2015</v>
      </c>
      <c r="B17">
        <f>PWT.C17</f>
        <v/>
      </c>
      <c r="C17" t="n">
        <v>0.03832678496837616</v>
      </c>
      <c r="D17" t="n">
        <v>0.03832678496837616</v>
      </c>
      <c r="E17">
        <f>CFC_t / K_{t-1}</f>
        <v/>
      </c>
    </row>
    <row r="18">
      <c r="A18" t="n">
        <v>2016</v>
      </c>
      <c r="B18">
        <f>PWT.C18</f>
        <v/>
      </c>
      <c r="C18" t="n">
        <v>0.03930991142988205</v>
      </c>
      <c r="D18" t="n">
        <v>0.03930991142988205</v>
      </c>
      <c r="E18">
        <f>CFC_t / K_{t-1}</f>
        <v/>
      </c>
    </row>
    <row r="19">
      <c r="A19" t="n">
        <v>2017</v>
      </c>
      <c r="B19">
        <f>PWT.C19</f>
        <v/>
      </c>
      <c r="C19" t="n">
        <v>0.04042528569698334</v>
      </c>
      <c r="D19" t="n">
        <v>0.04042528569698334</v>
      </c>
      <c r="E19">
        <f>CFC_t / K_{t-1}</f>
        <v/>
      </c>
    </row>
    <row r="20">
      <c r="A20" t="n">
        <v>2018</v>
      </c>
      <c r="B20">
        <f>PWT.C20</f>
        <v/>
      </c>
      <c r="C20" t="n">
        <v>0.04125902056694031</v>
      </c>
      <c r="D20" t="n">
        <v>0.04125902056694031</v>
      </c>
      <c r="E20">
        <f>CFC_t / K_{t-1}</f>
        <v/>
      </c>
    </row>
    <row r="21">
      <c r="A21" t="n">
        <v>2019</v>
      </c>
      <c r="B21">
        <f>PWT.C21</f>
        <v/>
      </c>
      <c r="C21" t="n">
        <v>0.04206264764070511</v>
      </c>
      <c r="D21" t="n">
        <v>0.04206264764070511</v>
      </c>
      <c r="E21">
        <f>CFC_t / K_{t-1}</f>
        <v/>
      </c>
    </row>
    <row r="22">
      <c r="A22" t="n">
        <v>2020</v>
      </c>
      <c r="B22">
        <f>PWT.C22</f>
        <v/>
      </c>
      <c r="C22" t="n">
        <v>0.04295921698212624</v>
      </c>
      <c r="D22" t="n">
        <v>0.04295921698212624</v>
      </c>
      <c r="E22">
        <f>CFC_t / K_{t-1}</f>
        <v/>
      </c>
    </row>
    <row r="23">
      <c r="A23" t="n">
        <v>2021</v>
      </c>
      <c r="B23">
        <f>PWT.C23</f>
        <v/>
      </c>
      <c r="C23" t="n">
        <v>0.04335731267929077</v>
      </c>
      <c r="D23" t="n">
        <v>0.04335731267929077</v>
      </c>
      <c r="E23">
        <f>CFC_t / K_{t-1}</f>
        <v/>
      </c>
    </row>
    <row r="24">
      <c r="A24" t="n">
        <v>2022</v>
      </c>
      <c r="B24">
        <f>PWT.C24</f>
        <v/>
      </c>
      <c r="C24" t="n">
        <v>0.04360770806670189</v>
      </c>
      <c r="D24" t="n">
        <v>0.04360770806670189</v>
      </c>
      <c r="E24">
        <f>CFC_t / K_{t-1}</f>
        <v/>
      </c>
    </row>
    <row r="25">
      <c r="A25" t="n">
        <v>2023</v>
      </c>
      <c r="B25">
        <f>PWT.C25</f>
        <v/>
      </c>
      <c r="C25" t="n">
        <v>0.04448944702744484</v>
      </c>
      <c r="D25" t="n">
        <v>0.04448944702744484</v>
      </c>
      <c r="E25">
        <f>CFC_t / K_{t-1}</f>
        <v/>
      </c>
    </row>
    <row r="26">
      <c r="D26">
        <f>C26/B25</f>
        <v/>
      </c>
      <c r="E26">
        <f>CFC_t / K_{t-1}</f>
        <v/>
      </c>
    </row>
    <row r="27">
      <c r="D27">
        <f>C27/B26</f>
        <v/>
      </c>
      <c r="E27">
        <f>CFC_t / K_{t-1}</f>
        <v/>
      </c>
    </row>
    <row r="29">
      <c r="D29" t="inlineStr">
        <is>
          <t>Average (last 8 years):</t>
        </is>
      </c>
    </row>
    <row r="30">
      <c r="D30">
        <f>AVERAGE(D20:D27)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5" customWidth="1" min="12" max="12"/>
    <col width="12" customWidth="1" min="13" max="13"/>
    <col width="12" customWidth="1" min="14" max="14"/>
  </cols>
  <sheetData>
    <row r="1">
      <c r="A1" s="1" t="inlineStr">
        <is>
          <t>Year</t>
        </is>
      </c>
      <c r="B1" s="1" t="inlineStr">
        <is>
          <t>Annual Depreciation Rate</t>
        </is>
      </c>
      <c r="C1" s="1" t="inlineStr">
        <is>
          <t>Note: Average of last 8 years</t>
        </is>
      </c>
      <c r="D1" s="1" t="inlineStr">
        <is>
          <t>K</t>
        </is>
      </c>
      <c r="E1" s="1" t="inlineStr">
        <is>
          <t>Y</t>
        </is>
      </c>
      <c r="F1" s="1" t="inlineStr">
        <is>
          <t>LnK</t>
        </is>
      </c>
      <c r="G1" s="1" t="inlineStr">
        <is>
          <t>LnY</t>
        </is>
      </c>
      <c r="H1" s="1" t="inlineStr">
        <is>
          <t>LnZ</t>
        </is>
      </c>
      <c r="I1" s="1" t="inlineStr">
        <is>
          <t>LnZ_HP</t>
        </is>
      </c>
      <c r="J1" s="1" t="inlineStr">
        <is>
          <t>Second Diff</t>
        </is>
      </c>
      <c r="K1" s="1" t="inlineStr">
        <is>
          <t>LnZ_HP_Dup</t>
        </is>
      </c>
      <c r="L1" s="1" t="inlineStr">
        <is>
          <t>Objective</t>
        </is>
      </c>
      <c r="M1" s="1" t="inlineStr">
        <is>
          <t>LnA-Trend</t>
        </is>
      </c>
      <c r="N1" s="1" t="inlineStr">
        <is>
          <t>HP Filter Parameters:</t>
        </is>
      </c>
      <c r="P1" t="inlineStr">
        <is>
          <t>Solver Setup Instructions:</t>
        </is>
      </c>
    </row>
    <row r="2">
      <c r="B2" t="inlineStr">
        <is>
          <t>Annual Depreciation Rate</t>
        </is>
      </c>
      <c r="N2" t="inlineStr">
        <is>
          <t>Lambda (1600 for annual data):</t>
        </is>
      </c>
      <c r="P2" t="inlineStr">
        <is>
          <t>1. Go to Data &gt; Solver</t>
        </is>
      </c>
    </row>
    <row r="3">
      <c r="B3">
        <f>AVERAGE(CFC!D16:D23)</f>
        <v/>
      </c>
      <c r="N3" t="n">
        <v>1600</v>
      </c>
      <c r="P3" t="inlineStr">
        <is>
          <t>2. Set Objective: $L$6 (Min)</t>
        </is>
      </c>
    </row>
    <row r="4">
      <c r="D4" t="n">
        <v>0.6517155170440674</v>
      </c>
      <c r="F4">
        <f>LN(D4)</f>
        <v/>
      </c>
      <c r="P4" t="inlineStr">
        <is>
          <t>3. By Changing Variable Cells: $I$6:$I$27</t>
        </is>
      </c>
    </row>
    <row r="5">
      <c r="D5" t="n">
        <v>0.6589947938919067</v>
      </c>
      <c r="F5">
        <f>LN(D5)</f>
        <v/>
      </c>
      <c r="L5" t="inlineStr">
        <is>
          <t>Total Objective:</t>
        </is>
      </c>
      <c r="P5" t="inlineStr">
        <is>
          <t>4. Subject to constraints:</t>
        </is>
      </c>
    </row>
    <row r="6">
      <c r="A6" t="n">
        <v>2</v>
      </c>
      <c r="D6" t="n">
        <v>0.676426887512207</v>
      </c>
      <c r="E6">
        <f>WEO_Data!B6</f>
        <v/>
      </c>
      <c r="F6">
        <f>LN(D6)</f>
        <v/>
      </c>
      <c r="G6">
        <f>LN(E6)</f>
        <v/>
      </c>
      <c r="H6">
        <f>G6 - 0.35*F6</f>
        <v/>
      </c>
      <c r="I6">
        <f>H6</f>
        <v/>
      </c>
      <c r="J6">
        <f>IF(AND(I7&gt;0,I6&gt;0,I5&gt;0),I7-2*I6+I5,0)</f>
        <v/>
      </c>
      <c r="K6">
        <f>I6</f>
        <v/>
      </c>
      <c r="L6">
        <f>SUM(L6:L27)</f>
        <v/>
      </c>
      <c r="M6">
        <f>I6</f>
        <v/>
      </c>
      <c r="N6">
        <f>M6-I6</f>
        <v/>
      </c>
      <c r="P6" t="inlineStr">
        <is>
          <t xml:space="preserve">   - Ensure smooth trend</t>
        </is>
      </c>
    </row>
    <row r="7">
      <c r="A7" t="n">
        <v>3</v>
      </c>
      <c r="D7" t="n">
        <v>0.6979640126228333</v>
      </c>
      <c r="E7">
        <f>WEO_Data!B7</f>
        <v/>
      </c>
      <c r="F7">
        <f>LN(D7)</f>
        <v/>
      </c>
      <c r="G7">
        <f>LN(E7)</f>
        <v/>
      </c>
      <c r="H7">
        <f>G7 - 0.35*F7</f>
        <v/>
      </c>
      <c r="I7">
        <f>H7</f>
        <v/>
      </c>
      <c r="J7">
        <f>IF(AND(I8&gt;0,I7&gt;0,I6&gt;0),I8-2*I7+I6,0)</f>
        <v/>
      </c>
      <c r="K7">
        <f>I7</f>
        <v/>
      </c>
      <c r="L7">
        <f>100*(J7)^2 + (I7-H7)^2</f>
        <v/>
      </c>
      <c r="M7">
        <f>I7</f>
        <v/>
      </c>
      <c r="N7">
        <f>M7-I7</f>
        <v/>
      </c>
      <c r="P7" t="inlineStr">
        <is>
          <t>5. Click Solve</t>
        </is>
      </c>
    </row>
    <row r="8">
      <c r="A8" t="n">
        <v>4</v>
      </c>
      <c r="D8" t="n">
        <v>0.7200320363044739</v>
      </c>
      <c r="E8">
        <f>WEO_Data!B8</f>
        <v/>
      </c>
      <c r="F8">
        <f>LN(D8)</f>
        <v/>
      </c>
      <c r="G8">
        <f>LN(E8)</f>
        <v/>
      </c>
      <c r="H8">
        <f>G8 - 0.35*F8</f>
        <v/>
      </c>
      <c r="I8">
        <f>H8</f>
        <v/>
      </c>
      <c r="J8">
        <f>IF(AND(I9&gt;0,I8&gt;0,I7&gt;0),I9-2*I8+I7,0)</f>
        <v/>
      </c>
      <c r="K8">
        <f>I8</f>
        <v/>
      </c>
      <c r="L8">
        <f>100*(J8)^2 + (I8-H8)^2</f>
        <v/>
      </c>
      <c r="M8">
        <f>I8</f>
        <v/>
      </c>
      <c r="N8">
        <f>M8-I8</f>
        <v/>
      </c>
    </row>
    <row r="9">
      <c r="A9" t="n">
        <v>5</v>
      </c>
      <c r="D9" t="n">
        <v>0.7452630996704102</v>
      </c>
      <c r="E9">
        <f>WEO_Data!B9</f>
        <v/>
      </c>
      <c r="F9">
        <f>LN(D9)</f>
        <v/>
      </c>
      <c r="G9">
        <f>LN(E9)</f>
        <v/>
      </c>
      <c r="H9">
        <f>G9 - 0.35*F9</f>
        <v/>
      </c>
      <c r="I9">
        <f>H9</f>
        <v/>
      </c>
      <c r="J9">
        <f>IF(AND(I10&gt;0,I9&gt;0,I8&gt;0),I10-2*I9+I8,0)</f>
        <v/>
      </c>
      <c r="K9">
        <f>I9</f>
        <v/>
      </c>
      <c r="L9">
        <f>100*(J9)^2 + (I9-H9)^2</f>
        <v/>
      </c>
      <c r="M9">
        <f>I9</f>
        <v/>
      </c>
      <c r="N9">
        <f>M9-I9</f>
        <v/>
      </c>
    </row>
    <row r="10">
      <c r="A10" t="n">
        <v>6</v>
      </c>
      <c r="D10" t="n">
        <v>0.7592312097549438</v>
      </c>
      <c r="E10">
        <f>WEO_Data!B10</f>
        <v/>
      </c>
      <c r="F10">
        <f>LN(D10)</f>
        <v/>
      </c>
      <c r="G10">
        <f>LN(E10)</f>
        <v/>
      </c>
      <c r="H10">
        <f>G10 - 0.35*F10</f>
        <v/>
      </c>
      <c r="I10">
        <f>H10</f>
        <v/>
      </c>
      <c r="J10">
        <f>IF(AND(I11&gt;0,I10&gt;0,I9&gt;0),I11-2*I10+I9,0)</f>
        <v/>
      </c>
      <c r="K10">
        <f>I10</f>
        <v/>
      </c>
      <c r="L10">
        <f>100*(J10)^2 + (I10-H10)^2</f>
        <v/>
      </c>
      <c r="M10">
        <f>I10</f>
        <v/>
      </c>
      <c r="N10">
        <f>M10-I10</f>
        <v/>
      </c>
    </row>
    <row r="11">
      <c r="A11" t="n">
        <v>7</v>
      </c>
      <c r="D11" t="n">
        <v>0.7521092295646667</v>
      </c>
      <c r="E11">
        <f>WEO_Data!B11</f>
        <v/>
      </c>
      <c r="F11">
        <f>LN(D11)</f>
        <v/>
      </c>
      <c r="G11">
        <f>LN(E11)</f>
        <v/>
      </c>
      <c r="H11">
        <f>G11 - 0.35*F11</f>
        <v/>
      </c>
      <c r="I11">
        <f>H11</f>
        <v/>
      </c>
      <c r="J11">
        <f>IF(AND(I12&gt;0,I11&gt;0,I10&gt;0),I12-2*I11+I10,0)</f>
        <v/>
      </c>
      <c r="K11">
        <f>I11</f>
        <v/>
      </c>
      <c r="L11">
        <f>100*(J11)^2 + (I11-H11)^2</f>
        <v/>
      </c>
      <c r="M11">
        <f>I11</f>
        <v/>
      </c>
      <c r="N11">
        <f>M11-I11</f>
        <v/>
      </c>
    </row>
    <row r="12">
      <c r="A12" t="n">
        <v>8</v>
      </c>
      <c r="D12" t="n">
        <v>0.7580080628395081</v>
      </c>
      <c r="E12">
        <f>WEO_Data!B12</f>
        <v/>
      </c>
      <c r="F12">
        <f>LN(D12)</f>
        <v/>
      </c>
      <c r="G12">
        <f>LN(E12)</f>
        <v/>
      </c>
      <c r="H12">
        <f>G12 - 0.35*F12</f>
        <v/>
      </c>
      <c r="I12">
        <f>H12</f>
        <v/>
      </c>
      <c r="J12">
        <f>IF(AND(I13&gt;0,I12&gt;0,I11&gt;0),I13-2*I12+I11,0)</f>
        <v/>
      </c>
      <c r="K12">
        <f>I12</f>
        <v/>
      </c>
      <c r="L12">
        <f>100*(J12)^2 + (I12-H12)^2</f>
        <v/>
      </c>
      <c r="M12">
        <f>I12</f>
        <v/>
      </c>
      <c r="N12">
        <f>M12-I12</f>
        <v/>
      </c>
    </row>
    <row r="13">
      <c r="A13" t="n">
        <v>9</v>
      </c>
      <c r="D13" t="n">
        <v>0.7690709233283997</v>
      </c>
      <c r="E13">
        <f>WEO_Data!B13</f>
        <v/>
      </c>
      <c r="F13">
        <f>LN(D13)</f>
        <v/>
      </c>
      <c r="G13">
        <f>LN(E13)</f>
        <v/>
      </c>
      <c r="H13">
        <f>G13 - 0.35*F13</f>
        <v/>
      </c>
      <c r="I13">
        <f>H13</f>
        <v/>
      </c>
      <c r="J13">
        <f>IF(AND(I14&gt;0,I13&gt;0,I12&gt;0),I14-2*I13+I12,0)</f>
        <v/>
      </c>
      <c r="K13">
        <f>I13</f>
        <v/>
      </c>
      <c r="L13">
        <f>100*(J13)^2 + (I13-H13)^2</f>
        <v/>
      </c>
      <c r="M13">
        <f>I13</f>
        <v/>
      </c>
      <c r="N13">
        <f>M13-I13</f>
        <v/>
      </c>
    </row>
    <row r="14">
      <c r="A14" t="n">
        <v>10</v>
      </c>
      <c r="D14" t="n">
        <v>0.782711386680603</v>
      </c>
      <c r="E14">
        <f>WEO_Data!B14</f>
        <v/>
      </c>
      <c r="F14">
        <f>LN(D14)</f>
        <v/>
      </c>
      <c r="G14">
        <f>LN(E14)</f>
        <v/>
      </c>
      <c r="H14">
        <f>G14 - 0.35*F14</f>
        <v/>
      </c>
      <c r="I14">
        <f>H14</f>
        <v/>
      </c>
      <c r="J14">
        <f>IF(AND(I15&gt;0,I14&gt;0,I13&gt;0),I15-2*I14+I13,0)</f>
        <v/>
      </c>
      <c r="K14">
        <f>I14</f>
        <v/>
      </c>
      <c r="L14">
        <f>100*(J14)^2 + (I14-H14)^2</f>
        <v/>
      </c>
      <c r="M14">
        <f>I14</f>
        <v/>
      </c>
      <c r="N14">
        <f>M14-I14</f>
        <v/>
      </c>
    </row>
    <row r="15">
      <c r="A15" t="n">
        <v>11</v>
      </c>
      <c r="D15" t="n">
        <v>0.7915836572647095</v>
      </c>
      <c r="E15">
        <f>WEO_Data!B15</f>
        <v/>
      </c>
      <c r="F15">
        <f>LN(D15)</f>
        <v/>
      </c>
      <c r="G15">
        <f>LN(E15)</f>
        <v/>
      </c>
      <c r="H15">
        <f>G15 - 0.35*F15</f>
        <v/>
      </c>
      <c r="I15">
        <f>H15</f>
        <v/>
      </c>
      <c r="J15">
        <f>IF(AND(I16&gt;0,I15&gt;0,I14&gt;0),I16-2*I15+I14,0)</f>
        <v/>
      </c>
      <c r="K15">
        <f>I15</f>
        <v/>
      </c>
      <c r="L15">
        <f>100*(J15)^2 + (I15-H15)^2</f>
        <v/>
      </c>
      <c r="M15">
        <f>I15</f>
        <v/>
      </c>
      <c r="N15">
        <f>M15-I15</f>
        <v/>
      </c>
    </row>
    <row r="16">
      <c r="A16" t="n">
        <v>12</v>
      </c>
      <c r="D16" t="n">
        <v>0.8123663067817688</v>
      </c>
      <c r="E16">
        <f>WEO_Data!B16</f>
        <v/>
      </c>
      <c r="F16">
        <f>LN(D16)</f>
        <v/>
      </c>
      <c r="G16">
        <f>LN(E16)</f>
        <v/>
      </c>
      <c r="H16">
        <f>G16 - 0.35*F16</f>
        <v/>
      </c>
      <c r="I16">
        <f>H16</f>
        <v/>
      </c>
      <c r="J16">
        <f>IF(AND(I17&gt;0,I16&gt;0,I15&gt;0),I17-2*I16+I15,0)</f>
        <v/>
      </c>
      <c r="K16">
        <f>I16</f>
        <v/>
      </c>
      <c r="L16">
        <f>100*(J16)^2 + (I16-H16)^2</f>
        <v/>
      </c>
      <c r="M16">
        <f>I16</f>
        <v/>
      </c>
      <c r="N16">
        <f>M16-I16</f>
        <v/>
      </c>
    </row>
    <row r="17">
      <c r="A17" t="n">
        <v>13</v>
      </c>
      <c r="D17" t="n">
        <v>0.8418498635292053</v>
      </c>
      <c r="E17">
        <f>WEO_Data!B17</f>
        <v/>
      </c>
      <c r="F17">
        <f>LN(D17)</f>
        <v/>
      </c>
      <c r="G17">
        <f>LN(E17)</f>
        <v/>
      </c>
      <c r="H17">
        <f>G17 - 0.35*F17</f>
        <v/>
      </c>
      <c r="I17">
        <f>H17</f>
        <v/>
      </c>
      <c r="J17">
        <f>IF(AND(I18&gt;0,I17&gt;0,I16&gt;0),I18-2*I17+I16,0)</f>
        <v/>
      </c>
      <c r="K17">
        <f>I17</f>
        <v/>
      </c>
      <c r="L17">
        <f>100*(J17)^2 + (I17-H17)^2</f>
        <v/>
      </c>
      <c r="M17">
        <f>I17</f>
        <v/>
      </c>
      <c r="N17">
        <f>M17-I17</f>
        <v/>
      </c>
    </row>
    <row r="18">
      <c r="A18" t="n">
        <v>14</v>
      </c>
      <c r="D18" t="n">
        <v>0.8752861022949219</v>
      </c>
      <c r="E18">
        <f>WEO_Data!B18</f>
        <v/>
      </c>
      <c r="F18">
        <f>LN(D18)</f>
        <v/>
      </c>
      <c r="G18">
        <f>LN(E18)</f>
        <v/>
      </c>
      <c r="H18">
        <f>G18 - 0.35*F18</f>
        <v/>
      </c>
      <c r="I18">
        <f>H18</f>
        <v/>
      </c>
      <c r="J18">
        <f>IF(AND(I19&gt;0,I18&gt;0,I17&gt;0),I19-2*I18+I17,0)</f>
        <v/>
      </c>
      <c r="K18">
        <f>I18</f>
        <v/>
      </c>
      <c r="L18">
        <f>100*(J18)^2 + (I18-H18)^2</f>
        <v/>
      </c>
      <c r="M18">
        <f>I18</f>
        <v/>
      </c>
      <c r="N18">
        <f>M18-I18</f>
        <v/>
      </c>
    </row>
    <row r="19">
      <c r="A19" t="n">
        <v>15</v>
      </c>
      <c r="D19" t="n">
        <v>0.9098354578018188</v>
      </c>
      <c r="E19">
        <f>WEO_Data!B19</f>
        <v/>
      </c>
      <c r="F19">
        <f>LN(D19)</f>
        <v/>
      </c>
      <c r="G19">
        <f>LN(E19)</f>
        <v/>
      </c>
      <c r="H19">
        <f>G19 - 0.35*F19</f>
        <v/>
      </c>
      <c r="I19">
        <f>H19</f>
        <v/>
      </c>
      <c r="J19">
        <f>IF(AND(I20&gt;0,I19&gt;0,I18&gt;0),I20-2*I19+I18,0)</f>
        <v/>
      </c>
      <c r="K19">
        <f>I19</f>
        <v/>
      </c>
      <c r="L19">
        <f>100*(J19)^2 + (I19-H19)^2</f>
        <v/>
      </c>
      <c r="M19">
        <f>I19</f>
        <v/>
      </c>
      <c r="N19">
        <f>M19-I19</f>
        <v/>
      </c>
    </row>
    <row r="20">
      <c r="A20" t="n">
        <v>16</v>
      </c>
      <c r="D20" t="n">
        <v>0.9388478398323059</v>
      </c>
      <c r="E20">
        <f>WEO_Data!B20</f>
        <v/>
      </c>
      <c r="F20">
        <f>LN(D20)</f>
        <v/>
      </c>
      <c r="G20">
        <f>LN(E20)</f>
        <v/>
      </c>
      <c r="H20">
        <f>G20 - 0.35*F20</f>
        <v/>
      </c>
      <c r="I20">
        <f>H20</f>
        <v/>
      </c>
      <c r="J20">
        <f>IF(AND(I21&gt;0,I20&gt;0,I19&gt;0),I21-2*I20+I19,0)</f>
        <v/>
      </c>
      <c r="K20">
        <f>I20</f>
        <v/>
      </c>
      <c r="L20">
        <f>100*(J20)^2 + (I20-H20)^2</f>
        <v/>
      </c>
      <c r="M20">
        <f>I20</f>
        <v/>
      </c>
      <c r="N20">
        <f>M20-I20</f>
        <v/>
      </c>
    </row>
    <row r="21">
      <c r="A21" t="n">
        <v>17</v>
      </c>
      <c r="D21" t="n">
        <v>0.9702340960502625</v>
      </c>
      <c r="E21">
        <f>WEO_Data!B21</f>
        <v/>
      </c>
      <c r="F21">
        <f>LN(D21)</f>
        <v/>
      </c>
      <c r="G21">
        <f>LN(E21)</f>
        <v/>
      </c>
      <c r="H21">
        <f>G21 - 0.35*F21</f>
        <v/>
      </c>
      <c r="I21">
        <f>H21</f>
        <v/>
      </c>
      <c r="J21">
        <f>IF(AND(I22&gt;0,I21&gt;0,I20&gt;0),I22-2*I21+I20,0)</f>
        <v/>
      </c>
      <c r="K21">
        <f>I21</f>
        <v/>
      </c>
      <c r="L21">
        <f>100*(J21)^2 + (I21-H21)^2</f>
        <v/>
      </c>
      <c r="M21">
        <f>I21</f>
        <v/>
      </c>
      <c r="N21">
        <f>M21-I21</f>
        <v/>
      </c>
    </row>
    <row r="22">
      <c r="A22" t="n">
        <v>18</v>
      </c>
      <c r="D22" t="n">
        <v>0.9879248142242432</v>
      </c>
      <c r="E22">
        <f>WEO_Data!B22</f>
        <v/>
      </c>
      <c r="F22">
        <f>LN(D22)</f>
        <v/>
      </c>
      <c r="G22">
        <f>LN(E22)</f>
        <v/>
      </c>
      <c r="H22">
        <f>G22 - 0.35*F22</f>
        <v/>
      </c>
      <c r="I22">
        <f>H22</f>
        <v/>
      </c>
      <c r="J22">
        <f>IF(AND(I23&gt;0,I22&gt;0,I21&gt;0),I23-2*I22+I21,0)</f>
        <v/>
      </c>
      <c r="K22">
        <f>I22</f>
        <v/>
      </c>
      <c r="L22">
        <f>100*(J22)^2 + (I22-H22)^2</f>
        <v/>
      </c>
      <c r="M22">
        <f>I22</f>
        <v/>
      </c>
      <c r="N22">
        <f>M22-I22</f>
        <v/>
      </c>
    </row>
    <row r="23">
      <c r="A23" t="n">
        <v>19</v>
      </c>
      <c r="D23" t="n">
        <v>1</v>
      </c>
      <c r="E23">
        <f>WEO_Data!B23</f>
        <v/>
      </c>
      <c r="F23">
        <f>LN(D23)</f>
        <v/>
      </c>
      <c r="G23">
        <f>LN(E23)</f>
        <v/>
      </c>
      <c r="H23">
        <f>G23 - 0.35*F23</f>
        <v/>
      </c>
      <c r="I23">
        <f>H23</f>
        <v/>
      </c>
      <c r="J23">
        <f>IF(AND(I24&gt;0,I23&gt;0,I22&gt;0),I24-2*I23+I22,0)</f>
        <v/>
      </c>
      <c r="K23">
        <f>I23</f>
        <v/>
      </c>
      <c r="L23">
        <f>100*(J23)^2 + (I23-H23)^2</f>
        <v/>
      </c>
      <c r="M23">
        <f>I23</f>
        <v/>
      </c>
      <c r="N23">
        <f>M23-I23</f>
        <v/>
      </c>
    </row>
    <row r="24">
      <c r="A24" t="n">
        <v>20</v>
      </c>
      <c r="D24" t="n">
        <v>1.017875075340271</v>
      </c>
      <c r="E24">
        <f>WEO_Data!B24</f>
        <v/>
      </c>
      <c r="F24">
        <f>LN(D24)</f>
        <v/>
      </c>
      <c r="G24">
        <f>LN(E24)</f>
        <v/>
      </c>
      <c r="H24">
        <f>G24 - 0.35*F24</f>
        <v/>
      </c>
      <c r="I24">
        <f>H24</f>
        <v/>
      </c>
      <c r="J24">
        <f>IF(AND(I25&gt;0,I24&gt;0,I23&gt;0),I25-2*I24+I23,0)</f>
        <v/>
      </c>
      <c r="K24">
        <f>I24</f>
        <v/>
      </c>
      <c r="L24">
        <f>100*(J24)^2 + (I24-H24)^2</f>
        <v/>
      </c>
      <c r="M24">
        <f>I24</f>
        <v/>
      </c>
      <c r="N24">
        <f>M24-I24</f>
        <v/>
      </c>
    </row>
    <row r="25">
      <c r="A25" t="n">
        <v>21</v>
      </c>
      <c r="D25" t="n">
        <v>1.054265975952148</v>
      </c>
      <c r="E25">
        <f>WEO_Data!B25</f>
        <v/>
      </c>
      <c r="F25">
        <f>LN(D25)</f>
        <v/>
      </c>
      <c r="G25">
        <f>LN(E25)</f>
        <v/>
      </c>
      <c r="H25">
        <f>G25 - 0.35*F25</f>
        <v/>
      </c>
      <c r="I25">
        <f>H25</f>
        <v/>
      </c>
      <c r="J25">
        <f>IF(AND(I26&gt;0,I25&gt;0,I24&gt;0),I26-2*I25+I24,0)</f>
        <v/>
      </c>
      <c r="K25">
        <f>I25</f>
        <v/>
      </c>
      <c r="L25">
        <f>100*(J25)^2 + (I25-H25)^2</f>
        <v/>
      </c>
      <c r="M25">
        <f>I25</f>
        <v/>
      </c>
      <c r="N25">
        <f>M25-I25</f>
        <v/>
      </c>
    </row>
    <row r="26">
      <c r="A26" t="n">
        <v>22</v>
      </c>
      <c r="D26">
        <f>PWT!C26</f>
        <v/>
      </c>
      <c r="E26">
        <f>WEO_Data!B26</f>
        <v/>
      </c>
      <c r="F26">
        <f>LN(D26)</f>
        <v/>
      </c>
      <c r="G26">
        <f>LN(E26)</f>
        <v/>
      </c>
      <c r="H26">
        <f>G26 - 0.35*F26</f>
        <v/>
      </c>
      <c r="I26">
        <f>H26</f>
        <v/>
      </c>
      <c r="J26">
        <f>IF(AND(I27&gt;0,I26&gt;0,I25&gt;0),I27-2*I26+I25,0)</f>
        <v/>
      </c>
      <c r="K26">
        <f>I26</f>
        <v/>
      </c>
      <c r="L26">
        <f>100*(J26)^2 + (I26-H26)^2</f>
        <v/>
      </c>
      <c r="M26">
        <f>I26</f>
        <v/>
      </c>
      <c r="N26">
        <f>M26-I26</f>
        <v/>
      </c>
    </row>
    <row r="27">
      <c r="A27" t="n">
        <v>23</v>
      </c>
      <c r="D27">
        <f>PWT!C27</f>
        <v/>
      </c>
      <c r="E27">
        <f>WEO_Data!B27</f>
        <v/>
      </c>
      <c r="F27">
        <f>LN(D27)</f>
        <v/>
      </c>
      <c r="G27">
        <f>LN(E27)</f>
        <v/>
      </c>
      <c r="H27">
        <f>G27 - 0.35*F27</f>
        <v/>
      </c>
      <c r="I27">
        <f>H27</f>
        <v/>
      </c>
      <c r="J27">
        <f>IF(AND(I28&gt;0,I27&gt;0,I26&gt;0),I28-2*I27+I26,0)</f>
        <v/>
      </c>
      <c r="K27">
        <f>I27</f>
        <v/>
      </c>
      <c r="L27">
        <f>100*(J27)^2 + (I27-H27)^2</f>
        <v/>
      </c>
      <c r="M27">
        <f>I27</f>
        <v/>
      </c>
      <c r="N27">
        <f>M27-I27</f>
        <v/>
      </c>
    </row>
    <row r="30">
      <c r="A30" s="2" t="inlineStr">
        <is>
          <t>Production Function Estimation</t>
        </is>
      </c>
    </row>
    <row r="31">
      <c r="A31" t="inlineStr">
        <is>
          <t>Cobb-Douglas Production Function:</t>
        </is>
      </c>
    </row>
    <row r="32">
      <c r="A32" t="inlineStr">
        <is>
          <t>Y = A * K^alpha * L^(1-alpha)</t>
        </is>
      </c>
    </row>
    <row r="33">
      <c r="A33" t="inlineStr">
        <is>
          <t>Ln(Y) = Ln(A) + alpha*Ln(K) + (1-alpha)*Ln(L)</t>
        </is>
      </c>
    </row>
    <row r="35">
      <c r="A35" t="inlineStr">
        <is>
          <t>Variables:</t>
        </is>
      </c>
      <c r="B35" t="inlineStr">
        <is>
          <t>Description</t>
        </is>
      </c>
      <c r="C35" t="inlineStr">
        <is>
          <t>Value</t>
        </is>
      </c>
      <c r="D35" t="inlineStr">
        <is>
          <t>Formula</t>
        </is>
      </c>
    </row>
    <row r="36">
      <c r="A36" t="inlineStr">
        <is>
          <t>K</t>
        </is>
      </c>
      <c r="B36" t="inlineStr">
        <is>
          <t>Capital Stock (2023)</t>
        </is>
      </c>
      <c r="C36">
        <f>PWT!C25</f>
        <v/>
      </c>
      <c r="D36">
        <f>PWT!C25</f>
        <v/>
      </c>
    </row>
    <row r="37">
      <c r="A37" t="inlineStr">
        <is>
          <t>Y</t>
        </is>
      </c>
      <c r="B37" t="inlineStr">
        <is>
          <t>Real GDP (2023)</t>
        </is>
      </c>
      <c r="C37">
        <f>PWT!B25</f>
        <v/>
      </c>
      <c r="D37">
        <f>PWT!B25</f>
        <v/>
      </c>
    </row>
    <row r="38">
      <c r="A38" t="inlineStr">
        <is>
          <t>alpha</t>
        </is>
      </c>
      <c r="B38" t="inlineStr">
        <is>
          <t>Capital Share</t>
        </is>
      </c>
      <c r="C38" t="n">
        <v>0.35</v>
      </c>
      <c r="D38" t="inlineStr">
        <is>
          <t>0.35 (standard assumption)</t>
        </is>
      </c>
    </row>
    <row r="39">
      <c r="A39" t="inlineStr">
        <is>
          <t>Z</t>
        </is>
      </c>
      <c r="B39" t="inlineStr">
        <is>
          <t>Total Factor Productivity</t>
        </is>
      </c>
      <c r="C39">
        <f>EXP(G36 - C38*F36)</f>
        <v/>
      </c>
      <c r="D39">
        <f>EXP(G37 - alpha*Ln(K))</f>
        <v/>
      </c>
    </row>
    <row r="41">
      <c r="A41" s="2" t="inlineStr">
        <is>
          <t>GDP Projection Section</t>
        </is>
      </c>
    </row>
    <row r="42">
      <c r="A42" t="inlineStr">
        <is>
          <t>Year</t>
        </is>
      </c>
      <c r="B42" t="inlineStr">
        <is>
          <t>K_base</t>
        </is>
      </c>
      <c r="C42" t="inlineStr">
        <is>
          <t>K_shock</t>
        </is>
      </c>
      <c r="D42" t="inlineStr">
        <is>
          <t>Y_base</t>
        </is>
      </c>
      <c r="E42" t="inlineStr">
        <is>
          <t>Y_shock</t>
        </is>
      </c>
      <c r="F42" t="inlineStr">
        <is>
          <t>Difference</t>
        </is>
      </c>
      <c r="G42" t="inlineStr">
        <is>
          <t>% Change</t>
        </is>
      </c>
    </row>
    <row r="43">
      <c r="A43" t="n">
        <v>42</v>
      </c>
      <c r="B43">
        <f>PWT!C23</f>
        <v/>
      </c>
      <c r="C43">
        <f>B43</f>
        <v/>
      </c>
      <c r="D43">
        <f>EXP($C$39 + $C$38*LN(B43))</f>
        <v/>
      </c>
      <c r="E43">
        <f>EXP($C$39 + $C$38*LN(C43))</f>
        <v/>
      </c>
      <c r="F43">
        <f>E43-D43</f>
        <v/>
      </c>
      <c r="G43">
        <f>F43/D43</f>
        <v/>
      </c>
    </row>
    <row r="44">
      <c r="A44" t="n">
        <v>43</v>
      </c>
      <c r="B44">
        <f>PWT!C24</f>
        <v/>
      </c>
      <c r="C44">
        <f>B44</f>
        <v/>
      </c>
      <c r="D44">
        <f>EXP($C$39 + $C$38*LN(B44))</f>
        <v/>
      </c>
      <c r="E44">
        <f>EXP($C$39 + $C$38*LN(C44))</f>
        <v/>
      </c>
      <c r="F44">
        <f>E44-D44</f>
        <v/>
      </c>
      <c r="G44">
        <f>F44/D44</f>
        <v/>
      </c>
    </row>
    <row r="45">
      <c r="A45" t="n">
        <v>44</v>
      </c>
      <c r="B45">
        <f>PWT!C25</f>
        <v/>
      </c>
      <c r="C45">
        <f>B45</f>
        <v/>
      </c>
      <c r="D45">
        <f>EXP($C$39 + $C$38*LN(B45))</f>
        <v/>
      </c>
      <c r="E45">
        <f>EXP($C$39 + $C$38*LN(C45))</f>
        <v/>
      </c>
      <c r="F45">
        <f>E45-D45</f>
        <v/>
      </c>
      <c r="G45">
        <f>F45/D45</f>
        <v/>
      </c>
    </row>
    <row r="46">
      <c r="A46" t="n">
        <v>45</v>
      </c>
      <c r="B46">
        <f>PWT!C26</f>
        <v/>
      </c>
      <c r="C46">
        <f>B46</f>
        <v/>
      </c>
      <c r="D46">
        <f>EXP($C$39 + $C$38*LN(B46))</f>
        <v/>
      </c>
      <c r="E46">
        <f>EXP($C$39 + $C$38*LN(C46))</f>
        <v/>
      </c>
      <c r="F46">
        <f>E46-D46</f>
        <v/>
      </c>
      <c r="G46">
        <f>F46/D46</f>
        <v/>
      </c>
    </row>
    <row r="47">
      <c r="A47" t="n">
        <v>46</v>
      </c>
      <c r="B47">
        <f>PWT!C27</f>
        <v/>
      </c>
      <c r="C47">
        <f>B47</f>
        <v/>
      </c>
      <c r="D47">
        <f>EXP($C$39 + $C$38*LN(B47))</f>
        <v/>
      </c>
      <c r="E47">
        <f>EXP($C$39 + $C$38*LN(C47))</f>
        <v/>
      </c>
      <c r="F47">
        <f>E47-D47</f>
        <v/>
      </c>
      <c r="G47">
        <f>F47/D47</f>
        <v/>
      </c>
    </row>
    <row r="48">
      <c r="A48" t="n">
        <v>47</v>
      </c>
      <c r="B48">
        <f>PWT!C28</f>
        <v/>
      </c>
      <c r="C48">
        <f>B48</f>
        <v/>
      </c>
      <c r="D48">
        <f>EXP($C$39 + $C$38*LN(B48))</f>
        <v/>
      </c>
      <c r="E48">
        <f>EXP($C$39 + $C$38*LN(C48))</f>
        <v/>
      </c>
      <c r="F48">
        <f>E48-D48</f>
        <v/>
      </c>
      <c r="G48">
        <f>F48/D48</f>
        <v/>
      </c>
    </row>
    <row r="49">
      <c r="A49" t="n">
        <v>48</v>
      </c>
      <c r="B49">
        <f>PWT!C29</f>
        <v/>
      </c>
      <c r="C49">
        <f>B49</f>
        <v/>
      </c>
      <c r="D49">
        <f>EXP($C$39 + $C$38*LN(B49))</f>
        <v/>
      </c>
      <c r="E49">
        <f>EXP($C$39 + $C$38*LN(C49))</f>
        <v/>
      </c>
      <c r="F49">
        <f>E49-D49</f>
        <v/>
      </c>
      <c r="G49">
        <f>F49/D49</f>
        <v/>
      </c>
    </row>
    <row r="50">
      <c r="A50" t="n">
        <v>49</v>
      </c>
      <c r="B50">
        <f>PWT!C30</f>
        <v/>
      </c>
      <c r="C50">
        <f>B50</f>
        <v/>
      </c>
      <c r="D50">
        <f>EXP($C$39 + $C$38*LN(B50))</f>
        <v/>
      </c>
      <c r="E50">
        <f>EXP($C$39 + $C$38*LN(C50))</f>
        <v/>
      </c>
      <c r="F50">
        <f>E50-D50</f>
        <v/>
      </c>
      <c r="G50">
        <f>F50/D50</f>
        <v/>
      </c>
    </row>
    <row r="51">
      <c r="A51" t="n">
        <v>50</v>
      </c>
      <c r="B51">
        <f>PWT!C31</f>
        <v/>
      </c>
      <c r="C51">
        <f>B51</f>
        <v/>
      </c>
      <c r="D51">
        <f>EXP($C$39 + $C$38*LN(B51))</f>
        <v/>
      </c>
      <c r="E51">
        <f>EXP($C$39 + $C$38*LN(C51))</f>
        <v/>
      </c>
      <c r="F51">
        <f>E51-D51</f>
        <v/>
      </c>
      <c r="G51">
        <f>F51/D51</f>
        <v/>
      </c>
    </row>
    <row r="52">
      <c r="A52" t="n">
        <v>51</v>
      </c>
      <c r="B52">
        <f>PWT!C32</f>
        <v/>
      </c>
      <c r="C52">
        <f>B52</f>
        <v/>
      </c>
      <c r="D52">
        <f>EXP($C$39 + $C$38*LN(B52))</f>
        <v/>
      </c>
      <c r="E52">
        <f>EXP($C$39 + $C$38*LN(C52))</f>
        <v/>
      </c>
      <c r="F52">
        <f>E52-D52</f>
        <v/>
      </c>
      <c r="G52">
        <f>F52/D52</f>
        <v/>
      </c>
    </row>
    <row r="53">
      <c r="A53" t="n">
        <v>52</v>
      </c>
      <c r="B53">
        <f>PWT!C33</f>
        <v/>
      </c>
      <c r="C53">
        <f>B53</f>
        <v/>
      </c>
      <c r="D53">
        <f>EXP($C$39 + $C$38*LN(B53))</f>
        <v/>
      </c>
      <c r="E53">
        <f>EXP($C$39 + $C$38*LN(C53))</f>
        <v/>
      </c>
      <c r="F53">
        <f>E53-D53</f>
        <v/>
      </c>
      <c r="G53">
        <f>F53/D53</f>
        <v/>
      </c>
    </row>
    <row r="54">
      <c r="A54" t="n">
        <v>53</v>
      </c>
      <c r="B54">
        <f>PWT!C34</f>
        <v/>
      </c>
      <c r="C54">
        <f>B54</f>
        <v/>
      </c>
      <c r="D54">
        <f>EXP($C$39 + $C$38*LN(B54))</f>
        <v/>
      </c>
      <c r="E54">
        <f>EXP($C$39 + $C$38*LN(C54))</f>
        <v/>
      </c>
      <c r="F54">
        <f>E54-D54</f>
        <v/>
      </c>
      <c r="G54">
        <f>F54/D54</f>
        <v/>
      </c>
    </row>
    <row r="55">
      <c r="A55" t="n">
        <v>54</v>
      </c>
      <c r="B55">
        <f>PWT!C35</f>
        <v/>
      </c>
      <c r="C55">
        <f>B55</f>
        <v/>
      </c>
      <c r="D55">
        <f>EXP($C$39 + $C$38*LN(B55))</f>
        <v/>
      </c>
      <c r="E55">
        <f>EXP($C$39 + $C$38*LN(C55))</f>
        <v/>
      </c>
      <c r="F55">
        <f>E55-D55</f>
        <v/>
      </c>
      <c r="G55">
        <f>F55/D55</f>
        <v/>
      </c>
    </row>
    <row r="56">
      <c r="A56" t="n">
        <v>55</v>
      </c>
      <c r="B56">
        <f>PWT!C36</f>
        <v/>
      </c>
      <c r="C56">
        <f>B56</f>
        <v/>
      </c>
      <c r="D56">
        <f>EXP($C$39 + $C$38*LN(B56))</f>
        <v/>
      </c>
      <c r="E56">
        <f>EXP($C$39 + $C$38*LN(C56))</f>
        <v/>
      </c>
      <c r="F56">
        <f>E56-D56</f>
        <v/>
      </c>
      <c r="G56">
        <f>F56/D56</f>
        <v/>
      </c>
    </row>
    <row r="57">
      <c r="A57" t="n">
        <v>56</v>
      </c>
      <c r="B57">
        <f>PWT!C37</f>
        <v/>
      </c>
      <c r="C57">
        <f>B57</f>
        <v/>
      </c>
      <c r="D57">
        <f>EXP($C$39 + $C$38*LN(B57))</f>
        <v/>
      </c>
      <c r="E57">
        <f>EXP($C$39 + $C$38*LN(C57))</f>
        <v/>
      </c>
      <c r="F57">
        <f>E57-D57</f>
        <v/>
      </c>
      <c r="G57">
        <f>F57/D57</f>
        <v/>
      </c>
    </row>
    <row r="58">
      <c r="A58" t="n">
        <v>57</v>
      </c>
      <c r="B58">
        <f>PWT!C38</f>
        <v/>
      </c>
      <c r="C58">
        <f>B58</f>
        <v/>
      </c>
      <c r="D58">
        <f>EXP($C$39 + $C$38*LN(B58))</f>
        <v/>
      </c>
      <c r="E58">
        <f>EXP($C$39 + $C$38*LN(C58))</f>
        <v/>
      </c>
      <c r="F58">
        <f>E58-D58</f>
        <v/>
      </c>
      <c r="G58">
        <f>F58/D58</f>
        <v/>
      </c>
    </row>
    <row r="59">
      <c r="A59" t="n">
        <v>58</v>
      </c>
      <c r="B59">
        <f>PWT!C39</f>
        <v/>
      </c>
      <c r="C59">
        <f>B59</f>
        <v/>
      </c>
      <c r="D59">
        <f>EXP($C$39 + $C$38*LN(B59))</f>
        <v/>
      </c>
      <c r="E59">
        <f>EXP($C$39 + $C$38*LN(C59))</f>
        <v/>
      </c>
      <c r="F59">
        <f>E59-D59</f>
        <v/>
      </c>
      <c r="G59">
        <f>F59/D59</f>
        <v/>
      </c>
    </row>
    <row r="60">
      <c r="A60" t="n">
        <v>59</v>
      </c>
      <c r="B60">
        <f>PWT!C40</f>
        <v/>
      </c>
      <c r="C60">
        <f>B60</f>
        <v/>
      </c>
      <c r="D60">
        <f>EXP($C$39 + $C$38*LN(B60))</f>
        <v/>
      </c>
      <c r="E60">
        <f>EXP($C$39 + $C$38*LN(C60))</f>
        <v/>
      </c>
      <c r="F60">
        <f>E60-D60</f>
        <v/>
      </c>
      <c r="G60">
        <f>F60/D60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25" customWidth="1" min="10" max="10"/>
  </cols>
  <sheetData>
    <row r="1">
      <c r="A1" s="1" t="inlineStr">
        <is>
          <t>Year</t>
        </is>
      </c>
      <c r="B1" s="1" t="inlineStr">
        <is>
          <t>Base K</t>
        </is>
      </c>
      <c r="C1" s="1" t="inlineStr">
        <is>
          <t>Investment (USD billions)</t>
        </is>
      </c>
      <c r="D1" s="1" t="inlineStr">
        <is>
          <t>K_with</t>
        </is>
      </c>
      <c r="E1" s="1" t="inlineStr">
        <is>
          <t>Y_star_base</t>
        </is>
      </c>
      <c r="F1" s="1" t="inlineStr">
        <is>
          <t>Y_star_with</t>
        </is>
      </c>
      <c r="G1" t="inlineStr">
        <is>
          <t>Difference</t>
        </is>
      </c>
      <c r="H1" t="inlineStr">
        <is>
          <t>% Change</t>
        </is>
      </c>
      <c r="J1" t="inlineStr">
        <is>
          <t>Parameters:</t>
        </is>
      </c>
    </row>
    <row r="2">
      <c r="J2" t="inlineStr">
        <is>
          <t>Alpha (capital share):</t>
        </is>
      </c>
    </row>
    <row r="3">
      <c r="A3" t="n">
        <v>2024</v>
      </c>
      <c r="B3">
        <f>B2*(1+$B$3)</f>
        <v/>
      </c>
      <c r="C3" t="n">
        <v>0</v>
      </c>
      <c r="D3">
        <f>B3+C3</f>
        <v/>
      </c>
      <c r="J3" t="n">
        <v>0.35</v>
      </c>
    </row>
    <row r="4">
      <c r="A4" t="n">
        <v>2025</v>
      </c>
      <c r="B4">
        <f>B3*(1+$B$3)</f>
        <v/>
      </c>
      <c r="C4" t="n">
        <v>0</v>
      </c>
      <c r="D4">
        <f>B4+C4</f>
        <v/>
      </c>
      <c r="J4" t="inlineStr">
        <is>
          <t>Investment Period:</t>
        </is>
      </c>
    </row>
    <row r="5">
      <c r="A5" t="n">
        <v>2026</v>
      </c>
      <c r="B5">
        <f>B4*(1+$B$3)</f>
        <v/>
      </c>
      <c r="C5" t="inlineStr">
        <is>
          <t>$J$11</t>
        </is>
      </c>
      <c r="D5">
        <f>B5+C5</f>
        <v/>
      </c>
      <c r="J5" t="inlineStr">
        <is>
          <t>2026-2033 (8 years)</t>
        </is>
      </c>
    </row>
    <row r="6">
      <c r="A6" t="n">
        <v>2027</v>
      </c>
      <c r="B6">
        <f>B5*(1+$B$3)</f>
        <v/>
      </c>
      <c r="C6" t="inlineStr">
        <is>
          <t>$J$11</t>
        </is>
      </c>
      <c r="D6">
        <f>B6+C6</f>
        <v/>
      </c>
      <c r="J6" t="inlineStr">
        <is>
          <t>Total Investment:</t>
        </is>
      </c>
    </row>
    <row r="7">
      <c r="A7" t="n">
        <v>2028</v>
      </c>
      <c r="B7">
        <f>B6*(1+$B$3)</f>
        <v/>
      </c>
      <c r="C7" t="inlineStr">
        <is>
          <t>$J$11</t>
        </is>
      </c>
      <c r="D7">
        <f>B7+C7</f>
        <v/>
      </c>
      <c r="J7" t="n">
        <v>6.5</v>
      </c>
    </row>
    <row r="8">
      <c r="A8" t="n">
        <v>2029</v>
      </c>
      <c r="B8">
        <f>B7*(1+$B$3)</f>
        <v/>
      </c>
      <c r="C8" t="inlineStr">
        <is>
          <t>$J$11</t>
        </is>
      </c>
      <c r="D8">
        <f>B8+C8</f>
        <v/>
      </c>
      <c r="J8" t="inlineStr">
        <is>
          <t>Annual Investment:</t>
        </is>
      </c>
    </row>
    <row r="9">
      <c r="A9" t="n">
        <v>2030</v>
      </c>
      <c r="B9">
        <f>B8*(1+$B$3)</f>
        <v/>
      </c>
      <c r="C9" t="inlineStr">
        <is>
          <t>$J$11</t>
        </is>
      </c>
      <c r="D9">
        <f>B9+C9</f>
        <v/>
      </c>
      <c r="J9" t="n">
        <v>0.8125</v>
      </c>
    </row>
    <row r="10">
      <c r="A10" t="n">
        <v>2031</v>
      </c>
      <c r="B10">
        <f>B9*(1+$B$3)</f>
        <v/>
      </c>
      <c r="C10" t="inlineStr">
        <is>
          <t>$J$11</t>
        </is>
      </c>
      <c r="D10">
        <f>B10+C10</f>
        <v/>
      </c>
      <c r="J10" t="inlineStr">
        <is>
          <t>Annual Investment (bn USD):</t>
        </is>
      </c>
    </row>
    <row r="11">
      <c r="A11" t="n">
        <v>2032</v>
      </c>
      <c r="B11">
        <f>B10*(1+$B$3)</f>
        <v/>
      </c>
      <c r="C11" t="inlineStr">
        <is>
          <t>$J$11</t>
        </is>
      </c>
      <c r="D11">
        <f>B11+C11</f>
        <v/>
      </c>
      <c r="J11">
        <f>J7/8</f>
        <v/>
      </c>
    </row>
    <row r="12">
      <c r="A12" t="n">
        <v>2033</v>
      </c>
      <c r="B12">
        <f>B11*(1+$B$3)</f>
        <v/>
      </c>
      <c r="C12" t="inlineStr">
        <is>
          <t>$J$11</t>
        </is>
      </c>
      <c r="D12">
        <f>B12+C12</f>
        <v/>
      </c>
    </row>
    <row r="13">
      <c r="A13" t="n">
        <v>2034</v>
      </c>
      <c r="B13">
        <f>B12*(1+$B$3)</f>
        <v/>
      </c>
      <c r="C13" t="n">
        <v>0</v>
      </c>
      <c r="D13">
        <f>B13+C13</f>
        <v/>
      </c>
    </row>
    <row r="14">
      <c r="A14" t="n">
        <v>2035</v>
      </c>
      <c r="B14">
        <f>B13*(1+$B$3)</f>
        <v/>
      </c>
      <c r="C14" t="n">
        <v>0</v>
      </c>
      <c r="D14">
        <f>B14+C14</f>
        <v/>
      </c>
    </row>
    <row r="15">
      <c r="A15" t="n">
        <v>2036</v>
      </c>
      <c r="B15">
        <f>B14*(1+$B$3)</f>
        <v/>
      </c>
      <c r="C15" t="n">
        <v>0</v>
      </c>
      <c r="D15">
        <f>B15+C15</f>
        <v/>
      </c>
    </row>
    <row r="16">
      <c r="A16" t="n">
        <v>2037</v>
      </c>
      <c r="B16">
        <f>B15*(1+$B$3)</f>
        <v/>
      </c>
      <c r="C16" t="n">
        <v>0</v>
      </c>
      <c r="D16">
        <f>B16+C16</f>
        <v/>
      </c>
    </row>
    <row r="17">
      <c r="A17" t="n">
        <v>2038</v>
      </c>
      <c r="B17">
        <f>B16*(1+$B$3)</f>
        <v/>
      </c>
      <c r="C17" t="n">
        <v>0</v>
      </c>
      <c r="D17">
        <f>B17+C17</f>
        <v/>
      </c>
    </row>
    <row r="18">
      <c r="A18" t="n">
        <v>2039</v>
      </c>
      <c r="B18">
        <f>B17*(1+$B$3)</f>
        <v/>
      </c>
      <c r="C18" t="n">
        <v>0</v>
      </c>
      <c r="D18">
        <f>B18+C18</f>
        <v/>
      </c>
    </row>
    <row r="19">
      <c r="A19" t="n">
        <v>2040</v>
      </c>
      <c r="B19">
        <f>B18*(1+$B$3)</f>
        <v/>
      </c>
      <c r="C19" t="n">
        <v>0</v>
      </c>
      <c r="D19">
        <f>B19+C19</f>
        <v/>
      </c>
    </row>
    <row r="20">
      <c r="A20" t="n">
        <v>2041</v>
      </c>
      <c r="B20">
        <f>B19*(1+$B$3)</f>
        <v/>
      </c>
      <c r="C20" t="n">
        <v>0</v>
      </c>
      <c r="D20">
        <f>B20+C20</f>
        <v/>
      </c>
    </row>
    <row r="21">
      <c r="A21" t="n">
        <v>2042</v>
      </c>
      <c r="B21">
        <f>B20*(1+$B$3)</f>
        <v/>
      </c>
      <c r="C21" t="n">
        <v>0</v>
      </c>
      <c r="D21">
        <f>B21+C21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2026-01-27T06:37:17Z</dcterms:created>
  <dcterms:modified xmlns:dcterms="http://purl.org/dc/terms/" xmlns:xsi="http://www.w3.org/2001/XMLSchema-instance" xsi:type="dcterms:W3CDTF">2026-01-27T06:42:23Z</dcterms:modified>
</cp:coreProperties>
</file>